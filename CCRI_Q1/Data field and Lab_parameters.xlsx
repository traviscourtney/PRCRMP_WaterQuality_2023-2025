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https://sistemaupr-my.sharepoint.com/personal/travis_courtney_upr_edu/Documents/Documents/R/CCRI_Q1/"/>
    </mc:Choice>
  </mc:AlternateContent>
  <xr:revisionPtr revIDLastSave="1" documentId="13_ncr:1_{DC1F425F-2DA6-BB43-BEEB-CAA822D919E2}" xr6:coauthVersionLast="47" xr6:coauthVersionMax="47" xr10:uidLastSave="{A2077FC7-29A7-4CBC-BCD9-02787586467C}"/>
  <bookViews>
    <workbookView xWindow="-120" yWindow="-120" windowWidth="29040" windowHeight="15720" activeTab="4" xr2:uid="{00000000-000D-0000-FFFF-FFFF00000000}"/>
  </bookViews>
  <sheets>
    <sheet name="TSS" sheetId="1" r:id="rId1"/>
    <sheet name="Ent" sheetId="2" r:id="rId2"/>
    <sheet name="SS" sheetId="3" r:id="rId3"/>
    <sheet name="BOD" sheetId="4" r:id="rId4"/>
    <sheet name="Chlor.a" sheetId="5" r:id="rId5"/>
    <sheet name="Turbidity" sheetId="6" r:id="rId6"/>
    <sheet name="TA" sheetId="7" r:id="rId7"/>
    <sheet name="DIC" sheetId="8" r:id="rId8"/>
    <sheet name="Hydrolab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VC4odhgXdjHxH8eh2z1mS6/oMBDF+s0Zqz7DOqvObj8="/>
    </ext>
  </extLst>
</workbook>
</file>

<file path=xl/calcChain.xml><?xml version="1.0" encoding="utf-8"?>
<calcChain xmlns="http://schemas.openxmlformats.org/spreadsheetml/2006/main">
  <c r="Q38" i="5" l="1"/>
  <c r="M152" i="7"/>
  <c r="M151" i="7"/>
  <c r="M150" i="7"/>
  <c r="M149" i="7"/>
  <c r="M148" i="7"/>
  <c r="M146" i="7"/>
  <c r="M144" i="7"/>
  <c r="M143" i="7"/>
  <c r="M119" i="7"/>
  <c r="M118" i="7"/>
  <c r="M117" i="7"/>
  <c r="M116" i="7"/>
  <c r="M115" i="7"/>
  <c r="M114" i="7"/>
  <c r="M113" i="7"/>
  <c r="M112" i="7"/>
  <c r="M111" i="7"/>
  <c r="M110" i="7"/>
  <c r="M109" i="7"/>
  <c r="M108" i="7"/>
  <c r="M107" i="7"/>
  <c r="M106" i="7"/>
  <c r="M105" i="7"/>
  <c r="M104" i="7"/>
  <c r="M103" i="7"/>
  <c r="Q56" i="5"/>
  <c r="Q55" i="5"/>
  <c r="Q54" i="5"/>
  <c r="Q53" i="5"/>
  <c r="Q52" i="5"/>
  <c r="Q51" i="5"/>
  <c r="Q50" i="5"/>
  <c r="Q49" i="5"/>
  <c r="Q48" i="5"/>
  <c r="Q47" i="5"/>
  <c r="Q46" i="5"/>
  <c r="Q45" i="5"/>
  <c r="Q44" i="5"/>
  <c r="Q43" i="5"/>
  <c r="Q42" i="5"/>
  <c r="Q41" i="5"/>
  <c r="Q40" i="5"/>
  <c r="Q39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Q3" i="5"/>
  <c r="Q2" i="5"/>
  <c r="L122" i="4"/>
  <c r="L121" i="4"/>
  <c r="L120" i="4"/>
  <c r="L119" i="4"/>
  <c r="L118" i="4"/>
  <c r="L117" i="4"/>
  <c r="L116" i="4"/>
  <c r="L115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7" i="4"/>
  <c r="L96" i="4"/>
  <c r="L95" i="4"/>
  <c r="L94" i="4"/>
  <c r="L93" i="4"/>
  <c r="L92" i="4"/>
  <c r="L91" i="4"/>
  <c r="L90" i="4"/>
  <c r="L88" i="4"/>
  <c r="L87" i="4"/>
  <c r="L86" i="4"/>
  <c r="L85" i="4"/>
  <c r="L84" i="4"/>
  <c r="L83" i="4"/>
  <c r="L81" i="4"/>
  <c r="L80" i="4"/>
  <c r="L79" i="4"/>
  <c r="L78" i="4"/>
  <c r="L77" i="4"/>
  <c r="L76" i="4"/>
  <c r="L74" i="4"/>
  <c r="L73" i="4"/>
  <c r="L72" i="4"/>
  <c r="L71" i="4"/>
  <c r="L70" i="4"/>
  <c r="L69" i="4"/>
  <c r="L68" i="4"/>
  <c r="L67" i="4"/>
  <c r="L66" i="4"/>
  <c r="L65" i="4"/>
  <c r="L64" i="4"/>
  <c r="L63" i="4"/>
  <c r="L61" i="4"/>
  <c r="L60" i="4"/>
  <c r="L59" i="4"/>
  <c r="L58" i="4"/>
  <c r="L57" i="4"/>
  <c r="L56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5" i="4"/>
  <c r="L34" i="4"/>
  <c r="L33" i="4"/>
  <c r="L32" i="4"/>
  <c r="L30" i="4"/>
  <c r="L29" i="4"/>
  <c r="L28" i="4"/>
  <c r="L27" i="4"/>
  <c r="L25" i="4"/>
  <c r="L24" i="4"/>
  <c r="L23" i="4"/>
  <c r="L22" i="4"/>
  <c r="L21" i="4"/>
  <c r="L20" i="4"/>
  <c r="L18" i="4"/>
  <c r="L17" i="4"/>
  <c r="L16" i="4"/>
  <c r="L14" i="4"/>
  <c r="L13" i="4"/>
  <c r="L12" i="4"/>
  <c r="L11" i="4"/>
  <c r="L10" i="4"/>
  <c r="L9" i="4"/>
  <c r="L8" i="4"/>
  <c r="L7" i="4"/>
  <c r="L6" i="4"/>
  <c r="L5" i="4"/>
  <c r="L3" i="4"/>
  <c r="L2" i="4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5" authorId="0" shapeId="0" xr:uid="{00000000-0006-0000-0100-000001000000}">
      <text>
        <r>
          <rPr>
            <sz val="12"/>
            <color theme="1"/>
            <rFont val="Calibri"/>
            <scheme val="minor"/>
          </rPr>
          <t>======
ID#AAAA1aCty9o
Manuel A Nieves Ortiz    (2023-07-19 19:11:26)
Field log says MLA20 is for site MLAN10 and NOT MLAN20</t>
        </r>
      </text>
    </comment>
    <comment ref="A17" authorId="0" shapeId="0" xr:uid="{00000000-0006-0000-0100-000002000000}">
      <text>
        <r>
          <rPr>
            <sz val="12"/>
            <color theme="1"/>
            <rFont val="Calibri"/>
            <scheme val="minor"/>
          </rPr>
          <t>======
ID#AAAA1aCty9k
Manuel A Nieves Ortiz    (2023-07-19 19:10:50)
Ent_5 is repeated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om6v5puOkaumqvIfyjnm0MjAGfQ=="/>
    </ext>
  </extLst>
</comments>
</file>

<file path=xl/sharedStrings.xml><?xml version="1.0" encoding="utf-8"?>
<sst xmlns="http://schemas.openxmlformats.org/spreadsheetml/2006/main" count="8930" uniqueCount="1201">
  <si>
    <t>Sample ID</t>
  </si>
  <si>
    <t>Cellulose weight (g)</t>
  </si>
  <si>
    <t>Date  collected</t>
  </si>
  <si>
    <t>Time collected</t>
  </si>
  <si>
    <t>Date analyzed</t>
  </si>
  <si>
    <t>Oven time</t>
  </si>
  <si>
    <t>RTU initial weight (mg)</t>
  </si>
  <si>
    <t>Volume sample (L)</t>
  </si>
  <si>
    <t>Filter weight 1 (mg)</t>
  </si>
  <si>
    <t>Filter weight 2 (mg)</t>
  </si>
  <si>
    <t>Filter weight 3 (mg)</t>
  </si>
  <si>
    <t>Filter ID</t>
  </si>
  <si>
    <t>Analyst</t>
  </si>
  <si>
    <t>Result (mg/L)</t>
  </si>
  <si>
    <t>QA Flag</t>
  </si>
  <si>
    <t>Note</t>
  </si>
  <si>
    <t xml:space="preserve">Cellulose </t>
  </si>
  <si>
    <t>N/A</t>
  </si>
  <si>
    <t>NA</t>
  </si>
  <si>
    <t>E0016176</t>
  </si>
  <si>
    <t>MR</t>
  </si>
  <si>
    <t>A</t>
  </si>
  <si>
    <t>OK</t>
  </si>
  <si>
    <t>TSS_1</t>
  </si>
  <si>
    <t>E0016183</t>
  </si>
  <si>
    <t>TSS_2</t>
  </si>
  <si>
    <t>E0016173</t>
  </si>
  <si>
    <t>Cellulose_1</t>
  </si>
  <si>
    <t>R</t>
  </si>
  <si>
    <t>Not OK</t>
  </si>
  <si>
    <t>Cellulose_2</t>
  </si>
  <si>
    <t>E0016235</t>
  </si>
  <si>
    <t>Cellulose_3</t>
  </si>
  <si>
    <t>E0016203</t>
  </si>
  <si>
    <t>Cellulose_4</t>
  </si>
  <si>
    <t>E0016403</t>
  </si>
  <si>
    <t>Cellulose_5</t>
  </si>
  <si>
    <t>E0016393</t>
  </si>
  <si>
    <t>Cellulose_6</t>
  </si>
  <si>
    <t>E0016407</t>
  </si>
  <si>
    <t>TSS_3</t>
  </si>
  <si>
    <t>E0016408</t>
  </si>
  <si>
    <t>MR/MB</t>
  </si>
  <si>
    <t xml:space="preserve">OK. First field sample from Parguera Boya 20. </t>
  </si>
  <si>
    <t>E0016409</t>
  </si>
  <si>
    <t>TSS_4</t>
  </si>
  <si>
    <t>E0016406</t>
  </si>
  <si>
    <t xml:space="preserve">OK. 2nd. field sample from Parguera </t>
  </si>
  <si>
    <t>TSS_5</t>
  </si>
  <si>
    <t>E0016400</t>
  </si>
  <si>
    <t>TSS_6</t>
  </si>
  <si>
    <t>E0016404</t>
  </si>
  <si>
    <t>E0016405</t>
  </si>
  <si>
    <t>E0016287</t>
  </si>
  <si>
    <t>The filter unitliking. I was changed immediately and use a new one. The filtered was measured and the volume was 0.960 L</t>
  </si>
  <si>
    <t>TSS_7</t>
  </si>
  <si>
    <t>E0016177</t>
  </si>
  <si>
    <t xml:space="preserve">3rd. field sampling </t>
  </si>
  <si>
    <t>TSS_9</t>
  </si>
  <si>
    <t>E0016182</t>
  </si>
  <si>
    <t>Cellulose</t>
  </si>
  <si>
    <t>F0019097</t>
  </si>
  <si>
    <t>TSS_13</t>
  </si>
  <si>
    <t>F0019098</t>
  </si>
  <si>
    <t>The #5 was repeated. It was replaced by #13 (MR)</t>
  </si>
  <si>
    <t>TSS_8</t>
  </si>
  <si>
    <t>F0019095</t>
  </si>
  <si>
    <t>F0019093</t>
  </si>
  <si>
    <t>TSS_14</t>
  </si>
  <si>
    <t>FOO119099</t>
  </si>
  <si>
    <t>4th. Field sampling.</t>
  </si>
  <si>
    <t>TSS_28</t>
  </si>
  <si>
    <t>FOO119094</t>
  </si>
  <si>
    <t>TSS_11</t>
  </si>
  <si>
    <t>E0016288</t>
  </si>
  <si>
    <t>TSS_12</t>
  </si>
  <si>
    <t>E0016289</t>
  </si>
  <si>
    <t>TSS_10</t>
  </si>
  <si>
    <t>E0016184</t>
  </si>
  <si>
    <t>TSS_18</t>
  </si>
  <si>
    <t>E0016179</t>
  </si>
  <si>
    <t>TSS_16</t>
  </si>
  <si>
    <t>E0016174</t>
  </si>
  <si>
    <t>TSS_15</t>
  </si>
  <si>
    <t>E0016425</t>
  </si>
  <si>
    <t>TSS_17</t>
  </si>
  <si>
    <t>E0016426</t>
  </si>
  <si>
    <t>E0016427</t>
  </si>
  <si>
    <t>5th. Field sampling.</t>
  </si>
  <si>
    <t>TSS_22</t>
  </si>
  <si>
    <t>E0016428</t>
  </si>
  <si>
    <t>TSS_19</t>
  </si>
  <si>
    <t>E0016429</t>
  </si>
  <si>
    <t>TSS_20</t>
  </si>
  <si>
    <t>E0016433</t>
  </si>
  <si>
    <t>E0016434</t>
  </si>
  <si>
    <t>MB</t>
  </si>
  <si>
    <t>6th. Field sampling</t>
  </si>
  <si>
    <t>TSS_24</t>
  </si>
  <si>
    <t>E0016199</t>
  </si>
  <si>
    <t>TSS_25</t>
  </si>
  <si>
    <t>E0016190</t>
  </si>
  <si>
    <t>TSS_23</t>
  </si>
  <si>
    <t>E0016185</t>
  </si>
  <si>
    <t>TSS_26</t>
  </si>
  <si>
    <t>E0016238</t>
  </si>
  <si>
    <t>TSS_29</t>
  </si>
  <si>
    <t>E0016204</t>
  </si>
  <si>
    <t>TSS_21</t>
  </si>
  <si>
    <t>E0016200</t>
  </si>
  <si>
    <t>E0016208</t>
  </si>
  <si>
    <t>8th. Field sampling</t>
  </si>
  <si>
    <t>TSS_27</t>
  </si>
  <si>
    <t>E0016191</t>
  </si>
  <si>
    <t>TSS_31</t>
  </si>
  <si>
    <t>E0016186</t>
  </si>
  <si>
    <t>TSS_32</t>
  </si>
  <si>
    <t>E0016237</t>
  </si>
  <si>
    <t>E0016205</t>
  </si>
  <si>
    <t>9th. Field sampling</t>
  </si>
  <si>
    <t>TSS_35</t>
  </si>
  <si>
    <t>E0016201</t>
  </si>
  <si>
    <t>TSS_34</t>
  </si>
  <si>
    <t>E0016192</t>
  </si>
  <si>
    <t>TSS_33</t>
  </si>
  <si>
    <t>E0016187</t>
  </si>
  <si>
    <t>E0016194</t>
  </si>
  <si>
    <t>10th. Field sampling</t>
  </si>
  <si>
    <t>TSS_30</t>
  </si>
  <si>
    <t>E0016193</t>
  </si>
  <si>
    <t>TSS_36</t>
  </si>
  <si>
    <t>E0016189</t>
  </si>
  <si>
    <t>TSS_37</t>
  </si>
  <si>
    <t>E0016188</t>
  </si>
  <si>
    <t>TSS_39</t>
  </si>
  <si>
    <t>E0016196</t>
  </si>
  <si>
    <t>E0016399</t>
  </si>
  <si>
    <t>11th. Field sampling</t>
  </si>
  <si>
    <t>TSS_50</t>
  </si>
  <si>
    <t>E0016395</t>
  </si>
  <si>
    <t>TSS_51</t>
  </si>
  <si>
    <t>E0016389</t>
  </si>
  <si>
    <t>TSS_48</t>
  </si>
  <si>
    <t>E0016394</t>
  </si>
  <si>
    <t>TSS_47</t>
  </si>
  <si>
    <t>E0016391</t>
  </si>
  <si>
    <t>TSS_44</t>
  </si>
  <si>
    <t>E0016415</t>
  </si>
  <si>
    <t>12th field sampling</t>
  </si>
  <si>
    <t>TSS_41</t>
  </si>
  <si>
    <t>E0016411</t>
  </si>
  <si>
    <t>TSS_38</t>
  </si>
  <si>
    <t>E0016417</t>
  </si>
  <si>
    <t>Cellulose 1</t>
  </si>
  <si>
    <t>E0016390</t>
  </si>
  <si>
    <t>The filter analysis was corrected, the cellulose were stocked at the edges. Adding water to the edges of the glass filter, the precition was better.</t>
  </si>
  <si>
    <t>E0016385</t>
  </si>
  <si>
    <t>Cellulose 3</t>
  </si>
  <si>
    <t>E0016401</t>
  </si>
  <si>
    <t>E0016195</t>
  </si>
  <si>
    <t>13th field sampling</t>
  </si>
  <si>
    <t>TSS_49</t>
  </si>
  <si>
    <t>E0016202</t>
  </si>
  <si>
    <t>TSS_40</t>
  </si>
  <si>
    <t>E0016198</t>
  </si>
  <si>
    <t>TSS_42</t>
  </si>
  <si>
    <t>E0016197</t>
  </si>
  <si>
    <t>14th field sampling</t>
  </si>
  <si>
    <t>TSS_45</t>
  </si>
  <si>
    <t>E0016236</t>
  </si>
  <si>
    <t>Date collected</t>
  </si>
  <si>
    <t>Date Start</t>
  </si>
  <si>
    <t>Time start</t>
  </si>
  <si>
    <t>Temp.start (°C)</t>
  </si>
  <si>
    <t>Date End</t>
  </si>
  <si>
    <t>Time End</t>
  </si>
  <si>
    <t>Temp. end °C</t>
  </si>
  <si>
    <t>Large Positive Wells</t>
  </si>
  <si>
    <t>Small Positive Wells</t>
  </si>
  <si>
    <t>MPN</t>
  </si>
  <si>
    <t>MPN by 10 (Dilution factor)</t>
  </si>
  <si>
    <t>Notes</t>
  </si>
  <si>
    <t>Serratia marcenses</t>
  </si>
  <si>
    <t>&lt; 1</t>
  </si>
  <si>
    <t>Lot Verified</t>
  </si>
  <si>
    <t>Aerococcus viridans</t>
  </si>
  <si>
    <t>Enterococcus faecium</t>
  </si>
  <si>
    <t>&gt; 2419.6</t>
  </si>
  <si>
    <t>Blank</t>
  </si>
  <si>
    <t>Ent_1</t>
  </si>
  <si>
    <t>Ent_2</t>
  </si>
  <si>
    <t>Ent_1B</t>
  </si>
  <si>
    <t>MR and Majo</t>
  </si>
  <si>
    <t>First sample from Parguera Boya 20.</t>
  </si>
  <si>
    <t>Ent_1C</t>
  </si>
  <si>
    <t>2nd field sampling</t>
  </si>
  <si>
    <t>Ent_3</t>
  </si>
  <si>
    <t>Ent_4</t>
  </si>
  <si>
    <t>Ent_4R</t>
  </si>
  <si>
    <t>2nd field sampling. It was repeated because there wee 2 wells not filled.</t>
  </si>
  <si>
    <t>Ent1_A</t>
  </si>
  <si>
    <t>3rd field sampling</t>
  </si>
  <si>
    <t>Ent_6</t>
  </si>
  <si>
    <t>Ent_MLAN20</t>
  </si>
  <si>
    <t>Ent_5</t>
  </si>
  <si>
    <t>4th field sampling started at 8:28, but entero was collected at 9:10 am</t>
  </si>
  <si>
    <t>Ent_5R</t>
  </si>
  <si>
    <t>4th field sampling. started at 9:14, but enteroc. was collected at 9:46 amIt was repeated because there were one well that was not full filled.</t>
  </si>
  <si>
    <t>Ent_7</t>
  </si>
  <si>
    <t>5th. field sampling.</t>
  </si>
  <si>
    <t>Ent_8</t>
  </si>
  <si>
    <t>Ent_9</t>
  </si>
  <si>
    <t>Ent_11</t>
  </si>
  <si>
    <t>Ent_12</t>
  </si>
  <si>
    <t>Ent_13</t>
  </si>
  <si>
    <t>Ent_14</t>
  </si>
  <si>
    <t>Ent_15</t>
  </si>
  <si>
    <t>Ent_16</t>
  </si>
  <si>
    <t>Ent_10</t>
  </si>
  <si>
    <t>6th. field sampling.</t>
  </si>
  <si>
    <t>Ent_17</t>
  </si>
  <si>
    <t>Ent_18</t>
  </si>
  <si>
    <t>Ent_19</t>
  </si>
  <si>
    <t>7th. field sampling.</t>
  </si>
  <si>
    <t>Ent_21</t>
  </si>
  <si>
    <t>Ent_20</t>
  </si>
  <si>
    <t>Ent_22</t>
  </si>
  <si>
    <t>Ent_23</t>
  </si>
  <si>
    <t>Ent_24</t>
  </si>
  <si>
    <t>Ent_25</t>
  </si>
  <si>
    <t>8th. field sampling.</t>
  </si>
  <si>
    <t>Ent_29</t>
  </si>
  <si>
    <t>Ent_26</t>
  </si>
  <si>
    <t>Ent_27</t>
  </si>
  <si>
    <t>9th. field sampling.</t>
  </si>
  <si>
    <t>Ent_28</t>
  </si>
  <si>
    <t>Ent_30</t>
  </si>
  <si>
    <t>Ent_31</t>
  </si>
  <si>
    <t>LC, IL, MR</t>
  </si>
  <si>
    <t>10th. field sampling.</t>
  </si>
  <si>
    <t>Ent_32</t>
  </si>
  <si>
    <t>Ent_33</t>
  </si>
  <si>
    <t>Ent_34</t>
  </si>
  <si>
    <t>Ent_35</t>
  </si>
  <si>
    <t>11th. field sampling.</t>
  </si>
  <si>
    <t>Ent_36</t>
  </si>
  <si>
    <t>Ent_37</t>
  </si>
  <si>
    <t>Ent_38</t>
  </si>
  <si>
    <t>Ent_39</t>
  </si>
  <si>
    <t>LC, IL</t>
  </si>
  <si>
    <t>12th. field sampling.</t>
  </si>
  <si>
    <t>Ent_40</t>
  </si>
  <si>
    <t>Ent_41</t>
  </si>
  <si>
    <t>Ent_42</t>
  </si>
  <si>
    <t>13th. field sampling.</t>
  </si>
  <si>
    <t>Ent_43</t>
  </si>
  <si>
    <t>Ent_45</t>
  </si>
  <si>
    <t>14th. field sampling.</t>
  </si>
  <si>
    <t>Ent_46</t>
  </si>
  <si>
    <t>Date analysis</t>
  </si>
  <si>
    <t>Start time</t>
  </si>
  <si>
    <t>End time</t>
  </si>
  <si>
    <t>Results ml/L</t>
  </si>
  <si>
    <t>SS_1_A</t>
  </si>
  <si>
    <t>No time</t>
  </si>
  <si>
    <t>No data</t>
  </si>
  <si>
    <t>Cone leak</t>
  </si>
  <si>
    <t>SS_1_B</t>
  </si>
  <si>
    <t>&lt; 0.1 ml</t>
  </si>
  <si>
    <t>SS_5</t>
  </si>
  <si>
    <t>First sample from Parguera Boya 20. Volume measured: 0.960 L. The number was ss_1 by mistake of Martha and change by Martha 7.19.23</t>
  </si>
  <si>
    <t>SS_6</t>
  </si>
  <si>
    <t>2nd field sampling. Volume 1,000 ml</t>
  </si>
  <si>
    <t>SS_3</t>
  </si>
  <si>
    <t>SS_7</t>
  </si>
  <si>
    <t>SS_4</t>
  </si>
  <si>
    <t>SS_9</t>
  </si>
  <si>
    <t>SS_13</t>
  </si>
  <si>
    <t>11:02:00 P</t>
  </si>
  <si>
    <t>4th field sampling</t>
  </si>
  <si>
    <t>SS_8</t>
  </si>
  <si>
    <t>4th field sampling, Volume 985 ml, the bottle brought less than 1L</t>
  </si>
  <si>
    <t>SS_18</t>
  </si>
  <si>
    <t>5th field sampling</t>
  </si>
  <si>
    <t>SS_17</t>
  </si>
  <si>
    <t>SS_16</t>
  </si>
  <si>
    <t>SS_15</t>
  </si>
  <si>
    <t>SS_14</t>
  </si>
  <si>
    <t>SS_19</t>
  </si>
  <si>
    <t>SS_20</t>
  </si>
  <si>
    <t>SS_21</t>
  </si>
  <si>
    <t>SS_22</t>
  </si>
  <si>
    <t>SS_26</t>
  </si>
  <si>
    <t>6th field sampling.</t>
  </si>
  <si>
    <t>SS_23</t>
  </si>
  <si>
    <t>SS_24</t>
  </si>
  <si>
    <t>SS_29</t>
  </si>
  <si>
    <t>7th field sampling.</t>
  </si>
  <si>
    <t>SS_27</t>
  </si>
  <si>
    <t>SS_25</t>
  </si>
  <si>
    <t>SS_31</t>
  </si>
  <si>
    <t>SS_32</t>
  </si>
  <si>
    <t>SS_30</t>
  </si>
  <si>
    <t>SS_28</t>
  </si>
  <si>
    <t>8th field sampling.</t>
  </si>
  <si>
    <t>SS_34</t>
  </si>
  <si>
    <t>SS_35</t>
  </si>
  <si>
    <t>SS_38</t>
  </si>
  <si>
    <t>9th field sampling.</t>
  </si>
  <si>
    <t>SS_37</t>
  </si>
  <si>
    <t>SS_36</t>
  </si>
  <si>
    <t>SS_33</t>
  </si>
  <si>
    <t>10th field sampling.</t>
  </si>
  <si>
    <t>SS_39</t>
  </si>
  <si>
    <t>SS_40</t>
  </si>
  <si>
    <t>SS_42</t>
  </si>
  <si>
    <t>SS_53</t>
  </si>
  <si>
    <t>11th field sampling.</t>
  </si>
  <si>
    <t>SS_54</t>
  </si>
  <si>
    <t>SS_51</t>
  </si>
  <si>
    <t>SS_50</t>
  </si>
  <si>
    <t>SS_47</t>
  </si>
  <si>
    <t>MB/JC</t>
  </si>
  <si>
    <t>12th field sampling.</t>
  </si>
  <si>
    <t>SS_44</t>
  </si>
  <si>
    <t>SS_41</t>
  </si>
  <si>
    <t>SS_52</t>
  </si>
  <si>
    <t>13th field sampling.</t>
  </si>
  <si>
    <t>SS_43</t>
  </si>
  <si>
    <t>SS_45</t>
  </si>
  <si>
    <t>14th field sampling.</t>
  </si>
  <si>
    <t>SS_48</t>
  </si>
  <si>
    <t>Date/Initial DO</t>
  </si>
  <si>
    <t>Time Initial DO measure</t>
  </si>
  <si>
    <t>Initial DO % or mg/L</t>
  </si>
  <si>
    <t>Initial Temperature</t>
  </si>
  <si>
    <t>Time Final DO</t>
  </si>
  <si>
    <t>Final DO  % or mg/L</t>
  </si>
  <si>
    <t>Final Temperature</t>
  </si>
  <si>
    <t>BOD in % or mg/L</t>
  </si>
  <si>
    <t>BOD_1_A</t>
  </si>
  <si>
    <t>The data was not goo. the H19829Multiparameter bad.    It wass difficult to calibrate. The temperature was not measured the  initial DO and the final DO. The reading was in %.</t>
  </si>
  <si>
    <t>BOD_2_B</t>
  </si>
  <si>
    <t>BOD_Winkler</t>
  </si>
  <si>
    <t xml:space="preserve">The BOD incubator was down, the temperature was 26.6 becasuse the electricity was off. </t>
  </si>
  <si>
    <t>BOD_Test_1</t>
  </si>
  <si>
    <t>BOD_Test_2</t>
  </si>
  <si>
    <t>0.5 mg GCA+0.6 mg glucose</t>
  </si>
  <si>
    <t>BOD_Test_3</t>
  </si>
  <si>
    <t>Dock sample with 4 nutrients</t>
  </si>
  <si>
    <t>BOD_Test_4</t>
  </si>
  <si>
    <t>BOD_Test_5</t>
  </si>
  <si>
    <t>Dock sample: 3 ml GCA solution (3.5 g Glutamic acid+3.5 g glucose)</t>
  </si>
  <si>
    <t>S_0</t>
  </si>
  <si>
    <t>8.13 AM</t>
  </si>
  <si>
    <t>TC/MR</t>
  </si>
  <si>
    <t>Travis wrote: Refiled electrolite solution cap to remove bubble and repolarized DO meter/probe. Now connected to power buckup</t>
  </si>
  <si>
    <t>S_1</t>
  </si>
  <si>
    <t>8.18 AM</t>
  </si>
  <si>
    <t>S_2</t>
  </si>
  <si>
    <t>8.21 AM</t>
  </si>
  <si>
    <t>T_0</t>
  </si>
  <si>
    <t>Travis wrote: T_0 and T_1 started earle at temperature exceeding 20oC</t>
  </si>
  <si>
    <t>T_1</t>
  </si>
  <si>
    <t>CALIBRATION</t>
  </si>
  <si>
    <t>Calibration Air DO meter/probe</t>
  </si>
  <si>
    <t>BOD_12 (Surface)</t>
  </si>
  <si>
    <t>1st. field sampling</t>
  </si>
  <si>
    <t>1 ml nutrients. The sample will be repeated with 0.3 ml</t>
  </si>
  <si>
    <t>BOD_7 (Botton)</t>
  </si>
  <si>
    <t>0.3 ml nutrients</t>
  </si>
  <si>
    <t>BOD_12</t>
  </si>
  <si>
    <t>Sample repeated, now with 0.3 ml nutrients</t>
  </si>
  <si>
    <t>2nd. field sampling</t>
  </si>
  <si>
    <t>The rows with negative values increased. For that reason, the meter/probe was clean and refilled with electrode solution. Stabilize and read after calibration.</t>
  </si>
  <si>
    <t>BOD_8 (Surface)</t>
  </si>
  <si>
    <t>BOD_5 (Botton)</t>
  </si>
  <si>
    <t>BOD_4 (Surface)</t>
  </si>
  <si>
    <t>BOD_6 (Botton)</t>
  </si>
  <si>
    <t>BOD_3 (Surface)</t>
  </si>
  <si>
    <t>BOD_11(Botton)</t>
  </si>
  <si>
    <t>3rd.  field sampling</t>
  </si>
  <si>
    <t>BOD_16 (Surface)</t>
  </si>
  <si>
    <t>BOD_15 (Botton)</t>
  </si>
  <si>
    <t>BOD_19 (Surface)</t>
  </si>
  <si>
    <t>BOD_9 (Botton)</t>
  </si>
  <si>
    <t>BOD_22 (Surface)</t>
  </si>
  <si>
    <t>BOD_21 (Botton)</t>
  </si>
  <si>
    <t>BOD_25 (Surface)</t>
  </si>
  <si>
    <t>BOD_26 (Botton)</t>
  </si>
  <si>
    <t>BOD_33(Surface)</t>
  </si>
  <si>
    <t>BOD_34 (Botton)</t>
  </si>
  <si>
    <t>BOD_14(Surface)</t>
  </si>
  <si>
    <t>BOD_13 (Botton)</t>
  </si>
  <si>
    <t>BOD_27 (Surface)</t>
  </si>
  <si>
    <t>BOD_28(Botton)</t>
  </si>
  <si>
    <t>BOD_24 (Surface)</t>
  </si>
  <si>
    <t>BOD_23 (Botton)</t>
  </si>
  <si>
    <t>BOD_20 (Surface)</t>
  </si>
  <si>
    <t>BOD_18 (Botton)</t>
  </si>
  <si>
    <t>BOD_41 (Surface)</t>
  </si>
  <si>
    <t>BOD_42 (Botton)</t>
  </si>
  <si>
    <t>BOD_37 (Surface)</t>
  </si>
  <si>
    <t>BOD_38 (Botton)</t>
  </si>
  <si>
    <t>BOD_35 (Surface)</t>
  </si>
  <si>
    <t>BOD_36 (Botton)</t>
  </si>
  <si>
    <t>BOD_40 (Surface)</t>
  </si>
  <si>
    <t>BOD_39 (Botton)</t>
  </si>
  <si>
    <t>6th field sampling</t>
  </si>
  <si>
    <t>BOD_49 (Surface)</t>
  </si>
  <si>
    <t>BOD_50(Botton)</t>
  </si>
  <si>
    <t>BOD_44 (Surface)</t>
  </si>
  <si>
    <t>BOD_43 (Botton)</t>
  </si>
  <si>
    <t>BOD_46 (Surface)</t>
  </si>
  <si>
    <t>BOD_45 (Botton)</t>
  </si>
  <si>
    <t>7th field sampling</t>
  </si>
  <si>
    <t>BOD_56 (Surface)</t>
  </si>
  <si>
    <t>MR and MB</t>
  </si>
  <si>
    <t>BOD_55 (Botton)</t>
  </si>
  <si>
    <t>BOD_57 (Surface)</t>
  </si>
  <si>
    <t>BOD_58 (Botton)</t>
  </si>
  <si>
    <t>BOD_52 (Surface)</t>
  </si>
  <si>
    <t>BOD_51 (Botton)</t>
  </si>
  <si>
    <t>BOD_59 (Surface)</t>
  </si>
  <si>
    <t>BOD_60 (Botton)</t>
  </si>
  <si>
    <t>BOD_62 (Surface)</t>
  </si>
  <si>
    <t>BOD_61 (Botton)</t>
  </si>
  <si>
    <t>BOD_48 (Surface)</t>
  </si>
  <si>
    <t>BOD_47 (Botton)</t>
  </si>
  <si>
    <t>8th field sampling</t>
  </si>
  <si>
    <t>BOD_53 (Surface)</t>
  </si>
  <si>
    <t>BOD_54 (Botton)</t>
  </si>
  <si>
    <t>BOD_66 (Surface)</t>
  </si>
  <si>
    <t>There was a tissue layer growing that was dissapiring while mixing with the stirrer</t>
  </si>
  <si>
    <t>BOD_65 (Botton)</t>
  </si>
  <si>
    <t>BOD_68 (Surface)</t>
  </si>
  <si>
    <t>BOD_67 (Botton)</t>
  </si>
  <si>
    <t>BOD_73 (Surface)</t>
  </si>
  <si>
    <t>9th field sampling</t>
  </si>
  <si>
    <t>BOD_74 (Botton)</t>
  </si>
  <si>
    <t>BOD_72 (Surface)</t>
  </si>
  <si>
    <t>BOD_71 (Botton)</t>
  </si>
  <si>
    <t>BOD_70 (Surface)</t>
  </si>
  <si>
    <t>BOD_69 (Botton)</t>
  </si>
  <si>
    <t>10th field sampling</t>
  </si>
  <si>
    <t>BOD_63 (Surface)</t>
  </si>
  <si>
    <t>BOD_64 (Botton)</t>
  </si>
  <si>
    <t>BOD_75 (Surface)</t>
  </si>
  <si>
    <t>BOD_76 (Botton)</t>
  </si>
  <si>
    <t>BOD_78 (Surface)</t>
  </si>
  <si>
    <t>BOD_77 (Botton)</t>
  </si>
  <si>
    <t>BOD_81 (Surface)</t>
  </si>
  <si>
    <t>BOD_82 (Botton)</t>
  </si>
  <si>
    <t>MR (DK)</t>
  </si>
  <si>
    <t>Dark bottles used: (DB)</t>
  </si>
  <si>
    <t>DK means: dark bottle</t>
  </si>
  <si>
    <t>BOD_103 (Surface)</t>
  </si>
  <si>
    <t>11th field sampling</t>
  </si>
  <si>
    <t>This sample should be repeated. The temperature for Initial DO was  15.8 degrees</t>
  </si>
  <si>
    <t>sample repeated. The temperature for Initial DO  is 19.8 degrees</t>
  </si>
  <si>
    <t>BOD_104 (Botton)</t>
  </si>
  <si>
    <t>BOD_105 (Surface)</t>
  </si>
  <si>
    <t>BOD_106 (Botton)</t>
  </si>
  <si>
    <t>BOD_99 (Surface)</t>
  </si>
  <si>
    <t>BOD_100 (Botton)</t>
  </si>
  <si>
    <t>BOD_97 (Surface)</t>
  </si>
  <si>
    <t>BOD_98 (Botton)</t>
  </si>
  <si>
    <t>BOD_91 (Surface)</t>
  </si>
  <si>
    <t>BOD_92 (Botton)</t>
  </si>
  <si>
    <t>BOD_85 (Surface)</t>
  </si>
  <si>
    <t>BOD_86 (Botton)</t>
  </si>
  <si>
    <t>BOD_79 (Surface)</t>
  </si>
  <si>
    <t>BOD_80 (Botton)</t>
  </si>
  <si>
    <t>BOD_102 (Surface)</t>
  </si>
  <si>
    <t>BOD_101 (Botton)</t>
  </si>
  <si>
    <t>BOD_84 (Surface)</t>
  </si>
  <si>
    <t>BOD_83 (Botton)</t>
  </si>
  <si>
    <t>BOD_87 (Surface)</t>
  </si>
  <si>
    <t>BOD_88 (Botton)</t>
  </si>
  <si>
    <t>BOD_94 (Surface)</t>
  </si>
  <si>
    <t>BOD_93 (Botton)</t>
  </si>
  <si>
    <t>Date Collected</t>
  </si>
  <si>
    <t>Time Collected</t>
  </si>
  <si>
    <t>Date Filtered</t>
  </si>
  <si>
    <t>Time Filtered</t>
  </si>
  <si>
    <t>Volume Filtered (mL)</t>
  </si>
  <si>
    <t>Date Extract</t>
  </si>
  <si>
    <t>Time Extract</t>
  </si>
  <si>
    <t>Volume Extract (mL)</t>
  </si>
  <si>
    <t>Cuvette Width (cm)</t>
  </si>
  <si>
    <t>664nm_b</t>
  </si>
  <si>
    <t>665nm_b</t>
  </si>
  <si>
    <t>750nm_b</t>
  </si>
  <si>
    <t>664nm_a</t>
  </si>
  <si>
    <t>665nm_a</t>
  </si>
  <si>
    <t>750nm_a</t>
  </si>
  <si>
    <t>Chl-a (µg/L)</t>
  </si>
  <si>
    <t>Chla_1</t>
  </si>
  <si>
    <t>Tissue failed, no data</t>
  </si>
  <si>
    <t>Chla_2</t>
  </si>
  <si>
    <t>Spirulina</t>
  </si>
  <si>
    <t>5.9 mg/L spirulina @ 1000 mg Chl-a/100 g Spirulina (Belay 2007) results in ~59 µg/L Chl-a</t>
  </si>
  <si>
    <t>Chla_1b</t>
  </si>
  <si>
    <t>Chla_2b</t>
  </si>
  <si>
    <t>Chl_standard (228ug/L)</t>
  </si>
  <si>
    <t>Chl_a_3</t>
  </si>
  <si>
    <t xml:space="preserve">1st. field sampling. </t>
  </si>
  <si>
    <t>The filters was saved at -20oC to process with other samples in less than 28 days as Standard methods. (This part we have to add to the SOP).</t>
  </si>
  <si>
    <t>Chl_a_10</t>
  </si>
  <si>
    <t>2nd. field sampling.</t>
  </si>
  <si>
    <t>Chl_a_4</t>
  </si>
  <si>
    <t>Chl_a_11</t>
  </si>
  <si>
    <t>Chl_a_5</t>
  </si>
  <si>
    <t>3rd. field samplng.</t>
  </si>
  <si>
    <t>Chl_a_7</t>
  </si>
  <si>
    <t>Chl_a_6</t>
  </si>
  <si>
    <t>4th. field sampling.</t>
  </si>
  <si>
    <t>Chl_a_8</t>
  </si>
  <si>
    <t>Chl_a_12</t>
  </si>
  <si>
    <t>5th. field sampling</t>
  </si>
  <si>
    <t>Chl_a_13</t>
  </si>
  <si>
    <t>Juanita, Majo and Martha</t>
  </si>
  <si>
    <t>Chl_a_14</t>
  </si>
  <si>
    <t>Chl_a_15</t>
  </si>
  <si>
    <t>Chl_a_9</t>
  </si>
  <si>
    <t>Chl_a_19</t>
  </si>
  <si>
    <t>Chl_a_17</t>
  </si>
  <si>
    <t>Chl_a_16</t>
  </si>
  <si>
    <t>Chl_a_18</t>
  </si>
  <si>
    <t>Juanita, Majo and Martha. The standard and samples were not at room temperature.</t>
  </si>
  <si>
    <t>Chl_a_20</t>
  </si>
  <si>
    <t>6th. field sampling</t>
  </si>
  <si>
    <t>Chl_a_23</t>
  </si>
  <si>
    <t>Chl_a_21</t>
  </si>
  <si>
    <t>Chl_a_24</t>
  </si>
  <si>
    <t>Juanita and Majo made, extraction and read the chlorophyll</t>
  </si>
  <si>
    <t>Chl_a_27</t>
  </si>
  <si>
    <t>Chl_a_29</t>
  </si>
  <si>
    <t>Chl_a_31</t>
  </si>
  <si>
    <t>Chl_a_32</t>
  </si>
  <si>
    <t>Chl_a_22</t>
  </si>
  <si>
    <t>Juanita and Majo made, extraction and MR read the chlorophyll</t>
  </si>
  <si>
    <t>Chl_a_30</t>
  </si>
  <si>
    <t>Chl_a_26</t>
  </si>
  <si>
    <t>Chl_a_28</t>
  </si>
  <si>
    <t>Chl_a_33</t>
  </si>
  <si>
    <t>Chl_a_35</t>
  </si>
  <si>
    <t>Juanita and Majo made, extraction and MR read the chlorophyll, The negative values should be considered as cero</t>
  </si>
  <si>
    <t>Chl_a_34</t>
  </si>
  <si>
    <t>Juanita, Majo and Martha. The standard and samples were at room temperature. It was added to the SOP.</t>
  </si>
  <si>
    <t>Chl_a_25</t>
  </si>
  <si>
    <t>MB, JC</t>
  </si>
  <si>
    <t>Chl_a_36</t>
  </si>
  <si>
    <t>Chl_a_37</t>
  </si>
  <si>
    <t>Chl_a_39</t>
  </si>
  <si>
    <t>Chl_a_50</t>
  </si>
  <si>
    <t>Chl_a_51</t>
  </si>
  <si>
    <t>Juanita and Majo made, extraction and read the chlorophyll. It was broke to analyze the sample the Turbidy bottle#53 (250ml) and BOD  bottle #106 (650ml)</t>
  </si>
  <si>
    <t>Chl_a_48</t>
  </si>
  <si>
    <t>Chl_a_47</t>
  </si>
  <si>
    <t>Chl_a_44</t>
  </si>
  <si>
    <t>Chl_a_41</t>
  </si>
  <si>
    <t>Chl_a_38</t>
  </si>
  <si>
    <t>Chl_a_49</t>
  </si>
  <si>
    <t>Chl_a_40</t>
  </si>
  <si>
    <t>Chl_a_42</t>
  </si>
  <si>
    <t>Chl_a_45</t>
  </si>
  <si>
    <t xml:space="preserve">Date Collected </t>
  </si>
  <si>
    <t xml:space="preserve">Time Collected </t>
  </si>
  <si>
    <t>Date Analyzed</t>
  </si>
  <si>
    <t>Time Analyzed</t>
  </si>
  <si>
    <t>NTU</t>
  </si>
  <si>
    <t>Turb_1</t>
  </si>
  <si>
    <t>Samples were not repeatbly with normal. Turn on the average mode on after checcking the manual, and still low precision. Wash the vial with sample and the precition is better.</t>
  </si>
  <si>
    <t>Turb_2</t>
  </si>
  <si>
    <t>Turb_3</t>
  </si>
  <si>
    <t>First sample from Parguera Boya 20. The reading was normal mode.</t>
  </si>
  <si>
    <t>Turb_3R</t>
  </si>
  <si>
    <t>First sample from Parguera Boya 20. It was repeated again in with average mode</t>
  </si>
  <si>
    <t>Turb_5</t>
  </si>
  <si>
    <t>2nd field sampling. The samples were to cold, and living at room temperature</t>
  </si>
  <si>
    <t>Turb_15</t>
  </si>
  <si>
    <t>Turb_17</t>
  </si>
  <si>
    <t>Turb_4</t>
  </si>
  <si>
    <t>3rd field sampling. The samples were to cold, and living at room temperature</t>
  </si>
  <si>
    <t>Turb_18</t>
  </si>
  <si>
    <t>Turb_7</t>
  </si>
  <si>
    <t>4th field sampling. The samples were to cold, and living at room temperature</t>
  </si>
  <si>
    <t>Turb_9</t>
  </si>
  <si>
    <t>Turb_21</t>
  </si>
  <si>
    <t>Turb_16</t>
  </si>
  <si>
    <t>Turb_40</t>
  </si>
  <si>
    <t>Turb_8</t>
  </si>
  <si>
    <t>Turb_6</t>
  </si>
  <si>
    <t>Turb_11</t>
  </si>
  <si>
    <t>Turb_20</t>
  </si>
  <si>
    <t>Turb_13</t>
  </si>
  <si>
    <t>Turb_12</t>
  </si>
  <si>
    <t>Turb_19</t>
  </si>
  <si>
    <t>Turb_24</t>
  </si>
  <si>
    <t>Turb_22</t>
  </si>
  <si>
    <t>Turb_29</t>
  </si>
  <si>
    <t>Turb_27</t>
  </si>
  <si>
    <t>Turb_25</t>
  </si>
  <si>
    <t>Turb_28</t>
  </si>
  <si>
    <t>Turb_23</t>
  </si>
  <si>
    <t>Turb_32</t>
  </si>
  <si>
    <t>Turb_26</t>
  </si>
  <si>
    <t>Turb_31</t>
  </si>
  <si>
    <t>Turb_33</t>
  </si>
  <si>
    <t>Turb_36</t>
  </si>
  <si>
    <t>Turb_35</t>
  </si>
  <si>
    <t>Turb_34</t>
  </si>
  <si>
    <t>Turb_30</t>
  </si>
  <si>
    <t>Turb_37</t>
  </si>
  <si>
    <t>Turb_38</t>
  </si>
  <si>
    <t>Turb_41</t>
  </si>
  <si>
    <t>Turb_52</t>
  </si>
  <si>
    <t>Turb_53</t>
  </si>
  <si>
    <t>Turb_50</t>
  </si>
  <si>
    <t>Turb_49</t>
  </si>
  <si>
    <t>Turb_46</t>
  </si>
  <si>
    <t>Turb_43</t>
  </si>
  <si>
    <t>Turb_39</t>
  </si>
  <si>
    <t>Turb_51</t>
  </si>
  <si>
    <t>Turb_42</t>
  </si>
  <si>
    <t>Turb_44</t>
  </si>
  <si>
    <t>Turb_47</t>
  </si>
  <si>
    <t>Sample Name</t>
  </si>
  <si>
    <t>Time</t>
  </si>
  <si>
    <t>Sample Volume (ml)</t>
  </si>
  <si>
    <t>HCl Concentration (M)</t>
  </si>
  <si>
    <t>Salinity</t>
  </si>
  <si>
    <t>Temperature (C)</t>
  </si>
  <si>
    <t>Slope</t>
  </si>
  <si>
    <t>R^2</t>
  </si>
  <si>
    <t>End Volume (ml)</t>
  </si>
  <si>
    <t>Total Alkalinity (uM)</t>
  </si>
  <si>
    <t>Standard Deviation</t>
  </si>
  <si>
    <t>Corrected Total Alkalinity (uM)</t>
  </si>
  <si>
    <t>User</t>
  </si>
  <si>
    <t>0001S-19</t>
  </si>
  <si>
    <t>Na2CO3</t>
  </si>
  <si>
    <t>0001S-20</t>
  </si>
  <si>
    <t>0001S-21</t>
  </si>
  <si>
    <t>0002C-1</t>
  </si>
  <si>
    <t>RCM</t>
  </si>
  <si>
    <t>Excluded</t>
  </si>
  <si>
    <t>HCl Calibration</t>
  </si>
  <si>
    <t>0002C-2</t>
  </si>
  <si>
    <t>0002C-3</t>
  </si>
  <si>
    <t>0002C-4</t>
  </si>
  <si>
    <t>0003S-1</t>
  </si>
  <si>
    <t>0004S-1</t>
  </si>
  <si>
    <t>Sample 73</t>
  </si>
  <si>
    <t>samples processed</t>
  </si>
  <si>
    <t>0004S-2</t>
  </si>
  <si>
    <t>0004S-3</t>
  </si>
  <si>
    <t>Sample 87</t>
  </si>
  <si>
    <t>0004S-4</t>
  </si>
  <si>
    <t>0004S-5</t>
  </si>
  <si>
    <t>Sample 97</t>
  </si>
  <si>
    <t>Canceled</t>
  </si>
  <si>
    <t>0004S-6</t>
  </si>
  <si>
    <t>0001S-8</t>
  </si>
  <si>
    <t>0001S-9</t>
  </si>
  <si>
    <t>0001S-10</t>
  </si>
  <si>
    <t>CRM_204_0879</t>
  </si>
  <si>
    <t>0008S-1</t>
  </si>
  <si>
    <t>Sample 96</t>
  </si>
  <si>
    <t>0009S-1</t>
  </si>
  <si>
    <t>Sample 83</t>
  </si>
  <si>
    <t>0010S-1</t>
  </si>
  <si>
    <t>Sample 77</t>
  </si>
  <si>
    <t>0011S-1</t>
  </si>
  <si>
    <t>Sample 85</t>
  </si>
  <si>
    <t>0012S-1</t>
  </si>
  <si>
    <t>Sample 84</t>
  </si>
  <si>
    <t>0013S-1</t>
  </si>
  <si>
    <t>Sample 100</t>
  </si>
  <si>
    <t>0014S-1</t>
  </si>
  <si>
    <t>Sample 195</t>
  </si>
  <si>
    <t>0015S-1</t>
  </si>
  <si>
    <t>Sample 99</t>
  </si>
  <si>
    <t>0016S-1</t>
  </si>
  <si>
    <t>0016S-2</t>
  </si>
  <si>
    <t>0002S-9</t>
  </si>
  <si>
    <t>&gt;30</t>
  </si>
  <si>
    <t>0002S-10</t>
  </si>
  <si>
    <t>0002S-11</t>
  </si>
  <si>
    <t>0004S-7</t>
  </si>
  <si>
    <t>RCM_204_1119</t>
  </si>
  <si>
    <t>0004S-8</t>
  </si>
  <si>
    <t>0004S-9</t>
  </si>
  <si>
    <t>0004S-10</t>
  </si>
  <si>
    <t>0004S-11</t>
  </si>
  <si>
    <t>0005S-1</t>
  </si>
  <si>
    <t>Sample 168</t>
  </si>
  <si>
    <t>0006S-1</t>
  </si>
  <si>
    <t>Sample 169</t>
  </si>
  <si>
    <t>0007S-1</t>
  </si>
  <si>
    <t>Sample 167</t>
  </si>
  <si>
    <t>Sample 166</t>
  </si>
  <si>
    <t>Sample 161</t>
  </si>
  <si>
    <t>Sample 160_F</t>
  </si>
  <si>
    <t>0010S-2</t>
  </si>
  <si>
    <t>Sample 160</t>
  </si>
  <si>
    <t>Sample 155</t>
  </si>
  <si>
    <t>No CRM to finish the run</t>
  </si>
  <si>
    <t>0001S-11</t>
  </si>
  <si>
    <t>0001S-12</t>
  </si>
  <si>
    <t>0002S-1</t>
  </si>
  <si>
    <t>CRM_204_1119</t>
  </si>
  <si>
    <t>0002S-2</t>
  </si>
  <si>
    <t>0002S-3</t>
  </si>
  <si>
    <t>0002S-4</t>
  </si>
  <si>
    <t>Sample 149</t>
  </si>
  <si>
    <t>Sample 148R</t>
  </si>
  <si>
    <t>It was repeated, the first one take air</t>
  </si>
  <si>
    <t>Sample 170</t>
  </si>
  <si>
    <t>Sample 171</t>
  </si>
  <si>
    <t>Sample 152</t>
  </si>
  <si>
    <t>Sample 153</t>
  </si>
  <si>
    <t>Sample 138</t>
  </si>
  <si>
    <t>Sample 139</t>
  </si>
  <si>
    <t>few sample</t>
  </si>
  <si>
    <t>Sample 156</t>
  </si>
  <si>
    <t>Sample 163</t>
  </si>
  <si>
    <t>0001S-2</t>
  </si>
  <si>
    <t>0001S-3</t>
  </si>
  <si>
    <t>0001S-4</t>
  </si>
  <si>
    <t>CRM_204_0208</t>
  </si>
  <si>
    <t>sample 162</t>
  </si>
  <si>
    <t>sample 115</t>
  </si>
  <si>
    <t>sample 123</t>
  </si>
  <si>
    <t>sample 122</t>
  </si>
  <si>
    <t>sample 127</t>
  </si>
  <si>
    <t>sample 126</t>
  </si>
  <si>
    <t>sample 131</t>
  </si>
  <si>
    <t>sample 130</t>
  </si>
  <si>
    <t>sample 110</t>
  </si>
  <si>
    <t>sample 140</t>
  </si>
  <si>
    <t>sample 141</t>
  </si>
  <si>
    <t>sample 158</t>
  </si>
  <si>
    <t>sample 173</t>
  </si>
  <si>
    <t>sample 172</t>
  </si>
  <si>
    <t>0017S-1</t>
  </si>
  <si>
    <t>sample 174</t>
  </si>
  <si>
    <t>0018S-1</t>
  </si>
  <si>
    <t>sample 175</t>
  </si>
  <si>
    <t>0019S-1</t>
  </si>
  <si>
    <t>sample 116</t>
  </si>
  <si>
    <t>0020S-1</t>
  </si>
  <si>
    <t>sample 133</t>
  </si>
  <si>
    <t>0021S-1</t>
  </si>
  <si>
    <t>sample 132</t>
  </si>
  <si>
    <t>0022S-1</t>
  </si>
  <si>
    <t>sample 129</t>
  </si>
  <si>
    <t>0023S-1</t>
  </si>
  <si>
    <t>CRM_2040208</t>
  </si>
  <si>
    <t>0023S-2</t>
  </si>
  <si>
    <t>0023S-3</t>
  </si>
  <si>
    <t>0001S-5</t>
  </si>
  <si>
    <t>0001S-6</t>
  </si>
  <si>
    <t>0001S-7</t>
  </si>
  <si>
    <t>0003S-2</t>
  </si>
  <si>
    <t>0003S-3</t>
  </si>
  <si>
    <t>0003S-4</t>
  </si>
  <si>
    <t>0003S-5</t>
  </si>
  <si>
    <t>Q</t>
  </si>
  <si>
    <t>sample 173R</t>
  </si>
  <si>
    <t>sample 121</t>
  </si>
  <si>
    <t>sample 120</t>
  </si>
  <si>
    <t>sample 117</t>
  </si>
  <si>
    <t>0007S-2</t>
  </si>
  <si>
    <t>sample 145</t>
  </si>
  <si>
    <t>sample 147</t>
  </si>
  <si>
    <t>sample 128</t>
  </si>
  <si>
    <t>sample 146</t>
  </si>
  <si>
    <t>sample 144</t>
  </si>
  <si>
    <t>sample 151</t>
  </si>
  <si>
    <t>sample 150</t>
  </si>
  <si>
    <t>sample 142</t>
  </si>
  <si>
    <t>sample 143</t>
  </si>
  <si>
    <t>0016S-3</t>
  </si>
  <si>
    <t>0016S-4</t>
  </si>
  <si>
    <t>0001S-1</t>
  </si>
  <si>
    <t>new standar</t>
  </si>
  <si>
    <t>new standard</t>
  </si>
  <si>
    <t>new sta</t>
  </si>
  <si>
    <t>0002S-5</t>
  </si>
  <si>
    <t>CRM_204_0588</t>
  </si>
  <si>
    <t>0005S-2</t>
  </si>
  <si>
    <t>0005S-3</t>
  </si>
  <si>
    <t>0005S-4</t>
  </si>
  <si>
    <t>Sample 124</t>
  </si>
  <si>
    <t>Sample 125</t>
  </si>
  <si>
    <t>Sample 134</t>
  </si>
  <si>
    <t>0008S-2</t>
  </si>
  <si>
    <t>Sample 135</t>
  </si>
  <si>
    <t>Sample 136</t>
  </si>
  <si>
    <t>Sample 137</t>
  </si>
  <si>
    <t>CRM_204_0411</t>
  </si>
  <si>
    <t>0012S-2</t>
  </si>
  <si>
    <t>0012S-3</t>
  </si>
  <si>
    <t>0012S-4</t>
  </si>
  <si>
    <t>0012S-5</t>
  </si>
  <si>
    <t>0012S-6</t>
  </si>
  <si>
    <t>Sample # In Batch</t>
  </si>
  <si>
    <t>Port</t>
  </si>
  <si>
    <t>Volume (ml)</t>
  </si>
  <si>
    <t>Start Time</t>
  </si>
  <si>
    <t>Attempt #</t>
  </si>
  <si>
    <t>Cell Temp (C)</t>
  </si>
  <si>
    <t>H2O (â)</t>
  </si>
  <si>
    <t>Initial Baseline (ppm)</t>
  </si>
  <si>
    <t>Final Baseline (ppm)</t>
  </si>
  <si>
    <t>Peak (ppm)</t>
  </si>
  <si>
    <t>Integration Time (sec)</t>
  </si>
  <si>
    <t>Area (net)</t>
  </si>
  <si>
    <t>Area (net avg)</t>
  </si>
  <si>
    <t>DIC (uM)</t>
  </si>
  <si>
    <t>DICcorr (uM)</t>
  </si>
  <si>
    <t>Status</t>
  </si>
  <si>
    <t>Wait Btwn Repeat (s)</t>
  </si>
  <si>
    <t>Wait Btwn Sample (s)</t>
  </si>
  <si>
    <t>Flush Volume (ml)</t>
  </si>
  <si>
    <t>Pre-Acid Volume (ml)</t>
  </si>
  <si>
    <t>Acid Volume (ml)</t>
  </si>
  <si>
    <t>Injection Speed (sps)</t>
  </si>
  <si>
    <t>End Analysis - Criteria</t>
  </si>
  <si>
    <t>End Analysis - Value</t>
  </si>
  <si>
    <t>Precision</t>
  </si>
  <si>
    <t>Standard Curve</t>
  </si>
  <si>
    <t>Gas Flowrate</t>
  </si>
  <si>
    <t>0001S-1-1</t>
  </si>
  <si>
    <t>Single</t>
  </si>
  <si>
    <t>NaHCO3</t>
  </si>
  <si>
    <t>C (STD)</t>
  </si>
  <si>
    <t>Valid</t>
  </si>
  <si>
    <t>BL Diff</t>
  </si>
  <si>
    <t>0.00100+0.00000</t>
  </si>
  <si>
    <t>Broken Line</t>
  </si>
  <si>
    <t>0002S-1-1</t>
  </si>
  <si>
    <t>0003S-1-1</t>
  </si>
  <si>
    <t>0004S-1-1</t>
  </si>
  <si>
    <t>0005S-1-1</t>
  </si>
  <si>
    <t>0006S-1-1</t>
  </si>
  <si>
    <t>0007S-1-1</t>
  </si>
  <si>
    <t>0008S-1-1</t>
  </si>
  <si>
    <t>0009S-1-1</t>
  </si>
  <si>
    <t>0010S-1-1</t>
  </si>
  <si>
    <t>Halted</t>
  </si>
  <si>
    <t>0010S-1-2</t>
  </si>
  <si>
    <t>0011S-1-1</t>
  </si>
  <si>
    <t>0012S-1-1</t>
  </si>
  <si>
    <t>0013S-1-1</t>
  </si>
  <si>
    <t>0014S-1-1</t>
  </si>
  <si>
    <t>0015S-1-1</t>
  </si>
  <si>
    <t>0016S-1-1</t>
  </si>
  <si>
    <t>0017S-1-1</t>
  </si>
  <si>
    <t>0018S-1-1</t>
  </si>
  <si>
    <t>0019S-1-1</t>
  </si>
  <si>
    <t>0020S-1-1</t>
  </si>
  <si>
    <t>0021S-1-1</t>
  </si>
  <si>
    <t>0022S-1-1</t>
  </si>
  <si>
    <t>0023S-1-1</t>
  </si>
  <si>
    <t>0024S-1-1</t>
  </si>
  <si>
    <t>0025S-1-1</t>
  </si>
  <si>
    <t>0026S-1-1</t>
  </si>
  <si>
    <t>0027S-1-1</t>
  </si>
  <si>
    <t>0028S-1-1</t>
  </si>
  <si>
    <t>0029S-1-1</t>
  </si>
  <si>
    <t>0030S-1-1</t>
  </si>
  <si>
    <t>0031S-1-1</t>
  </si>
  <si>
    <t>0032S-1-1</t>
  </si>
  <si>
    <t>0033S-1-1</t>
  </si>
  <si>
    <t>0034S-1-1</t>
  </si>
  <si>
    <t>0035S-1-1</t>
  </si>
  <si>
    <t>0036S-1-1</t>
  </si>
  <si>
    <t>0037A-1-1</t>
  </si>
  <si>
    <t>1A</t>
  </si>
  <si>
    <t>CRM-204-0138</t>
  </si>
  <si>
    <t>0037A-1-2</t>
  </si>
  <si>
    <t>0037A-1-3</t>
  </si>
  <si>
    <t>0037A-1-4</t>
  </si>
  <si>
    <t>0037A-1-5</t>
  </si>
  <si>
    <t>0037B-1-1</t>
  </si>
  <si>
    <t>1B</t>
  </si>
  <si>
    <t>0037B-1-2</t>
  </si>
  <si>
    <t>0037B-1-3</t>
  </si>
  <si>
    <t>0037B-1-4</t>
  </si>
  <si>
    <t>0037C-1-1</t>
  </si>
  <si>
    <t>1C</t>
  </si>
  <si>
    <t>0037C-1-2</t>
  </si>
  <si>
    <t>0037C-1-3</t>
  </si>
  <si>
    <t>0037C-1-4</t>
  </si>
  <si>
    <t>0038S-1-1</t>
  </si>
  <si>
    <t>D</t>
  </si>
  <si>
    <t>0038S-1-2</t>
  </si>
  <si>
    <t>0038S-1-3</t>
  </si>
  <si>
    <t>0039S-1-1</t>
  </si>
  <si>
    <t>E</t>
  </si>
  <si>
    <t>0039S-1-2</t>
  </si>
  <si>
    <t>0039S-1-3</t>
  </si>
  <si>
    <t>0040S-1-1</t>
  </si>
  <si>
    <t>F</t>
  </si>
  <si>
    <t>0040S-1-2</t>
  </si>
  <si>
    <t>0040S-1-3</t>
  </si>
  <si>
    <t>0040S-1-4</t>
  </si>
  <si>
    <t>0041S-1-1</t>
  </si>
  <si>
    <t>G</t>
  </si>
  <si>
    <t>0041S-1-2</t>
  </si>
  <si>
    <t>0041S-1-3</t>
  </si>
  <si>
    <t>0042S-1-1</t>
  </si>
  <si>
    <t>H</t>
  </si>
  <si>
    <t>Failed</t>
  </si>
  <si>
    <t>0042S-1-2</t>
  </si>
  <si>
    <t>0042S-1-3</t>
  </si>
  <si>
    <t>0042S-1-4</t>
  </si>
  <si>
    <t>0042S-1-5</t>
  </si>
  <si>
    <t>0042S-2-1</t>
  </si>
  <si>
    <t>0042S-2-2</t>
  </si>
  <si>
    <t>0042S-2-3</t>
  </si>
  <si>
    <t>0042S-2-4</t>
  </si>
  <si>
    <t>0043S-1-1</t>
  </si>
  <si>
    <t>I</t>
  </si>
  <si>
    <t>0043S-1-2</t>
  </si>
  <si>
    <t>0043S-1-3</t>
  </si>
  <si>
    <t>0044S-1-1</t>
  </si>
  <si>
    <t>J</t>
  </si>
  <si>
    <t>0044S-1-2</t>
  </si>
  <si>
    <t>0044S-1-3</t>
  </si>
  <si>
    <t>0044S-1-4</t>
  </si>
  <si>
    <t>0044S-1-5</t>
  </si>
  <si>
    <t>0045S-1-1</t>
  </si>
  <si>
    <t>K</t>
  </si>
  <si>
    <t>0045S-1-2</t>
  </si>
  <si>
    <t>0045S-1-3</t>
  </si>
  <si>
    <t>0045S-1-4</t>
  </si>
  <si>
    <t>0045S-1-5</t>
  </si>
  <si>
    <t>0046S-1-1</t>
  </si>
  <si>
    <t>0047S-1-1</t>
  </si>
  <si>
    <t>0048S-1-1</t>
  </si>
  <si>
    <t>0011A-1-1</t>
  </si>
  <si>
    <t>0011A-1-2</t>
  </si>
  <si>
    <t>0011A-1-3</t>
  </si>
  <si>
    <t>0011A-1-4</t>
  </si>
  <si>
    <t>0011A-1-5</t>
  </si>
  <si>
    <t>0011B-1-1</t>
  </si>
  <si>
    <t>0011B-1-2</t>
  </si>
  <si>
    <t>0011B-1-3</t>
  </si>
  <si>
    <t>0011C-1-1</t>
  </si>
  <si>
    <t>0011C-1-2</t>
  </si>
  <si>
    <t>0011C-1-3</t>
  </si>
  <si>
    <t>0011C-1-4</t>
  </si>
  <si>
    <t>0012S-1-2</t>
  </si>
  <si>
    <t>0012S-1-3</t>
  </si>
  <si>
    <t>0012S-1-4</t>
  </si>
  <si>
    <t>0013S-1-2</t>
  </si>
  <si>
    <t>0013S-1-3</t>
  </si>
  <si>
    <t>0013S-1-4</t>
  </si>
  <si>
    <t>0014S-1-2</t>
  </si>
  <si>
    <t>0014S-1-3</t>
  </si>
  <si>
    <t>0014S-1-4</t>
  </si>
  <si>
    <t>This data is not valid because it was in Na2CO3</t>
  </si>
  <si>
    <t>0015S-1-2</t>
  </si>
  <si>
    <t>0015S-1-3</t>
  </si>
  <si>
    <t>0016S-1-2</t>
  </si>
  <si>
    <t>0016S-1-3</t>
  </si>
  <si>
    <t>0017S-1-2</t>
  </si>
  <si>
    <t>0017S-1-3</t>
  </si>
  <si>
    <t>0017S-1-4</t>
  </si>
  <si>
    <t>0017S-1-5</t>
  </si>
  <si>
    <t>0018S-1-2</t>
  </si>
  <si>
    <t>0018S-1-3</t>
  </si>
  <si>
    <t>0018S-1-4</t>
  </si>
  <si>
    <t>0018S-1-5</t>
  </si>
  <si>
    <t>0019S-1-2</t>
  </si>
  <si>
    <t>0019S-1-3</t>
  </si>
  <si>
    <t>0019S-1-4</t>
  </si>
  <si>
    <t>0019S-1-5</t>
  </si>
  <si>
    <t>RCM_204_0879</t>
  </si>
  <si>
    <t>0020S-1-2</t>
  </si>
  <si>
    <t>0020S-1-3</t>
  </si>
  <si>
    <t>0020S-1-4</t>
  </si>
  <si>
    <t>0020S-1-5</t>
  </si>
  <si>
    <t>0021S-1-2</t>
  </si>
  <si>
    <t>0021S-1-3</t>
  </si>
  <si>
    <t>0021S-1-4</t>
  </si>
  <si>
    <t>0022S-1-2</t>
  </si>
  <si>
    <t>0022S-1-3</t>
  </si>
  <si>
    <t>0022S-1-4</t>
  </si>
  <si>
    <t>0023S-1-2</t>
  </si>
  <si>
    <t>0023S-1-3</t>
  </si>
  <si>
    <t>0024S-1-2</t>
  </si>
  <si>
    <t>0024S-1-3</t>
  </si>
  <si>
    <t>0024S-1-4</t>
  </si>
  <si>
    <t>0024S-1-5</t>
  </si>
  <si>
    <t>0025S-1-2</t>
  </si>
  <si>
    <t>0025S-1-3</t>
  </si>
  <si>
    <t>0025S-1-4</t>
  </si>
  <si>
    <t>0026S-1-2</t>
  </si>
  <si>
    <t>0026S-1-3</t>
  </si>
  <si>
    <t>0027S-1-2</t>
  </si>
  <si>
    <t>0027S-1-3</t>
  </si>
  <si>
    <t>0028S-1-2</t>
  </si>
  <si>
    <t>0028S-1-3</t>
  </si>
  <si>
    <t>0028S-1-4</t>
  </si>
  <si>
    <t>0028S-1-5</t>
  </si>
  <si>
    <t>0029S-1-2</t>
  </si>
  <si>
    <t>0029S-1-3</t>
  </si>
  <si>
    <t>0029S-1-4</t>
  </si>
  <si>
    <t>0030S-1-2</t>
  </si>
  <si>
    <t>0030S-1-3</t>
  </si>
  <si>
    <t>0030S-1-4</t>
  </si>
  <si>
    <t>0031S-1-2</t>
  </si>
  <si>
    <t>0031S-1-3</t>
  </si>
  <si>
    <t>Sample repeated, now the data is good</t>
  </si>
  <si>
    <t>0013S-1-5</t>
  </si>
  <si>
    <t>0013S-2-1</t>
  </si>
  <si>
    <t>0013S-2-2</t>
  </si>
  <si>
    <t>0013S-2-3</t>
  </si>
  <si>
    <t>0013S-2-4</t>
  </si>
  <si>
    <t>0013S-2-5</t>
  </si>
  <si>
    <t>0015S-1-4</t>
  </si>
  <si>
    <t>0021S-1-5</t>
  </si>
  <si>
    <t>0021S-2-1</t>
  </si>
  <si>
    <t>0021S-2-2</t>
  </si>
  <si>
    <t>0021S-2-3</t>
  </si>
  <si>
    <t>0022S-1-5</t>
  </si>
  <si>
    <t>0023S-1-4</t>
  </si>
  <si>
    <t>0027S-1-4</t>
  </si>
  <si>
    <t>0010A-1-1</t>
  </si>
  <si>
    <t>0010A-1-2</t>
  </si>
  <si>
    <t>0010A-1-3</t>
  </si>
  <si>
    <t>0010A-1-4</t>
  </si>
  <si>
    <t>0010A-1-5</t>
  </si>
  <si>
    <t>0010B-1-1</t>
  </si>
  <si>
    <t>0010B-1-2</t>
  </si>
  <si>
    <t>0010B-1-3</t>
  </si>
  <si>
    <t>0010B-1-4</t>
  </si>
  <si>
    <t>0010C-1-1</t>
  </si>
  <si>
    <t>0010C-1-2</t>
  </si>
  <si>
    <t>0010C-1-3</t>
  </si>
  <si>
    <t>0011S-1-2</t>
  </si>
  <si>
    <t>0011S-1-3</t>
  </si>
  <si>
    <t>0011S-1-4</t>
  </si>
  <si>
    <t>0011S-1-5</t>
  </si>
  <si>
    <t>0012S-1-5</t>
  </si>
  <si>
    <t>0025S-1-5</t>
  </si>
  <si>
    <t>0005A-1-1</t>
  </si>
  <si>
    <t>0005A-1-2</t>
  </si>
  <si>
    <t>0005A-1-3</t>
  </si>
  <si>
    <t>0005A-1-4</t>
  </si>
  <si>
    <t>0005A-1-5</t>
  </si>
  <si>
    <t>0005A-2-1</t>
  </si>
  <si>
    <t>0005A-2-2</t>
  </si>
  <si>
    <t>0005A-2-3</t>
  </si>
  <si>
    <t>0005A-2-4</t>
  </si>
  <si>
    <t>0005B-1-1</t>
  </si>
  <si>
    <t>0005B-1-2</t>
  </si>
  <si>
    <t>0005B-1-3</t>
  </si>
  <si>
    <t>0005B-1-4</t>
  </si>
  <si>
    <t>0005B-1-5</t>
  </si>
  <si>
    <t>0005C-1-1</t>
  </si>
  <si>
    <t>0005C-1-2</t>
  </si>
  <si>
    <t>0005C-1-3</t>
  </si>
  <si>
    <t>0005C-1-4</t>
  </si>
  <si>
    <t>0006S-1-2</t>
  </si>
  <si>
    <t>0006S-1-3</t>
  </si>
  <si>
    <t>0007S-1-2</t>
  </si>
  <si>
    <t>0007S-1-3</t>
  </si>
  <si>
    <t>0007S-1-4</t>
  </si>
  <si>
    <t>0008S-1-2</t>
  </si>
  <si>
    <t>0008S-1-3</t>
  </si>
  <si>
    <t>0008S-1-4</t>
  </si>
  <si>
    <t>0009S-1-2</t>
  </si>
  <si>
    <t>0009S-1-3</t>
  </si>
  <si>
    <t>0010S-1-3</t>
  </si>
  <si>
    <t>0010S-1-4</t>
  </si>
  <si>
    <t>0016S-1-4</t>
  </si>
  <si>
    <t>0024S-2-1</t>
  </si>
  <si>
    <t>Analyzed</t>
  </si>
  <si>
    <t>0024S-2-2</t>
  </si>
  <si>
    <t>0002S-1-2</t>
  </si>
  <si>
    <t>0009A-1-1</t>
  </si>
  <si>
    <t>CRM_204_1239</t>
  </si>
  <si>
    <t>0009A-1-2</t>
  </si>
  <si>
    <t>0009A-1-3</t>
  </si>
  <si>
    <t>0009A-1-4</t>
  </si>
  <si>
    <t>0009A-1-5</t>
  </si>
  <si>
    <t>0009B-1-1</t>
  </si>
  <si>
    <t>0009B-1-2</t>
  </si>
  <si>
    <t>0009B-1-3</t>
  </si>
  <si>
    <t>0009B-1-4</t>
  </si>
  <si>
    <t>0009C-1-1</t>
  </si>
  <si>
    <t>0009C-1-2</t>
  </si>
  <si>
    <t>0009C-1-3</t>
  </si>
  <si>
    <t>0010S-1-5</t>
  </si>
  <si>
    <t>0025S-2-1</t>
  </si>
  <si>
    <t>0025S-2-2</t>
  </si>
  <si>
    <t>0025S-2-3</t>
  </si>
  <si>
    <t>0025S-2-4</t>
  </si>
  <si>
    <t>0025S-2-5</t>
  </si>
  <si>
    <t>0026S-1-4</t>
  </si>
  <si>
    <t>0026S-1-5</t>
  </si>
  <si>
    <t>0026S-2-1</t>
  </si>
  <si>
    <t>0026S-2-2</t>
  </si>
  <si>
    <t>0026S-2-3</t>
  </si>
  <si>
    <t>0026S-2-4</t>
  </si>
  <si>
    <t>0026S-2-5</t>
  </si>
  <si>
    <t>0027S-1-5</t>
  </si>
  <si>
    <t>0031S-1-4</t>
  </si>
  <si>
    <t>0031S-1-5</t>
  </si>
  <si>
    <t>0031S-2-1</t>
  </si>
  <si>
    <t>0031S-2-2</t>
  </si>
  <si>
    <t>0031S-2-3</t>
  </si>
  <si>
    <t>0031S-2-4</t>
  </si>
  <si>
    <t>0031S-2-5</t>
  </si>
  <si>
    <t>0019A-1-1</t>
  </si>
  <si>
    <t>0019A-1-2</t>
  </si>
  <si>
    <t>0019A-1-3</t>
  </si>
  <si>
    <t>0019A-1-4</t>
  </si>
  <si>
    <t>0019B-1-1</t>
  </si>
  <si>
    <t>0019B-1-2</t>
  </si>
  <si>
    <t>0019B-1-3</t>
  </si>
  <si>
    <t>0019B-1-4</t>
  </si>
  <si>
    <t>0019C-1-1</t>
  </si>
  <si>
    <t>0019C-1-2</t>
  </si>
  <si>
    <t>0019C-1-3</t>
  </si>
  <si>
    <t>0019C-1-4</t>
  </si>
  <si>
    <t>0019C-1-5</t>
  </si>
  <si>
    <t>0019C-2-1</t>
  </si>
  <si>
    <t>0019C-2-2</t>
  </si>
  <si>
    <t>0019C-2-3</t>
  </si>
  <si>
    <t>0024A-1-1</t>
  </si>
  <si>
    <t>CRM_204_0647</t>
  </si>
  <si>
    <t>0012A-1-1</t>
  </si>
  <si>
    <t>0012A-1-2</t>
  </si>
  <si>
    <t>0012A-1-3</t>
  </si>
  <si>
    <t>0012B-1-1</t>
  </si>
  <si>
    <t>0012B-1-2</t>
  </si>
  <si>
    <t>0012B-1-3</t>
  </si>
  <si>
    <t>0012B-1-4</t>
  </si>
  <si>
    <t>0012B-1-5</t>
  </si>
  <si>
    <t>0012C-1-1</t>
  </si>
  <si>
    <t>0012C-1-2</t>
  </si>
  <si>
    <t>0012C-1-3</t>
  </si>
  <si>
    <t>0012C-1-4</t>
  </si>
  <si>
    <t>0012C-1-5</t>
  </si>
  <si>
    <t>Depth (m)</t>
  </si>
  <si>
    <t>Temperature (oC)</t>
  </si>
  <si>
    <t>Salinity (psu)</t>
  </si>
  <si>
    <t>DO (mg/L)</t>
  </si>
  <si>
    <t>pH</t>
  </si>
  <si>
    <t>Secchi depth 1 (m)</t>
  </si>
  <si>
    <t>Secchi depth 2 (m)</t>
  </si>
  <si>
    <t>Secchi depth 3 (m)</t>
  </si>
  <si>
    <t>Initials</t>
  </si>
  <si>
    <t>Boya_20_S</t>
  </si>
  <si>
    <t>The Hydrolab requires calibration.</t>
  </si>
  <si>
    <t>Boya_20_B</t>
  </si>
  <si>
    <t>EWAL20_S</t>
  </si>
  <si>
    <t>EWAL20_B</t>
  </si>
  <si>
    <t>MLUN05_S</t>
  </si>
  <si>
    <t>MLUN05_B</t>
  </si>
  <si>
    <t>MLUN10_S</t>
  </si>
  <si>
    <t>MLUN10_B</t>
  </si>
  <si>
    <t>GALLO5_S</t>
  </si>
  <si>
    <t>GALLO5_B</t>
  </si>
  <si>
    <t>RESU10_S</t>
  </si>
  <si>
    <t>RESU10_B</t>
  </si>
  <si>
    <t>MLAN_20_S</t>
  </si>
  <si>
    <t>MLAN_20_B</t>
  </si>
  <si>
    <t>MLAN_10_S</t>
  </si>
  <si>
    <t>MLAN_10_B</t>
  </si>
  <si>
    <t>TOUR_30_S</t>
  </si>
  <si>
    <t>TOUR_30_B</t>
  </si>
  <si>
    <t>TOUR_20_S</t>
  </si>
  <si>
    <t>TOUR_20_B</t>
  </si>
  <si>
    <t>TOUR_10_S</t>
  </si>
  <si>
    <t>TOUR_10_B</t>
  </si>
  <si>
    <t>GUAN_20_S</t>
  </si>
  <si>
    <t>GUAN_20_B</t>
  </si>
  <si>
    <t>RODR_05_S</t>
  </si>
  <si>
    <t>RODR_05_B</t>
  </si>
  <si>
    <t>MEXT_20_S</t>
  </si>
  <si>
    <t>MEXT_20_B</t>
  </si>
  <si>
    <t>MEXT_10_S</t>
  </si>
  <si>
    <t>MEXT_10_B</t>
  </si>
  <si>
    <t>NEGR_10_S</t>
  </si>
  <si>
    <t>NEGR_10_B</t>
  </si>
  <si>
    <t>NEGR_05_S</t>
  </si>
  <si>
    <t>NEGR_05_B</t>
  </si>
  <si>
    <t>MLAN_05_S</t>
  </si>
  <si>
    <t>MLAN_05_B</t>
  </si>
  <si>
    <t>AURO_05_S</t>
  </si>
  <si>
    <t>AURO_05_B</t>
  </si>
  <si>
    <t>CORA_10_S</t>
  </si>
  <si>
    <t>CORA_10_B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</si>
</sst>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m&quot;/&quot;d&quot;/&quot;yy"/>
    <numFmt numFmtId="165" formatCode="h&quot;:&quot;mm&quot; &quot;AM/PM"/>
    <numFmt numFmtId="166" formatCode="0.0000"/>
    <numFmt numFmtId="167" formatCode="00000"/>
    <numFmt numFmtId="168" formatCode="#,##0.0000"/>
    <numFmt numFmtId="169" formatCode="#,##0.00000"/>
    <numFmt numFmtId="170" formatCode="h&quot;:&quot;mm&quot;  &quot;AM/PM"/>
    <numFmt numFmtId="171" formatCode="#,##0.0"/>
    <numFmt numFmtId="172" formatCode="&quot;$&quot;#,##0.00"/>
    <numFmt numFmtId="173" formatCode="0.000"/>
    <numFmt numFmtId="174" formatCode="m/d/yy\ h:mm"/>
    <numFmt numFmtId="175" formatCode="mm/dd/yyyy\ h:mm:ss"/>
  </numFmts>
  <fonts count="24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1F1F1F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&quot;Times New Roman&quot;"/>
    </font>
    <font>
      <sz val="9"/>
      <color theme="1"/>
      <name val="Calibri"/>
      <family val="2"/>
    </font>
    <font>
      <i/>
      <sz val="12"/>
      <color theme="1"/>
      <name val="Calibri"/>
      <family val="2"/>
    </font>
    <font>
      <sz val="12"/>
      <color rgb="FF000000"/>
      <name val="Docs-Calibri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rgb="FF1F1F1F"/>
      <name val="Calibri"/>
      <family val="2"/>
    </font>
    <font>
      <sz val="10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sz val="9"/>
      <color rgb="FF1F1F1F"/>
      <name val="&quot;Google Sans&quot;"/>
    </font>
    <font>
      <sz val="12"/>
      <color rgb="FF000000"/>
      <name val="&quot;Times New Roman&quot;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 wrapText="1"/>
    </xf>
    <xf numFmtId="168" fontId="2" fillId="0" borderId="1" xfId="0" applyNumberFormat="1" applyFont="1" applyBorder="1" applyAlignment="1">
      <alignment horizontal="left" vertical="center" wrapText="1"/>
    </xf>
    <xf numFmtId="168" fontId="2" fillId="0" borderId="2" xfId="0" applyNumberFormat="1" applyFont="1" applyBorder="1" applyAlignment="1">
      <alignment horizontal="left" vertical="center" wrapText="1"/>
    </xf>
    <xf numFmtId="0" fontId="3" fillId="0" borderId="0" xfId="0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4" fontId="4" fillId="2" borderId="2" xfId="0" applyNumberFormat="1" applyFont="1" applyFill="1" applyBorder="1" applyAlignment="1">
      <alignment horizontal="center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4" fontId="3" fillId="0" borderId="2" xfId="0" applyNumberFormat="1" applyFont="1" applyBorder="1" applyAlignment="1">
      <alignment horizontal="center" vertical="center" wrapText="1"/>
    </xf>
    <xf numFmtId="166" fontId="3" fillId="0" borderId="2" xfId="0" applyNumberFormat="1" applyFont="1" applyBorder="1" applyAlignment="1">
      <alignment horizontal="center" vertical="center" wrapText="1"/>
    </xf>
    <xf numFmtId="167" fontId="3" fillId="0" borderId="2" xfId="0" applyNumberFormat="1" applyFont="1" applyBorder="1" applyAlignment="1">
      <alignment horizontal="center" vertical="center" wrapText="1"/>
    </xf>
    <xf numFmtId="168" fontId="3" fillId="0" borderId="2" xfId="0" applyNumberFormat="1" applyFont="1" applyBorder="1" applyAlignment="1">
      <alignment horizontal="left" vertical="center" wrapText="1"/>
    </xf>
    <xf numFmtId="167" fontId="3" fillId="0" borderId="0" xfId="0" applyNumberFormat="1" applyFont="1" applyAlignment="1">
      <alignment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/>
    <xf numFmtId="4" fontId="5" fillId="2" borderId="2" xfId="0" applyNumberFormat="1" applyFont="1" applyFill="1" applyBorder="1" applyAlignment="1">
      <alignment horizontal="center"/>
    </xf>
    <xf numFmtId="18" fontId="3" fillId="0" borderId="2" xfId="0" applyNumberFormat="1" applyFont="1" applyBorder="1" applyAlignment="1">
      <alignment horizontal="center" vertical="center" wrapText="1"/>
    </xf>
    <xf numFmtId="167" fontId="3" fillId="0" borderId="2" xfId="0" applyNumberFormat="1" applyFont="1" applyBorder="1" applyAlignment="1">
      <alignment horizontal="center" wrapText="1"/>
    </xf>
    <xf numFmtId="0" fontId="3" fillId="3" borderId="2" xfId="0" applyFont="1" applyFill="1" applyBorder="1" applyAlignment="1">
      <alignment horizontal="center" vertical="center" wrapText="1"/>
    </xf>
    <xf numFmtId="4" fontId="3" fillId="3" borderId="2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165" fontId="3" fillId="3" borderId="2" xfId="0" applyNumberFormat="1" applyFont="1" applyFill="1" applyBorder="1" applyAlignment="1">
      <alignment horizontal="center" vertical="center" wrapText="1"/>
    </xf>
    <xf numFmtId="18" fontId="3" fillId="3" borderId="2" xfId="0" applyNumberFormat="1" applyFont="1" applyFill="1" applyBorder="1" applyAlignment="1">
      <alignment horizontal="center" vertical="center" wrapText="1"/>
    </xf>
    <xf numFmtId="166" fontId="3" fillId="3" borderId="2" xfId="0" applyNumberFormat="1" applyFont="1" applyFill="1" applyBorder="1" applyAlignment="1">
      <alignment horizontal="center" vertical="center" wrapText="1"/>
    </xf>
    <xf numFmtId="167" fontId="3" fillId="3" borderId="2" xfId="0" applyNumberFormat="1" applyFont="1" applyFill="1" applyBorder="1" applyAlignment="1">
      <alignment horizontal="center" wrapText="1"/>
    </xf>
    <xf numFmtId="169" fontId="3" fillId="3" borderId="2" xfId="0" applyNumberFormat="1" applyFont="1" applyFill="1" applyBorder="1" applyAlignment="1">
      <alignment horizontal="center" vertical="center" wrapText="1"/>
    </xf>
    <xf numFmtId="168" fontId="3" fillId="3" borderId="2" xfId="0" applyNumberFormat="1" applyFont="1" applyFill="1" applyBorder="1" applyAlignment="1">
      <alignment horizontal="left" vertical="center" wrapText="1"/>
    </xf>
    <xf numFmtId="0" fontId="3" fillId="3" borderId="0" xfId="0" applyFont="1" applyFill="1"/>
    <xf numFmtId="0" fontId="3" fillId="2" borderId="2" xfId="0" applyFont="1" applyFill="1" applyBorder="1" applyAlignment="1">
      <alignment horizontal="center" wrapText="1"/>
    </xf>
    <xf numFmtId="4" fontId="3" fillId="0" borderId="2" xfId="0" applyNumberFormat="1" applyFont="1" applyBorder="1" applyAlignment="1">
      <alignment horizontal="center" wrapText="1"/>
    </xf>
    <xf numFmtId="18" fontId="3" fillId="0" borderId="2" xfId="0" applyNumberFormat="1" applyFont="1" applyBorder="1" applyAlignment="1">
      <alignment horizontal="center" wrapText="1"/>
    </xf>
    <xf numFmtId="166" fontId="3" fillId="0" borderId="2" xfId="0" applyNumberFormat="1" applyFont="1" applyBorder="1" applyAlignment="1">
      <alignment horizontal="center" wrapText="1"/>
    </xf>
    <xf numFmtId="165" fontId="3" fillId="0" borderId="2" xfId="0" applyNumberFormat="1" applyFont="1" applyBorder="1" applyAlignment="1">
      <alignment horizontal="center" wrapText="1"/>
    </xf>
    <xf numFmtId="4" fontId="4" fillId="2" borderId="2" xfId="0" applyNumberFormat="1" applyFont="1" applyFill="1" applyBorder="1" applyAlignment="1">
      <alignment horizontal="center" vertical="center"/>
    </xf>
    <xf numFmtId="168" fontId="3" fillId="0" borderId="1" xfId="0" applyNumberFormat="1" applyFont="1" applyBorder="1" applyAlignment="1">
      <alignment horizontal="left" vertical="center" wrapText="1"/>
    </xf>
    <xf numFmtId="168" fontId="3" fillId="0" borderId="3" xfId="0" applyNumberFormat="1" applyFont="1" applyBorder="1" applyAlignment="1">
      <alignment horizontal="left" vertical="center" wrapText="1"/>
    </xf>
    <xf numFmtId="167" fontId="3" fillId="3" borderId="2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center"/>
    </xf>
    <xf numFmtId="168" fontId="3" fillId="0" borderId="4" xfId="0" applyNumberFormat="1" applyFont="1" applyBorder="1" applyAlignment="1">
      <alignment horizontal="left" vertical="center" wrapText="1"/>
    </xf>
    <xf numFmtId="4" fontId="3" fillId="2" borderId="2" xfId="0" applyNumberFormat="1" applyFont="1" applyFill="1" applyBorder="1" applyAlignment="1">
      <alignment horizont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18" fontId="3" fillId="2" borderId="2" xfId="0" applyNumberFormat="1" applyFont="1" applyFill="1" applyBorder="1" applyAlignment="1">
      <alignment horizontal="center" vertical="center" wrapText="1"/>
    </xf>
    <xf numFmtId="4" fontId="3" fillId="2" borderId="2" xfId="0" applyNumberFormat="1" applyFont="1" applyFill="1" applyBorder="1" applyAlignment="1">
      <alignment horizontal="center" vertical="center" wrapText="1"/>
    </xf>
    <xf numFmtId="166" fontId="3" fillId="2" borderId="2" xfId="0" applyNumberFormat="1" applyFont="1" applyFill="1" applyBorder="1" applyAlignment="1">
      <alignment horizontal="center" vertical="center" wrapText="1"/>
    </xf>
    <xf numFmtId="167" fontId="3" fillId="2" borderId="2" xfId="0" applyNumberFormat="1" applyFont="1" applyFill="1" applyBorder="1" applyAlignment="1">
      <alignment horizontal="center" vertical="center" wrapText="1"/>
    </xf>
    <xf numFmtId="167" fontId="3" fillId="2" borderId="2" xfId="0" applyNumberFormat="1" applyFont="1" applyFill="1" applyBorder="1" applyAlignment="1">
      <alignment horizontal="center" wrapText="1"/>
    </xf>
    <xf numFmtId="168" fontId="3" fillId="2" borderId="2" xfId="0" applyNumberFormat="1" applyFont="1" applyFill="1" applyBorder="1" applyAlignment="1">
      <alignment horizontal="left" vertical="center" wrapText="1"/>
    </xf>
    <xf numFmtId="0" fontId="3" fillId="2" borderId="0" xfId="0" applyFont="1" applyFill="1"/>
    <xf numFmtId="0" fontId="3" fillId="0" borderId="2" xfId="0" applyFont="1" applyBorder="1" applyAlignment="1">
      <alignment horizontal="center" vertical="center"/>
    </xf>
    <xf numFmtId="18" fontId="7" fillId="0" borderId="2" xfId="0" applyNumberFormat="1" applyFont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18" fontId="3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167" fontId="5" fillId="2" borderId="2" xfId="0" applyNumberFormat="1" applyFont="1" applyFill="1" applyBorder="1" applyAlignment="1">
      <alignment horizontal="center"/>
    </xf>
    <xf numFmtId="164" fontId="3" fillId="0" borderId="2" xfId="0" applyNumberFormat="1" applyFont="1" applyBorder="1" applyAlignment="1">
      <alignment horizontal="center" wrapText="1"/>
    </xf>
    <xf numFmtId="0" fontId="5" fillId="2" borderId="2" xfId="0" applyFont="1" applyFill="1" applyBorder="1" applyAlignment="1">
      <alignment horizontal="center"/>
    </xf>
    <xf numFmtId="164" fontId="5" fillId="2" borderId="2" xfId="0" applyNumberFormat="1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8" fontId="5" fillId="2" borderId="2" xfId="0" applyNumberFormat="1" applyFont="1" applyFill="1" applyBorder="1" applyAlignment="1">
      <alignment horizontal="center"/>
    </xf>
    <xf numFmtId="4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65" fontId="5" fillId="0" borderId="2" xfId="0" applyNumberFormat="1" applyFont="1" applyBorder="1" applyAlignment="1">
      <alignment horizontal="center"/>
    </xf>
    <xf numFmtId="167" fontId="5" fillId="0" borderId="2" xfId="0" applyNumberFormat="1" applyFont="1" applyBorder="1" applyAlignment="1">
      <alignment horizontal="center"/>
    </xf>
    <xf numFmtId="167" fontId="5" fillId="2" borderId="0" xfId="0" applyNumberFormat="1" applyFont="1" applyFill="1" applyAlignment="1">
      <alignment horizontal="center"/>
    </xf>
    <xf numFmtId="18" fontId="7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164" fontId="7" fillId="0" borderId="0" xfId="0" applyNumberFormat="1" applyFont="1"/>
    <xf numFmtId="165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167" fontId="3" fillId="0" borderId="0" xfId="0" applyNumberFormat="1" applyFont="1" applyAlignment="1">
      <alignment horizontal="center" vertical="center" wrapText="1"/>
    </xf>
    <xf numFmtId="168" fontId="3" fillId="0" borderId="0" xfId="0" applyNumberFormat="1" applyFont="1" applyAlignment="1">
      <alignment horizontal="left" vertical="center" wrapText="1"/>
    </xf>
    <xf numFmtId="14" fontId="9" fillId="0" borderId="0" xfId="0" applyNumberFormat="1" applyFont="1" applyAlignment="1">
      <alignment horizontal="center"/>
    </xf>
    <xf numFmtId="164" fontId="10" fillId="2" borderId="0" xfId="0" applyNumberFormat="1" applyFont="1" applyFill="1" applyAlignment="1">
      <alignment horizontal="center" vertical="center" wrapText="1"/>
    </xf>
    <xf numFmtId="164" fontId="9" fillId="2" borderId="0" xfId="0" applyNumberFormat="1" applyFont="1" applyFill="1" applyAlignment="1">
      <alignment horizontal="center"/>
    </xf>
    <xf numFmtId="164" fontId="9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70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67" fontId="2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70" fontId="3" fillId="0" borderId="2" xfId="0" applyNumberFormat="1" applyFont="1" applyBorder="1" applyAlignment="1">
      <alignment horizontal="center" vertical="center" wrapText="1"/>
    </xf>
    <xf numFmtId="171" fontId="3" fillId="0" borderId="2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167" fontId="12" fillId="2" borderId="2" xfId="0" applyNumberFormat="1" applyFont="1" applyFill="1" applyBorder="1" applyAlignment="1">
      <alignment horizontal="left" wrapText="1"/>
    </xf>
    <xf numFmtId="167" fontId="5" fillId="2" borderId="2" xfId="0" applyNumberFormat="1" applyFont="1" applyFill="1" applyBorder="1" applyAlignment="1">
      <alignment horizontal="left" wrapText="1"/>
    </xf>
    <xf numFmtId="170" fontId="12" fillId="2" borderId="2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70" fontId="3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167" fontId="3" fillId="0" borderId="2" xfId="0" applyNumberFormat="1" applyFont="1" applyBorder="1" applyAlignment="1">
      <alignment vertical="center" wrapText="1"/>
    </xf>
    <xf numFmtId="167" fontId="3" fillId="0" borderId="1" xfId="0" applyNumberFormat="1" applyFont="1" applyBorder="1" applyAlignment="1">
      <alignment vertical="center" wrapText="1"/>
    </xf>
    <xf numFmtId="165" fontId="3" fillId="2" borderId="2" xfId="0" applyNumberFormat="1" applyFont="1" applyFill="1" applyBorder="1" applyAlignment="1">
      <alignment horizontal="center" vertical="center" wrapText="1"/>
    </xf>
    <xf numFmtId="165" fontId="3" fillId="2" borderId="2" xfId="0" applyNumberFormat="1" applyFont="1" applyFill="1" applyBorder="1" applyAlignment="1">
      <alignment horizontal="center" wrapText="1"/>
    </xf>
    <xf numFmtId="164" fontId="3" fillId="0" borderId="0" xfId="0" applyNumberFormat="1" applyFont="1" applyAlignment="1">
      <alignment wrapText="1"/>
    </xf>
    <xf numFmtId="165" fontId="3" fillId="0" borderId="0" xfId="0" applyNumberFormat="1" applyFont="1" applyAlignment="1">
      <alignment wrapText="1"/>
    </xf>
    <xf numFmtId="164" fontId="3" fillId="0" borderId="0" xfId="0" applyNumberFormat="1" applyFont="1" applyAlignment="1">
      <alignment horizontal="center" wrapText="1"/>
    </xf>
    <xf numFmtId="165" fontId="3" fillId="0" borderId="0" xfId="0" applyNumberFormat="1" applyFont="1" applyAlignment="1">
      <alignment horizontal="center" wrapText="1"/>
    </xf>
    <xf numFmtId="167" fontId="3" fillId="0" borderId="0" xfId="0" applyNumberFormat="1" applyFont="1" applyAlignment="1">
      <alignment horizontal="center" wrapText="1"/>
    </xf>
    <xf numFmtId="0" fontId="13" fillId="0" borderId="2" xfId="0" applyFont="1" applyBorder="1" applyAlignment="1">
      <alignment horizontal="center" vertical="center" wrapText="1"/>
    </xf>
    <xf numFmtId="164" fontId="13" fillId="0" borderId="2" xfId="0" applyNumberFormat="1" applyFont="1" applyBorder="1" applyAlignment="1">
      <alignment horizontal="center" vertical="center" wrapText="1"/>
    </xf>
    <xf numFmtId="167" fontId="13" fillId="2" borderId="2" xfId="0" applyNumberFormat="1" applyFont="1" applyFill="1" applyBorder="1" applyAlignment="1">
      <alignment horizontal="center" vertical="center" wrapText="1"/>
    </xf>
    <xf numFmtId="164" fontId="13" fillId="2" borderId="2" xfId="0" applyNumberFormat="1" applyFont="1" applyFill="1" applyBorder="1" applyAlignment="1">
      <alignment horizontal="center" vertical="center" wrapText="1"/>
    </xf>
    <xf numFmtId="165" fontId="13" fillId="2" borderId="2" xfId="0" applyNumberFormat="1" applyFont="1" applyFill="1" applyBorder="1" applyAlignment="1">
      <alignment horizontal="center" vertical="center" wrapText="1"/>
    </xf>
    <xf numFmtId="4" fontId="13" fillId="2" borderId="2" xfId="0" applyNumberFormat="1" applyFont="1" applyFill="1" applyBorder="1" applyAlignment="1">
      <alignment horizontal="center" vertical="center" wrapText="1"/>
    </xf>
    <xf numFmtId="4" fontId="13" fillId="0" borderId="2" xfId="0" applyNumberFormat="1" applyFont="1" applyBorder="1" applyAlignment="1">
      <alignment horizontal="center" vertical="center" wrapText="1"/>
    </xf>
    <xf numFmtId="4" fontId="14" fillId="0" borderId="2" xfId="0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167" fontId="15" fillId="0" borderId="2" xfId="0" applyNumberFormat="1" applyFont="1" applyBorder="1" applyAlignment="1">
      <alignment vertical="center" wrapText="1"/>
    </xf>
    <xf numFmtId="0" fontId="15" fillId="0" borderId="2" xfId="0" applyFont="1" applyBorder="1" applyAlignment="1">
      <alignment horizontal="center" vertical="center" wrapText="1"/>
    </xf>
    <xf numFmtId="164" fontId="15" fillId="0" borderId="2" xfId="0" applyNumberFormat="1" applyFont="1" applyBorder="1" applyAlignment="1">
      <alignment horizontal="center" vertical="center" wrapText="1"/>
    </xf>
    <xf numFmtId="165" fontId="15" fillId="2" borderId="2" xfId="0" applyNumberFormat="1" applyFont="1" applyFill="1" applyBorder="1" applyAlignment="1">
      <alignment horizontal="center" vertical="center" wrapText="1"/>
    </xf>
    <xf numFmtId="164" fontId="15" fillId="2" borderId="2" xfId="0" applyNumberFormat="1" applyFont="1" applyFill="1" applyBorder="1" applyAlignment="1">
      <alignment horizontal="center" vertical="center" wrapText="1"/>
    </xf>
    <xf numFmtId="4" fontId="15" fillId="2" borderId="2" xfId="0" applyNumberFormat="1" applyFont="1" applyFill="1" applyBorder="1" applyAlignment="1">
      <alignment horizontal="center" vertical="center" wrapText="1"/>
    </xf>
    <xf numFmtId="4" fontId="15" fillId="0" borderId="2" xfId="0" applyNumberFormat="1" applyFont="1" applyBorder="1" applyAlignment="1">
      <alignment horizontal="center" vertical="center" wrapText="1"/>
    </xf>
    <xf numFmtId="167" fontId="15" fillId="0" borderId="2" xfId="0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vertical="center" wrapText="1"/>
    </xf>
    <xf numFmtId="0" fontId="15" fillId="0" borderId="2" xfId="0" applyFont="1" applyBorder="1" applyAlignment="1">
      <alignment vertical="center"/>
    </xf>
    <xf numFmtId="0" fontId="15" fillId="0" borderId="2" xfId="0" applyFont="1" applyBorder="1" applyAlignment="1">
      <alignment horizontal="center" vertical="center"/>
    </xf>
    <xf numFmtId="18" fontId="15" fillId="2" borderId="2" xfId="0" applyNumberFormat="1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vertical="center"/>
    </xf>
    <xf numFmtId="0" fontId="16" fillId="2" borderId="2" xfId="0" applyFont="1" applyFill="1" applyBorder="1" applyAlignment="1">
      <alignment horizontal="left" vertical="center"/>
    </xf>
    <xf numFmtId="0" fontId="15" fillId="4" borderId="2" xfId="0" applyFont="1" applyFill="1" applyBorder="1" applyAlignment="1">
      <alignment horizontal="center" vertical="center"/>
    </xf>
    <xf numFmtId="164" fontId="15" fillId="4" borderId="2" xfId="0" applyNumberFormat="1" applyFont="1" applyFill="1" applyBorder="1" applyAlignment="1">
      <alignment horizontal="center" vertical="center" wrapText="1"/>
    </xf>
    <xf numFmtId="4" fontId="15" fillId="4" borderId="2" xfId="0" applyNumberFormat="1" applyFont="1" applyFill="1" applyBorder="1" applyAlignment="1">
      <alignment horizontal="center" vertical="center" wrapText="1"/>
    </xf>
    <xf numFmtId="167" fontId="15" fillId="4" borderId="2" xfId="0" applyNumberFormat="1" applyFont="1" applyFill="1" applyBorder="1" applyAlignment="1">
      <alignment horizontal="center" vertical="center" wrapText="1"/>
    </xf>
    <xf numFmtId="0" fontId="7" fillId="4" borderId="0" xfId="0" applyFont="1" applyFill="1"/>
    <xf numFmtId="165" fontId="15" fillId="2" borderId="2" xfId="0" applyNumberFormat="1" applyFont="1" applyFill="1" applyBorder="1" applyAlignment="1">
      <alignment horizontal="center" vertical="center"/>
    </xf>
    <xf numFmtId="18" fontId="15" fillId="2" borderId="2" xfId="0" applyNumberFormat="1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left" vertical="center"/>
    </xf>
    <xf numFmtId="14" fontId="16" fillId="0" borderId="2" xfId="0" applyNumberFormat="1" applyFont="1" applyBorder="1" applyAlignment="1">
      <alignment horizontal="center" vertical="center"/>
    </xf>
    <xf numFmtId="165" fontId="16" fillId="2" borderId="2" xfId="0" applyNumberFormat="1" applyFont="1" applyFill="1" applyBorder="1" applyAlignment="1">
      <alignment horizontal="center" vertical="center"/>
    </xf>
    <xf numFmtId="4" fontId="16" fillId="2" borderId="2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8" fontId="16" fillId="2" borderId="2" xfId="0" applyNumberFormat="1" applyFont="1" applyFill="1" applyBorder="1" applyAlignment="1">
      <alignment horizontal="center" vertical="center"/>
    </xf>
    <xf numFmtId="18" fontId="15" fillId="0" borderId="2" xfId="0" applyNumberFormat="1" applyFont="1" applyBorder="1" applyAlignment="1">
      <alignment horizontal="center" vertical="center"/>
    </xf>
    <xf numFmtId="165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 vertical="center"/>
    </xf>
    <xf numFmtId="165" fontId="16" fillId="0" borderId="2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4" fontId="16" fillId="0" borderId="2" xfId="0" applyNumberFormat="1" applyFont="1" applyBorder="1" applyAlignment="1">
      <alignment horizontal="center" vertical="center"/>
    </xf>
    <xf numFmtId="164" fontId="16" fillId="0" borderId="2" xfId="0" applyNumberFormat="1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164" fontId="15" fillId="0" borderId="0" xfId="0" applyNumberFormat="1" applyFont="1" applyAlignment="1">
      <alignment vertical="center" wrapText="1"/>
    </xf>
    <xf numFmtId="167" fontId="15" fillId="2" borderId="0" xfId="0" applyNumberFormat="1" applyFont="1" applyFill="1" applyAlignment="1">
      <alignment vertical="center" wrapText="1"/>
    </xf>
    <xf numFmtId="164" fontId="15" fillId="2" borderId="0" xfId="0" applyNumberFormat="1" applyFont="1" applyFill="1" applyAlignment="1">
      <alignment vertical="center" wrapText="1"/>
    </xf>
    <xf numFmtId="165" fontId="15" fillId="2" borderId="0" xfId="0" applyNumberFormat="1" applyFont="1" applyFill="1" applyAlignment="1">
      <alignment horizontal="center" vertical="center" wrapText="1"/>
    </xf>
    <xf numFmtId="4" fontId="15" fillId="2" borderId="0" xfId="0" applyNumberFormat="1" applyFont="1" applyFill="1" applyAlignment="1">
      <alignment horizontal="center" vertical="center" wrapText="1"/>
    </xf>
    <xf numFmtId="4" fontId="15" fillId="0" borderId="0" xfId="0" applyNumberFormat="1" applyFont="1" applyAlignment="1">
      <alignment horizontal="center" vertical="center" wrapText="1"/>
    </xf>
    <xf numFmtId="167" fontId="15" fillId="0" borderId="0" xfId="0" applyNumberFormat="1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20" fillId="0" borderId="2" xfId="0" applyFont="1" applyBorder="1" applyAlignment="1">
      <alignment horizontal="center" vertical="center" wrapText="1"/>
    </xf>
    <xf numFmtId="164" fontId="20" fillId="0" borderId="2" xfId="0" applyNumberFormat="1" applyFont="1" applyBorder="1" applyAlignment="1">
      <alignment horizontal="center" vertical="center" wrapText="1"/>
    </xf>
    <xf numFmtId="4" fontId="20" fillId="0" borderId="2" xfId="0" applyNumberFormat="1" applyFont="1" applyBorder="1" applyAlignment="1">
      <alignment horizontal="center" vertical="center" wrapText="1"/>
    </xf>
    <xf numFmtId="173" fontId="20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8" fontId="5" fillId="0" borderId="2" xfId="0" applyNumberFormat="1" applyFont="1" applyBorder="1" applyAlignment="1">
      <alignment horizontal="center"/>
    </xf>
    <xf numFmtId="14" fontId="5" fillId="0" borderId="2" xfId="0" applyNumberFormat="1" applyFont="1" applyBorder="1" applyAlignment="1">
      <alignment horizontal="center"/>
    </xf>
    <xf numFmtId="173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left" wrapText="1"/>
    </xf>
    <xf numFmtId="0" fontId="3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18" fontId="5" fillId="0" borderId="2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/>
    </xf>
    <xf numFmtId="173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 wrapText="1"/>
    </xf>
    <xf numFmtId="0" fontId="21" fillId="2" borderId="0" xfId="0" applyFont="1" applyFill="1"/>
    <xf numFmtId="0" fontId="5" fillId="2" borderId="2" xfId="0" applyFont="1" applyFill="1" applyBorder="1" applyAlignment="1">
      <alignment horizontal="left" vertical="center" wrapText="1"/>
    </xf>
    <xf numFmtId="4" fontId="3" fillId="0" borderId="2" xfId="0" applyNumberFormat="1" applyFont="1" applyBorder="1" applyAlignment="1">
      <alignment horizontal="center" vertical="center"/>
    </xf>
    <xf numFmtId="173" fontId="3" fillId="0" borderId="2" xfId="0" applyNumberFormat="1" applyFont="1" applyBorder="1" applyAlignment="1">
      <alignment horizontal="center" vertical="center"/>
    </xf>
    <xf numFmtId="167" fontId="3" fillId="0" borderId="4" xfId="0" applyNumberFormat="1" applyFont="1" applyBorder="1" applyAlignment="1">
      <alignment vertical="center" wrapText="1"/>
    </xf>
    <xf numFmtId="14" fontId="3" fillId="0" borderId="2" xfId="0" applyNumberFormat="1" applyFont="1" applyBorder="1" applyAlignment="1">
      <alignment horizontal="center" vertical="center"/>
    </xf>
    <xf numFmtId="18" fontId="7" fillId="0" borderId="2" xfId="0" applyNumberFormat="1" applyFont="1" applyBorder="1"/>
    <xf numFmtId="18" fontId="3" fillId="2" borderId="2" xfId="0" applyNumberFormat="1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4" fontId="3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73" fontId="5" fillId="2" borderId="2" xfId="0" applyNumberFormat="1" applyFont="1" applyFill="1" applyBorder="1" applyAlignment="1">
      <alignment horizontal="center"/>
    </xf>
    <xf numFmtId="173" fontId="3" fillId="2" borderId="2" xfId="0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wrapText="1"/>
    </xf>
    <xf numFmtId="0" fontId="22" fillId="2" borderId="2" xfId="0" applyFont="1" applyFill="1" applyBorder="1" applyAlignment="1">
      <alignment horizontal="center"/>
    </xf>
    <xf numFmtId="164" fontId="22" fillId="2" borderId="2" xfId="0" applyNumberFormat="1" applyFont="1" applyFill="1" applyBorder="1" applyAlignment="1">
      <alignment horizontal="center"/>
    </xf>
    <xf numFmtId="0" fontId="22" fillId="2" borderId="2" xfId="0" applyFont="1" applyFill="1" applyBorder="1" applyAlignment="1">
      <alignment horizontal="center" vertical="center"/>
    </xf>
    <xf numFmtId="164" fontId="22" fillId="2" borderId="2" xfId="0" applyNumberFormat="1" applyFont="1" applyFill="1" applyBorder="1" applyAlignment="1">
      <alignment horizontal="center" vertical="center"/>
    </xf>
    <xf numFmtId="4" fontId="5" fillId="2" borderId="2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4" fontId="3" fillId="2" borderId="0" xfId="0" applyNumberFormat="1" applyFont="1" applyFill="1" applyAlignment="1">
      <alignment horizontal="center" vertical="center"/>
    </xf>
    <xf numFmtId="173" fontId="3" fillId="2" borderId="0" xfId="0" applyNumberFormat="1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173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164" fontId="3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4" fontId="7" fillId="0" borderId="2" xfId="0" applyNumberFormat="1" applyFont="1" applyBorder="1" applyAlignment="1">
      <alignment horizontal="center"/>
    </xf>
    <xf numFmtId="18" fontId="3" fillId="2" borderId="2" xfId="0" applyNumberFormat="1" applyFont="1" applyFill="1" applyBorder="1" applyAlignment="1">
      <alignment horizontal="center"/>
    </xf>
    <xf numFmtId="4" fontId="3" fillId="2" borderId="2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14" fontId="5" fillId="2" borderId="2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4" fontId="7" fillId="0" borderId="0" xfId="0" applyNumberFormat="1" applyFont="1"/>
    <xf numFmtId="0" fontId="15" fillId="0" borderId="0" xfId="0" applyFont="1"/>
    <xf numFmtId="0" fontId="5" fillId="2" borderId="4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center"/>
    </xf>
    <xf numFmtId="174" fontId="5" fillId="2" borderId="6" xfId="0" applyNumberFormat="1" applyFont="1" applyFill="1" applyBorder="1" applyAlignment="1">
      <alignment horizontal="right"/>
    </xf>
    <xf numFmtId="10" fontId="5" fillId="2" borderId="6" xfId="0" applyNumberFormat="1" applyFont="1" applyFill="1" applyBorder="1" applyAlignment="1">
      <alignment horizontal="center"/>
    </xf>
    <xf numFmtId="175" fontId="5" fillId="2" borderId="6" xfId="0" applyNumberFormat="1" applyFont="1" applyFill="1" applyBorder="1" applyAlignment="1">
      <alignment horizontal="left"/>
    </xf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174" fontId="5" fillId="0" borderId="0" xfId="0" applyNumberFormat="1" applyFont="1" applyAlignment="1">
      <alignment horizontal="center"/>
    </xf>
    <xf numFmtId="0" fontId="7" fillId="0" borderId="0" xfId="0" applyFont="1"/>
    <xf numFmtId="0" fontId="20" fillId="0" borderId="0" xfId="0" applyFont="1"/>
    <xf numFmtId="0" fontId="5" fillId="0" borderId="0" xfId="0" applyFont="1"/>
    <xf numFmtId="168" fontId="2" fillId="0" borderId="2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/>
    </xf>
    <xf numFmtId="4" fontId="7" fillId="0" borderId="2" xfId="0" applyNumberFormat="1" applyFont="1" applyBorder="1" applyAlignment="1">
      <alignment horizontal="center" vertical="center"/>
    </xf>
    <xf numFmtId="165" fontId="7" fillId="0" borderId="0" xfId="0" applyNumberFormat="1" applyFont="1"/>
    <xf numFmtId="0" fontId="23" fillId="0" borderId="0" xfId="0" applyFont="1"/>
    <xf numFmtId="0" fontId="1" fillId="0" borderId="0" xfId="0" applyFont="1"/>
    <xf numFmtId="22" fontId="1" fillId="0" borderId="0" xfId="0" applyNumberFormat="1" applyFont="1"/>
    <xf numFmtId="168" fontId="5" fillId="2" borderId="1" xfId="0" applyNumberFormat="1" applyFont="1" applyFill="1" applyBorder="1" applyAlignment="1">
      <alignment horizontal="left" vertical="center" wrapText="1"/>
    </xf>
    <xf numFmtId="0" fontId="6" fillId="0" borderId="3" xfId="0" applyFont="1" applyBorder="1"/>
    <xf numFmtId="0" fontId="6" fillId="0" borderId="4" xfId="0" applyFont="1" applyBorder="1"/>
    <xf numFmtId="168" fontId="3" fillId="0" borderId="1" xfId="0" applyNumberFormat="1" applyFont="1" applyBorder="1" applyAlignment="1">
      <alignment horizontal="left" vertical="center" wrapText="1"/>
    </xf>
    <xf numFmtId="168" fontId="5" fillId="2" borderId="1" xfId="0" applyNumberFormat="1" applyFont="1" applyFill="1" applyBorder="1" applyAlignment="1">
      <alignment horizontal="left" vertical="center"/>
    </xf>
    <xf numFmtId="0" fontId="8" fillId="0" borderId="5" xfId="0" applyFont="1" applyBorder="1" applyAlignment="1">
      <alignment horizontal="left" vertical="center" wrapText="1"/>
    </xf>
    <xf numFmtId="0" fontId="6" fillId="0" borderId="5" xfId="0" applyFont="1" applyBorder="1"/>
    <xf numFmtId="0" fontId="6" fillId="0" borderId="6" xfId="0" applyFont="1" applyBorder="1"/>
    <xf numFmtId="167" fontId="3" fillId="0" borderId="1" xfId="0" applyNumberFormat="1" applyFont="1" applyBorder="1" applyAlignment="1">
      <alignment horizontal="left" vertical="center" wrapText="1"/>
    </xf>
    <xf numFmtId="167" fontId="3" fillId="0" borderId="1" xfId="0" applyNumberFormat="1" applyFont="1" applyBorder="1" applyAlignment="1">
      <alignment horizontal="center" vertical="center" wrapText="1"/>
    </xf>
    <xf numFmtId="167" fontId="5" fillId="2" borderId="1" xfId="0" applyNumberFormat="1" applyFont="1" applyFill="1" applyBorder="1" applyAlignment="1">
      <alignment horizontal="left" vertical="center" wrapText="1"/>
    </xf>
    <xf numFmtId="167" fontId="5" fillId="2" borderId="1" xfId="0" applyNumberFormat="1" applyFont="1" applyFill="1" applyBorder="1" applyAlignment="1">
      <alignment horizontal="left" vertical="center"/>
    </xf>
    <xf numFmtId="167" fontId="5" fillId="2" borderId="5" xfId="0" applyNumberFormat="1" applyFont="1" applyFill="1" applyBorder="1" applyAlignment="1">
      <alignment horizontal="left" vertical="center" wrapText="1"/>
    </xf>
    <xf numFmtId="167" fontId="3" fillId="0" borderId="1" xfId="0" applyNumberFormat="1" applyFont="1" applyBorder="1" applyAlignment="1">
      <alignment vertical="center" wrapText="1"/>
    </xf>
    <xf numFmtId="0" fontId="17" fillId="2" borderId="5" xfId="0" applyFont="1" applyFill="1" applyBorder="1" applyAlignment="1">
      <alignment horizontal="left" vertical="center"/>
    </xf>
    <xf numFmtId="0" fontId="15" fillId="0" borderId="1" xfId="0" applyFont="1" applyBorder="1" applyAlignment="1">
      <alignment horizontal="center" vertical="center" wrapText="1"/>
    </xf>
    <xf numFmtId="172" fontId="15" fillId="0" borderId="1" xfId="0" applyNumberFormat="1" applyFont="1" applyBorder="1" applyAlignment="1">
      <alignment horizontal="left" vertical="center"/>
    </xf>
    <xf numFmtId="0" fontId="15" fillId="0" borderId="1" xfId="0" applyFont="1" applyBorder="1" applyAlignment="1">
      <alignment vertical="center" wrapText="1"/>
    </xf>
    <xf numFmtId="0" fontId="16" fillId="2" borderId="1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/>
    </xf>
    <xf numFmtId="167" fontId="15" fillId="0" borderId="1" xfId="0" applyNumberFormat="1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168" fontId="3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95"/>
  <sheetViews>
    <sheetView workbookViewId="0">
      <pane ySplit="1" topLeftCell="A2" activePane="bottomLeft" state="frozen"/>
      <selection pane="bottomLeft" activeCell="B3" sqref="B3"/>
    </sheetView>
  </sheetViews>
  <sheetFormatPr defaultColWidth="11.125" defaultRowHeight="15" customHeight="1"/>
  <cols>
    <col min="1" max="1" width="9.375" customWidth="1"/>
    <col min="2" max="3" width="8.5" customWidth="1"/>
    <col min="4" max="4" width="8.875" customWidth="1"/>
    <col min="5" max="5" width="9.375" customWidth="1"/>
    <col min="6" max="6" width="10" customWidth="1"/>
    <col min="7" max="8" width="8.875" customWidth="1"/>
    <col min="9" max="9" width="9" customWidth="1"/>
    <col min="10" max="11" width="8.875" customWidth="1"/>
    <col min="12" max="12" width="9.5" customWidth="1"/>
    <col min="13" max="13" width="6.875" customWidth="1"/>
    <col min="14" max="14" width="7.875" customWidth="1"/>
    <col min="15" max="15" width="22.125" customWidth="1"/>
    <col min="16" max="16" width="31.125" customWidth="1"/>
    <col min="17" max="17" width="7.875" customWidth="1"/>
    <col min="18" max="29" width="10.5" customWidth="1"/>
  </cols>
  <sheetData>
    <row r="1" spans="1:29" ht="63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2" t="s">
        <v>6</v>
      </c>
      <c r="H1" s="5" t="s">
        <v>7</v>
      </c>
      <c r="I1" s="2" t="s">
        <v>8</v>
      </c>
      <c r="J1" s="2" t="s">
        <v>9</v>
      </c>
      <c r="K1" s="2" t="s">
        <v>10</v>
      </c>
      <c r="L1" s="6" t="s">
        <v>11</v>
      </c>
      <c r="M1" s="6" t="s">
        <v>12</v>
      </c>
      <c r="N1" s="2" t="s">
        <v>13</v>
      </c>
      <c r="O1" s="7" t="s">
        <v>14</v>
      </c>
      <c r="P1" s="8" t="s">
        <v>15</v>
      </c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spans="1:29" ht="15.75" customHeight="1">
      <c r="A2" s="10" t="s">
        <v>16</v>
      </c>
      <c r="B2" s="11">
        <v>106.3</v>
      </c>
      <c r="C2" s="12" t="s">
        <v>17</v>
      </c>
      <c r="D2" s="13" t="s">
        <v>17</v>
      </c>
      <c r="E2" s="12">
        <v>45012</v>
      </c>
      <c r="F2" s="13">
        <v>0.51944444444444449</v>
      </c>
      <c r="G2" s="14">
        <v>110.2</v>
      </c>
      <c r="H2" s="15">
        <v>0.998</v>
      </c>
      <c r="I2" s="14">
        <v>209.2</v>
      </c>
      <c r="J2" s="14">
        <v>209.7</v>
      </c>
      <c r="K2" s="14" t="s">
        <v>18</v>
      </c>
      <c r="L2" s="15" t="s">
        <v>19</v>
      </c>
      <c r="M2" s="16" t="s">
        <v>20</v>
      </c>
      <c r="N2" s="14">
        <f t="shared" ref="N2:N9" si="0">(J2-G2)/H2</f>
        <v>99.69939879759518</v>
      </c>
      <c r="O2" s="17" t="s">
        <v>21</v>
      </c>
      <c r="P2" s="17" t="s">
        <v>22</v>
      </c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</row>
    <row r="3" spans="1:29" ht="15.75">
      <c r="A3" s="10" t="s">
        <v>23</v>
      </c>
      <c r="B3" s="14" t="s">
        <v>17</v>
      </c>
      <c r="C3" s="12" t="s">
        <v>17</v>
      </c>
      <c r="D3" s="19" t="s">
        <v>17</v>
      </c>
      <c r="E3" s="12">
        <v>45012</v>
      </c>
      <c r="F3" s="13">
        <v>0.52361111111111114</v>
      </c>
      <c r="G3" s="14">
        <v>109.8</v>
      </c>
      <c r="H3" s="15">
        <v>0.75</v>
      </c>
      <c r="I3" s="14">
        <v>112.7</v>
      </c>
      <c r="J3" s="14">
        <v>112.3</v>
      </c>
      <c r="K3" s="14" t="s">
        <v>18</v>
      </c>
      <c r="L3" s="15" t="s">
        <v>24</v>
      </c>
      <c r="M3" s="16" t="s">
        <v>20</v>
      </c>
      <c r="N3" s="14">
        <f t="shared" si="0"/>
        <v>3.3333333333333335</v>
      </c>
      <c r="O3" s="17" t="s">
        <v>21</v>
      </c>
      <c r="P3" s="17" t="s">
        <v>22</v>
      </c>
      <c r="Q3" s="20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</row>
    <row r="4" spans="1:29" ht="15.75">
      <c r="A4" s="10" t="s">
        <v>25</v>
      </c>
      <c r="B4" s="14" t="s">
        <v>17</v>
      </c>
      <c r="C4" s="12" t="s">
        <v>17</v>
      </c>
      <c r="D4" s="19" t="s">
        <v>17</v>
      </c>
      <c r="E4" s="12">
        <v>45012</v>
      </c>
      <c r="F4" s="13">
        <v>0.53402777777777777</v>
      </c>
      <c r="G4" s="14">
        <v>110.6</v>
      </c>
      <c r="H4" s="15">
        <v>0.75</v>
      </c>
      <c r="I4" s="14">
        <v>113.4</v>
      </c>
      <c r="J4" s="14">
        <v>113.2</v>
      </c>
      <c r="K4" s="14" t="s">
        <v>18</v>
      </c>
      <c r="L4" s="16" t="s">
        <v>26</v>
      </c>
      <c r="M4" s="16" t="s">
        <v>20</v>
      </c>
      <c r="N4" s="14">
        <f t="shared" si="0"/>
        <v>3.4666666666666779</v>
      </c>
      <c r="O4" s="17" t="s">
        <v>21</v>
      </c>
      <c r="P4" s="17" t="s">
        <v>22</v>
      </c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</row>
    <row r="5" spans="1:29" ht="15.75" customHeight="1">
      <c r="A5" s="10" t="s">
        <v>27</v>
      </c>
      <c r="B5" s="14">
        <v>100.1</v>
      </c>
      <c r="C5" s="12" t="s">
        <v>17</v>
      </c>
      <c r="D5" s="19" t="s">
        <v>17</v>
      </c>
      <c r="E5" s="12">
        <v>45012</v>
      </c>
      <c r="F5" s="13">
        <v>0.62430555555555556</v>
      </c>
      <c r="G5" s="14">
        <v>110</v>
      </c>
      <c r="H5" s="15">
        <v>1</v>
      </c>
      <c r="I5" s="14">
        <v>222.3</v>
      </c>
      <c r="J5" s="14">
        <v>226.1</v>
      </c>
      <c r="K5" s="14" t="s">
        <v>18</v>
      </c>
      <c r="L5" s="16" t="s">
        <v>26</v>
      </c>
      <c r="M5" s="16" t="s">
        <v>20</v>
      </c>
      <c r="N5" s="14">
        <f t="shared" si="0"/>
        <v>116.1</v>
      </c>
      <c r="O5" s="17" t="s">
        <v>28</v>
      </c>
      <c r="P5" s="17" t="s">
        <v>29</v>
      </c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</row>
    <row r="6" spans="1:29" ht="15.75" customHeight="1">
      <c r="A6" s="10" t="s">
        <v>30</v>
      </c>
      <c r="B6" s="21">
        <v>118.2</v>
      </c>
      <c r="C6" s="12" t="s">
        <v>17</v>
      </c>
      <c r="D6" s="19" t="s">
        <v>17</v>
      </c>
      <c r="E6" s="12">
        <v>45012</v>
      </c>
      <c r="F6" s="13">
        <v>0.65208333333333335</v>
      </c>
      <c r="G6" s="14">
        <v>108.7</v>
      </c>
      <c r="H6" s="15">
        <v>1</v>
      </c>
      <c r="I6" s="14">
        <v>222.6</v>
      </c>
      <c r="J6" s="14">
        <v>214.7</v>
      </c>
      <c r="K6" s="14" t="s">
        <v>18</v>
      </c>
      <c r="L6" s="16" t="s">
        <v>31</v>
      </c>
      <c r="M6" s="16" t="s">
        <v>20</v>
      </c>
      <c r="N6" s="14">
        <f t="shared" si="0"/>
        <v>105.99999999999999</v>
      </c>
      <c r="O6" s="17" t="s">
        <v>28</v>
      </c>
      <c r="P6" s="17" t="s">
        <v>29</v>
      </c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</row>
    <row r="7" spans="1:29" ht="15.75" customHeight="1">
      <c r="A7" s="10" t="s">
        <v>32</v>
      </c>
      <c r="B7" s="14">
        <v>124.8</v>
      </c>
      <c r="C7" s="12" t="s">
        <v>17</v>
      </c>
      <c r="D7" s="19" t="s">
        <v>17</v>
      </c>
      <c r="E7" s="12">
        <v>45012</v>
      </c>
      <c r="F7" s="13">
        <v>0.66319444444444442</v>
      </c>
      <c r="G7" s="14">
        <v>109.4</v>
      </c>
      <c r="H7" s="15">
        <v>1</v>
      </c>
      <c r="I7" s="14">
        <v>218.2</v>
      </c>
      <c r="J7" s="14">
        <v>217.2</v>
      </c>
      <c r="K7" s="14" t="s">
        <v>18</v>
      </c>
      <c r="L7" s="16" t="s">
        <v>33</v>
      </c>
      <c r="M7" s="16" t="s">
        <v>20</v>
      </c>
      <c r="N7" s="14">
        <f t="shared" si="0"/>
        <v>107.79999999999998</v>
      </c>
      <c r="O7" s="17" t="s">
        <v>28</v>
      </c>
      <c r="P7" s="17" t="s">
        <v>29</v>
      </c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</row>
    <row r="8" spans="1:29" ht="15.75" customHeight="1">
      <c r="A8" s="10" t="s">
        <v>34</v>
      </c>
      <c r="B8" s="14">
        <v>103.6</v>
      </c>
      <c r="C8" s="12" t="s">
        <v>17</v>
      </c>
      <c r="D8" s="19" t="s">
        <v>17</v>
      </c>
      <c r="E8" s="12">
        <v>45012</v>
      </c>
      <c r="F8" s="13">
        <v>0.6020833333333333</v>
      </c>
      <c r="G8" s="14">
        <v>110.8</v>
      </c>
      <c r="H8" s="15">
        <v>1</v>
      </c>
      <c r="I8" s="14">
        <v>213.8</v>
      </c>
      <c r="J8" s="14">
        <v>214.2</v>
      </c>
      <c r="K8" s="14" t="s">
        <v>18</v>
      </c>
      <c r="L8" s="16" t="s">
        <v>35</v>
      </c>
      <c r="M8" s="16" t="s">
        <v>20</v>
      </c>
      <c r="N8" s="14">
        <f t="shared" si="0"/>
        <v>103.39999999999999</v>
      </c>
      <c r="O8" s="17" t="s">
        <v>21</v>
      </c>
      <c r="P8" s="17" t="s">
        <v>22</v>
      </c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spans="1:29" ht="15.75" customHeight="1">
      <c r="A9" s="10" t="s">
        <v>36</v>
      </c>
      <c r="B9" s="21">
        <v>104.4</v>
      </c>
      <c r="C9" s="12" t="s">
        <v>17</v>
      </c>
      <c r="D9" s="19" t="s">
        <v>17</v>
      </c>
      <c r="E9" s="12">
        <v>45012</v>
      </c>
      <c r="F9" s="13">
        <v>0.61250000000000004</v>
      </c>
      <c r="G9" s="14">
        <v>109.7</v>
      </c>
      <c r="H9" s="15">
        <v>1</v>
      </c>
      <c r="I9" s="14">
        <v>213.9</v>
      </c>
      <c r="J9" s="14">
        <v>213.9</v>
      </c>
      <c r="K9" s="14" t="s">
        <v>18</v>
      </c>
      <c r="L9" s="16" t="s">
        <v>37</v>
      </c>
      <c r="M9" s="16" t="s">
        <v>20</v>
      </c>
      <c r="N9" s="14">
        <f t="shared" si="0"/>
        <v>104.2</v>
      </c>
      <c r="O9" s="17" t="s">
        <v>21</v>
      </c>
      <c r="P9" s="17" t="s">
        <v>22</v>
      </c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spans="1:29" ht="15.75" customHeight="1">
      <c r="A10" s="10" t="s">
        <v>38</v>
      </c>
      <c r="B10" s="14">
        <v>103.8</v>
      </c>
      <c r="C10" s="12" t="s">
        <v>17</v>
      </c>
      <c r="D10" s="19" t="s">
        <v>17</v>
      </c>
      <c r="E10" s="12">
        <v>45012</v>
      </c>
      <c r="F10" s="13">
        <v>0.65416666666666667</v>
      </c>
      <c r="G10" s="14">
        <v>109.4</v>
      </c>
      <c r="H10" s="15">
        <v>1</v>
      </c>
      <c r="I10" s="14">
        <v>212.8</v>
      </c>
      <c r="J10" s="14">
        <v>211.6</v>
      </c>
      <c r="K10" s="14">
        <v>211.7</v>
      </c>
      <c r="L10" s="16" t="s">
        <v>39</v>
      </c>
      <c r="M10" s="16" t="s">
        <v>20</v>
      </c>
      <c r="N10" s="14">
        <f>(K10-G10)/H10</f>
        <v>102.29999999999998</v>
      </c>
      <c r="O10" s="17" t="s">
        <v>21</v>
      </c>
      <c r="P10" s="17" t="s">
        <v>22</v>
      </c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 spans="1:29" ht="15.75" customHeight="1">
      <c r="A11" s="10" t="s">
        <v>40</v>
      </c>
      <c r="B11" s="14" t="s">
        <v>17</v>
      </c>
      <c r="C11" s="12">
        <v>45058</v>
      </c>
      <c r="D11" s="13">
        <v>0.37222222222222223</v>
      </c>
      <c r="E11" s="12">
        <v>45058</v>
      </c>
      <c r="F11" s="22">
        <v>0.53749999999999998</v>
      </c>
      <c r="G11" s="14">
        <v>109.8</v>
      </c>
      <c r="H11" s="15">
        <v>0.99</v>
      </c>
      <c r="I11" s="14">
        <v>116.4</v>
      </c>
      <c r="J11" s="14">
        <v>115</v>
      </c>
      <c r="K11" s="14">
        <v>116</v>
      </c>
      <c r="L11" s="15" t="s">
        <v>41</v>
      </c>
      <c r="M11" s="23" t="s">
        <v>42</v>
      </c>
      <c r="N11" s="14">
        <f t="shared" ref="N11:N72" si="1">(J11-G11)/H11</f>
        <v>5.2525252525252553</v>
      </c>
      <c r="O11" s="17" t="s">
        <v>21</v>
      </c>
      <c r="P11" s="17" t="s">
        <v>43</v>
      </c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</row>
    <row r="12" spans="1:29" ht="15.75" customHeight="1">
      <c r="A12" s="10" t="s">
        <v>16</v>
      </c>
      <c r="B12" s="11">
        <v>104.4</v>
      </c>
      <c r="C12" s="12">
        <v>45058</v>
      </c>
      <c r="D12" s="13" t="s">
        <v>17</v>
      </c>
      <c r="E12" s="12">
        <v>45058</v>
      </c>
      <c r="F12" s="22">
        <v>0.54097222222222219</v>
      </c>
      <c r="G12" s="14">
        <v>100.6</v>
      </c>
      <c r="H12" s="15">
        <v>1</v>
      </c>
      <c r="I12" s="14">
        <v>208.5</v>
      </c>
      <c r="J12" s="14">
        <v>208.4</v>
      </c>
      <c r="K12" s="14">
        <v>207.4</v>
      </c>
      <c r="L12" s="15" t="s">
        <v>44</v>
      </c>
      <c r="M12" s="23" t="s">
        <v>42</v>
      </c>
      <c r="N12" s="14">
        <f t="shared" si="1"/>
        <v>107.80000000000001</v>
      </c>
      <c r="O12" s="17" t="s">
        <v>21</v>
      </c>
      <c r="P12" s="17" t="s">
        <v>22</v>
      </c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</row>
    <row r="13" spans="1:29" ht="15.75" customHeight="1">
      <c r="A13" s="10" t="s">
        <v>45</v>
      </c>
      <c r="B13" s="14" t="s">
        <v>17</v>
      </c>
      <c r="C13" s="12">
        <v>45064</v>
      </c>
      <c r="D13" s="13">
        <v>0.39513888888888887</v>
      </c>
      <c r="E13" s="12">
        <v>45064</v>
      </c>
      <c r="F13" s="22">
        <v>0.53125</v>
      </c>
      <c r="G13" s="14">
        <v>109.8</v>
      </c>
      <c r="H13" s="15">
        <v>0.1</v>
      </c>
      <c r="I13" s="14">
        <v>115.8</v>
      </c>
      <c r="J13" s="14">
        <v>115.8</v>
      </c>
      <c r="K13" s="14" t="s">
        <v>18</v>
      </c>
      <c r="L13" s="15" t="s">
        <v>46</v>
      </c>
      <c r="M13" s="23" t="s">
        <v>42</v>
      </c>
      <c r="N13" s="14">
        <f t="shared" si="1"/>
        <v>60</v>
      </c>
      <c r="O13" s="17" t="s">
        <v>21</v>
      </c>
      <c r="P13" s="17" t="s">
        <v>47</v>
      </c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</row>
    <row r="14" spans="1:29" ht="15.75" customHeight="1">
      <c r="A14" s="24" t="s">
        <v>48</v>
      </c>
      <c r="B14" s="25" t="s">
        <v>17</v>
      </c>
      <c r="C14" s="26">
        <v>45064</v>
      </c>
      <c r="D14" s="27">
        <v>0.42916666666666664</v>
      </c>
      <c r="E14" s="26">
        <v>45064</v>
      </c>
      <c r="F14" s="28">
        <v>0.53333333333333333</v>
      </c>
      <c r="G14" s="25">
        <v>110.2</v>
      </c>
      <c r="H14" s="29">
        <v>1.0249999999999999</v>
      </c>
      <c r="I14" s="25">
        <v>116.2</v>
      </c>
      <c r="J14" s="25">
        <v>116.2</v>
      </c>
      <c r="K14" s="25" t="s">
        <v>18</v>
      </c>
      <c r="L14" s="29" t="s">
        <v>49</v>
      </c>
      <c r="M14" s="30" t="s">
        <v>42</v>
      </c>
      <c r="N14" s="31">
        <f t="shared" si="1"/>
        <v>5.8536585365853666</v>
      </c>
      <c r="O14" s="32" t="s">
        <v>21</v>
      </c>
      <c r="P14" s="32" t="s">
        <v>47</v>
      </c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</row>
    <row r="15" spans="1:29" ht="15.75" customHeight="1">
      <c r="A15" s="34" t="s">
        <v>50</v>
      </c>
      <c r="B15" s="35" t="s">
        <v>17</v>
      </c>
      <c r="C15" s="12">
        <v>45064</v>
      </c>
      <c r="D15" s="13">
        <v>0.32361111111111113</v>
      </c>
      <c r="E15" s="12">
        <v>45064</v>
      </c>
      <c r="F15" s="36">
        <v>0.54374999999999996</v>
      </c>
      <c r="G15" s="35">
        <v>109.7</v>
      </c>
      <c r="H15" s="15">
        <v>1</v>
      </c>
      <c r="I15" s="35">
        <v>111.7</v>
      </c>
      <c r="J15" s="35">
        <v>111.5</v>
      </c>
      <c r="K15" s="14" t="s">
        <v>18</v>
      </c>
      <c r="L15" s="37" t="s">
        <v>51</v>
      </c>
      <c r="M15" s="23" t="s">
        <v>42</v>
      </c>
      <c r="N15" s="35">
        <f t="shared" si="1"/>
        <v>1.7999999999999972</v>
      </c>
      <c r="O15" s="17" t="s">
        <v>21</v>
      </c>
      <c r="P15" s="17" t="s">
        <v>47</v>
      </c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</row>
    <row r="16" spans="1:29" ht="15.75" customHeight="1">
      <c r="A16" s="34" t="s">
        <v>16</v>
      </c>
      <c r="B16" s="11">
        <v>103.2</v>
      </c>
      <c r="C16" s="35" t="s">
        <v>17</v>
      </c>
      <c r="D16" s="38" t="s">
        <v>17</v>
      </c>
      <c r="E16" s="12">
        <v>45064</v>
      </c>
      <c r="F16" s="36">
        <v>0.5625</v>
      </c>
      <c r="G16" s="35">
        <v>109.6</v>
      </c>
      <c r="H16" s="37">
        <v>1</v>
      </c>
      <c r="I16" s="35">
        <v>209.9</v>
      </c>
      <c r="J16" s="35">
        <v>209.8</v>
      </c>
      <c r="K16" s="14" t="s">
        <v>18</v>
      </c>
      <c r="L16" s="37" t="s">
        <v>52</v>
      </c>
      <c r="M16" s="23" t="s">
        <v>42</v>
      </c>
      <c r="N16" s="35">
        <f t="shared" si="1"/>
        <v>100.20000000000002</v>
      </c>
      <c r="O16" s="17" t="s">
        <v>21</v>
      </c>
      <c r="P16" s="17" t="s">
        <v>22</v>
      </c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spans="1:29" ht="15.75" customHeight="1">
      <c r="A17" s="10" t="s">
        <v>16</v>
      </c>
      <c r="B17" s="39">
        <v>103.2</v>
      </c>
      <c r="C17" s="14" t="s">
        <v>17</v>
      </c>
      <c r="D17" s="13" t="s">
        <v>17</v>
      </c>
      <c r="E17" s="12">
        <v>45065</v>
      </c>
      <c r="F17" s="22">
        <v>0.49722222222222223</v>
      </c>
      <c r="G17" s="14">
        <v>111.1</v>
      </c>
      <c r="H17" s="15">
        <v>0.96</v>
      </c>
      <c r="I17" s="14">
        <v>209.3</v>
      </c>
      <c r="J17" s="14">
        <v>209</v>
      </c>
      <c r="K17" s="14" t="s">
        <v>18</v>
      </c>
      <c r="L17" s="15" t="s">
        <v>53</v>
      </c>
      <c r="M17" s="16" t="s">
        <v>42</v>
      </c>
      <c r="N17" s="14">
        <f t="shared" si="1"/>
        <v>101.97916666666667</v>
      </c>
      <c r="O17" s="17" t="s">
        <v>21</v>
      </c>
      <c r="P17" s="17" t="s">
        <v>54</v>
      </c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spans="1:29" ht="15.75" customHeight="1">
      <c r="A18" s="34" t="s">
        <v>55</v>
      </c>
      <c r="B18" s="35" t="s">
        <v>17</v>
      </c>
      <c r="C18" s="12">
        <v>45065</v>
      </c>
      <c r="D18" s="13">
        <v>0.40138888888888891</v>
      </c>
      <c r="E18" s="12">
        <v>45065</v>
      </c>
      <c r="F18" s="36">
        <v>0.50972222222222219</v>
      </c>
      <c r="G18" s="35">
        <v>110.8</v>
      </c>
      <c r="H18" s="15">
        <v>1.004</v>
      </c>
      <c r="I18" s="35">
        <v>117.2</v>
      </c>
      <c r="J18" s="35">
        <v>117.2</v>
      </c>
      <c r="K18" s="14" t="s">
        <v>18</v>
      </c>
      <c r="L18" s="37" t="s">
        <v>56</v>
      </c>
      <c r="M18" s="23" t="s">
        <v>42</v>
      </c>
      <c r="N18" s="35">
        <f t="shared" si="1"/>
        <v>6.3745019920318784</v>
      </c>
      <c r="O18" s="17" t="s">
        <v>21</v>
      </c>
      <c r="P18" s="40" t="s">
        <v>57</v>
      </c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</row>
    <row r="19" spans="1:29" ht="15.75" customHeight="1">
      <c r="A19" s="34" t="s">
        <v>58</v>
      </c>
      <c r="B19" s="35" t="s">
        <v>17</v>
      </c>
      <c r="C19" s="12">
        <v>45065</v>
      </c>
      <c r="D19" s="13">
        <v>0.35486111111111113</v>
      </c>
      <c r="E19" s="12">
        <v>45065</v>
      </c>
      <c r="F19" s="36">
        <v>0.57152777777777775</v>
      </c>
      <c r="G19" s="35">
        <v>109.8</v>
      </c>
      <c r="H19" s="15">
        <v>1.004</v>
      </c>
      <c r="I19" s="35">
        <v>133.5</v>
      </c>
      <c r="J19" s="35">
        <v>133.19999999999999</v>
      </c>
      <c r="K19" s="14" t="s">
        <v>18</v>
      </c>
      <c r="L19" s="37" t="s">
        <v>59</v>
      </c>
      <c r="M19" s="23" t="s">
        <v>42</v>
      </c>
      <c r="N19" s="35">
        <f t="shared" si="1"/>
        <v>23.306772908366526</v>
      </c>
      <c r="O19" s="17" t="s">
        <v>21</v>
      </c>
      <c r="P19" s="41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</row>
    <row r="20" spans="1:29" ht="15.75" customHeight="1">
      <c r="A20" s="34" t="s">
        <v>60</v>
      </c>
      <c r="B20" s="35">
        <v>102.1</v>
      </c>
      <c r="C20" s="12">
        <v>45068</v>
      </c>
      <c r="D20" s="13" t="s">
        <v>17</v>
      </c>
      <c r="E20" s="12">
        <v>45068</v>
      </c>
      <c r="F20" s="36">
        <v>0.45208333333333334</v>
      </c>
      <c r="G20" s="35">
        <v>108.8</v>
      </c>
      <c r="H20" s="15">
        <v>1</v>
      </c>
      <c r="I20" s="35">
        <v>207.1</v>
      </c>
      <c r="J20" s="35">
        <v>209.2</v>
      </c>
      <c r="K20" s="14">
        <v>209</v>
      </c>
      <c r="L20" s="37" t="s">
        <v>61</v>
      </c>
      <c r="M20" s="23" t="s">
        <v>42</v>
      </c>
      <c r="N20" s="35">
        <f t="shared" si="1"/>
        <v>100.39999999999999</v>
      </c>
      <c r="O20" s="17" t="s">
        <v>21</v>
      </c>
      <c r="P20" s="41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</row>
    <row r="21" spans="1:29" ht="15.75" customHeight="1">
      <c r="A21" s="24" t="s">
        <v>62</v>
      </c>
      <c r="B21" s="25" t="s">
        <v>17</v>
      </c>
      <c r="C21" s="26">
        <v>45068</v>
      </c>
      <c r="D21" s="27">
        <v>0.3527777777777778</v>
      </c>
      <c r="E21" s="26">
        <v>45068</v>
      </c>
      <c r="F21" s="28">
        <v>0.48749999999999999</v>
      </c>
      <c r="G21" s="25">
        <v>109.9</v>
      </c>
      <c r="H21" s="29">
        <v>1</v>
      </c>
      <c r="I21" s="25">
        <v>115.7</v>
      </c>
      <c r="J21" s="25">
        <v>115.1</v>
      </c>
      <c r="K21" s="25">
        <v>115.1</v>
      </c>
      <c r="L21" s="29" t="s">
        <v>63</v>
      </c>
      <c r="M21" s="42" t="s">
        <v>42</v>
      </c>
      <c r="N21" s="25">
        <f t="shared" si="1"/>
        <v>5.1999999999999886</v>
      </c>
      <c r="O21" s="32" t="s">
        <v>21</v>
      </c>
      <c r="P21" s="41" t="s">
        <v>64</v>
      </c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</row>
    <row r="22" spans="1:29" ht="15.75" customHeight="1">
      <c r="A22" s="34" t="s">
        <v>65</v>
      </c>
      <c r="B22" s="35" t="s">
        <v>17</v>
      </c>
      <c r="C22" s="12">
        <v>45068</v>
      </c>
      <c r="D22" s="13">
        <v>0.38472222222222224</v>
      </c>
      <c r="E22" s="12">
        <v>45068</v>
      </c>
      <c r="F22" s="36">
        <v>0.49236111111111114</v>
      </c>
      <c r="G22" s="35">
        <v>109.5</v>
      </c>
      <c r="H22" s="15">
        <v>1</v>
      </c>
      <c r="I22" s="35">
        <v>114.1</v>
      </c>
      <c r="J22" s="35">
        <v>114.1</v>
      </c>
      <c r="K22" s="13" t="s">
        <v>17</v>
      </c>
      <c r="L22" s="37" t="s">
        <v>66</v>
      </c>
      <c r="M22" s="23" t="s">
        <v>42</v>
      </c>
      <c r="N22" s="35">
        <f t="shared" si="1"/>
        <v>4.5999999999999943</v>
      </c>
      <c r="O22" s="17" t="s">
        <v>21</v>
      </c>
      <c r="P22" s="44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</row>
    <row r="23" spans="1:29" ht="15.75" customHeight="1">
      <c r="A23" s="34" t="s">
        <v>60</v>
      </c>
      <c r="B23" s="45">
        <v>102.6</v>
      </c>
      <c r="C23" s="45" t="s">
        <v>17</v>
      </c>
      <c r="D23" s="45" t="s">
        <v>17</v>
      </c>
      <c r="E23" s="46">
        <v>45070</v>
      </c>
      <c r="F23" s="47">
        <v>0.49930555555555556</v>
      </c>
      <c r="G23" s="48">
        <v>109.9</v>
      </c>
      <c r="H23" s="49">
        <v>1</v>
      </c>
      <c r="I23" s="48">
        <v>209.1</v>
      </c>
      <c r="J23" s="48">
        <v>209.8</v>
      </c>
      <c r="K23" s="48">
        <v>209.8</v>
      </c>
      <c r="L23" s="50" t="s">
        <v>67</v>
      </c>
      <c r="M23" s="51" t="s">
        <v>42</v>
      </c>
      <c r="N23" s="45">
        <f t="shared" si="1"/>
        <v>99.9</v>
      </c>
      <c r="O23" s="17" t="s">
        <v>21</v>
      </c>
      <c r="P23" s="52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</row>
    <row r="24" spans="1:29" ht="15.75" customHeight="1">
      <c r="A24" s="10" t="s">
        <v>68</v>
      </c>
      <c r="B24" s="35" t="s">
        <v>17</v>
      </c>
      <c r="C24" s="12">
        <v>45070</v>
      </c>
      <c r="D24" s="13">
        <v>0.31944444444444442</v>
      </c>
      <c r="E24" s="12">
        <v>45070</v>
      </c>
      <c r="F24" s="13">
        <v>0.53125</v>
      </c>
      <c r="G24" s="14">
        <v>109.4</v>
      </c>
      <c r="H24" s="15">
        <v>1</v>
      </c>
      <c r="I24" s="14">
        <v>114.9</v>
      </c>
      <c r="J24" s="14">
        <v>115.2</v>
      </c>
      <c r="K24" s="13" t="s">
        <v>17</v>
      </c>
      <c r="L24" s="16" t="s">
        <v>69</v>
      </c>
      <c r="M24" s="23" t="s">
        <v>42</v>
      </c>
      <c r="N24" s="35">
        <f t="shared" si="1"/>
        <v>5.7999999999999972</v>
      </c>
      <c r="O24" s="17" t="s">
        <v>21</v>
      </c>
      <c r="P24" s="255" t="s">
        <v>70</v>
      </c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</row>
    <row r="25" spans="1:29" ht="15.75" customHeight="1">
      <c r="A25" s="10" t="s">
        <v>71</v>
      </c>
      <c r="B25" s="35" t="s">
        <v>17</v>
      </c>
      <c r="C25" s="12">
        <v>45070</v>
      </c>
      <c r="D25" s="13">
        <v>0.35833333333333334</v>
      </c>
      <c r="E25" s="12">
        <v>45070</v>
      </c>
      <c r="F25" s="13">
        <v>0.53402777777777777</v>
      </c>
      <c r="G25" s="14">
        <v>109.7</v>
      </c>
      <c r="H25" s="15">
        <v>1</v>
      </c>
      <c r="I25" s="14">
        <v>114.9</v>
      </c>
      <c r="J25" s="14">
        <v>115.4</v>
      </c>
      <c r="K25" s="13" t="s">
        <v>17</v>
      </c>
      <c r="L25" s="16" t="s">
        <v>72</v>
      </c>
      <c r="M25" s="23" t="s">
        <v>42</v>
      </c>
      <c r="N25" s="35">
        <f t="shared" si="1"/>
        <v>5.7000000000000028</v>
      </c>
      <c r="O25" s="17" t="s">
        <v>21</v>
      </c>
      <c r="P25" s="253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 spans="1:29" ht="15.75" customHeight="1">
      <c r="A26" s="10" t="s">
        <v>73</v>
      </c>
      <c r="B26" s="35" t="s">
        <v>17</v>
      </c>
      <c r="C26" s="12">
        <v>45070</v>
      </c>
      <c r="D26" s="13">
        <v>0.39027777777777778</v>
      </c>
      <c r="E26" s="12">
        <v>45070</v>
      </c>
      <c r="F26" s="13">
        <v>0.5444444444444444</v>
      </c>
      <c r="G26" s="14">
        <v>110.3</v>
      </c>
      <c r="H26" s="15">
        <v>1</v>
      </c>
      <c r="I26" s="14">
        <v>114.8</v>
      </c>
      <c r="J26" s="14">
        <v>114.8</v>
      </c>
      <c r="K26" s="13" t="s">
        <v>17</v>
      </c>
      <c r="L26" s="16" t="s">
        <v>74</v>
      </c>
      <c r="M26" s="23" t="s">
        <v>42</v>
      </c>
      <c r="N26" s="35">
        <f t="shared" si="1"/>
        <v>4.5</v>
      </c>
      <c r="O26" s="17" t="s">
        <v>21</v>
      </c>
      <c r="P26" s="253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</row>
    <row r="27" spans="1:29" ht="15.75" customHeight="1">
      <c r="A27" s="10" t="s">
        <v>75</v>
      </c>
      <c r="B27" s="35" t="s">
        <v>17</v>
      </c>
      <c r="C27" s="12">
        <v>45070</v>
      </c>
      <c r="D27" s="13">
        <v>10</v>
      </c>
      <c r="E27" s="12">
        <v>45070</v>
      </c>
      <c r="F27" s="13">
        <v>0.5493055555555556</v>
      </c>
      <c r="G27" s="14">
        <v>108.9</v>
      </c>
      <c r="H27" s="15">
        <v>1</v>
      </c>
      <c r="I27" s="14">
        <v>110.7</v>
      </c>
      <c r="J27" s="14">
        <v>110.7</v>
      </c>
      <c r="K27" s="13" t="s">
        <v>17</v>
      </c>
      <c r="L27" s="16" t="s">
        <v>76</v>
      </c>
      <c r="M27" s="23" t="s">
        <v>42</v>
      </c>
      <c r="N27" s="35">
        <f t="shared" si="1"/>
        <v>1.7999999999999972</v>
      </c>
      <c r="O27" s="17" t="s">
        <v>21</v>
      </c>
      <c r="P27" s="253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</row>
    <row r="28" spans="1:29" ht="15.75" customHeight="1">
      <c r="A28" s="10" t="s">
        <v>77</v>
      </c>
      <c r="B28" s="35" t="s">
        <v>17</v>
      </c>
      <c r="C28" s="12">
        <v>45070</v>
      </c>
      <c r="D28" s="13">
        <v>0.44930555555555557</v>
      </c>
      <c r="E28" s="12">
        <v>45070</v>
      </c>
      <c r="F28" s="13">
        <v>0.55277777777777781</v>
      </c>
      <c r="G28" s="14">
        <v>109.5</v>
      </c>
      <c r="H28" s="15">
        <v>1</v>
      </c>
      <c r="I28" s="14">
        <v>114.4</v>
      </c>
      <c r="J28" s="14">
        <v>114.4</v>
      </c>
      <c r="K28" s="13" t="s">
        <v>17</v>
      </c>
      <c r="L28" s="16" t="s">
        <v>78</v>
      </c>
      <c r="M28" s="23" t="s">
        <v>42</v>
      </c>
      <c r="N28" s="35">
        <f t="shared" si="1"/>
        <v>4.9000000000000057</v>
      </c>
      <c r="O28" s="17" t="s">
        <v>21</v>
      </c>
      <c r="P28" s="253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</row>
    <row r="29" spans="1:29" ht="15.75" customHeight="1">
      <c r="A29" s="10" t="s">
        <v>79</v>
      </c>
      <c r="B29" s="35" t="s">
        <v>17</v>
      </c>
      <c r="C29" s="12">
        <v>45070</v>
      </c>
      <c r="D29" s="22">
        <v>0.51458333333333328</v>
      </c>
      <c r="E29" s="12">
        <v>45070</v>
      </c>
      <c r="F29" s="13">
        <v>0.69722222222222219</v>
      </c>
      <c r="G29" s="14">
        <v>109.9</v>
      </c>
      <c r="H29" s="15">
        <v>1</v>
      </c>
      <c r="I29" s="14">
        <v>132.1</v>
      </c>
      <c r="J29" s="14">
        <v>132.4</v>
      </c>
      <c r="K29" s="13" t="s">
        <v>17</v>
      </c>
      <c r="L29" s="16" t="s">
        <v>80</v>
      </c>
      <c r="M29" s="23" t="s">
        <v>42</v>
      </c>
      <c r="N29" s="35">
        <f t="shared" si="1"/>
        <v>22.5</v>
      </c>
      <c r="O29" s="17" t="s">
        <v>21</v>
      </c>
      <c r="P29" s="253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</row>
    <row r="30" spans="1:29" ht="15.75" customHeight="1">
      <c r="A30" s="10" t="s">
        <v>81</v>
      </c>
      <c r="B30" s="35" t="s">
        <v>17</v>
      </c>
      <c r="C30" s="12">
        <v>45070</v>
      </c>
      <c r="D30" s="22">
        <v>0.53680555555555554</v>
      </c>
      <c r="E30" s="12">
        <v>45070</v>
      </c>
      <c r="F30" s="13">
        <v>0.70208333333333328</v>
      </c>
      <c r="G30" s="14">
        <v>110.5</v>
      </c>
      <c r="H30" s="15">
        <v>1</v>
      </c>
      <c r="I30" s="14">
        <v>115</v>
      </c>
      <c r="J30" s="14">
        <v>115.1</v>
      </c>
      <c r="K30" s="13" t="s">
        <v>17</v>
      </c>
      <c r="L30" s="16" t="s">
        <v>82</v>
      </c>
      <c r="M30" s="23" t="s">
        <v>42</v>
      </c>
      <c r="N30" s="35">
        <f t="shared" si="1"/>
        <v>4.5999999999999943</v>
      </c>
      <c r="O30" s="17" t="s">
        <v>21</v>
      </c>
      <c r="P30" s="253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</row>
    <row r="31" spans="1:29" ht="15.75" customHeight="1">
      <c r="A31" s="10" t="s">
        <v>83</v>
      </c>
      <c r="B31" s="35" t="s">
        <v>17</v>
      </c>
      <c r="C31" s="12">
        <v>45070</v>
      </c>
      <c r="D31" s="22">
        <v>0.58125000000000004</v>
      </c>
      <c r="E31" s="12">
        <v>45070</v>
      </c>
      <c r="F31" s="13">
        <v>0.70416666666666672</v>
      </c>
      <c r="G31" s="14">
        <v>110.3</v>
      </c>
      <c r="H31" s="15">
        <v>1</v>
      </c>
      <c r="I31" s="14">
        <v>114.1</v>
      </c>
      <c r="J31" s="14">
        <v>114.3</v>
      </c>
      <c r="K31" s="13" t="s">
        <v>17</v>
      </c>
      <c r="L31" s="16" t="s">
        <v>84</v>
      </c>
      <c r="M31" s="23" t="s">
        <v>42</v>
      </c>
      <c r="N31" s="35">
        <f t="shared" si="1"/>
        <v>4</v>
      </c>
      <c r="O31" s="17" t="s">
        <v>21</v>
      </c>
      <c r="P31" s="253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</row>
    <row r="32" spans="1:29" ht="15.75" customHeight="1">
      <c r="A32" s="10" t="s">
        <v>85</v>
      </c>
      <c r="B32" s="35" t="s">
        <v>17</v>
      </c>
      <c r="C32" s="12">
        <v>45070</v>
      </c>
      <c r="D32" s="22">
        <v>0.6020833333333333</v>
      </c>
      <c r="E32" s="12">
        <v>45070</v>
      </c>
      <c r="F32" s="13">
        <v>0.69930555555555551</v>
      </c>
      <c r="G32" s="14">
        <v>110.4</v>
      </c>
      <c r="H32" s="15">
        <v>1</v>
      </c>
      <c r="I32" s="14">
        <v>114.7</v>
      </c>
      <c r="J32" s="14">
        <v>114.4</v>
      </c>
      <c r="K32" s="13" t="s">
        <v>17</v>
      </c>
      <c r="L32" s="16" t="s">
        <v>86</v>
      </c>
      <c r="M32" s="23" t="s">
        <v>42</v>
      </c>
      <c r="N32" s="35">
        <f t="shared" si="1"/>
        <v>4</v>
      </c>
      <c r="O32" s="17" t="s">
        <v>21</v>
      </c>
      <c r="P32" s="254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spans="1:29" ht="15.75" customHeight="1">
      <c r="A33" s="34" t="s">
        <v>60</v>
      </c>
      <c r="B33" s="14">
        <v>102.3</v>
      </c>
      <c r="C33" s="35" t="s">
        <v>17</v>
      </c>
      <c r="D33" s="38" t="s">
        <v>17</v>
      </c>
      <c r="E33" s="12">
        <v>45071</v>
      </c>
      <c r="F33" s="13">
        <v>0.46319444444444446</v>
      </c>
      <c r="G33" s="14">
        <v>109.9</v>
      </c>
      <c r="H33" s="15">
        <v>1</v>
      </c>
      <c r="I33" s="14">
        <v>207.8</v>
      </c>
      <c r="J33" s="14">
        <v>207.1</v>
      </c>
      <c r="K33" s="13" t="s">
        <v>17</v>
      </c>
      <c r="L33" s="16" t="s">
        <v>87</v>
      </c>
      <c r="M33" s="16" t="s">
        <v>20</v>
      </c>
      <c r="N33" s="35">
        <f t="shared" si="1"/>
        <v>97.199999999999989</v>
      </c>
      <c r="O33" s="17" t="s">
        <v>21</v>
      </c>
      <c r="P33" s="256" t="s">
        <v>88</v>
      </c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 spans="1:29" ht="15.75" customHeight="1">
      <c r="A34" s="10" t="s">
        <v>89</v>
      </c>
      <c r="B34" s="35" t="s">
        <v>17</v>
      </c>
      <c r="C34" s="12">
        <v>45071</v>
      </c>
      <c r="D34" s="22">
        <v>0.36319444444444443</v>
      </c>
      <c r="E34" s="12">
        <v>45071</v>
      </c>
      <c r="F34" s="13">
        <v>0.48749999999999999</v>
      </c>
      <c r="G34" s="14">
        <v>110.4</v>
      </c>
      <c r="H34" s="15">
        <v>1</v>
      </c>
      <c r="I34" s="14">
        <v>115.1</v>
      </c>
      <c r="J34" s="14">
        <v>115.1</v>
      </c>
      <c r="K34" s="13" t="s">
        <v>17</v>
      </c>
      <c r="L34" s="16" t="s">
        <v>90</v>
      </c>
      <c r="M34" s="16" t="s">
        <v>20</v>
      </c>
      <c r="N34" s="35">
        <f t="shared" si="1"/>
        <v>4.6999999999999886</v>
      </c>
      <c r="O34" s="17" t="s">
        <v>21</v>
      </c>
      <c r="P34" s="253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</row>
    <row r="35" spans="1:29" ht="15.75" customHeight="1">
      <c r="A35" s="10" t="s">
        <v>91</v>
      </c>
      <c r="B35" s="35" t="s">
        <v>17</v>
      </c>
      <c r="C35" s="12">
        <v>45071</v>
      </c>
      <c r="D35" s="22">
        <v>0.39513888888888887</v>
      </c>
      <c r="E35" s="12">
        <v>45071</v>
      </c>
      <c r="F35" s="13">
        <v>0.4909722222222222</v>
      </c>
      <c r="G35" s="14">
        <v>109.1</v>
      </c>
      <c r="H35" s="15">
        <v>1</v>
      </c>
      <c r="I35" s="14">
        <v>114.7</v>
      </c>
      <c r="J35" s="14">
        <v>115.1</v>
      </c>
      <c r="K35" s="13" t="s">
        <v>17</v>
      </c>
      <c r="L35" s="16" t="s">
        <v>92</v>
      </c>
      <c r="M35" s="16" t="s">
        <v>20</v>
      </c>
      <c r="N35" s="35">
        <f t="shared" si="1"/>
        <v>6</v>
      </c>
      <c r="O35" s="17" t="s">
        <v>21</v>
      </c>
      <c r="P35" s="253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</row>
    <row r="36" spans="1:29" ht="15.75" customHeight="1">
      <c r="A36" s="10" t="s">
        <v>93</v>
      </c>
      <c r="B36" s="35" t="s">
        <v>17</v>
      </c>
      <c r="C36" s="12">
        <v>45071</v>
      </c>
      <c r="D36" s="22">
        <v>0.63472222222222219</v>
      </c>
      <c r="E36" s="12">
        <v>45071</v>
      </c>
      <c r="F36" s="13">
        <v>0.49444444444444446</v>
      </c>
      <c r="G36" s="14">
        <v>110.1</v>
      </c>
      <c r="H36" s="15">
        <v>1</v>
      </c>
      <c r="I36" s="14">
        <v>112.2</v>
      </c>
      <c r="J36" s="14">
        <v>112.2</v>
      </c>
      <c r="K36" s="13" t="s">
        <v>17</v>
      </c>
      <c r="L36" s="16" t="s">
        <v>94</v>
      </c>
      <c r="M36" s="16" t="s">
        <v>20</v>
      </c>
      <c r="N36" s="35">
        <f t="shared" si="1"/>
        <v>2.1000000000000085</v>
      </c>
      <c r="O36" s="17" t="s">
        <v>21</v>
      </c>
      <c r="P36" s="254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</row>
    <row r="37" spans="1:29" ht="15.75" customHeight="1">
      <c r="A37" s="34" t="s">
        <v>60</v>
      </c>
      <c r="B37" s="14">
        <v>100</v>
      </c>
      <c r="C37" s="35" t="s">
        <v>17</v>
      </c>
      <c r="D37" s="54" t="s">
        <v>17</v>
      </c>
      <c r="E37" s="12">
        <v>45089</v>
      </c>
      <c r="F37" s="13">
        <v>0.50138888888888888</v>
      </c>
      <c r="G37" s="14">
        <v>110.8</v>
      </c>
      <c r="H37" s="15">
        <v>1</v>
      </c>
      <c r="I37" s="14">
        <v>209.9</v>
      </c>
      <c r="J37" s="14">
        <v>209.9</v>
      </c>
      <c r="K37" s="13" t="s">
        <v>17</v>
      </c>
      <c r="L37" s="16" t="s">
        <v>95</v>
      </c>
      <c r="M37" s="16" t="s">
        <v>96</v>
      </c>
      <c r="N37" s="35">
        <f t="shared" si="1"/>
        <v>99.100000000000009</v>
      </c>
      <c r="O37" s="17" t="s">
        <v>21</v>
      </c>
      <c r="P37" s="252" t="s">
        <v>97</v>
      </c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</row>
    <row r="38" spans="1:29" ht="15.75" customHeight="1">
      <c r="A38" s="10" t="s">
        <v>98</v>
      </c>
      <c r="B38" s="35" t="s">
        <v>17</v>
      </c>
      <c r="C38" s="12">
        <v>45089</v>
      </c>
      <c r="D38" s="13">
        <v>0.42083333333333334</v>
      </c>
      <c r="E38" s="12">
        <v>45089</v>
      </c>
      <c r="F38" s="55">
        <v>0.62569444444444444</v>
      </c>
      <c r="G38" s="14">
        <v>109.6</v>
      </c>
      <c r="H38" s="15">
        <v>1</v>
      </c>
      <c r="I38" s="14">
        <v>130</v>
      </c>
      <c r="J38" s="14">
        <v>129.5</v>
      </c>
      <c r="K38" s="13" t="s">
        <v>17</v>
      </c>
      <c r="L38" s="16" t="s">
        <v>99</v>
      </c>
      <c r="M38" s="16" t="s">
        <v>96</v>
      </c>
      <c r="N38" s="35">
        <f t="shared" si="1"/>
        <v>19.900000000000006</v>
      </c>
      <c r="O38" s="17" t="s">
        <v>21</v>
      </c>
      <c r="P38" s="253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</row>
    <row r="39" spans="1:29" ht="15.75" customHeight="1">
      <c r="A39" s="10" t="s">
        <v>100</v>
      </c>
      <c r="B39" s="35" t="s">
        <v>17</v>
      </c>
      <c r="C39" s="12">
        <v>45089</v>
      </c>
      <c r="D39" s="13">
        <v>0.47222222222222221</v>
      </c>
      <c r="E39" s="12">
        <v>45089</v>
      </c>
      <c r="F39" s="13">
        <v>0.62847222222222221</v>
      </c>
      <c r="G39" s="14">
        <v>110.5</v>
      </c>
      <c r="H39" s="15">
        <v>1</v>
      </c>
      <c r="I39" s="14">
        <v>129</v>
      </c>
      <c r="J39" s="14">
        <v>128.5</v>
      </c>
      <c r="K39" s="13" t="s">
        <v>17</v>
      </c>
      <c r="L39" s="16" t="s">
        <v>101</v>
      </c>
      <c r="M39" s="16" t="s">
        <v>96</v>
      </c>
      <c r="N39" s="35">
        <f t="shared" si="1"/>
        <v>18</v>
      </c>
      <c r="O39" s="17" t="s">
        <v>21</v>
      </c>
      <c r="P39" s="253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</row>
    <row r="40" spans="1:29" ht="15.75" customHeight="1">
      <c r="A40" s="10" t="s">
        <v>102</v>
      </c>
      <c r="B40" s="35" t="s">
        <v>17</v>
      </c>
      <c r="C40" s="12">
        <v>45089</v>
      </c>
      <c r="D40" s="13">
        <v>0.4548611111111111</v>
      </c>
      <c r="E40" s="12">
        <v>45089</v>
      </c>
      <c r="F40" s="13">
        <v>0.63055555555555554</v>
      </c>
      <c r="G40" s="14">
        <v>110.4</v>
      </c>
      <c r="H40" s="15">
        <v>1</v>
      </c>
      <c r="I40" s="14">
        <v>139.5</v>
      </c>
      <c r="J40" s="14">
        <v>139.19999999999999</v>
      </c>
      <c r="K40" s="13" t="s">
        <v>17</v>
      </c>
      <c r="L40" s="16" t="s">
        <v>103</v>
      </c>
      <c r="M40" s="16" t="s">
        <v>96</v>
      </c>
      <c r="N40" s="35">
        <f t="shared" si="1"/>
        <v>28.799999999999983</v>
      </c>
      <c r="O40" s="17" t="s">
        <v>21</v>
      </c>
      <c r="P40" s="253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 spans="1:29" ht="15.75" customHeight="1">
      <c r="A41" s="10" t="s">
        <v>104</v>
      </c>
      <c r="B41" s="35" t="s">
        <v>17</v>
      </c>
      <c r="C41" s="12">
        <v>45089</v>
      </c>
      <c r="D41" s="13">
        <v>0.52013888888888893</v>
      </c>
      <c r="E41" s="12">
        <v>0.52013888888888893</v>
      </c>
      <c r="F41" s="13">
        <v>0.50902777777777775</v>
      </c>
      <c r="G41" s="14">
        <v>109.3</v>
      </c>
      <c r="H41" s="15">
        <v>1</v>
      </c>
      <c r="I41" s="14">
        <v>131</v>
      </c>
      <c r="J41" s="14">
        <v>130.9</v>
      </c>
      <c r="K41" s="13" t="s">
        <v>17</v>
      </c>
      <c r="L41" s="16" t="s">
        <v>105</v>
      </c>
      <c r="M41" s="16" t="s">
        <v>96</v>
      </c>
      <c r="N41" s="35">
        <f t="shared" si="1"/>
        <v>21.600000000000009</v>
      </c>
      <c r="O41" s="17" t="s">
        <v>21</v>
      </c>
      <c r="P41" s="254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</row>
    <row r="42" spans="1:29" ht="15.75" customHeight="1">
      <c r="A42" s="10" t="s">
        <v>106</v>
      </c>
      <c r="B42" s="35" t="s">
        <v>17</v>
      </c>
      <c r="C42" s="12">
        <v>45089</v>
      </c>
      <c r="D42" s="13">
        <v>0.47499999999999998</v>
      </c>
      <c r="E42" s="12">
        <v>45089</v>
      </c>
      <c r="F42" s="13">
        <v>0.47499999999999998</v>
      </c>
      <c r="G42" s="14">
        <v>110.2</v>
      </c>
      <c r="H42" s="15">
        <v>1</v>
      </c>
      <c r="I42" s="14">
        <v>135.5</v>
      </c>
      <c r="J42" s="14">
        <v>135</v>
      </c>
      <c r="K42" s="19">
        <v>135</v>
      </c>
      <c r="L42" s="16" t="s">
        <v>107</v>
      </c>
      <c r="M42" s="16" t="s">
        <v>96</v>
      </c>
      <c r="N42" s="35">
        <f t="shared" si="1"/>
        <v>24.799999999999997</v>
      </c>
      <c r="O42" s="17" t="s">
        <v>21</v>
      </c>
      <c r="P42" s="252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</row>
    <row r="43" spans="1:29" ht="15.75" customHeight="1">
      <c r="A43" s="10" t="s">
        <v>108</v>
      </c>
      <c r="B43" s="35" t="s">
        <v>17</v>
      </c>
      <c r="C43" s="12">
        <v>45089</v>
      </c>
      <c r="D43" s="13">
        <v>0.48125000000000001</v>
      </c>
      <c r="E43" s="12">
        <v>45090</v>
      </c>
      <c r="F43" s="13">
        <v>0.48125000000000001</v>
      </c>
      <c r="G43" s="14">
        <v>109.2</v>
      </c>
      <c r="H43" s="15">
        <v>1</v>
      </c>
      <c r="I43" s="14">
        <v>137.1</v>
      </c>
      <c r="J43" s="14">
        <v>137</v>
      </c>
      <c r="K43" s="13" t="s">
        <v>17</v>
      </c>
      <c r="L43" s="16" t="s">
        <v>109</v>
      </c>
      <c r="M43" s="16" t="s">
        <v>96</v>
      </c>
      <c r="N43" s="35">
        <f t="shared" si="1"/>
        <v>27.799999999999997</v>
      </c>
      <c r="O43" s="17" t="s">
        <v>21</v>
      </c>
      <c r="P43" s="254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</row>
    <row r="44" spans="1:29" ht="15.75" customHeight="1">
      <c r="A44" s="34" t="s">
        <v>60</v>
      </c>
      <c r="B44" s="14">
        <v>100</v>
      </c>
      <c r="C44" s="35" t="s">
        <v>17</v>
      </c>
      <c r="D44" s="19" t="s">
        <v>17</v>
      </c>
      <c r="E44" s="12">
        <v>45091</v>
      </c>
      <c r="F44" s="13">
        <v>0.58125000000000004</v>
      </c>
      <c r="G44" s="14">
        <v>110.2</v>
      </c>
      <c r="H44" s="15">
        <v>1</v>
      </c>
      <c r="I44" s="14">
        <v>205.6</v>
      </c>
      <c r="J44" s="14">
        <v>205.2</v>
      </c>
      <c r="K44" s="13" t="s">
        <v>17</v>
      </c>
      <c r="L44" s="16" t="s">
        <v>110</v>
      </c>
      <c r="M44" s="16" t="s">
        <v>96</v>
      </c>
      <c r="N44" s="35">
        <f t="shared" si="1"/>
        <v>94.999999999999986</v>
      </c>
      <c r="O44" s="17" t="s">
        <v>21</v>
      </c>
      <c r="P44" s="252" t="s">
        <v>111</v>
      </c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</row>
    <row r="45" spans="1:29" ht="15.75" customHeight="1">
      <c r="A45" s="56" t="s">
        <v>112</v>
      </c>
      <c r="B45" s="35" t="s">
        <v>17</v>
      </c>
      <c r="C45" s="12">
        <v>45091</v>
      </c>
      <c r="D45" s="57">
        <v>0.38055555555555554</v>
      </c>
      <c r="E45" s="12">
        <v>45091</v>
      </c>
      <c r="F45" s="13">
        <v>0.5708333333333333</v>
      </c>
      <c r="G45" s="14">
        <v>109.4</v>
      </c>
      <c r="H45" s="15">
        <v>1</v>
      </c>
      <c r="I45" s="14">
        <v>129.6</v>
      </c>
      <c r="J45" s="14">
        <v>129.5</v>
      </c>
      <c r="K45" s="13" t="s">
        <v>17</v>
      </c>
      <c r="L45" s="16" t="s">
        <v>113</v>
      </c>
      <c r="M45" s="16" t="s">
        <v>96</v>
      </c>
      <c r="N45" s="35">
        <f t="shared" si="1"/>
        <v>20.099999999999994</v>
      </c>
      <c r="O45" s="17" t="s">
        <v>21</v>
      </c>
      <c r="P45" s="253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</row>
    <row r="46" spans="1:29" ht="15.75" customHeight="1">
      <c r="A46" s="10" t="s">
        <v>114</v>
      </c>
      <c r="B46" s="35" t="s">
        <v>17</v>
      </c>
      <c r="C46" s="12">
        <v>45091</v>
      </c>
      <c r="D46" s="57">
        <v>0.3611111111111111</v>
      </c>
      <c r="E46" s="12">
        <v>45091</v>
      </c>
      <c r="F46" s="13">
        <v>0.57222222222222219</v>
      </c>
      <c r="G46" s="14">
        <v>111.5</v>
      </c>
      <c r="H46" s="15">
        <v>1</v>
      </c>
      <c r="I46" s="14">
        <v>136.6</v>
      </c>
      <c r="J46" s="14">
        <v>136.6</v>
      </c>
      <c r="K46" s="13" t="s">
        <v>17</v>
      </c>
      <c r="L46" s="16" t="s">
        <v>115</v>
      </c>
      <c r="M46" s="16" t="s">
        <v>96</v>
      </c>
      <c r="N46" s="35">
        <f t="shared" si="1"/>
        <v>25.099999999999994</v>
      </c>
      <c r="O46" s="17" t="s">
        <v>21</v>
      </c>
      <c r="P46" s="253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</row>
    <row r="47" spans="1:29" ht="15.75" customHeight="1">
      <c r="A47" s="10" t="s">
        <v>116</v>
      </c>
      <c r="B47" s="35" t="s">
        <v>17</v>
      </c>
      <c r="C47" s="12">
        <v>45091</v>
      </c>
      <c r="D47" s="57">
        <v>0.41666666666666669</v>
      </c>
      <c r="E47" s="12">
        <v>45091</v>
      </c>
      <c r="F47" s="13">
        <v>0.57430555555555551</v>
      </c>
      <c r="G47" s="14">
        <v>110.1</v>
      </c>
      <c r="H47" s="15">
        <v>1</v>
      </c>
      <c r="I47" s="14">
        <v>132.9</v>
      </c>
      <c r="J47" s="58">
        <v>132.6</v>
      </c>
      <c r="K47" s="13" t="s">
        <v>17</v>
      </c>
      <c r="L47" s="16" t="s">
        <v>117</v>
      </c>
      <c r="M47" s="16" t="s">
        <v>96</v>
      </c>
      <c r="N47" s="35">
        <f t="shared" si="1"/>
        <v>22.5</v>
      </c>
      <c r="O47" s="17" t="s">
        <v>21</v>
      </c>
      <c r="P47" s="254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</row>
    <row r="48" spans="1:29" ht="15.75" customHeight="1">
      <c r="A48" s="34" t="s">
        <v>60</v>
      </c>
      <c r="B48" s="14">
        <v>100</v>
      </c>
      <c r="C48" s="35" t="s">
        <v>17</v>
      </c>
      <c r="D48" s="19" t="s">
        <v>17</v>
      </c>
      <c r="E48" s="12">
        <v>45092</v>
      </c>
      <c r="F48" s="13">
        <v>0.5625</v>
      </c>
      <c r="G48" s="14">
        <v>108.9</v>
      </c>
      <c r="H48" s="15">
        <v>1</v>
      </c>
      <c r="I48" s="14">
        <v>208.6</v>
      </c>
      <c r="J48" s="14">
        <v>208.5</v>
      </c>
      <c r="K48" s="13" t="s">
        <v>17</v>
      </c>
      <c r="L48" s="59" t="s">
        <v>118</v>
      </c>
      <c r="M48" s="16" t="s">
        <v>96</v>
      </c>
      <c r="N48" s="35">
        <f t="shared" si="1"/>
        <v>99.6</v>
      </c>
      <c r="O48" s="17" t="s">
        <v>21</v>
      </c>
      <c r="P48" s="252" t="s">
        <v>119</v>
      </c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</row>
    <row r="49" spans="1:29" ht="15.75" customHeight="1">
      <c r="A49" s="10" t="s">
        <v>120</v>
      </c>
      <c r="B49" s="35" t="s">
        <v>17</v>
      </c>
      <c r="C49" s="12">
        <v>45092</v>
      </c>
      <c r="D49" s="13">
        <v>0.42083333333333334</v>
      </c>
      <c r="E49" s="12">
        <v>45092</v>
      </c>
      <c r="F49" s="13">
        <v>0.6166666666666667</v>
      </c>
      <c r="G49" s="14">
        <v>109.6</v>
      </c>
      <c r="H49" s="15">
        <v>1</v>
      </c>
      <c r="I49" s="14">
        <v>132.1</v>
      </c>
      <c r="J49" s="14">
        <v>131.69999999999999</v>
      </c>
      <c r="K49" s="13" t="s">
        <v>17</v>
      </c>
      <c r="L49" s="16" t="s">
        <v>121</v>
      </c>
      <c r="M49" s="16" t="s">
        <v>96</v>
      </c>
      <c r="N49" s="35">
        <f t="shared" si="1"/>
        <v>22.099999999999994</v>
      </c>
      <c r="O49" s="17" t="s">
        <v>21</v>
      </c>
      <c r="P49" s="253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</row>
    <row r="50" spans="1:29" ht="15.75" customHeight="1">
      <c r="A50" s="10" t="s">
        <v>122</v>
      </c>
      <c r="B50" s="35" t="s">
        <v>17</v>
      </c>
      <c r="C50" s="12">
        <v>45092</v>
      </c>
      <c r="D50" s="13">
        <v>0.44305555555555554</v>
      </c>
      <c r="E50" s="12">
        <v>45092</v>
      </c>
      <c r="F50" s="13">
        <v>0.61805555555555558</v>
      </c>
      <c r="G50" s="14">
        <v>110</v>
      </c>
      <c r="H50" s="15">
        <v>1</v>
      </c>
      <c r="I50" s="14">
        <v>131.30000000000001</v>
      </c>
      <c r="J50" s="14">
        <v>130.80000000000001</v>
      </c>
      <c r="K50" s="13" t="s">
        <v>17</v>
      </c>
      <c r="L50" s="16" t="s">
        <v>123</v>
      </c>
      <c r="M50" s="16" t="s">
        <v>96</v>
      </c>
      <c r="N50" s="35">
        <f t="shared" si="1"/>
        <v>20.800000000000011</v>
      </c>
      <c r="O50" s="17" t="s">
        <v>21</v>
      </c>
      <c r="P50" s="253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</row>
    <row r="51" spans="1:29" ht="15.75" customHeight="1">
      <c r="A51" s="10" t="s">
        <v>124</v>
      </c>
      <c r="B51" s="35" t="s">
        <v>17</v>
      </c>
      <c r="C51" s="60">
        <v>45092</v>
      </c>
      <c r="D51" s="13">
        <v>0.46944444444444444</v>
      </c>
      <c r="E51" s="60">
        <v>45092</v>
      </c>
      <c r="F51" s="13">
        <v>0.61875000000000002</v>
      </c>
      <c r="G51" s="14">
        <v>109.3</v>
      </c>
      <c r="H51" s="15">
        <v>1</v>
      </c>
      <c r="I51" s="14">
        <v>133.30000000000001</v>
      </c>
      <c r="J51" s="14">
        <v>133.30000000000001</v>
      </c>
      <c r="K51" s="13" t="s">
        <v>17</v>
      </c>
      <c r="L51" s="16" t="s">
        <v>125</v>
      </c>
      <c r="M51" s="16" t="s">
        <v>96</v>
      </c>
      <c r="N51" s="35">
        <f t="shared" si="1"/>
        <v>24.000000000000014</v>
      </c>
      <c r="O51" s="17" t="s">
        <v>21</v>
      </c>
      <c r="P51" s="254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</row>
    <row r="52" spans="1:29" ht="15.75" customHeight="1">
      <c r="A52" s="34" t="s">
        <v>60</v>
      </c>
      <c r="B52" s="14">
        <v>100</v>
      </c>
      <c r="C52" s="35" t="s">
        <v>17</v>
      </c>
      <c r="D52" s="22">
        <v>0.43888888888888888</v>
      </c>
      <c r="E52" s="12">
        <v>45098</v>
      </c>
      <c r="F52" s="55">
        <v>0.43888888888888888</v>
      </c>
      <c r="G52" s="14">
        <v>110.5</v>
      </c>
      <c r="H52" s="15">
        <v>1</v>
      </c>
      <c r="I52" s="14">
        <v>207.9</v>
      </c>
      <c r="J52" s="14">
        <v>207.7</v>
      </c>
      <c r="K52" s="13" t="s">
        <v>17</v>
      </c>
      <c r="L52" s="16" t="s">
        <v>126</v>
      </c>
      <c r="M52" s="16" t="s">
        <v>96</v>
      </c>
      <c r="N52" s="35">
        <f t="shared" si="1"/>
        <v>97.199999999999989</v>
      </c>
      <c r="O52" s="17" t="s">
        <v>21</v>
      </c>
      <c r="P52" s="252" t="s">
        <v>127</v>
      </c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</row>
    <row r="53" spans="1:29" ht="15.75" customHeight="1">
      <c r="A53" s="10" t="s">
        <v>128</v>
      </c>
      <c r="B53" s="35" t="s">
        <v>17</v>
      </c>
      <c r="C53" s="12">
        <v>45098</v>
      </c>
      <c r="D53" s="22">
        <v>0.5083333333333333</v>
      </c>
      <c r="E53" s="12">
        <v>45098</v>
      </c>
      <c r="F53" s="13">
        <v>0.47291666666666665</v>
      </c>
      <c r="G53" s="14">
        <v>110</v>
      </c>
      <c r="H53" s="15">
        <v>1</v>
      </c>
      <c r="I53" s="14">
        <v>132.80000000000001</v>
      </c>
      <c r="J53" s="14">
        <v>132.80000000000001</v>
      </c>
      <c r="K53" s="13" t="s">
        <v>17</v>
      </c>
      <c r="L53" s="16" t="s">
        <v>129</v>
      </c>
      <c r="M53" s="16" t="s">
        <v>96</v>
      </c>
      <c r="N53" s="35">
        <f t="shared" si="1"/>
        <v>22.800000000000011</v>
      </c>
      <c r="O53" s="17" t="s">
        <v>21</v>
      </c>
      <c r="P53" s="253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</row>
    <row r="54" spans="1:29" ht="15.75" customHeight="1">
      <c r="A54" s="10" t="s">
        <v>130</v>
      </c>
      <c r="B54" s="35" t="s">
        <v>17</v>
      </c>
      <c r="C54" s="12">
        <v>45098</v>
      </c>
      <c r="D54" s="22">
        <v>0.55555555555555558</v>
      </c>
      <c r="E54" s="12">
        <v>45098</v>
      </c>
      <c r="F54" s="13">
        <v>0.47569444444444442</v>
      </c>
      <c r="G54" s="14">
        <v>110.2</v>
      </c>
      <c r="H54" s="15">
        <v>1</v>
      </c>
      <c r="I54" s="14">
        <v>133.69999999999999</v>
      </c>
      <c r="J54" s="14">
        <v>134.69999999999999</v>
      </c>
      <c r="K54" s="19">
        <v>133.5</v>
      </c>
      <c r="L54" s="16" t="s">
        <v>131</v>
      </c>
      <c r="M54" s="16" t="s">
        <v>96</v>
      </c>
      <c r="N54" s="35">
        <f t="shared" si="1"/>
        <v>24.499999999999986</v>
      </c>
      <c r="O54" s="17" t="s">
        <v>21</v>
      </c>
      <c r="P54" s="253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</row>
    <row r="55" spans="1:29" ht="15.75" customHeight="1">
      <c r="A55" s="10" t="s">
        <v>132</v>
      </c>
      <c r="B55" s="35" t="s">
        <v>17</v>
      </c>
      <c r="C55" s="12">
        <v>45098</v>
      </c>
      <c r="D55" s="13">
        <v>0.58680555555555558</v>
      </c>
      <c r="E55" s="12">
        <v>45098</v>
      </c>
      <c r="F55" s="13">
        <v>0.48055555555555557</v>
      </c>
      <c r="G55" s="14">
        <v>109.8</v>
      </c>
      <c r="H55" s="15">
        <v>1</v>
      </c>
      <c r="I55" s="14">
        <v>130.1</v>
      </c>
      <c r="J55" s="14">
        <v>130</v>
      </c>
      <c r="K55" s="13" t="s">
        <v>17</v>
      </c>
      <c r="L55" s="16" t="s">
        <v>133</v>
      </c>
      <c r="M55" s="16" t="s">
        <v>96</v>
      </c>
      <c r="N55" s="35">
        <f t="shared" si="1"/>
        <v>20.200000000000003</v>
      </c>
      <c r="O55" s="17" t="s">
        <v>21</v>
      </c>
      <c r="P55" s="253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</row>
    <row r="56" spans="1:29" ht="15.75" customHeight="1">
      <c r="A56" s="10" t="s">
        <v>134</v>
      </c>
      <c r="B56" s="35" t="s">
        <v>17</v>
      </c>
      <c r="C56" s="12">
        <v>45098</v>
      </c>
      <c r="D56" s="22">
        <v>0.62847222222222221</v>
      </c>
      <c r="E56" s="12">
        <v>45098</v>
      </c>
      <c r="F56" s="13">
        <v>0.48402777777777778</v>
      </c>
      <c r="G56" s="14">
        <v>109.9</v>
      </c>
      <c r="H56" s="15">
        <v>1</v>
      </c>
      <c r="I56" s="14">
        <v>130.30000000000001</v>
      </c>
      <c r="J56" s="14">
        <v>130.19999999999999</v>
      </c>
      <c r="K56" s="13" t="s">
        <v>17</v>
      </c>
      <c r="L56" s="16" t="s">
        <v>135</v>
      </c>
      <c r="M56" s="16" t="s">
        <v>96</v>
      </c>
      <c r="N56" s="35">
        <f t="shared" si="1"/>
        <v>20.299999999999983</v>
      </c>
      <c r="O56" s="17" t="s">
        <v>21</v>
      </c>
      <c r="P56" s="254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</row>
    <row r="57" spans="1:29" ht="15.75" customHeight="1">
      <c r="A57" s="34" t="s">
        <v>60</v>
      </c>
      <c r="B57" s="14">
        <v>100</v>
      </c>
      <c r="C57" s="35" t="s">
        <v>17</v>
      </c>
      <c r="D57" s="19" t="s">
        <v>17</v>
      </c>
      <c r="E57" s="12">
        <v>45104</v>
      </c>
      <c r="F57" s="13">
        <v>0.39166666666666666</v>
      </c>
      <c r="G57" s="14">
        <v>109.8</v>
      </c>
      <c r="H57" s="15">
        <v>1</v>
      </c>
      <c r="I57" s="14">
        <v>205.6</v>
      </c>
      <c r="J57" s="14">
        <v>205.2</v>
      </c>
      <c r="K57" s="13" t="s">
        <v>17</v>
      </c>
      <c r="L57" s="16" t="s">
        <v>136</v>
      </c>
      <c r="M57" s="16" t="s">
        <v>96</v>
      </c>
      <c r="N57" s="35">
        <f t="shared" si="1"/>
        <v>95.399999999999991</v>
      </c>
      <c r="O57" s="17" t="s">
        <v>21</v>
      </c>
      <c r="P57" s="252" t="s">
        <v>137</v>
      </c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</row>
    <row r="58" spans="1:29" ht="15.75" customHeight="1">
      <c r="A58" s="10" t="s">
        <v>138</v>
      </c>
      <c r="B58" s="35" t="s">
        <v>17</v>
      </c>
      <c r="C58" s="12">
        <v>45103</v>
      </c>
      <c r="D58" s="13">
        <v>0.32847222222222222</v>
      </c>
      <c r="E58" s="12">
        <v>45104</v>
      </c>
      <c r="F58" s="13">
        <v>0.39652777777777776</v>
      </c>
      <c r="G58" s="14">
        <v>110.4</v>
      </c>
      <c r="H58" s="15">
        <v>1</v>
      </c>
      <c r="I58" s="14">
        <v>123.7</v>
      </c>
      <c r="J58" s="14">
        <v>123.5</v>
      </c>
      <c r="K58" s="13" t="s">
        <v>17</v>
      </c>
      <c r="L58" s="59" t="s">
        <v>139</v>
      </c>
      <c r="M58" s="16" t="s">
        <v>96</v>
      </c>
      <c r="N58" s="35">
        <f t="shared" si="1"/>
        <v>13.099999999999994</v>
      </c>
      <c r="O58" s="17" t="s">
        <v>21</v>
      </c>
      <c r="P58" s="253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</row>
    <row r="59" spans="1:29" ht="15.75" customHeight="1">
      <c r="A59" s="61" t="s">
        <v>140</v>
      </c>
      <c r="B59" s="35" t="s">
        <v>17</v>
      </c>
      <c r="C59" s="12">
        <v>45103</v>
      </c>
      <c r="D59" s="13">
        <v>0.40277777777777779</v>
      </c>
      <c r="E59" s="12">
        <v>45104</v>
      </c>
      <c r="F59" s="13">
        <v>0.39930555555555558</v>
      </c>
      <c r="G59" s="14">
        <v>110.3</v>
      </c>
      <c r="H59" s="15">
        <v>1</v>
      </c>
      <c r="I59" s="14">
        <v>126.5</v>
      </c>
      <c r="J59" s="14">
        <v>126.1</v>
      </c>
      <c r="K59" s="13" t="s">
        <v>17</v>
      </c>
      <c r="L59" s="59" t="s">
        <v>141</v>
      </c>
      <c r="M59" s="16" t="s">
        <v>96</v>
      </c>
      <c r="N59" s="35">
        <f t="shared" si="1"/>
        <v>15.799999999999997</v>
      </c>
      <c r="O59" s="17" t="s">
        <v>21</v>
      </c>
      <c r="P59" s="253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</row>
    <row r="60" spans="1:29" ht="15.75" customHeight="1">
      <c r="A60" s="61" t="s">
        <v>142</v>
      </c>
      <c r="B60" s="35" t="s">
        <v>17</v>
      </c>
      <c r="C60" s="12">
        <v>45103</v>
      </c>
      <c r="D60" s="13">
        <v>0.44513888888888886</v>
      </c>
      <c r="E60" s="12">
        <v>45104</v>
      </c>
      <c r="F60" s="13">
        <v>0.40277777777777779</v>
      </c>
      <c r="G60" s="14">
        <v>110.7</v>
      </c>
      <c r="H60" s="15">
        <v>1</v>
      </c>
      <c r="I60" s="14">
        <v>128.19999999999999</v>
      </c>
      <c r="J60" s="14">
        <v>128</v>
      </c>
      <c r="K60" s="13" t="s">
        <v>17</v>
      </c>
      <c r="L60" s="59" t="s">
        <v>143</v>
      </c>
      <c r="M60" s="16" t="s">
        <v>96</v>
      </c>
      <c r="N60" s="35">
        <f t="shared" si="1"/>
        <v>17.299999999999997</v>
      </c>
      <c r="O60" s="17" t="s">
        <v>21</v>
      </c>
      <c r="P60" s="253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</row>
    <row r="61" spans="1:29" ht="15.75" customHeight="1">
      <c r="A61" s="61" t="s">
        <v>144</v>
      </c>
      <c r="B61" s="35" t="s">
        <v>17</v>
      </c>
      <c r="C61" s="12">
        <v>45103</v>
      </c>
      <c r="D61" s="13">
        <v>0.46666666666666667</v>
      </c>
      <c r="E61" s="12">
        <v>45104</v>
      </c>
      <c r="F61" s="13">
        <v>0.40555555555555556</v>
      </c>
      <c r="G61" s="14">
        <v>109.5</v>
      </c>
      <c r="H61" s="15">
        <v>1</v>
      </c>
      <c r="I61" s="14">
        <v>130.30000000000001</v>
      </c>
      <c r="J61" s="14">
        <v>129.9</v>
      </c>
      <c r="K61" s="13" t="s">
        <v>17</v>
      </c>
      <c r="L61" s="16" t="s">
        <v>145</v>
      </c>
      <c r="M61" s="16" t="s">
        <v>96</v>
      </c>
      <c r="N61" s="35">
        <f t="shared" si="1"/>
        <v>20.400000000000006</v>
      </c>
      <c r="O61" s="17" t="s">
        <v>21</v>
      </c>
      <c r="P61" s="254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</row>
    <row r="62" spans="1:29" ht="15.75" customHeight="1">
      <c r="A62" s="61" t="s">
        <v>146</v>
      </c>
      <c r="B62" s="35" t="s">
        <v>17</v>
      </c>
      <c r="C62" s="62">
        <v>45104</v>
      </c>
      <c r="D62" s="47">
        <v>0.30902777777777779</v>
      </c>
      <c r="E62" s="63">
        <v>45105</v>
      </c>
      <c r="F62" s="13">
        <v>0.60277777777777775</v>
      </c>
      <c r="G62" s="14">
        <v>110.5</v>
      </c>
      <c r="H62" s="15">
        <v>1</v>
      </c>
      <c r="I62" s="14">
        <v>129</v>
      </c>
      <c r="J62" s="14">
        <v>128.30000000000001</v>
      </c>
      <c r="K62" s="14">
        <v>128.19999999999999</v>
      </c>
      <c r="L62" s="16" t="s">
        <v>147</v>
      </c>
      <c r="M62" s="16" t="s">
        <v>96</v>
      </c>
      <c r="N62" s="35">
        <f t="shared" si="1"/>
        <v>17.800000000000011</v>
      </c>
      <c r="O62" s="17" t="s">
        <v>21</v>
      </c>
      <c r="P62" s="255" t="s">
        <v>148</v>
      </c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</row>
    <row r="63" spans="1:29" ht="15.75" customHeight="1">
      <c r="A63" s="61" t="s">
        <v>149</v>
      </c>
      <c r="B63" s="35" t="s">
        <v>17</v>
      </c>
      <c r="C63" s="62">
        <v>45104</v>
      </c>
      <c r="D63" s="47">
        <v>0.35416666666666669</v>
      </c>
      <c r="E63" s="63">
        <v>45105</v>
      </c>
      <c r="F63" s="13">
        <v>0.60624999999999996</v>
      </c>
      <c r="G63" s="14">
        <v>108.5</v>
      </c>
      <c r="H63" s="15">
        <v>1</v>
      </c>
      <c r="I63" s="14">
        <v>127.3</v>
      </c>
      <c r="J63" s="14">
        <v>126.9</v>
      </c>
      <c r="K63" s="14">
        <v>126.8</v>
      </c>
      <c r="L63" s="16" t="s">
        <v>150</v>
      </c>
      <c r="M63" s="16" t="s">
        <v>96</v>
      </c>
      <c r="N63" s="35">
        <f t="shared" si="1"/>
        <v>18.400000000000006</v>
      </c>
      <c r="O63" s="17" t="s">
        <v>21</v>
      </c>
      <c r="P63" s="253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</row>
    <row r="64" spans="1:29" ht="15.75" customHeight="1">
      <c r="A64" s="61" t="s">
        <v>151</v>
      </c>
      <c r="B64" s="35" t="s">
        <v>17</v>
      </c>
      <c r="C64" s="62">
        <v>45104</v>
      </c>
      <c r="D64" s="64">
        <v>0.42638888888888887</v>
      </c>
      <c r="E64" s="63">
        <v>45105</v>
      </c>
      <c r="F64" s="13">
        <v>0.60972222222222228</v>
      </c>
      <c r="G64" s="14">
        <v>110.9</v>
      </c>
      <c r="H64" s="15">
        <v>1</v>
      </c>
      <c r="I64" s="14">
        <v>131.4</v>
      </c>
      <c r="J64" s="14">
        <v>131.1</v>
      </c>
      <c r="K64" s="13" t="s">
        <v>17</v>
      </c>
      <c r="L64" s="16" t="s">
        <v>152</v>
      </c>
      <c r="M64" s="16" t="s">
        <v>96</v>
      </c>
      <c r="N64" s="35">
        <f t="shared" si="1"/>
        <v>20.199999999999989</v>
      </c>
      <c r="O64" s="17" t="s">
        <v>21</v>
      </c>
      <c r="P64" s="254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</row>
    <row r="65" spans="1:29" ht="15.75" customHeight="1">
      <c r="A65" s="61" t="s">
        <v>153</v>
      </c>
      <c r="B65" s="65">
        <v>100.5</v>
      </c>
      <c r="C65" s="35" t="s">
        <v>17</v>
      </c>
      <c r="D65" s="66" t="s">
        <v>17</v>
      </c>
      <c r="E65" s="63">
        <v>45105</v>
      </c>
      <c r="F65" s="67">
        <v>0.61111111111111116</v>
      </c>
      <c r="G65" s="65">
        <v>109.5</v>
      </c>
      <c r="H65" s="15">
        <v>1</v>
      </c>
      <c r="I65" s="65">
        <v>212.3</v>
      </c>
      <c r="J65" s="65">
        <v>210.1</v>
      </c>
      <c r="K65" s="65">
        <v>210.08</v>
      </c>
      <c r="L65" s="68" t="s">
        <v>154</v>
      </c>
      <c r="M65" s="68" t="s">
        <v>96</v>
      </c>
      <c r="N65" s="35">
        <f t="shared" si="1"/>
        <v>100.6</v>
      </c>
      <c r="O65" s="17" t="s">
        <v>21</v>
      </c>
      <c r="P65" s="257" t="s">
        <v>155</v>
      </c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</row>
    <row r="66" spans="1:29" ht="15.75" customHeight="1">
      <c r="A66" s="61" t="s">
        <v>60</v>
      </c>
      <c r="B66" s="65">
        <v>100.6</v>
      </c>
      <c r="C66" s="35" t="s">
        <v>17</v>
      </c>
      <c r="D66" s="66" t="s">
        <v>17</v>
      </c>
      <c r="E66" s="63">
        <v>45105</v>
      </c>
      <c r="F66" s="67">
        <v>0.61319444444444449</v>
      </c>
      <c r="G66" s="65">
        <v>109.1</v>
      </c>
      <c r="H66" s="15">
        <v>1</v>
      </c>
      <c r="I66" s="65">
        <v>214.1</v>
      </c>
      <c r="J66" s="65">
        <v>209.3</v>
      </c>
      <c r="K66" s="65">
        <v>209.3</v>
      </c>
      <c r="L66" s="68" t="s">
        <v>156</v>
      </c>
      <c r="M66" s="68" t="s">
        <v>96</v>
      </c>
      <c r="N66" s="35">
        <f t="shared" si="1"/>
        <v>100.20000000000002</v>
      </c>
      <c r="O66" s="17" t="s">
        <v>21</v>
      </c>
      <c r="P66" s="258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</row>
    <row r="67" spans="1:29" ht="15.75" customHeight="1">
      <c r="A67" s="61" t="s">
        <v>157</v>
      </c>
      <c r="B67" s="65">
        <v>100.9</v>
      </c>
      <c r="C67" s="35" t="s">
        <v>17</v>
      </c>
      <c r="D67" s="66" t="s">
        <v>17</v>
      </c>
      <c r="E67" s="63">
        <v>45105</v>
      </c>
      <c r="F67" s="67">
        <v>0.61527777777777781</v>
      </c>
      <c r="G67" s="65">
        <v>109.7</v>
      </c>
      <c r="H67" s="15">
        <v>1</v>
      </c>
      <c r="I67" s="65">
        <v>211</v>
      </c>
      <c r="J67" s="65">
        <v>210.9</v>
      </c>
      <c r="K67" s="65">
        <v>210.9</v>
      </c>
      <c r="L67" s="68" t="s">
        <v>158</v>
      </c>
      <c r="M67" s="68" t="s">
        <v>96</v>
      </c>
      <c r="N67" s="35">
        <f t="shared" si="1"/>
        <v>101.2</v>
      </c>
      <c r="O67" s="17" t="s">
        <v>21</v>
      </c>
      <c r="P67" s="259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</row>
    <row r="68" spans="1:29" ht="15.75" customHeight="1">
      <c r="A68" s="61" t="s">
        <v>60</v>
      </c>
      <c r="B68" s="65">
        <v>100.4</v>
      </c>
      <c r="C68" s="35" t="s">
        <v>17</v>
      </c>
      <c r="D68" s="66" t="s">
        <v>17</v>
      </c>
      <c r="E68" s="62">
        <v>45106</v>
      </c>
      <c r="F68" s="22">
        <v>0.40416666666666667</v>
      </c>
      <c r="G68" s="14">
        <v>110.2</v>
      </c>
      <c r="H68" s="15">
        <v>1</v>
      </c>
      <c r="I68" s="14">
        <v>210.8</v>
      </c>
      <c r="J68" s="14">
        <v>210.1</v>
      </c>
      <c r="K68" s="14">
        <v>210</v>
      </c>
      <c r="L68" s="16" t="s">
        <v>159</v>
      </c>
      <c r="M68" s="16" t="s">
        <v>20</v>
      </c>
      <c r="N68" s="35">
        <f t="shared" si="1"/>
        <v>99.899999999999991</v>
      </c>
      <c r="O68" s="17" t="s">
        <v>21</v>
      </c>
      <c r="P68" s="255" t="s">
        <v>160</v>
      </c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</row>
    <row r="69" spans="1:29" ht="15.75" customHeight="1">
      <c r="A69" s="61" t="s">
        <v>161</v>
      </c>
      <c r="B69" s="35" t="s">
        <v>17</v>
      </c>
      <c r="C69" s="62">
        <v>45105</v>
      </c>
      <c r="D69" s="64">
        <v>0.33263888888888887</v>
      </c>
      <c r="E69" s="62">
        <v>45106</v>
      </c>
      <c r="F69" s="13">
        <v>0.42708333333333331</v>
      </c>
      <c r="G69" s="14">
        <v>109.4</v>
      </c>
      <c r="H69" s="15">
        <v>1</v>
      </c>
      <c r="I69" s="14">
        <v>128.19999999999999</v>
      </c>
      <c r="J69" s="14">
        <v>128.19999999999999</v>
      </c>
      <c r="K69" s="65" t="s">
        <v>17</v>
      </c>
      <c r="L69" s="69" t="s">
        <v>162</v>
      </c>
      <c r="M69" s="16" t="s">
        <v>20</v>
      </c>
      <c r="N69" s="35">
        <f t="shared" si="1"/>
        <v>18.799999999999983</v>
      </c>
      <c r="O69" s="17" t="s">
        <v>21</v>
      </c>
      <c r="P69" s="253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</row>
    <row r="70" spans="1:29" ht="15.75" customHeight="1">
      <c r="A70" s="61" t="s">
        <v>163</v>
      </c>
      <c r="B70" s="35" t="s">
        <v>17</v>
      </c>
      <c r="C70" s="62">
        <v>45105</v>
      </c>
      <c r="D70" s="64">
        <v>0.35416666666666669</v>
      </c>
      <c r="E70" s="62">
        <v>45106</v>
      </c>
      <c r="F70" s="70">
        <v>0.4284722222222222</v>
      </c>
      <c r="G70" s="14">
        <v>109.3</v>
      </c>
      <c r="H70" s="15">
        <v>1</v>
      </c>
      <c r="I70" s="14">
        <v>115</v>
      </c>
      <c r="J70" s="14">
        <v>114.2</v>
      </c>
      <c r="K70" s="65">
        <v>114.2</v>
      </c>
      <c r="L70" s="16" t="s">
        <v>164</v>
      </c>
      <c r="M70" s="16" t="s">
        <v>20</v>
      </c>
      <c r="N70" s="35">
        <f t="shared" si="1"/>
        <v>4.9000000000000057</v>
      </c>
      <c r="O70" s="17" t="s">
        <v>21</v>
      </c>
      <c r="P70" s="254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</row>
    <row r="71" spans="1:29" ht="15.75" customHeight="1">
      <c r="A71" s="61" t="s">
        <v>165</v>
      </c>
      <c r="B71" s="35" t="s">
        <v>17</v>
      </c>
      <c r="C71" s="62">
        <v>45106</v>
      </c>
      <c r="D71" s="64">
        <v>0.29166666666666669</v>
      </c>
      <c r="E71" s="62">
        <v>45106</v>
      </c>
      <c r="F71" s="13">
        <v>0.66666666666666663</v>
      </c>
      <c r="G71" s="14">
        <v>108.7</v>
      </c>
      <c r="H71" s="15">
        <v>1</v>
      </c>
      <c r="I71" s="14">
        <v>130.9</v>
      </c>
      <c r="J71" s="14">
        <v>130.9</v>
      </c>
      <c r="K71" s="65" t="s">
        <v>17</v>
      </c>
      <c r="L71" s="16" t="s">
        <v>166</v>
      </c>
      <c r="M71" s="16" t="s">
        <v>20</v>
      </c>
      <c r="N71" s="35">
        <f t="shared" si="1"/>
        <v>22.200000000000003</v>
      </c>
      <c r="O71" s="17" t="s">
        <v>21</v>
      </c>
      <c r="P71" s="255" t="s">
        <v>167</v>
      </c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</row>
    <row r="72" spans="1:29" ht="15.75" customHeight="1">
      <c r="A72" s="61" t="s">
        <v>168</v>
      </c>
      <c r="B72" s="35" t="s">
        <v>17</v>
      </c>
      <c r="C72" s="62">
        <v>45106</v>
      </c>
      <c r="D72" s="64">
        <v>0.32569444444444445</v>
      </c>
      <c r="E72" s="62">
        <v>45106</v>
      </c>
      <c r="F72" s="13">
        <v>0.66805555555555551</v>
      </c>
      <c r="G72" s="14">
        <v>110.9</v>
      </c>
      <c r="H72" s="15">
        <v>1</v>
      </c>
      <c r="I72" s="14">
        <v>133.1</v>
      </c>
      <c r="J72" s="14">
        <v>132.6</v>
      </c>
      <c r="K72" s="65" t="s">
        <v>17</v>
      </c>
      <c r="L72" s="16" t="s">
        <v>169</v>
      </c>
      <c r="M72" s="16" t="s">
        <v>20</v>
      </c>
      <c r="N72" s="35">
        <f t="shared" si="1"/>
        <v>21.699999999999989</v>
      </c>
      <c r="O72" s="17" t="s">
        <v>21</v>
      </c>
      <c r="P72" s="254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</row>
    <row r="73" spans="1:29" ht="15.75" customHeight="1">
      <c r="A73" s="71"/>
      <c r="B73" s="72"/>
      <c r="C73" s="73"/>
      <c r="D73" s="74"/>
      <c r="E73" s="75"/>
      <c r="F73" s="74"/>
      <c r="G73" s="72"/>
      <c r="H73" s="76"/>
      <c r="I73" s="72"/>
      <c r="J73" s="72"/>
      <c r="K73" s="72"/>
      <c r="L73" s="77"/>
      <c r="M73" s="77"/>
      <c r="N73" s="72"/>
      <c r="O73" s="78"/>
      <c r="P73" s="78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</row>
    <row r="74" spans="1:29" ht="15.75" customHeight="1">
      <c r="A74" s="71"/>
      <c r="B74" s="79"/>
      <c r="C74" s="80"/>
      <c r="D74" s="74"/>
      <c r="E74" s="75"/>
      <c r="F74" s="74"/>
      <c r="G74" s="72"/>
      <c r="H74" s="76"/>
      <c r="I74" s="72"/>
      <c r="J74" s="72"/>
      <c r="K74" s="72"/>
      <c r="L74" s="77"/>
      <c r="M74" s="77"/>
      <c r="N74" s="72"/>
      <c r="O74" s="78"/>
      <c r="P74" s="78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</row>
    <row r="75" spans="1:29" ht="15.75" customHeight="1">
      <c r="A75" s="71"/>
      <c r="B75" s="79"/>
      <c r="C75" s="80"/>
      <c r="D75" s="74"/>
      <c r="E75" s="75"/>
      <c r="F75" s="74"/>
      <c r="G75" s="72"/>
      <c r="H75" s="76"/>
      <c r="I75" s="72"/>
      <c r="J75" s="72"/>
      <c r="K75" s="72"/>
      <c r="L75" s="77"/>
      <c r="M75" s="77"/>
      <c r="N75" s="72"/>
      <c r="O75" s="78"/>
      <c r="P75" s="78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</row>
    <row r="76" spans="1:29" ht="15.75" customHeight="1">
      <c r="A76" s="71"/>
      <c r="B76" s="79"/>
      <c r="C76" s="80"/>
      <c r="D76" s="74"/>
      <c r="E76" s="75"/>
      <c r="F76" s="74"/>
      <c r="G76" s="72"/>
      <c r="H76" s="76"/>
      <c r="I76" s="72"/>
      <c r="J76" s="72"/>
      <c r="K76" s="72"/>
      <c r="L76" s="77"/>
      <c r="M76" s="77"/>
      <c r="N76" s="72"/>
      <c r="O76" s="78"/>
      <c r="P76" s="78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</row>
    <row r="77" spans="1:29" ht="15.75" customHeight="1">
      <c r="A77" s="71"/>
      <c r="B77" s="79"/>
      <c r="C77" s="80"/>
      <c r="D77" s="74"/>
      <c r="E77" s="75"/>
      <c r="F77" s="74"/>
      <c r="G77" s="72"/>
      <c r="H77" s="76"/>
      <c r="I77" s="72"/>
      <c r="J77" s="72"/>
      <c r="K77" s="72"/>
      <c r="L77" s="77"/>
      <c r="M77" s="77"/>
      <c r="N77" s="72"/>
      <c r="O77" s="78"/>
      <c r="P77" s="78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</row>
    <row r="78" spans="1:29" ht="15.75" customHeight="1">
      <c r="A78" s="71"/>
      <c r="B78" s="79"/>
      <c r="C78" s="81"/>
      <c r="D78" s="74"/>
      <c r="E78" s="75"/>
      <c r="F78" s="74"/>
      <c r="G78" s="72"/>
      <c r="H78" s="76"/>
      <c r="I78" s="72"/>
      <c r="J78" s="72"/>
      <c r="K78" s="72"/>
      <c r="L78" s="77"/>
      <c r="M78" s="77"/>
      <c r="N78" s="72"/>
      <c r="O78" s="78"/>
      <c r="P78" s="78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</row>
    <row r="79" spans="1:29" ht="15.75" customHeight="1">
      <c r="A79" s="71"/>
      <c r="B79" s="79"/>
      <c r="C79" s="81"/>
      <c r="D79" s="74"/>
      <c r="E79" s="75"/>
      <c r="F79" s="74"/>
      <c r="G79" s="72"/>
      <c r="H79" s="76"/>
      <c r="I79" s="72"/>
      <c r="J79" s="72"/>
      <c r="K79" s="72"/>
      <c r="L79" s="77"/>
      <c r="M79" s="77"/>
      <c r="N79" s="72"/>
      <c r="O79" s="78"/>
      <c r="P79" s="78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</row>
    <row r="80" spans="1:29" ht="15.75" customHeight="1">
      <c r="A80" s="71"/>
      <c r="B80" s="79"/>
      <c r="C80" s="81"/>
      <c r="D80" s="74"/>
      <c r="E80" s="75"/>
      <c r="F80" s="74"/>
      <c r="G80" s="72"/>
      <c r="H80" s="76"/>
      <c r="I80" s="72"/>
      <c r="J80" s="72"/>
      <c r="K80" s="72"/>
      <c r="L80" s="77"/>
      <c r="M80" s="77"/>
      <c r="N80" s="72"/>
      <c r="O80" s="78"/>
      <c r="P80" s="78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</row>
    <row r="81" spans="1:29" ht="15.75" customHeight="1">
      <c r="A81" s="71"/>
      <c r="B81" s="79"/>
      <c r="C81" s="81"/>
      <c r="D81" s="74"/>
      <c r="E81" s="75"/>
      <c r="F81" s="74"/>
      <c r="G81" s="72"/>
      <c r="H81" s="76"/>
      <c r="I81" s="72"/>
      <c r="J81" s="72"/>
      <c r="K81" s="72"/>
      <c r="L81" s="77"/>
      <c r="M81" s="77"/>
      <c r="N81" s="72"/>
      <c r="O81" s="78"/>
      <c r="P81" s="78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</row>
    <row r="82" spans="1:29" ht="15.75" customHeight="1">
      <c r="A82" s="71"/>
      <c r="B82" s="79"/>
      <c r="C82" s="81"/>
      <c r="D82" s="74"/>
      <c r="E82" s="75"/>
      <c r="F82" s="74"/>
      <c r="G82" s="72"/>
      <c r="H82" s="76"/>
      <c r="I82" s="72"/>
      <c r="J82" s="72"/>
      <c r="K82" s="72"/>
      <c r="L82" s="77"/>
      <c r="M82" s="77"/>
      <c r="N82" s="72"/>
      <c r="O82" s="78"/>
      <c r="P82" s="78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</row>
    <row r="83" spans="1:29" ht="15.75" customHeight="1">
      <c r="A83" s="71"/>
      <c r="B83" s="79"/>
      <c r="C83" s="81"/>
      <c r="D83" s="74"/>
      <c r="E83" s="75"/>
      <c r="F83" s="74"/>
      <c r="G83" s="72"/>
      <c r="H83" s="76"/>
      <c r="I83" s="72"/>
      <c r="J83" s="72"/>
      <c r="K83" s="72"/>
      <c r="L83" s="77"/>
      <c r="M83" s="77"/>
      <c r="N83" s="72"/>
      <c r="O83" s="78"/>
      <c r="P83" s="78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</row>
    <row r="84" spans="1:29" ht="15.75" customHeight="1">
      <c r="A84" s="71"/>
      <c r="B84" s="82"/>
      <c r="C84" s="81"/>
      <c r="D84" s="74"/>
      <c r="E84" s="75"/>
      <c r="F84" s="74"/>
      <c r="G84" s="72"/>
      <c r="H84" s="76"/>
      <c r="I84" s="72"/>
      <c r="J84" s="72"/>
      <c r="K84" s="72"/>
      <c r="L84" s="77"/>
      <c r="M84" s="77"/>
      <c r="N84" s="72"/>
      <c r="O84" s="78"/>
      <c r="P84" s="78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</row>
    <row r="85" spans="1:29" ht="15.75" customHeight="1">
      <c r="A85" s="71"/>
      <c r="B85" s="82"/>
      <c r="C85" s="81"/>
      <c r="D85" s="74"/>
      <c r="E85" s="75"/>
      <c r="F85" s="74"/>
      <c r="G85" s="72"/>
      <c r="H85" s="76"/>
      <c r="I85" s="72"/>
      <c r="J85" s="72"/>
      <c r="K85" s="72"/>
      <c r="L85" s="77"/>
      <c r="M85" s="77"/>
      <c r="N85" s="72"/>
      <c r="O85" s="78"/>
      <c r="P85" s="78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</row>
    <row r="86" spans="1:29" ht="15.75" customHeight="1">
      <c r="A86" s="71"/>
      <c r="B86" s="82"/>
      <c r="C86" s="81"/>
      <c r="D86" s="74"/>
      <c r="E86" s="75"/>
      <c r="F86" s="74"/>
      <c r="G86" s="72"/>
      <c r="H86" s="76"/>
      <c r="I86" s="72"/>
      <c r="J86" s="72"/>
      <c r="K86" s="72"/>
      <c r="L86" s="77"/>
      <c r="M86" s="77"/>
      <c r="N86" s="72"/>
      <c r="O86" s="78"/>
      <c r="P86" s="78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</row>
    <row r="87" spans="1:29" ht="15.75" customHeight="1">
      <c r="A87" s="71"/>
      <c r="B87" s="82"/>
      <c r="C87" s="81"/>
      <c r="D87" s="74"/>
      <c r="E87" s="75"/>
      <c r="F87" s="74"/>
      <c r="G87" s="72"/>
      <c r="H87" s="76"/>
      <c r="I87" s="72"/>
      <c r="J87" s="72"/>
      <c r="K87" s="72"/>
      <c r="L87" s="77"/>
      <c r="M87" s="77"/>
      <c r="N87" s="72"/>
      <c r="O87" s="78"/>
      <c r="P87" s="78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</row>
    <row r="88" spans="1:29" ht="15.75" customHeight="1">
      <c r="A88" s="71"/>
      <c r="B88" s="72"/>
      <c r="C88" s="75"/>
      <c r="D88" s="74"/>
      <c r="E88" s="75"/>
      <c r="F88" s="74"/>
      <c r="G88" s="72"/>
      <c r="H88" s="76"/>
      <c r="I88" s="72"/>
      <c r="J88" s="72"/>
      <c r="K88" s="72"/>
      <c r="L88" s="77"/>
      <c r="M88" s="77"/>
      <c r="N88" s="72"/>
      <c r="O88" s="78"/>
      <c r="P88" s="78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</row>
    <row r="89" spans="1:29" ht="15.75" customHeight="1">
      <c r="A89" s="71"/>
      <c r="B89" s="72"/>
      <c r="C89" s="75"/>
      <c r="D89" s="74"/>
      <c r="E89" s="75"/>
      <c r="F89" s="74"/>
      <c r="G89" s="72"/>
      <c r="H89" s="76"/>
      <c r="I89" s="72"/>
      <c r="J89" s="72"/>
      <c r="K89" s="72"/>
      <c r="L89" s="77"/>
      <c r="M89" s="77"/>
      <c r="N89" s="72"/>
      <c r="O89" s="78"/>
      <c r="P89" s="78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</row>
    <row r="90" spans="1:29" ht="15.75" customHeight="1">
      <c r="A90" s="71"/>
      <c r="B90" s="72"/>
      <c r="C90" s="75"/>
      <c r="D90" s="74"/>
      <c r="E90" s="75"/>
      <c r="F90" s="74"/>
      <c r="G90" s="72"/>
      <c r="H90" s="76"/>
      <c r="I90" s="72"/>
      <c r="J90" s="72"/>
      <c r="K90" s="72"/>
      <c r="L90" s="77"/>
      <c r="M90" s="77"/>
      <c r="N90" s="72"/>
      <c r="O90" s="78"/>
      <c r="P90" s="78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</row>
    <row r="91" spans="1:29" ht="15.75" customHeight="1">
      <c r="A91" s="71"/>
      <c r="B91" s="72"/>
      <c r="C91" s="75"/>
      <c r="D91" s="74"/>
      <c r="E91" s="75"/>
      <c r="F91" s="74"/>
      <c r="G91" s="72"/>
      <c r="H91" s="76"/>
      <c r="I91" s="72"/>
      <c r="J91" s="72"/>
      <c r="K91" s="72"/>
      <c r="L91" s="77"/>
      <c r="M91" s="77"/>
      <c r="N91" s="72"/>
      <c r="O91" s="78"/>
      <c r="P91" s="78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</row>
    <row r="92" spans="1:29" ht="15.75" customHeight="1">
      <c r="A92" s="71"/>
      <c r="B92" s="72"/>
      <c r="C92" s="75"/>
      <c r="D92" s="74"/>
      <c r="E92" s="75"/>
      <c r="F92" s="74"/>
      <c r="G92" s="72"/>
      <c r="H92" s="76"/>
      <c r="I92" s="72"/>
      <c r="J92" s="72"/>
      <c r="K92" s="72"/>
      <c r="L92" s="77"/>
      <c r="M92" s="77"/>
      <c r="N92" s="72"/>
      <c r="O92" s="78"/>
      <c r="P92" s="78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</row>
    <row r="93" spans="1:29" ht="15.75" customHeight="1">
      <c r="A93" s="71"/>
      <c r="B93" s="72"/>
      <c r="C93" s="75"/>
      <c r="D93" s="74"/>
      <c r="E93" s="75"/>
      <c r="F93" s="74"/>
      <c r="G93" s="72"/>
      <c r="H93" s="76"/>
      <c r="I93" s="72"/>
      <c r="J93" s="72"/>
      <c r="K93" s="72"/>
      <c r="L93" s="77"/>
      <c r="M93" s="77"/>
      <c r="N93" s="72"/>
      <c r="O93" s="78"/>
      <c r="P93" s="78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</row>
    <row r="94" spans="1:29" ht="15.75" customHeight="1">
      <c r="A94" s="71"/>
      <c r="B94" s="72"/>
      <c r="C94" s="75"/>
      <c r="D94" s="74"/>
      <c r="E94" s="75"/>
      <c r="F94" s="74"/>
      <c r="G94" s="72"/>
      <c r="H94" s="76"/>
      <c r="I94" s="72"/>
      <c r="J94" s="72"/>
      <c r="K94" s="72"/>
      <c r="L94" s="77"/>
      <c r="M94" s="77"/>
      <c r="N94" s="72"/>
      <c r="O94" s="78"/>
      <c r="P94" s="78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</row>
    <row r="95" spans="1:29" ht="15.75" customHeight="1">
      <c r="A95" s="71"/>
      <c r="B95" s="72"/>
      <c r="C95" s="75"/>
      <c r="D95" s="74"/>
      <c r="E95" s="75"/>
      <c r="F95" s="74"/>
      <c r="G95" s="72"/>
      <c r="H95" s="76"/>
      <c r="I95" s="72"/>
      <c r="J95" s="72"/>
      <c r="K95" s="72"/>
      <c r="L95" s="77"/>
      <c r="M95" s="77"/>
      <c r="N95" s="72"/>
      <c r="O95" s="78"/>
      <c r="P95" s="78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</row>
    <row r="96" spans="1:29" ht="15.75" customHeight="1">
      <c r="A96" s="71"/>
      <c r="B96" s="72"/>
      <c r="C96" s="75"/>
      <c r="D96" s="74"/>
      <c r="E96" s="75"/>
      <c r="F96" s="74"/>
      <c r="G96" s="72"/>
      <c r="H96" s="76"/>
      <c r="I96" s="72"/>
      <c r="J96" s="72"/>
      <c r="K96" s="72"/>
      <c r="L96" s="77"/>
      <c r="M96" s="77"/>
      <c r="N96" s="72"/>
      <c r="O96" s="78"/>
      <c r="P96" s="78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</row>
    <row r="97" spans="1:29" ht="15.75" customHeight="1">
      <c r="A97" s="71"/>
      <c r="B97" s="72"/>
      <c r="C97" s="75"/>
      <c r="D97" s="74"/>
      <c r="E97" s="75"/>
      <c r="F97" s="74"/>
      <c r="G97" s="72"/>
      <c r="H97" s="76"/>
      <c r="I97" s="72"/>
      <c r="J97" s="72"/>
      <c r="K97" s="72"/>
      <c r="L97" s="77"/>
      <c r="M97" s="77"/>
      <c r="N97" s="72"/>
      <c r="O97" s="78"/>
      <c r="P97" s="78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</row>
    <row r="98" spans="1:29" ht="15.75" customHeight="1">
      <c r="A98" s="71"/>
      <c r="B98" s="72"/>
      <c r="C98" s="75"/>
      <c r="D98" s="74"/>
      <c r="E98" s="75"/>
      <c r="F98" s="74"/>
      <c r="G98" s="72"/>
      <c r="H98" s="76"/>
      <c r="I98" s="72"/>
      <c r="J98" s="72"/>
      <c r="K98" s="72"/>
      <c r="L98" s="77"/>
      <c r="M98" s="77"/>
      <c r="N98" s="72"/>
      <c r="O98" s="78"/>
      <c r="P98" s="78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</row>
    <row r="99" spans="1:29" ht="15.75" customHeight="1">
      <c r="A99" s="71"/>
      <c r="B99" s="72"/>
      <c r="C99" s="75"/>
      <c r="D99" s="74"/>
      <c r="E99" s="75"/>
      <c r="F99" s="74"/>
      <c r="G99" s="72"/>
      <c r="H99" s="76"/>
      <c r="I99" s="72"/>
      <c r="J99" s="72"/>
      <c r="K99" s="72"/>
      <c r="L99" s="77"/>
      <c r="M99" s="77"/>
      <c r="N99" s="72"/>
      <c r="O99" s="78"/>
      <c r="P99" s="78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</row>
    <row r="100" spans="1:29" ht="15.75" customHeight="1">
      <c r="A100" s="71"/>
      <c r="B100" s="72"/>
      <c r="C100" s="75"/>
      <c r="D100" s="74"/>
      <c r="E100" s="75"/>
      <c r="F100" s="74"/>
      <c r="G100" s="72"/>
      <c r="H100" s="76"/>
      <c r="I100" s="72"/>
      <c r="J100" s="72"/>
      <c r="K100" s="72"/>
      <c r="L100" s="77"/>
      <c r="M100" s="77"/>
      <c r="N100" s="72"/>
      <c r="O100" s="78"/>
      <c r="P100" s="78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</row>
    <row r="101" spans="1:29" ht="15.75" customHeight="1">
      <c r="A101" s="71"/>
      <c r="B101" s="72"/>
      <c r="C101" s="75"/>
      <c r="D101" s="74"/>
      <c r="E101" s="75"/>
      <c r="F101" s="74"/>
      <c r="G101" s="72"/>
      <c r="H101" s="76"/>
      <c r="I101" s="72"/>
      <c r="J101" s="72"/>
      <c r="K101" s="72"/>
      <c r="L101" s="77"/>
      <c r="M101" s="77"/>
      <c r="N101" s="72"/>
      <c r="O101" s="78"/>
      <c r="P101" s="78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</row>
    <row r="102" spans="1:29" ht="15.75" customHeight="1">
      <c r="A102" s="71"/>
      <c r="B102" s="72"/>
      <c r="C102" s="75"/>
      <c r="D102" s="74"/>
      <c r="E102" s="75"/>
      <c r="F102" s="74"/>
      <c r="G102" s="72"/>
      <c r="H102" s="76"/>
      <c r="I102" s="72"/>
      <c r="J102" s="72"/>
      <c r="K102" s="72"/>
      <c r="L102" s="77"/>
      <c r="M102" s="77"/>
      <c r="N102" s="72"/>
      <c r="O102" s="78"/>
      <c r="P102" s="78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</row>
    <row r="103" spans="1:29" ht="15.75" customHeight="1">
      <c r="A103" s="71"/>
      <c r="B103" s="72"/>
      <c r="C103" s="75"/>
      <c r="D103" s="74"/>
      <c r="E103" s="75"/>
      <c r="F103" s="74"/>
      <c r="G103" s="72"/>
      <c r="H103" s="76"/>
      <c r="I103" s="72"/>
      <c r="J103" s="72"/>
      <c r="K103" s="72"/>
      <c r="L103" s="77"/>
      <c r="M103" s="77"/>
      <c r="N103" s="72"/>
      <c r="O103" s="78"/>
      <c r="P103" s="78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</row>
    <row r="104" spans="1:29" ht="15.75" customHeight="1">
      <c r="A104" s="71"/>
      <c r="B104" s="72"/>
      <c r="C104" s="75"/>
      <c r="D104" s="74"/>
      <c r="E104" s="75"/>
      <c r="F104" s="74"/>
      <c r="G104" s="72"/>
      <c r="H104" s="76"/>
      <c r="I104" s="72"/>
      <c r="J104" s="72"/>
      <c r="K104" s="72"/>
      <c r="L104" s="77"/>
      <c r="M104" s="77"/>
      <c r="N104" s="72"/>
      <c r="O104" s="78"/>
      <c r="P104" s="78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</row>
    <row r="105" spans="1:29" ht="15.75" customHeight="1">
      <c r="A105" s="71"/>
      <c r="B105" s="72"/>
      <c r="C105" s="75"/>
      <c r="D105" s="74"/>
      <c r="E105" s="75"/>
      <c r="F105" s="74"/>
      <c r="G105" s="72"/>
      <c r="H105" s="76"/>
      <c r="I105" s="72"/>
      <c r="J105" s="72"/>
      <c r="K105" s="72"/>
      <c r="L105" s="77"/>
      <c r="M105" s="77"/>
      <c r="N105" s="72"/>
      <c r="O105" s="78"/>
      <c r="P105" s="78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</row>
    <row r="106" spans="1:29" ht="15.75" customHeight="1">
      <c r="A106" s="71"/>
      <c r="B106" s="72"/>
      <c r="C106" s="75"/>
      <c r="D106" s="74"/>
      <c r="E106" s="75"/>
      <c r="F106" s="74"/>
      <c r="G106" s="72"/>
      <c r="H106" s="76"/>
      <c r="I106" s="72"/>
      <c r="J106" s="72"/>
      <c r="K106" s="72"/>
      <c r="L106" s="77"/>
      <c r="M106" s="77"/>
      <c r="N106" s="72"/>
      <c r="O106" s="78"/>
      <c r="P106" s="78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</row>
    <row r="107" spans="1:29" ht="15.75" customHeight="1">
      <c r="A107" s="71"/>
      <c r="B107" s="72"/>
      <c r="C107" s="75"/>
      <c r="D107" s="74"/>
      <c r="E107" s="75"/>
      <c r="F107" s="74"/>
      <c r="G107" s="72"/>
      <c r="H107" s="76"/>
      <c r="I107" s="72"/>
      <c r="J107" s="72"/>
      <c r="K107" s="72"/>
      <c r="L107" s="77"/>
      <c r="M107" s="77"/>
      <c r="N107" s="72"/>
      <c r="O107" s="78"/>
      <c r="P107" s="78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</row>
    <row r="108" spans="1:29" ht="15.75" customHeight="1">
      <c r="A108" s="71"/>
      <c r="B108" s="72"/>
      <c r="C108" s="75"/>
      <c r="D108" s="74"/>
      <c r="E108" s="75"/>
      <c r="F108" s="74"/>
      <c r="G108" s="72"/>
      <c r="H108" s="76"/>
      <c r="I108" s="72"/>
      <c r="J108" s="72"/>
      <c r="K108" s="72"/>
      <c r="L108" s="77"/>
      <c r="M108" s="77"/>
      <c r="N108" s="72"/>
      <c r="O108" s="78"/>
      <c r="P108" s="78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</row>
    <row r="109" spans="1:29" ht="15.75" customHeight="1">
      <c r="A109" s="71"/>
      <c r="B109" s="72"/>
      <c r="C109" s="75"/>
      <c r="D109" s="74"/>
      <c r="E109" s="75"/>
      <c r="F109" s="74"/>
      <c r="G109" s="72"/>
      <c r="H109" s="76"/>
      <c r="I109" s="72"/>
      <c r="J109" s="72"/>
      <c r="K109" s="72"/>
      <c r="L109" s="77"/>
      <c r="M109" s="77"/>
      <c r="N109" s="72"/>
      <c r="O109" s="78"/>
      <c r="P109" s="78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</row>
    <row r="110" spans="1:29" ht="15.75" customHeight="1">
      <c r="A110" s="71"/>
      <c r="B110" s="72"/>
      <c r="C110" s="75"/>
      <c r="D110" s="74"/>
      <c r="E110" s="75"/>
      <c r="F110" s="74"/>
      <c r="G110" s="72"/>
      <c r="H110" s="76"/>
      <c r="I110" s="72"/>
      <c r="J110" s="72"/>
      <c r="K110" s="72"/>
      <c r="L110" s="77"/>
      <c r="M110" s="77"/>
      <c r="N110" s="72"/>
      <c r="O110" s="78"/>
      <c r="P110" s="78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</row>
    <row r="111" spans="1:29" ht="15.75" customHeight="1">
      <c r="A111" s="71"/>
      <c r="B111" s="72"/>
      <c r="C111" s="75"/>
      <c r="D111" s="74"/>
      <c r="E111" s="75"/>
      <c r="F111" s="74"/>
      <c r="G111" s="72"/>
      <c r="H111" s="76"/>
      <c r="I111" s="72"/>
      <c r="J111" s="72"/>
      <c r="K111" s="72"/>
      <c r="L111" s="77"/>
      <c r="M111" s="77"/>
      <c r="N111" s="72"/>
      <c r="O111" s="78"/>
      <c r="P111" s="78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</row>
    <row r="112" spans="1:29" ht="15.75" customHeight="1">
      <c r="A112" s="71"/>
      <c r="B112" s="72"/>
      <c r="C112" s="75"/>
      <c r="D112" s="74"/>
      <c r="E112" s="75"/>
      <c r="F112" s="74"/>
      <c r="G112" s="72"/>
      <c r="H112" s="76"/>
      <c r="I112" s="72"/>
      <c r="J112" s="72"/>
      <c r="K112" s="72"/>
      <c r="L112" s="77"/>
      <c r="M112" s="77"/>
      <c r="N112" s="72"/>
      <c r="O112" s="78"/>
      <c r="P112" s="78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</row>
    <row r="113" spans="1:29" ht="15.75" customHeight="1">
      <c r="A113" s="71"/>
      <c r="B113" s="72"/>
      <c r="C113" s="75"/>
      <c r="D113" s="74"/>
      <c r="E113" s="75"/>
      <c r="F113" s="74"/>
      <c r="G113" s="72"/>
      <c r="H113" s="76"/>
      <c r="I113" s="72"/>
      <c r="J113" s="72"/>
      <c r="K113" s="72"/>
      <c r="L113" s="77"/>
      <c r="M113" s="77"/>
      <c r="N113" s="72"/>
      <c r="O113" s="78"/>
      <c r="P113" s="78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</row>
    <row r="114" spans="1:29" ht="15.75" customHeight="1">
      <c r="A114" s="71"/>
      <c r="B114" s="72"/>
      <c r="C114" s="75"/>
      <c r="D114" s="74"/>
      <c r="E114" s="75"/>
      <c r="F114" s="74"/>
      <c r="G114" s="72"/>
      <c r="H114" s="76"/>
      <c r="I114" s="72"/>
      <c r="J114" s="72"/>
      <c r="K114" s="72"/>
      <c r="L114" s="77"/>
      <c r="M114" s="77"/>
      <c r="N114" s="72"/>
      <c r="O114" s="78"/>
      <c r="P114" s="78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</row>
    <row r="115" spans="1:29" ht="15.75" customHeight="1">
      <c r="A115" s="71"/>
      <c r="B115" s="72"/>
      <c r="C115" s="75"/>
      <c r="D115" s="74"/>
      <c r="E115" s="75"/>
      <c r="F115" s="74"/>
      <c r="G115" s="72"/>
      <c r="H115" s="76"/>
      <c r="I115" s="72"/>
      <c r="J115" s="72"/>
      <c r="K115" s="72"/>
      <c r="L115" s="77"/>
      <c r="M115" s="77"/>
      <c r="N115" s="72"/>
      <c r="O115" s="78"/>
      <c r="P115" s="78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</row>
    <row r="116" spans="1:29" ht="15.75" customHeight="1">
      <c r="A116" s="71"/>
      <c r="B116" s="72"/>
      <c r="C116" s="75"/>
      <c r="D116" s="74"/>
      <c r="E116" s="75"/>
      <c r="F116" s="74"/>
      <c r="G116" s="72"/>
      <c r="H116" s="76"/>
      <c r="I116" s="72"/>
      <c r="J116" s="72"/>
      <c r="K116" s="72"/>
      <c r="L116" s="77"/>
      <c r="M116" s="77"/>
      <c r="N116" s="72"/>
      <c r="O116" s="78"/>
      <c r="P116" s="78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</row>
    <row r="117" spans="1:29" ht="15.75" customHeight="1">
      <c r="A117" s="71"/>
      <c r="B117" s="72"/>
      <c r="C117" s="75"/>
      <c r="D117" s="74"/>
      <c r="E117" s="75"/>
      <c r="F117" s="74"/>
      <c r="G117" s="72"/>
      <c r="H117" s="76"/>
      <c r="I117" s="72"/>
      <c r="J117" s="72"/>
      <c r="K117" s="72"/>
      <c r="L117" s="77"/>
      <c r="M117" s="77"/>
      <c r="N117" s="72"/>
      <c r="O117" s="78"/>
      <c r="P117" s="78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</row>
    <row r="118" spans="1:29" ht="15.75" customHeight="1">
      <c r="A118" s="71"/>
      <c r="B118" s="72"/>
      <c r="C118" s="75"/>
      <c r="D118" s="74"/>
      <c r="E118" s="75"/>
      <c r="F118" s="74"/>
      <c r="G118" s="72"/>
      <c r="H118" s="76"/>
      <c r="I118" s="72"/>
      <c r="J118" s="72"/>
      <c r="K118" s="72"/>
      <c r="L118" s="77"/>
      <c r="M118" s="77"/>
      <c r="N118" s="72"/>
      <c r="O118" s="78"/>
      <c r="P118" s="78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</row>
    <row r="119" spans="1:29" ht="15.75" customHeight="1">
      <c r="A119" s="71"/>
      <c r="B119" s="72"/>
      <c r="C119" s="75"/>
      <c r="D119" s="74"/>
      <c r="E119" s="75"/>
      <c r="F119" s="74"/>
      <c r="G119" s="72"/>
      <c r="H119" s="76"/>
      <c r="I119" s="72"/>
      <c r="J119" s="72"/>
      <c r="K119" s="72"/>
      <c r="L119" s="77"/>
      <c r="M119" s="77"/>
      <c r="N119" s="72"/>
      <c r="O119" s="78"/>
      <c r="P119" s="78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</row>
    <row r="120" spans="1:29" ht="15.75" customHeight="1">
      <c r="A120" s="71"/>
      <c r="B120" s="72"/>
      <c r="C120" s="75"/>
      <c r="D120" s="74"/>
      <c r="E120" s="75"/>
      <c r="F120" s="74"/>
      <c r="G120" s="72"/>
      <c r="H120" s="76"/>
      <c r="I120" s="72"/>
      <c r="J120" s="72"/>
      <c r="K120" s="72"/>
      <c r="L120" s="77"/>
      <c r="M120" s="77"/>
      <c r="N120" s="72"/>
      <c r="O120" s="78"/>
      <c r="P120" s="78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</row>
    <row r="121" spans="1:29" ht="15.75" customHeight="1">
      <c r="A121" s="71"/>
      <c r="B121" s="72"/>
      <c r="C121" s="75"/>
      <c r="D121" s="74"/>
      <c r="E121" s="75"/>
      <c r="F121" s="74"/>
      <c r="G121" s="72"/>
      <c r="H121" s="76"/>
      <c r="I121" s="72"/>
      <c r="J121" s="72"/>
      <c r="K121" s="72"/>
      <c r="L121" s="77"/>
      <c r="M121" s="77"/>
      <c r="N121" s="72"/>
      <c r="O121" s="78"/>
      <c r="P121" s="78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</row>
    <row r="122" spans="1:29" ht="15.75" customHeight="1">
      <c r="A122" s="71"/>
      <c r="B122" s="72"/>
      <c r="C122" s="75"/>
      <c r="D122" s="74"/>
      <c r="E122" s="75"/>
      <c r="F122" s="74"/>
      <c r="G122" s="72"/>
      <c r="H122" s="76"/>
      <c r="I122" s="72"/>
      <c r="J122" s="72"/>
      <c r="K122" s="72"/>
      <c r="L122" s="77"/>
      <c r="M122" s="77"/>
      <c r="N122" s="72"/>
      <c r="O122" s="78"/>
      <c r="P122" s="78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</row>
    <row r="123" spans="1:29" ht="15.75" customHeight="1">
      <c r="A123" s="71"/>
      <c r="B123" s="72"/>
      <c r="C123" s="75"/>
      <c r="D123" s="74"/>
      <c r="E123" s="75"/>
      <c r="F123" s="74"/>
      <c r="G123" s="72"/>
      <c r="H123" s="76"/>
      <c r="I123" s="72"/>
      <c r="J123" s="72"/>
      <c r="K123" s="72"/>
      <c r="L123" s="77"/>
      <c r="M123" s="77"/>
      <c r="N123" s="72"/>
      <c r="O123" s="78"/>
      <c r="P123" s="78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</row>
    <row r="124" spans="1:29" ht="15.75" customHeight="1">
      <c r="A124" s="71"/>
      <c r="B124" s="72"/>
      <c r="C124" s="75"/>
      <c r="D124" s="74"/>
      <c r="E124" s="75"/>
      <c r="F124" s="74"/>
      <c r="G124" s="72"/>
      <c r="H124" s="76"/>
      <c r="I124" s="72"/>
      <c r="J124" s="72"/>
      <c r="K124" s="72"/>
      <c r="L124" s="77"/>
      <c r="M124" s="77"/>
      <c r="N124" s="72"/>
      <c r="O124" s="78"/>
      <c r="P124" s="78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</row>
    <row r="125" spans="1:29" ht="15.75" customHeight="1">
      <c r="A125" s="71"/>
      <c r="B125" s="72"/>
      <c r="C125" s="75"/>
      <c r="D125" s="74"/>
      <c r="E125" s="75"/>
      <c r="F125" s="74"/>
      <c r="G125" s="72"/>
      <c r="H125" s="76"/>
      <c r="I125" s="72"/>
      <c r="J125" s="72"/>
      <c r="K125" s="72"/>
      <c r="L125" s="77"/>
      <c r="M125" s="77"/>
      <c r="N125" s="72"/>
      <c r="O125" s="78"/>
      <c r="P125" s="78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</row>
    <row r="126" spans="1:29" ht="15.75" customHeight="1">
      <c r="A126" s="71"/>
      <c r="B126" s="72"/>
      <c r="C126" s="75"/>
      <c r="D126" s="74"/>
      <c r="E126" s="75"/>
      <c r="F126" s="74"/>
      <c r="G126" s="72"/>
      <c r="H126" s="76"/>
      <c r="I126" s="72"/>
      <c r="J126" s="72"/>
      <c r="K126" s="72"/>
      <c r="L126" s="77"/>
      <c r="M126" s="77"/>
      <c r="N126" s="72"/>
      <c r="O126" s="78"/>
      <c r="P126" s="78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</row>
    <row r="127" spans="1:29" ht="15.75" customHeight="1">
      <c r="A127" s="71"/>
      <c r="B127" s="72"/>
      <c r="C127" s="75"/>
      <c r="D127" s="74"/>
      <c r="E127" s="75"/>
      <c r="F127" s="74"/>
      <c r="G127" s="72"/>
      <c r="H127" s="76"/>
      <c r="I127" s="72"/>
      <c r="J127" s="72"/>
      <c r="K127" s="72"/>
      <c r="L127" s="77"/>
      <c r="M127" s="77"/>
      <c r="N127" s="72"/>
      <c r="O127" s="78"/>
      <c r="P127" s="78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</row>
    <row r="128" spans="1:29" ht="15.75" customHeight="1">
      <c r="A128" s="71"/>
      <c r="B128" s="72"/>
      <c r="C128" s="75"/>
      <c r="D128" s="74"/>
      <c r="E128" s="75"/>
      <c r="F128" s="74"/>
      <c r="G128" s="72"/>
      <c r="H128" s="76"/>
      <c r="I128" s="72"/>
      <c r="J128" s="72"/>
      <c r="K128" s="72"/>
      <c r="L128" s="77"/>
      <c r="M128" s="77"/>
      <c r="N128" s="72"/>
      <c r="O128" s="78"/>
      <c r="P128" s="78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</row>
    <row r="129" spans="1:29" ht="15.75" customHeight="1">
      <c r="A129" s="71"/>
      <c r="B129" s="72"/>
      <c r="C129" s="75"/>
      <c r="D129" s="74"/>
      <c r="E129" s="75"/>
      <c r="F129" s="74"/>
      <c r="G129" s="72"/>
      <c r="H129" s="76"/>
      <c r="I129" s="72"/>
      <c r="J129" s="72"/>
      <c r="K129" s="72"/>
      <c r="L129" s="77"/>
      <c r="M129" s="77"/>
      <c r="N129" s="72"/>
      <c r="O129" s="78"/>
      <c r="P129" s="78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</row>
    <row r="130" spans="1:29" ht="15.75" customHeight="1">
      <c r="A130" s="71"/>
      <c r="B130" s="72"/>
      <c r="C130" s="75"/>
      <c r="D130" s="74"/>
      <c r="E130" s="75"/>
      <c r="F130" s="74"/>
      <c r="G130" s="72"/>
      <c r="H130" s="76"/>
      <c r="I130" s="72"/>
      <c r="J130" s="72"/>
      <c r="K130" s="72"/>
      <c r="L130" s="77"/>
      <c r="M130" s="77"/>
      <c r="N130" s="72"/>
      <c r="O130" s="78"/>
      <c r="P130" s="78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</row>
    <row r="131" spans="1:29" ht="15.75" customHeight="1">
      <c r="A131" s="71"/>
      <c r="B131" s="72"/>
      <c r="C131" s="75"/>
      <c r="D131" s="74"/>
      <c r="E131" s="75"/>
      <c r="F131" s="74"/>
      <c r="G131" s="72"/>
      <c r="H131" s="76"/>
      <c r="I131" s="72"/>
      <c r="J131" s="72"/>
      <c r="K131" s="72"/>
      <c r="L131" s="77"/>
      <c r="M131" s="77"/>
      <c r="N131" s="72"/>
      <c r="O131" s="78"/>
      <c r="P131" s="78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</row>
    <row r="132" spans="1:29" ht="15.75" customHeight="1">
      <c r="A132" s="71"/>
      <c r="B132" s="72"/>
      <c r="C132" s="75"/>
      <c r="D132" s="74"/>
      <c r="E132" s="75"/>
      <c r="F132" s="74"/>
      <c r="G132" s="72"/>
      <c r="H132" s="76"/>
      <c r="I132" s="72"/>
      <c r="J132" s="72"/>
      <c r="K132" s="72"/>
      <c r="L132" s="77"/>
      <c r="M132" s="77"/>
      <c r="N132" s="72"/>
      <c r="O132" s="78"/>
      <c r="P132" s="78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</row>
    <row r="133" spans="1:29" ht="15.75" customHeight="1">
      <c r="A133" s="71"/>
      <c r="B133" s="72"/>
      <c r="C133" s="75"/>
      <c r="D133" s="74"/>
      <c r="E133" s="75"/>
      <c r="F133" s="74"/>
      <c r="G133" s="72"/>
      <c r="H133" s="76"/>
      <c r="I133" s="72"/>
      <c r="J133" s="72"/>
      <c r="K133" s="72"/>
      <c r="L133" s="77"/>
      <c r="M133" s="77"/>
      <c r="N133" s="72"/>
      <c r="O133" s="78"/>
      <c r="P133" s="78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</row>
    <row r="134" spans="1:29" ht="15.75" customHeight="1">
      <c r="A134" s="71"/>
      <c r="B134" s="72"/>
      <c r="C134" s="75"/>
      <c r="D134" s="74"/>
      <c r="E134" s="75"/>
      <c r="F134" s="74"/>
      <c r="G134" s="72"/>
      <c r="H134" s="76"/>
      <c r="I134" s="72"/>
      <c r="J134" s="72"/>
      <c r="K134" s="72"/>
      <c r="L134" s="77"/>
      <c r="M134" s="77"/>
      <c r="N134" s="72"/>
      <c r="O134" s="78"/>
      <c r="P134" s="78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</row>
    <row r="135" spans="1:29" ht="15.75" customHeight="1">
      <c r="A135" s="71"/>
      <c r="B135" s="72"/>
      <c r="C135" s="75"/>
      <c r="D135" s="74"/>
      <c r="E135" s="75"/>
      <c r="F135" s="74"/>
      <c r="G135" s="72"/>
      <c r="H135" s="76"/>
      <c r="I135" s="72"/>
      <c r="J135" s="72"/>
      <c r="K135" s="72"/>
      <c r="L135" s="77"/>
      <c r="M135" s="77"/>
      <c r="N135" s="72"/>
      <c r="O135" s="78"/>
      <c r="P135" s="78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</row>
    <row r="136" spans="1:29" ht="15.75" customHeight="1">
      <c r="A136" s="71"/>
      <c r="B136" s="72"/>
      <c r="C136" s="75"/>
      <c r="D136" s="74"/>
      <c r="E136" s="75"/>
      <c r="F136" s="74"/>
      <c r="G136" s="72"/>
      <c r="H136" s="76"/>
      <c r="I136" s="72"/>
      <c r="J136" s="72"/>
      <c r="K136" s="72"/>
      <c r="L136" s="77"/>
      <c r="M136" s="77"/>
      <c r="N136" s="72"/>
      <c r="O136" s="78"/>
      <c r="P136" s="78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</row>
    <row r="137" spans="1:29" ht="15.75" customHeight="1">
      <c r="A137" s="71"/>
      <c r="B137" s="72"/>
      <c r="C137" s="75"/>
      <c r="D137" s="74"/>
      <c r="E137" s="75"/>
      <c r="F137" s="74"/>
      <c r="G137" s="72"/>
      <c r="H137" s="76"/>
      <c r="I137" s="72"/>
      <c r="J137" s="72"/>
      <c r="K137" s="72"/>
      <c r="L137" s="77"/>
      <c r="M137" s="77"/>
      <c r="N137" s="72"/>
      <c r="O137" s="78"/>
      <c r="P137" s="78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</row>
    <row r="138" spans="1:29" ht="15.75" customHeight="1">
      <c r="A138" s="71"/>
      <c r="B138" s="72"/>
      <c r="C138" s="75"/>
      <c r="D138" s="74"/>
      <c r="E138" s="75"/>
      <c r="F138" s="74"/>
      <c r="G138" s="72"/>
      <c r="H138" s="76"/>
      <c r="I138" s="72"/>
      <c r="J138" s="72"/>
      <c r="K138" s="72"/>
      <c r="L138" s="77"/>
      <c r="M138" s="77"/>
      <c r="N138" s="72"/>
      <c r="O138" s="78"/>
      <c r="P138" s="78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</row>
    <row r="139" spans="1:29" ht="15.75" customHeight="1">
      <c r="A139" s="71"/>
      <c r="B139" s="72"/>
      <c r="C139" s="75"/>
      <c r="D139" s="74"/>
      <c r="E139" s="75"/>
      <c r="F139" s="74"/>
      <c r="G139" s="72"/>
      <c r="H139" s="76"/>
      <c r="I139" s="72"/>
      <c r="J139" s="72"/>
      <c r="K139" s="72"/>
      <c r="L139" s="77"/>
      <c r="M139" s="77"/>
      <c r="N139" s="72"/>
      <c r="O139" s="78"/>
      <c r="P139" s="78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</row>
    <row r="140" spans="1:29" ht="15.75" customHeight="1">
      <c r="A140" s="71"/>
      <c r="B140" s="72"/>
      <c r="C140" s="75"/>
      <c r="D140" s="74"/>
      <c r="E140" s="75"/>
      <c r="F140" s="74"/>
      <c r="G140" s="72"/>
      <c r="H140" s="76"/>
      <c r="I140" s="72"/>
      <c r="J140" s="72"/>
      <c r="K140" s="72"/>
      <c r="L140" s="77"/>
      <c r="M140" s="77"/>
      <c r="N140" s="72"/>
      <c r="O140" s="78"/>
      <c r="P140" s="78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</row>
    <row r="141" spans="1:29" ht="15.75" customHeight="1">
      <c r="A141" s="71"/>
      <c r="B141" s="72"/>
      <c r="C141" s="75"/>
      <c r="D141" s="74"/>
      <c r="E141" s="75"/>
      <c r="F141" s="74"/>
      <c r="G141" s="72"/>
      <c r="H141" s="76"/>
      <c r="I141" s="72"/>
      <c r="J141" s="72"/>
      <c r="K141" s="72"/>
      <c r="L141" s="77"/>
      <c r="M141" s="77"/>
      <c r="N141" s="72"/>
      <c r="O141" s="78"/>
      <c r="P141" s="78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</row>
    <row r="142" spans="1:29" ht="15.75" customHeight="1">
      <c r="A142" s="71"/>
      <c r="B142" s="72"/>
      <c r="C142" s="75"/>
      <c r="D142" s="74"/>
      <c r="E142" s="75"/>
      <c r="F142" s="74"/>
      <c r="G142" s="72"/>
      <c r="H142" s="76"/>
      <c r="I142" s="72"/>
      <c r="J142" s="72"/>
      <c r="K142" s="72"/>
      <c r="L142" s="77"/>
      <c r="M142" s="77"/>
      <c r="N142" s="72"/>
      <c r="O142" s="78"/>
      <c r="P142" s="78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</row>
    <row r="143" spans="1:29" ht="15.75" customHeight="1">
      <c r="A143" s="71"/>
      <c r="B143" s="72"/>
      <c r="C143" s="75"/>
      <c r="D143" s="74"/>
      <c r="E143" s="75"/>
      <c r="F143" s="74"/>
      <c r="G143" s="72"/>
      <c r="H143" s="76"/>
      <c r="I143" s="72"/>
      <c r="J143" s="72"/>
      <c r="K143" s="72"/>
      <c r="L143" s="77"/>
      <c r="M143" s="77"/>
      <c r="N143" s="72"/>
      <c r="O143" s="78"/>
      <c r="P143" s="78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</row>
    <row r="144" spans="1:29" ht="15.75" customHeight="1">
      <c r="A144" s="71"/>
      <c r="B144" s="72"/>
      <c r="C144" s="75"/>
      <c r="D144" s="74"/>
      <c r="E144" s="75"/>
      <c r="F144" s="74"/>
      <c r="G144" s="72"/>
      <c r="H144" s="76"/>
      <c r="I144" s="72"/>
      <c r="J144" s="72"/>
      <c r="K144" s="72"/>
      <c r="L144" s="77"/>
      <c r="M144" s="77"/>
      <c r="N144" s="72"/>
      <c r="O144" s="78"/>
      <c r="P144" s="78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</row>
    <row r="145" spans="1:29" ht="15.75" customHeight="1">
      <c r="A145" s="71"/>
      <c r="B145" s="72"/>
      <c r="C145" s="75"/>
      <c r="D145" s="74"/>
      <c r="E145" s="75"/>
      <c r="F145" s="74"/>
      <c r="G145" s="72"/>
      <c r="H145" s="76"/>
      <c r="I145" s="72"/>
      <c r="J145" s="72"/>
      <c r="K145" s="72"/>
      <c r="L145" s="77"/>
      <c r="M145" s="77"/>
      <c r="N145" s="72"/>
      <c r="O145" s="78"/>
      <c r="P145" s="78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</row>
    <row r="146" spans="1:29" ht="15.75" customHeight="1">
      <c r="A146" s="71"/>
      <c r="B146" s="72"/>
      <c r="C146" s="75"/>
      <c r="D146" s="74"/>
      <c r="E146" s="75"/>
      <c r="F146" s="74"/>
      <c r="G146" s="72"/>
      <c r="H146" s="76"/>
      <c r="I146" s="72"/>
      <c r="J146" s="72"/>
      <c r="K146" s="72"/>
      <c r="L146" s="77"/>
      <c r="M146" s="77"/>
      <c r="N146" s="72"/>
      <c r="O146" s="78"/>
      <c r="P146" s="78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</row>
    <row r="147" spans="1:29" ht="15.75" customHeight="1">
      <c r="A147" s="71"/>
      <c r="B147" s="72"/>
      <c r="C147" s="75"/>
      <c r="D147" s="74"/>
      <c r="E147" s="75"/>
      <c r="F147" s="74"/>
      <c r="G147" s="72"/>
      <c r="H147" s="76"/>
      <c r="I147" s="72"/>
      <c r="J147" s="72"/>
      <c r="K147" s="72"/>
      <c r="L147" s="77"/>
      <c r="M147" s="77"/>
      <c r="N147" s="72"/>
      <c r="O147" s="78"/>
      <c r="P147" s="78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</row>
    <row r="148" spans="1:29" ht="15.75" customHeight="1">
      <c r="A148" s="71"/>
      <c r="B148" s="72"/>
      <c r="C148" s="75"/>
      <c r="D148" s="74"/>
      <c r="E148" s="75"/>
      <c r="F148" s="74"/>
      <c r="G148" s="72"/>
      <c r="H148" s="76"/>
      <c r="I148" s="72"/>
      <c r="J148" s="72"/>
      <c r="K148" s="72"/>
      <c r="L148" s="77"/>
      <c r="M148" s="77"/>
      <c r="N148" s="72"/>
      <c r="O148" s="78"/>
      <c r="P148" s="78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</row>
    <row r="149" spans="1:29" ht="15.75" customHeight="1">
      <c r="A149" s="71"/>
      <c r="B149" s="72"/>
      <c r="C149" s="75"/>
      <c r="D149" s="74"/>
      <c r="E149" s="75"/>
      <c r="F149" s="74"/>
      <c r="G149" s="72"/>
      <c r="H149" s="76"/>
      <c r="I149" s="72"/>
      <c r="J149" s="72"/>
      <c r="K149" s="72"/>
      <c r="L149" s="77"/>
      <c r="M149" s="77"/>
      <c r="N149" s="72"/>
      <c r="O149" s="78"/>
      <c r="P149" s="78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</row>
    <row r="150" spans="1:29" ht="15.75" customHeight="1">
      <c r="A150" s="71"/>
      <c r="B150" s="72"/>
      <c r="C150" s="75"/>
      <c r="D150" s="74"/>
      <c r="E150" s="75"/>
      <c r="F150" s="74"/>
      <c r="G150" s="72"/>
      <c r="H150" s="76"/>
      <c r="I150" s="72"/>
      <c r="J150" s="72"/>
      <c r="K150" s="72"/>
      <c r="L150" s="77"/>
      <c r="M150" s="77"/>
      <c r="N150" s="72"/>
      <c r="O150" s="78"/>
      <c r="P150" s="78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</row>
    <row r="151" spans="1:29" ht="15.75" customHeight="1">
      <c r="A151" s="71"/>
      <c r="B151" s="72"/>
      <c r="C151" s="75"/>
      <c r="D151" s="74"/>
      <c r="E151" s="75"/>
      <c r="F151" s="74"/>
      <c r="G151" s="72"/>
      <c r="H151" s="76"/>
      <c r="I151" s="72"/>
      <c r="J151" s="72"/>
      <c r="K151" s="72"/>
      <c r="L151" s="77"/>
      <c r="M151" s="77"/>
      <c r="N151" s="72"/>
      <c r="O151" s="78"/>
      <c r="P151" s="78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</row>
    <row r="152" spans="1:29" ht="15.75" customHeight="1">
      <c r="A152" s="71"/>
      <c r="B152" s="72"/>
      <c r="C152" s="75"/>
      <c r="D152" s="74"/>
      <c r="E152" s="75"/>
      <c r="F152" s="74"/>
      <c r="G152" s="72"/>
      <c r="H152" s="76"/>
      <c r="I152" s="72"/>
      <c r="J152" s="72"/>
      <c r="K152" s="72"/>
      <c r="L152" s="77"/>
      <c r="M152" s="77"/>
      <c r="N152" s="72"/>
      <c r="O152" s="78"/>
      <c r="P152" s="78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</row>
    <row r="153" spans="1:29" ht="15.75" customHeight="1">
      <c r="A153" s="71"/>
      <c r="B153" s="72"/>
      <c r="C153" s="75"/>
      <c r="D153" s="74"/>
      <c r="E153" s="75"/>
      <c r="F153" s="74"/>
      <c r="G153" s="72"/>
      <c r="H153" s="76"/>
      <c r="I153" s="72"/>
      <c r="J153" s="72"/>
      <c r="K153" s="72"/>
      <c r="L153" s="77"/>
      <c r="M153" s="77"/>
      <c r="N153" s="72"/>
      <c r="O153" s="78"/>
      <c r="P153" s="78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</row>
    <row r="154" spans="1:29" ht="15.75" customHeight="1">
      <c r="A154" s="71"/>
      <c r="B154" s="72"/>
      <c r="C154" s="75"/>
      <c r="D154" s="74"/>
      <c r="E154" s="75"/>
      <c r="F154" s="74"/>
      <c r="G154" s="72"/>
      <c r="H154" s="76"/>
      <c r="I154" s="72"/>
      <c r="J154" s="72"/>
      <c r="K154" s="72"/>
      <c r="L154" s="77"/>
      <c r="M154" s="77"/>
      <c r="N154" s="72"/>
      <c r="O154" s="78"/>
      <c r="P154" s="78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</row>
    <row r="155" spans="1:29" ht="15.75" customHeight="1">
      <c r="A155" s="71"/>
      <c r="B155" s="72"/>
      <c r="C155" s="75"/>
      <c r="D155" s="74"/>
      <c r="E155" s="75"/>
      <c r="F155" s="74"/>
      <c r="G155" s="72"/>
      <c r="H155" s="76"/>
      <c r="I155" s="72"/>
      <c r="J155" s="72"/>
      <c r="K155" s="72"/>
      <c r="L155" s="77"/>
      <c r="M155" s="77"/>
      <c r="N155" s="72"/>
      <c r="O155" s="78"/>
      <c r="P155" s="78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</row>
    <row r="156" spans="1:29" ht="15.75" customHeight="1">
      <c r="A156" s="71"/>
      <c r="B156" s="72"/>
      <c r="C156" s="75"/>
      <c r="D156" s="74"/>
      <c r="E156" s="75"/>
      <c r="F156" s="74"/>
      <c r="G156" s="72"/>
      <c r="H156" s="76"/>
      <c r="I156" s="72"/>
      <c r="J156" s="72"/>
      <c r="K156" s="72"/>
      <c r="L156" s="77"/>
      <c r="M156" s="77"/>
      <c r="N156" s="72"/>
      <c r="O156" s="78"/>
      <c r="P156" s="78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</row>
    <row r="157" spans="1:29" ht="15.75" customHeight="1">
      <c r="A157" s="71"/>
      <c r="B157" s="72"/>
      <c r="C157" s="75"/>
      <c r="D157" s="74"/>
      <c r="E157" s="75"/>
      <c r="F157" s="74"/>
      <c r="G157" s="72"/>
      <c r="H157" s="76"/>
      <c r="I157" s="72"/>
      <c r="J157" s="72"/>
      <c r="K157" s="72"/>
      <c r="L157" s="77"/>
      <c r="M157" s="77"/>
      <c r="N157" s="72"/>
      <c r="O157" s="78"/>
      <c r="P157" s="78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</row>
    <row r="158" spans="1:29" ht="15.75" customHeight="1">
      <c r="A158" s="71"/>
      <c r="B158" s="72"/>
      <c r="C158" s="75"/>
      <c r="D158" s="74"/>
      <c r="E158" s="75"/>
      <c r="F158" s="74"/>
      <c r="G158" s="72"/>
      <c r="H158" s="76"/>
      <c r="I158" s="72"/>
      <c r="J158" s="72"/>
      <c r="K158" s="72"/>
      <c r="L158" s="77"/>
      <c r="M158" s="77"/>
      <c r="N158" s="72"/>
      <c r="O158" s="78"/>
      <c r="P158" s="78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</row>
    <row r="159" spans="1:29" ht="15.75" customHeight="1">
      <c r="A159" s="71"/>
      <c r="B159" s="72"/>
      <c r="C159" s="75"/>
      <c r="D159" s="74"/>
      <c r="E159" s="75"/>
      <c r="F159" s="74"/>
      <c r="G159" s="72"/>
      <c r="H159" s="76"/>
      <c r="I159" s="72"/>
      <c r="J159" s="72"/>
      <c r="K159" s="72"/>
      <c r="L159" s="77"/>
      <c r="M159" s="77"/>
      <c r="N159" s="72"/>
      <c r="O159" s="78"/>
      <c r="P159" s="78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</row>
    <row r="160" spans="1:29" ht="15.75" customHeight="1">
      <c r="A160" s="71"/>
      <c r="B160" s="72"/>
      <c r="C160" s="75"/>
      <c r="D160" s="74"/>
      <c r="E160" s="75"/>
      <c r="F160" s="74"/>
      <c r="G160" s="72"/>
      <c r="H160" s="76"/>
      <c r="I160" s="72"/>
      <c r="J160" s="72"/>
      <c r="K160" s="72"/>
      <c r="L160" s="77"/>
      <c r="M160" s="77"/>
      <c r="N160" s="72"/>
      <c r="O160" s="78"/>
      <c r="P160" s="78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</row>
    <row r="161" spans="1:29" ht="15.75" customHeight="1">
      <c r="A161" s="71"/>
      <c r="B161" s="72"/>
      <c r="C161" s="75"/>
      <c r="D161" s="74"/>
      <c r="E161" s="75"/>
      <c r="F161" s="74"/>
      <c r="G161" s="72"/>
      <c r="H161" s="76"/>
      <c r="I161" s="72"/>
      <c r="J161" s="72"/>
      <c r="K161" s="72"/>
      <c r="L161" s="77"/>
      <c r="M161" s="77"/>
      <c r="N161" s="72"/>
      <c r="O161" s="78"/>
      <c r="P161" s="78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</row>
    <row r="162" spans="1:29" ht="15.75" customHeight="1">
      <c r="A162" s="71"/>
      <c r="B162" s="72"/>
      <c r="C162" s="75"/>
      <c r="D162" s="74"/>
      <c r="E162" s="75"/>
      <c r="F162" s="74"/>
      <c r="G162" s="72"/>
      <c r="H162" s="76"/>
      <c r="I162" s="72"/>
      <c r="J162" s="72"/>
      <c r="K162" s="72"/>
      <c r="L162" s="77"/>
      <c r="M162" s="77"/>
      <c r="N162" s="72"/>
      <c r="O162" s="78"/>
      <c r="P162" s="78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</row>
    <row r="163" spans="1:29" ht="15.75" customHeight="1">
      <c r="A163" s="71"/>
      <c r="B163" s="72"/>
      <c r="C163" s="75"/>
      <c r="D163" s="74"/>
      <c r="E163" s="75"/>
      <c r="F163" s="74"/>
      <c r="G163" s="72"/>
      <c r="H163" s="76"/>
      <c r="I163" s="72"/>
      <c r="J163" s="72"/>
      <c r="K163" s="72"/>
      <c r="L163" s="77"/>
      <c r="M163" s="77"/>
      <c r="N163" s="72"/>
      <c r="O163" s="78"/>
      <c r="P163" s="78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</row>
    <row r="164" spans="1:29" ht="15.75" customHeight="1">
      <c r="A164" s="71"/>
      <c r="B164" s="72"/>
      <c r="C164" s="75"/>
      <c r="D164" s="74"/>
      <c r="E164" s="75"/>
      <c r="F164" s="74"/>
      <c r="G164" s="72"/>
      <c r="H164" s="76"/>
      <c r="I164" s="72"/>
      <c r="J164" s="72"/>
      <c r="K164" s="72"/>
      <c r="L164" s="77"/>
      <c r="M164" s="77"/>
      <c r="N164" s="72"/>
      <c r="O164" s="78"/>
      <c r="P164" s="78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</row>
    <row r="165" spans="1:29" ht="15.75" customHeight="1">
      <c r="A165" s="71"/>
      <c r="B165" s="72"/>
      <c r="C165" s="75"/>
      <c r="D165" s="74"/>
      <c r="E165" s="75"/>
      <c r="F165" s="74"/>
      <c r="G165" s="72"/>
      <c r="H165" s="76"/>
      <c r="I165" s="72"/>
      <c r="J165" s="72"/>
      <c r="K165" s="72"/>
      <c r="L165" s="77"/>
      <c r="M165" s="77"/>
      <c r="N165" s="72"/>
      <c r="O165" s="78"/>
      <c r="P165" s="78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</row>
    <row r="166" spans="1:29" ht="15.75" customHeight="1">
      <c r="A166" s="71"/>
      <c r="B166" s="72"/>
      <c r="C166" s="75"/>
      <c r="D166" s="74"/>
      <c r="E166" s="75"/>
      <c r="F166" s="74"/>
      <c r="G166" s="72"/>
      <c r="H166" s="76"/>
      <c r="I166" s="72"/>
      <c r="J166" s="72"/>
      <c r="K166" s="72"/>
      <c r="L166" s="77"/>
      <c r="M166" s="77"/>
      <c r="N166" s="72"/>
      <c r="O166" s="78"/>
      <c r="P166" s="78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</row>
    <row r="167" spans="1:29" ht="15.75" customHeight="1">
      <c r="A167" s="71"/>
      <c r="B167" s="72"/>
      <c r="C167" s="75"/>
      <c r="D167" s="74"/>
      <c r="E167" s="75"/>
      <c r="F167" s="74"/>
      <c r="G167" s="72"/>
      <c r="H167" s="76"/>
      <c r="I167" s="72"/>
      <c r="J167" s="72"/>
      <c r="K167" s="72"/>
      <c r="L167" s="77"/>
      <c r="M167" s="77"/>
      <c r="N167" s="72"/>
      <c r="O167" s="78"/>
      <c r="P167" s="78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</row>
    <row r="168" spans="1:29" ht="15.75" customHeight="1">
      <c r="A168" s="71"/>
      <c r="B168" s="72"/>
      <c r="C168" s="75"/>
      <c r="D168" s="74"/>
      <c r="E168" s="75"/>
      <c r="F168" s="74"/>
      <c r="G168" s="72"/>
      <c r="H168" s="76"/>
      <c r="I168" s="72"/>
      <c r="J168" s="72"/>
      <c r="K168" s="72"/>
      <c r="L168" s="77"/>
      <c r="M168" s="77"/>
      <c r="N168" s="72"/>
      <c r="O168" s="78"/>
      <c r="P168" s="78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</row>
    <row r="169" spans="1:29" ht="15.75" customHeight="1">
      <c r="A169" s="71"/>
      <c r="B169" s="72"/>
      <c r="C169" s="75"/>
      <c r="D169" s="74"/>
      <c r="E169" s="75"/>
      <c r="F169" s="74"/>
      <c r="G169" s="72"/>
      <c r="H169" s="76"/>
      <c r="I169" s="72"/>
      <c r="J169" s="72"/>
      <c r="K169" s="72"/>
      <c r="L169" s="77"/>
      <c r="M169" s="77"/>
      <c r="N169" s="72"/>
      <c r="O169" s="78"/>
      <c r="P169" s="78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</row>
    <row r="170" spans="1:29" ht="15.75" customHeight="1">
      <c r="A170" s="71"/>
      <c r="B170" s="72"/>
      <c r="C170" s="75"/>
      <c r="D170" s="74"/>
      <c r="E170" s="75"/>
      <c r="F170" s="74"/>
      <c r="G170" s="72"/>
      <c r="H170" s="76"/>
      <c r="I170" s="72"/>
      <c r="J170" s="72"/>
      <c r="K170" s="72"/>
      <c r="L170" s="77"/>
      <c r="M170" s="77"/>
      <c r="N170" s="72"/>
      <c r="O170" s="78"/>
      <c r="P170" s="78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</row>
    <row r="171" spans="1:29" ht="15.75" customHeight="1">
      <c r="A171" s="71"/>
      <c r="B171" s="72"/>
      <c r="C171" s="75"/>
      <c r="D171" s="74"/>
      <c r="E171" s="75"/>
      <c r="F171" s="74"/>
      <c r="G171" s="72"/>
      <c r="H171" s="76"/>
      <c r="I171" s="72"/>
      <c r="J171" s="72"/>
      <c r="K171" s="72"/>
      <c r="L171" s="77"/>
      <c r="M171" s="77"/>
      <c r="N171" s="72"/>
      <c r="O171" s="78"/>
      <c r="P171" s="78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</row>
    <row r="172" spans="1:29" ht="15.75" customHeight="1">
      <c r="A172" s="71"/>
      <c r="B172" s="72"/>
      <c r="C172" s="75"/>
      <c r="D172" s="74"/>
      <c r="E172" s="75"/>
      <c r="F172" s="74"/>
      <c r="G172" s="72"/>
      <c r="H172" s="76"/>
      <c r="I172" s="72"/>
      <c r="J172" s="72"/>
      <c r="K172" s="72"/>
      <c r="L172" s="77"/>
      <c r="M172" s="77"/>
      <c r="N172" s="72"/>
      <c r="O172" s="78"/>
      <c r="P172" s="78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</row>
    <row r="173" spans="1:29" ht="15.75" customHeight="1">
      <c r="A173" s="71"/>
      <c r="B173" s="72"/>
      <c r="C173" s="75"/>
      <c r="D173" s="74"/>
      <c r="E173" s="75"/>
      <c r="F173" s="74"/>
      <c r="G173" s="72"/>
      <c r="H173" s="76"/>
      <c r="I173" s="72"/>
      <c r="J173" s="72"/>
      <c r="K173" s="72"/>
      <c r="L173" s="77"/>
      <c r="M173" s="77"/>
      <c r="N173" s="72"/>
      <c r="O173" s="78"/>
      <c r="P173" s="78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</row>
    <row r="174" spans="1:29" ht="15.75" customHeight="1">
      <c r="A174" s="71"/>
      <c r="B174" s="72"/>
      <c r="C174" s="75"/>
      <c r="D174" s="74"/>
      <c r="E174" s="75"/>
      <c r="F174" s="74"/>
      <c r="G174" s="72"/>
      <c r="H174" s="76"/>
      <c r="I174" s="72"/>
      <c r="J174" s="72"/>
      <c r="K174" s="72"/>
      <c r="L174" s="77"/>
      <c r="M174" s="77"/>
      <c r="N174" s="72"/>
      <c r="O174" s="78"/>
      <c r="P174" s="78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</row>
    <row r="175" spans="1:29" ht="15.75" customHeight="1">
      <c r="A175" s="71"/>
      <c r="B175" s="72"/>
      <c r="C175" s="75"/>
      <c r="D175" s="74"/>
      <c r="E175" s="75"/>
      <c r="F175" s="74"/>
      <c r="G175" s="72"/>
      <c r="H175" s="76"/>
      <c r="I175" s="72"/>
      <c r="J175" s="72"/>
      <c r="K175" s="72"/>
      <c r="L175" s="77"/>
      <c r="M175" s="77"/>
      <c r="N175" s="72"/>
      <c r="O175" s="78"/>
      <c r="P175" s="78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</row>
    <row r="176" spans="1:29" ht="15.75" customHeight="1">
      <c r="A176" s="71"/>
      <c r="B176" s="72"/>
      <c r="C176" s="75"/>
      <c r="D176" s="74"/>
      <c r="E176" s="75"/>
      <c r="F176" s="74"/>
      <c r="G176" s="72"/>
      <c r="H176" s="76"/>
      <c r="I176" s="72"/>
      <c r="J176" s="72"/>
      <c r="K176" s="72"/>
      <c r="L176" s="77"/>
      <c r="M176" s="77"/>
      <c r="N176" s="72"/>
      <c r="O176" s="78"/>
      <c r="P176" s="78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</row>
    <row r="177" spans="1:29" ht="15.75" customHeight="1">
      <c r="A177" s="71"/>
      <c r="B177" s="72"/>
      <c r="C177" s="75"/>
      <c r="D177" s="74"/>
      <c r="E177" s="75"/>
      <c r="F177" s="74"/>
      <c r="G177" s="72"/>
      <c r="H177" s="76"/>
      <c r="I177" s="72"/>
      <c r="J177" s="72"/>
      <c r="K177" s="72"/>
      <c r="L177" s="77"/>
      <c r="M177" s="77"/>
      <c r="N177" s="72"/>
      <c r="O177" s="78"/>
      <c r="P177" s="78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</row>
    <row r="178" spans="1:29" ht="15.75" customHeight="1">
      <c r="A178" s="71"/>
      <c r="B178" s="72"/>
      <c r="C178" s="75"/>
      <c r="D178" s="74"/>
      <c r="E178" s="75"/>
      <c r="F178" s="74"/>
      <c r="G178" s="72"/>
      <c r="H178" s="76"/>
      <c r="I178" s="72"/>
      <c r="J178" s="72"/>
      <c r="K178" s="72"/>
      <c r="L178" s="77"/>
      <c r="M178" s="77"/>
      <c r="N178" s="72"/>
      <c r="O178" s="78"/>
      <c r="P178" s="78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</row>
    <row r="179" spans="1:29" ht="15.75" customHeight="1">
      <c r="A179" s="71"/>
      <c r="B179" s="72"/>
      <c r="C179" s="75"/>
      <c r="D179" s="74"/>
      <c r="E179" s="75"/>
      <c r="F179" s="74"/>
      <c r="G179" s="72"/>
      <c r="H179" s="76"/>
      <c r="I179" s="72"/>
      <c r="J179" s="72"/>
      <c r="K179" s="72"/>
      <c r="L179" s="77"/>
      <c r="M179" s="77"/>
      <c r="N179" s="72"/>
      <c r="O179" s="78"/>
      <c r="P179" s="78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</row>
    <row r="180" spans="1:29" ht="15.75" customHeight="1">
      <c r="A180" s="71"/>
      <c r="B180" s="72"/>
      <c r="C180" s="75"/>
      <c r="D180" s="74"/>
      <c r="E180" s="75"/>
      <c r="F180" s="74"/>
      <c r="G180" s="72"/>
      <c r="H180" s="76"/>
      <c r="I180" s="72"/>
      <c r="J180" s="72"/>
      <c r="K180" s="72"/>
      <c r="L180" s="77"/>
      <c r="M180" s="77"/>
      <c r="N180" s="72"/>
      <c r="O180" s="78"/>
      <c r="P180" s="78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</row>
    <row r="181" spans="1:29" ht="15.75" customHeight="1">
      <c r="A181" s="71"/>
      <c r="B181" s="72"/>
      <c r="C181" s="75"/>
      <c r="D181" s="74"/>
      <c r="E181" s="75"/>
      <c r="F181" s="74"/>
      <c r="G181" s="72"/>
      <c r="H181" s="76"/>
      <c r="I181" s="72"/>
      <c r="J181" s="72"/>
      <c r="K181" s="72"/>
      <c r="L181" s="77"/>
      <c r="M181" s="77"/>
      <c r="N181" s="72"/>
      <c r="O181" s="78"/>
      <c r="P181" s="78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</row>
    <row r="182" spans="1:29" ht="15.75" customHeight="1">
      <c r="A182" s="71"/>
      <c r="B182" s="72"/>
      <c r="C182" s="75"/>
      <c r="D182" s="74"/>
      <c r="E182" s="75"/>
      <c r="F182" s="74"/>
      <c r="G182" s="72"/>
      <c r="H182" s="76"/>
      <c r="I182" s="72"/>
      <c r="J182" s="72"/>
      <c r="K182" s="72"/>
      <c r="L182" s="77"/>
      <c r="M182" s="77"/>
      <c r="N182" s="72"/>
      <c r="O182" s="78"/>
      <c r="P182" s="78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</row>
    <row r="183" spans="1:29" ht="15.75" customHeight="1">
      <c r="A183" s="71"/>
      <c r="B183" s="72"/>
      <c r="C183" s="75"/>
      <c r="D183" s="74"/>
      <c r="E183" s="75"/>
      <c r="F183" s="74"/>
      <c r="G183" s="72"/>
      <c r="H183" s="76"/>
      <c r="I183" s="72"/>
      <c r="J183" s="72"/>
      <c r="K183" s="72"/>
      <c r="L183" s="77"/>
      <c r="M183" s="77"/>
      <c r="N183" s="72"/>
      <c r="O183" s="78"/>
      <c r="P183" s="78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</row>
    <row r="184" spans="1:29" ht="15.75" customHeight="1">
      <c r="A184" s="71"/>
      <c r="B184" s="72"/>
      <c r="C184" s="75"/>
      <c r="D184" s="74"/>
      <c r="E184" s="75"/>
      <c r="F184" s="74"/>
      <c r="G184" s="72"/>
      <c r="H184" s="76"/>
      <c r="I184" s="72"/>
      <c r="J184" s="72"/>
      <c r="K184" s="72"/>
      <c r="L184" s="77"/>
      <c r="M184" s="77"/>
      <c r="N184" s="72"/>
      <c r="O184" s="78"/>
      <c r="P184" s="78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</row>
    <row r="185" spans="1:29" ht="15.75" customHeight="1">
      <c r="A185" s="71"/>
      <c r="B185" s="72"/>
      <c r="C185" s="75"/>
      <c r="D185" s="74"/>
      <c r="E185" s="75"/>
      <c r="F185" s="74"/>
      <c r="G185" s="72"/>
      <c r="H185" s="76"/>
      <c r="I185" s="72"/>
      <c r="J185" s="72"/>
      <c r="K185" s="72"/>
      <c r="L185" s="77"/>
      <c r="M185" s="77"/>
      <c r="N185" s="72"/>
      <c r="O185" s="78"/>
      <c r="P185" s="78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</row>
    <row r="186" spans="1:29" ht="15.75" customHeight="1">
      <c r="A186" s="71"/>
      <c r="B186" s="72"/>
      <c r="C186" s="75"/>
      <c r="D186" s="74"/>
      <c r="E186" s="75"/>
      <c r="F186" s="74"/>
      <c r="G186" s="72"/>
      <c r="H186" s="76"/>
      <c r="I186" s="72"/>
      <c r="J186" s="72"/>
      <c r="K186" s="72"/>
      <c r="L186" s="77"/>
      <c r="M186" s="77"/>
      <c r="N186" s="72"/>
      <c r="O186" s="78"/>
      <c r="P186" s="78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</row>
    <row r="187" spans="1:29" ht="15.75" customHeight="1">
      <c r="A187" s="71"/>
      <c r="B187" s="72"/>
      <c r="C187" s="75"/>
      <c r="D187" s="74"/>
      <c r="E187" s="75"/>
      <c r="F187" s="74"/>
      <c r="G187" s="72"/>
      <c r="H187" s="76"/>
      <c r="I187" s="72"/>
      <c r="J187" s="72"/>
      <c r="K187" s="72"/>
      <c r="L187" s="77"/>
      <c r="M187" s="77"/>
      <c r="N187" s="72"/>
      <c r="O187" s="78"/>
      <c r="P187" s="78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</row>
    <row r="188" spans="1:29" ht="15.75" customHeight="1">
      <c r="A188" s="71"/>
      <c r="B188" s="72"/>
      <c r="C188" s="75"/>
      <c r="D188" s="74"/>
      <c r="E188" s="75"/>
      <c r="F188" s="74"/>
      <c r="G188" s="72"/>
      <c r="H188" s="76"/>
      <c r="I188" s="72"/>
      <c r="J188" s="72"/>
      <c r="K188" s="72"/>
      <c r="L188" s="77"/>
      <c r="M188" s="77"/>
      <c r="N188" s="72"/>
      <c r="O188" s="78"/>
      <c r="P188" s="78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</row>
    <row r="189" spans="1:29" ht="15.75" customHeight="1">
      <c r="A189" s="71"/>
      <c r="B189" s="72"/>
      <c r="C189" s="75"/>
      <c r="D189" s="74"/>
      <c r="E189" s="75"/>
      <c r="F189" s="74"/>
      <c r="G189" s="72"/>
      <c r="H189" s="76"/>
      <c r="I189" s="72"/>
      <c r="J189" s="72"/>
      <c r="K189" s="72"/>
      <c r="L189" s="77"/>
      <c r="M189" s="77"/>
      <c r="N189" s="72"/>
      <c r="O189" s="78"/>
      <c r="P189" s="78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</row>
    <row r="190" spans="1:29" ht="15.75" customHeight="1">
      <c r="A190" s="71"/>
      <c r="B190" s="72"/>
      <c r="C190" s="75"/>
      <c r="D190" s="74"/>
      <c r="E190" s="75"/>
      <c r="F190" s="74"/>
      <c r="G190" s="72"/>
      <c r="H190" s="76"/>
      <c r="I190" s="72"/>
      <c r="J190" s="72"/>
      <c r="K190" s="72"/>
      <c r="L190" s="77"/>
      <c r="M190" s="77"/>
      <c r="N190" s="72"/>
      <c r="O190" s="78"/>
      <c r="P190" s="78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</row>
    <row r="191" spans="1:29" ht="15.75" customHeight="1">
      <c r="A191" s="71"/>
      <c r="B191" s="72"/>
      <c r="C191" s="75"/>
      <c r="D191" s="74"/>
      <c r="E191" s="75"/>
      <c r="F191" s="74"/>
      <c r="G191" s="72"/>
      <c r="H191" s="76"/>
      <c r="I191" s="72"/>
      <c r="J191" s="72"/>
      <c r="K191" s="72"/>
      <c r="L191" s="77"/>
      <c r="M191" s="77"/>
      <c r="N191" s="72"/>
      <c r="O191" s="78"/>
      <c r="P191" s="78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</row>
    <row r="192" spans="1:29" ht="15.75" customHeight="1">
      <c r="A192" s="71"/>
      <c r="B192" s="72"/>
      <c r="C192" s="75"/>
      <c r="D192" s="74"/>
      <c r="E192" s="75"/>
      <c r="F192" s="74"/>
      <c r="G192" s="72"/>
      <c r="H192" s="76"/>
      <c r="I192" s="72"/>
      <c r="J192" s="72"/>
      <c r="K192" s="72"/>
      <c r="L192" s="77"/>
      <c r="M192" s="77"/>
      <c r="N192" s="72"/>
      <c r="O192" s="78"/>
      <c r="P192" s="78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</row>
    <row r="193" spans="1:29" ht="15.75" customHeight="1">
      <c r="A193" s="71"/>
      <c r="B193" s="72"/>
      <c r="C193" s="75"/>
      <c r="D193" s="74"/>
      <c r="E193" s="75"/>
      <c r="F193" s="74"/>
      <c r="G193" s="72"/>
      <c r="H193" s="76"/>
      <c r="I193" s="72"/>
      <c r="J193" s="72"/>
      <c r="K193" s="72"/>
      <c r="L193" s="77"/>
      <c r="M193" s="77"/>
      <c r="N193" s="72"/>
      <c r="O193" s="78"/>
      <c r="P193" s="78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</row>
    <row r="194" spans="1:29" ht="15.75" customHeight="1">
      <c r="A194" s="71"/>
      <c r="B194" s="72"/>
      <c r="C194" s="75"/>
      <c r="D194" s="74"/>
      <c r="E194" s="75"/>
      <c r="F194" s="74"/>
      <c r="G194" s="72"/>
      <c r="H194" s="76"/>
      <c r="I194" s="72"/>
      <c r="J194" s="72"/>
      <c r="K194" s="72"/>
      <c r="L194" s="77"/>
      <c r="M194" s="77"/>
      <c r="N194" s="72"/>
      <c r="O194" s="78"/>
      <c r="P194" s="78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</row>
    <row r="195" spans="1:29" ht="15.75" customHeight="1">
      <c r="A195" s="71"/>
      <c r="B195" s="72"/>
      <c r="C195" s="75"/>
      <c r="D195" s="74"/>
      <c r="E195" s="75"/>
      <c r="F195" s="74"/>
      <c r="G195" s="72"/>
      <c r="H195" s="76"/>
      <c r="I195" s="72"/>
      <c r="J195" s="72"/>
      <c r="K195" s="72"/>
      <c r="L195" s="77"/>
      <c r="M195" s="77"/>
      <c r="N195" s="72"/>
      <c r="O195" s="78"/>
      <c r="P195" s="78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</row>
    <row r="196" spans="1:29" ht="15.75" customHeight="1">
      <c r="A196" s="71"/>
      <c r="B196" s="72"/>
      <c r="C196" s="75"/>
      <c r="D196" s="74"/>
      <c r="E196" s="75"/>
      <c r="F196" s="74"/>
      <c r="G196" s="72"/>
      <c r="H196" s="76"/>
      <c r="I196" s="72"/>
      <c r="J196" s="72"/>
      <c r="K196" s="72"/>
      <c r="L196" s="77"/>
      <c r="M196" s="77"/>
      <c r="N196" s="72"/>
      <c r="O196" s="78"/>
      <c r="P196" s="78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</row>
    <row r="197" spans="1:29" ht="15.75" customHeight="1">
      <c r="A197" s="71"/>
      <c r="B197" s="72"/>
      <c r="C197" s="75"/>
      <c r="D197" s="74"/>
      <c r="E197" s="75"/>
      <c r="F197" s="74"/>
      <c r="G197" s="72"/>
      <c r="H197" s="76"/>
      <c r="I197" s="72"/>
      <c r="J197" s="72"/>
      <c r="K197" s="72"/>
      <c r="L197" s="77"/>
      <c r="M197" s="77"/>
      <c r="N197" s="72"/>
      <c r="O197" s="78"/>
      <c r="P197" s="78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</row>
    <row r="198" spans="1:29" ht="15.75" customHeight="1">
      <c r="A198" s="71"/>
      <c r="B198" s="72"/>
      <c r="C198" s="75"/>
      <c r="D198" s="74"/>
      <c r="E198" s="75"/>
      <c r="F198" s="74"/>
      <c r="G198" s="72"/>
      <c r="H198" s="76"/>
      <c r="I198" s="72"/>
      <c r="J198" s="72"/>
      <c r="K198" s="72"/>
      <c r="L198" s="77"/>
      <c r="M198" s="77"/>
      <c r="N198" s="72"/>
      <c r="O198" s="78"/>
      <c r="P198" s="78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</row>
    <row r="199" spans="1:29" ht="15.75" customHeight="1">
      <c r="A199" s="71"/>
      <c r="B199" s="72"/>
      <c r="C199" s="75"/>
      <c r="D199" s="74"/>
      <c r="E199" s="75"/>
      <c r="F199" s="74"/>
      <c r="G199" s="72"/>
      <c r="H199" s="76"/>
      <c r="I199" s="72"/>
      <c r="J199" s="72"/>
      <c r="K199" s="72"/>
      <c r="L199" s="77"/>
      <c r="M199" s="77"/>
      <c r="N199" s="72"/>
      <c r="O199" s="78"/>
      <c r="P199" s="78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</row>
    <row r="200" spans="1:29" ht="15.75" customHeight="1">
      <c r="A200" s="71"/>
      <c r="B200" s="72"/>
      <c r="C200" s="75"/>
      <c r="D200" s="74"/>
      <c r="E200" s="75"/>
      <c r="F200" s="74"/>
      <c r="G200" s="72"/>
      <c r="H200" s="76"/>
      <c r="I200" s="72"/>
      <c r="J200" s="72"/>
      <c r="K200" s="72"/>
      <c r="L200" s="77"/>
      <c r="M200" s="77"/>
      <c r="N200" s="72"/>
      <c r="O200" s="78"/>
      <c r="P200" s="78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</row>
    <row r="201" spans="1:29" ht="15.75" customHeight="1">
      <c r="A201" s="71"/>
      <c r="B201" s="72"/>
      <c r="C201" s="75"/>
      <c r="D201" s="74"/>
      <c r="E201" s="75"/>
      <c r="F201" s="74"/>
      <c r="G201" s="72"/>
      <c r="H201" s="76"/>
      <c r="I201" s="72"/>
      <c r="J201" s="72"/>
      <c r="K201" s="72"/>
      <c r="L201" s="77"/>
      <c r="M201" s="77"/>
      <c r="N201" s="72"/>
      <c r="O201" s="78"/>
      <c r="P201" s="78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</row>
    <row r="202" spans="1:29" ht="15.75" customHeight="1">
      <c r="A202" s="71"/>
      <c r="B202" s="72"/>
      <c r="C202" s="75"/>
      <c r="D202" s="74"/>
      <c r="E202" s="75"/>
      <c r="F202" s="74"/>
      <c r="G202" s="72"/>
      <c r="H202" s="76"/>
      <c r="I202" s="72"/>
      <c r="J202" s="72"/>
      <c r="K202" s="72"/>
      <c r="L202" s="77"/>
      <c r="M202" s="77"/>
      <c r="N202" s="72"/>
      <c r="O202" s="78"/>
      <c r="P202" s="78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</row>
    <row r="203" spans="1:29" ht="15.75" customHeight="1">
      <c r="A203" s="71"/>
      <c r="B203" s="72"/>
      <c r="C203" s="75"/>
      <c r="D203" s="74"/>
      <c r="E203" s="75"/>
      <c r="F203" s="74"/>
      <c r="G203" s="72"/>
      <c r="H203" s="76"/>
      <c r="I203" s="72"/>
      <c r="J203" s="72"/>
      <c r="K203" s="72"/>
      <c r="L203" s="77"/>
      <c r="M203" s="77"/>
      <c r="N203" s="72"/>
      <c r="O203" s="78"/>
      <c r="P203" s="78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</row>
    <row r="204" spans="1:29" ht="15.75" customHeight="1">
      <c r="A204" s="71"/>
      <c r="B204" s="72"/>
      <c r="C204" s="75"/>
      <c r="D204" s="74"/>
      <c r="E204" s="75"/>
      <c r="F204" s="74"/>
      <c r="G204" s="72"/>
      <c r="H204" s="76"/>
      <c r="I204" s="72"/>
      <c r="J204" s="72"/>
      <c r="K204" s="72"/>
      <c r="L204" s="77"/>
      <c r="M204" s="77"/>
      <c r="N204" s="72"/>
      <c r="O204" s="78"/>
      <c r="P204" s="78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</row>
    <row r="205" spans="1:29" ht="15.75" customHeight="1">
      <c r="A205" s="71"/>
      <c r="B205" s="72"/>
      <c r="C205" s="75"/>
      <c r="D205" s="74"/>
      <c r="E205" s="75"/>
      <c r="F205" s="74"/>
      <c r="G205" s="72"/>
      <c r="H205" s="76"/>
      <c r="I205" s="72"/>
      <c r="J205" s="72"/>
      <c r="K205" s="72"/>
      <c r="L205" s="77"/>
      <c r="M205" s="77"/>
      <c r="N205" s="72"/>
      <c r="O205" s="78"/>
      <c r="P205" s="78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</row>
    <row r="206" spans="1:29" ht="15.75" customHeight="1">
      <c r="A206" s="71"/>
      <c r="B206" s="72"/>
      <c r="C206" s="75"/>
      <c r="D206" s="74"/>
      <c r="E206" s="75"/>
      <c r="F206" s="74"/>
      <c r="G206" s="72"/>
      <c r="H206" s="76"/>
      <c r="I206" s="72"/>
      <c r="J206" s="72"/>
      <c r="K206" s="72"/>
      <c r="L206" s="77"/>
      <c r="M206" s="77"/>
      <c r="N206" s="72"/>
      <c r="O206" s="78"/>
      <c r="P206" s="78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</row>
    <row r="207" spans="1:29" ht="15.75" customHeight="1">
      <c r="A207" s="71"/>
      <c r="B207" s="72"/>
      <c r="C207" s="75"/>
      <c r="D207" s="74"/>
      <c r="E207" s="75"/>
      <c r="F207" s="74"/>
      <c r="G207" s="72"/>
      <c r="H207" s="76"/>
      <c r="I207" s="72"/>
      <c r="J207" s="72"/>
      <c r="K207" s="72"/>
      <c r="L207" s="77"/>
      <c r="M207" s="77"/>
      <c r="N207" s="72"/>
      <c r="O207" s="78"/>
      <c r="P207" s="78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</row>
    <row r="208" spans="1:29" ht="15.75" customHeight="1">
      <c r="A208" s="71"/>
      <c r="B208" s="72"/>
      <c r="C208" s="75"/>
      <c r="D208" s="74"/>
      <c r="E208" s="75"/>
      <c r="F208" s="74"/>
      <c r="G208" s="72"/>
      <c r="H208" s="76"/>
      <c r="I208" s="72"/>
      <c r="J208" s="72"/>
      <c r="K208" s="72"/>
      <c r="L208" s="77"/>
      <c r="M208" s="77"/>
      <c r="N208" s="72"/>
      <c r="O208" s="78"/>
      <c r="P208" s="78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</row>
    <row r="209" spans="1:29" ht="15.75" customHeight="1">
      <c r="A209" s="71"/>
      <c r="B209" s="72"/>
      <c r="C209" s="75"/>
      <c r="D209" s="74"/>
      <c r="E209" s="75"/>
      <c r="F209" s="74"/>
      <c r="G209" s="72"/>
      <c r="H209" s="76"/>
      <c r="I209" s="72"/>
      <c r="J209" s="72"/>
      <c r="K209" s="72"/>
      <c r="L209" s="77"/>
      <c r="M209" s="77"/>
      <c r="N209" s="72"/>
      <c r="O209" s="78"/>
      <c r="P209" s="78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</row>
    <row r="210" spans="1:29" ht="15.75" customHeight="1">
      <c r="A210" s="71"/>
      <c r="B210" s="72"/>
      <c r="C210" s="75"/>
      <c r="D210" s="74"/>
      <c r="E210" s="75"/>
      <c r="F210" s="74"/>
      <c r="G210" s="72"/>
      <c r="H210" s="76"/>
      <c r="I210" s="72"/>
      <c r="J210" s="72"/>
      <c r="K210" s="72"/>
      <c r="L210" s="77"/>
      <c r="M210" s="77"/>
      <c r="N210" s="72"/>
      <c r="O210" s="78"/>
      <c r="P210" s="78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</row>
    <row r="211" spans="1:29" ht="15.75" customHeight="1">
      <c r="A211" s="71"/>
      <c r="B211" s="72"/>
      <c r="C211" s="75"/>
      <c r="D211" s="74"/>
      <c r="E211" s="75"/>
      <c r="F211" s="74"/>
      <c r="G211" s="72"/>
      <c r="H211" s="76"/>
      <c r="I211" s="72"/>
      <c r="J211" s="72"/>
      <c r="K211" s="72"/>
      <c r="L211" s="77"/>
      <c r="M211" s="77"/>
      <c r="N211" s="72"/>
      <c r="O211" s="78"/>
      <c r="P211" s="78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</row>
    <row r="212" spans="1:29" ht="15.75" customHeight="1">
      <c r="A212" s="71"/>
      <c r="B212" s="72"/>
      <c r="C212" s="75"/>
      <c r="D212" s="74"/>
      <c r="E212" s="75"/>
      <c r="F212" s="74"/>
      <c r="G212" s="72"/>
      <c r="H212" s="76"/>
      <c r="I212" s="72"/>
      <c r="J212" s="72"/>
      <c r="K212" s="72"/>
      <c r="L212" s="77"/>
      <c r="M212" s="77"/>
      <c r="N212" s="72"/>
      <c r="O212" s="78"/>
      <c r="P212" s="78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</row>
    <row r="213" spans="1:29" ht="15.75" customHeight="1">
      <c r="A213" s="71"/>
      <c r="B213" s="72"/>
      <c r="C213" s="75"/>
      <c r="D213" s="74"/>
      <c r="E213" s="75"/>
      <c r="F213" s="74"/>
      <c r="G213" s="72"/>
      <c r="H213" s="76"/>
      <c r="I213" s="72"/>
      <c r="J213" s="72"/>
      <c r="K213" s="72"/>
      <c r="L213" s="77"/>
      <c r="M213" s="77"/>
      <c r="N213" s="72"/>
      <c r="O213" s="78"/>
      <c r="P213" s="78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</row>
    <row r="214" spans="1:29" ht="15.75" customHeight="1">
      <c r="A214" s="71"/>
      <c r="B214" s="72"/>
      <c r="C214" s="75"/>
      <c r="D214" s="74"/>
      <c r="E214" s="75"/>
      <c r="F214" s="74"/>
      <c r="G214" s="72"/>
      <c r="H214" s="76"/>
      <c r="I214" s="72"/>
      <c r="J214" s="72"/>
      <c r="K214" s="72"/>
      <c r="L214" s="77"/>
      <c r="M214" s="77"/>
      <c r="N214" s="72"/>
      <c r="O214" s="78"/>
      <c r="P214" s="78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</row>
    <row r="215" spans="1:29" ht="15.75" customHeight="1">
      <c r="A215" s="71"/>
      <c r="B215" s="72"/>
      <c r="C215" s="75"/>
      <c r="D215" s="74"/>
      <c r="E215" s="75"/>
      <c r="F215" s="74"/>
      <c r="G215" s="72"/>
      <c r="H215" s="76"/>
      <c r="I215" s="72"/>
      <c r="J215" s="72"/>
      <c r="K215" s="72"/>
      <c r="L215" s="77"/>
      <c r="M215" s="77"/>
      <c r="N215" s="72"/>
      <c r="O215" s="78"/>
      <c r="P215" s="78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</row>
    <row r="216" spans="1:29" ht="15.75" customHeight="1">
      <c r="A216" s="71"/>
      <c r="B216" s="72"/>
      <c r="C216" s="75"/>
      <c r="D216" s="74"/>
      <c r="E216" s="75"/>
      <c r="F216" s="74"/>
      <c r="G216" s="72"/>
      <c r="H216" s="76"/>
      <c r="I216" s="72"/>
      <c r="J216" s="72"/>
      <c r="K216" s="72"/>
      <c r="L216" s="77"/>
      <c r="M216" s="77"/>
      <c r="N216" s="72"/>
      <c r="O216" s="78"/>
      <c r="P216" s="78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</row>
    <row r="217" spans="1:29" ht="15.75" customHeight="1">
      <c r="A217" s="71"/>
      <c r="B217" s="72"/>
      <c r="C217" s="75"/>
      <c r="D217" s="74"/>
      <c r="E217" s="75"/>
      <c r="F217" s="74"/>
      <c r="G217" s="72"/>
      <c r="H217" s="76"/>
      <c r="I217" s="72"/>
      <c r="J217" s="72"/>
      <c r="K217" s="72"/>
      <c r="L217" s="77"/>
      <c r="M217" s="77"/>
      <c r="N217" s="72"/>
      <c r="O217" s="78"/>
      <c r="P217" s="78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</row>
    <row r="218" spans="1:29" ht="15.75" customHeight="1">
      <c r="A218" s="71"/>
      <c r="B218" s="72"/>
      <c r="C218" s="75"/>
      <c r="D218" s="74"/>
      <c r="E218" s="75"/>
      <c r="F218" s="74"/>
      <c r="G218" s="72"/>
      <c r="H218" s="76"/>
      <c r="I218" s="72"/>
      <c r="J218" s="72"/>
      <c r="K218" s="72"/>
      <c r="L218" s="77"/>
      <c r="M218" s="77"/>
      <c r="N218" s="72"/>
      <c r="O218" s="78"/>
      <c r="P218" s="78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</row>
    <row r="219" spans="1:29" ht="15.75" customHeight="1">
      <c r="A219" s="71"/>
      <c r="B219" s="72"/>
      <c r="C219" s="75"/>
      <c r="D219" s="74"/>
      <c r="E219" s="75"/>
      <c r="F219" s="74"/>
      <c r="G219" s="72"/>
      <c r="H219" s="76"/>
      <c r="I219" s="72"/>
      <c r="J219" s="72"/>
      <c r="K219" s="72"/>
      <c r="L219" s="77"/>
      <c r="M219" s="77"/>
      <c r="N219" s="72"/>
      <c r="O219" s="78"/>
      <c r="P219" s="78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</row>
    <row r="220" spans="1:29" ht="15.75" customHeight="1">
      <c r="A220" s="71"/>
      <c r="B220" s="72"/>
      <c r="C220" s="75"/>
      <c r="D220" s="74"/>
      <c r="E220" s="75"/>
      <c r="F220" s="74"/>
      <c r="G220" s="72"/>
      <c r="H220" s="76"/>
      <c r="I220" s="72"/>
      <c r="J220" s="72"/>
      <c r="K220" s="72"/>
      <c r="L220" s="77"/>
      <c r="M220" s="77"/>
      <c r="N220" s="72"/>
      <c r="O220" s="78"/>
      <c r="P220" s="78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</row>
    <row r="221" spans="1:29" ht="15.75" customHeight="1">
      <c r="A221" s="71"/>
      <c r="B221" s="72"/>
      <c r="C221" s="75"/>
      <c r="D221" s="74"/>
      <c r="E221" s="75"/>
      <c r="F221" s="74"/>
      <c r="G221" s="72"/>
      <c r="H221" s="76"/>
      <c r="I221" s="72"/>
      <c r="J221" s="72"/>
      <c r="K221" s="72"/>
      <c r="L221" s="77"/>
      <c r="M221" s="77"/>
      <c r="N221" s="72"/>
      <c r="O221" s="78"/>
      <c r="P221" s="78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</row>
    <row r="222" spans="1:29" ht="15.75" customHeight="1">
      <c r="A222" s="71"/>
      <c r="B222" s="72"/>
      <c r="C222" s="75"/>
      <c r="D222" s="74"/>
      <c r="E222" s="75"/>
      <c r="F222" s="74"/>
      <c r="G222" s="72"/>
      <c r="H222" s="76"/>
      <c r="I222" s="72"/>
      <c r="J222" s="72"/>
      <c r="K222" s="72"/>
      <c r="L222" s="77"/>
      <c r="M222" s="77"/>
      <c r="N222" s="72"/>
      <c r="O222" s="78"/>
      <c r="P222" s="78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</row>
    <row r="223" spans="1:29" ht="15.75" customHeight="1">
      <c r="A223" s="71"/>
      <c r="B223" s="72"/>
      <c r="C223" s="75"/>
      <c r="D223" s="74"/>
      <c r="E223" s="75"/>
      <c r="F223" s="74"/>
      <c r="G223" s="72"/>
      <c r="H223" s="76"/>
      <c r="I223" s="72"/>
      <c r="J223" s="72"/>
      <c r="K223" s="72"/>
      <c r="L223" s="77"/>
      <c r="M223" s="77"/>
      <c r="N223" s="72"/>
      <c r="O223" s="78"/>
      <c r="P223" s="78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</row>
    <row r="224" spans="1:29" ht="15.75" customHeight="1">
      <c r="A224" s="71"/>
      <c r="B224" s="72"/>
      <c r="C224" s="75"/>
      <c r="D224" s="74"/>
      <c r="E224" s="75"/>
      <c r="F224" s="74"/>
      <c r="G224" s="72"/>
      <c r="H224" s="76"/>
      <c r="I224" s="72"/>
      <c r="J224" s="72"/>
      <c r="K224" s="72"/>
      <c r="L224" s="77"/>
      <c r="M224" s="77"/>
      <c r="N224" s="72"/>
      <c r="O224" s="78"/>
      <c r="P224" s="78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</row>
    <row r="225" spans="1:29" ht="15.75" customHeight="1">
      <c r="A225" s="71"/>
      <c r="B225" s="72"/>
      <c r="C225" s="75"/>
      <c r="D225" s="74"/>
      <c r="E225" s="75"/>
      <c r="F225" s="74"/>
      <c r="G225" s="72"/>
      <c r="H225" s="76"/>
      <c r="I225" s="72"/>
      <c r="J225" s="72"/>
      <c r="K225" s="72"/>
      <c r="L225" s="77"/>
      <c r="M225" s="77"/>
      <c r="N225" s="72"/>
      <c r="O225" s="78"/>
      <c r="P225" s="78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</row>
    <row r="226" spans="1:29" ht="15.75" customHeight="1">
      <c r="A226" s="71"/>
      <c r="B226" s="72"/>
      <c r="C226" s="75"/>
      <c r="D226" s="74"/>
      <c r="E226" s="75"/>
      <c r="F226" s="74"/>
      <c r="G226" s="72"/>
      <c r="H226" s="76"/>
      <c r="I226" s="72"/>
      <c r="J226" s="72"/>
      <c r="K226" s="72"/>
      <c r="L226" s="77"/>
      <c r="M226" s="77"/>
      <c r="N226" s="72"/>
      <c r="O226" s="78"/>
      <c r="P226" s="78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</row>
    <row r="227" spans="1:29" ht="15.75" customHeight="1">
      <c r="A227" s="71"/>
      <c r="B227" s="72"/>
      <c r="C227" s="75"/>
      <c r="D227" s="74"/>
      <c r="E227" s="75"/>
      <c r="F227" s="74"/>
      <c r="G227" s="72"/>
      <c r="H227" s="76"/>
      <c r="I227" s="72"/>
      <c r="J227" s="72"/>
      <c r="K227" s="72"/>
      <c r="L227" s="77"/>
      <c r="M227" s="77"/>
      <c r="N227" s="72"/>
      <c r="O227" s="78"/>
      <c r="P227" s="78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</row>
    <row r="228" spans="1:29" ht="15.75" customHeight="1">
      <c r="A228" s="71"/>
      <c r="B228" s="72"/>
      <c r="C228" s="75"/>
      <c r="D228" s="74"/>
      <c r="E228" s="75"/>
      <c r="F228" s="74"/>
      <c r="G228" s="72"/>
      <c r="H228" s="76"/>
      <c r="I228" s="72"/>
      <c r="J228" s="72"/>
      <c r="K228" s="72"/>
      <c r="L228" s="77"/>
      <c r="M228" s="77"/>
      <c r="N228" s="72"/>
      <c r="O228" s="78"/>
      <c r="P228" s="78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</row>
    <row r="229" spans="1:29" ht="15.75" customHeight="1">
      <c r="A229" s="71"/>
      <c r="B229" s="72"/>
      <c r="C229" s="75"/>
      <c r="D229" s="74"/>
      <c r="E229" s="75"/>
      <c r="F229" s="74"/>
      <c r="G229" s="72"/>
      <c r="H229" s="76"/>
      <c r="I229" s="72"/>
      <c r="J229" s="72"/>
      <c r="K229" s="72"/>
      <c r="L229" s="77"/>
      <c r="M229" s="77"/>
      <c r="N229" s="72"/>
      <c r="O229" s="78"/>
      <c r="P229" s="78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</row>
    <row r="230" spans="1:29" ht="15.75" customHeight="1">
      <c r="A230" s="71"/>
      <c r="B230" s="72"/>
      <c r="C230" s="75"/>
      <c r="D230" s="74"/>
      <c r="E230" s="75"/>
      <c r="F230" s="74"/>
      <c r="G230" s="72"/>
      <c r="H230" s="76"/>
      <c r="I230" s="72"/>
      <c r="J230" s="72"/>
      <c r="K230" s="72"/>
      <c r="L230" s="77"/>
      <c r="M230" s="77"/>
      <c r="N230" s="72"/>
      <c r="O230" s="78"/>
      <c r="P230" s="78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</row>
    <row r="231" spans="1:29" ht="15.75" customHeight="1">
      <c r="A231" s="71"/>
      <c r="B231" s="72"/>
      <c r="C231" s="75"/>
      <c r="D231" s="74"/>
      <c r="E231" s="75"/>
      <c r="F231" s="74"/>
      <c r="G231" s="72"/>
      <c r="H231" s="76"/>
      <c r="I231" s="72"/>
      <c r="J231" s="72"/>
      <c r="K231" s="72"/>
      <c r="L231" s="77"/>
      <c r="M231" s="77"/>
      <c r="N231" s="72"/>
      <c r="O231" s="78"/>
      <c r="P231" s="78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</row>
    <row r="232" spans="1:29" ht="15.75" customHeight="1">
      <c r="A232" s="71"/>
      <c r="B232" s="72"/>
      <c r="C232" s="75"/>
      <c r="D232" s="74"/>
      <c r="E232" s="75"/>
      <c r="F232" s="74"/>
      <c r="G232" s="72"/>
      <c r="H232" s="76"/>
      <c r="I232" s="72"/>
      <c r="J232" s="72"/>
      <c r="K232" s="72"/>
      <c r="L232" s="77"/>
      <c r="M232" s="77"/>
      <c r="N232" s="72"/>
      <c r="O232" s="78"/>
      <c r="P232" s="78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</row>
    <row r="233" spans="1:29" ht="15.75" customHeight="1">
      <c r="A233" s="71"/>
      <c r="B233" s="72"/>
      <c r="C233" s="75"/>
      <c r="D233" s="74"/>
      <c r="E233" s="75"/>
      <c r="F233" s="74"/>
      <c r="G233" s="72"/>
      <c r="H233" s="76"/>
      <c r="I233" s="72"/>
      <c r="J233" s="72"/>
      <c r="K233" s="72"/>
      <c r="L233" s="77"/>
      <c r="M233" s="77"/>
      <c r="N233" s="72"/>
      <c r="O233" s="78"/>
      <c r="P233" s="78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</row>
    <row r="234" spans="1:29" ht="15.75" customHeight="1">
      <c r="A234" s="71"/>
      <c r="B234" s="72"/>
      <c r="C234" s="75"/>
      <c r="D234" s="74"/>
      <c r="E234" s="75"/>
      <c r="F234" s="74"/>
      <c r="G234" s="72"/>
      <c r="H234" s="76"/>
      <c r="I234" s="72"/>
      <c r="J234" s="72"/>
      <c r="K234" s="72"/>
      <c r="L234" s="77"/>
      <c r="M234" s="77"/>
      <c r="N234" s="72"/>
      <c r="O234" s="78"/>
      <c r="P234" s="78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</row>
    <row r="235" spans="1:29" ht="15.75" customHeight="1">
      <c r="A235" s="71"/>
      <c r="B235" s="72"/>
      <c r="C235" s="75"/>
      <c r="D235" s="74"/>
      <c r="E235" s="75"/>
      <c r="F235" s="74"/>
      <c r="G235" s="72"/>
      <c r="H235" s="76"/>
      <c r="I235" s="72"/>
      <c r="J235" s="72"/>
      <c r="K235" s="72"/>
      <c r="L235" s="77"/>
      <c r="M235" s="77"/>
      <c r="N235" s="72"/>
      <c r="O235" s="78"/>
      <c r="P235" s="78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</row>
    <row r="236" spans="1:29" ht="15.75" customHeight="1">
      <c r="A236" s="71"/>
      <c r="B236" s="72"/>
      <c r="C236" s="75"/>
      <c r="D236" s="74"/>
      <c r="E236" s="75"/>
      <c r="F236" s="74"/>
      <c r="G236" s="72"/>
      <c r="H236" s="76"/>
      <c r="I236" s="72"/>
      <c r="J236" s="72"/>
      <c r="K236" s="72"/>
      <c r="L236" s="77"/>
      <c r="M236" s="77"/>
      <c r="N236" s="72"/>
      <c r="O236" s="78"/>
      <c r="P236" s="78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</row>
    <row r="237" spans="1:29" ht="15.75" customHeight="1">
      <c r="A237" s="71"/>
      <c r="B237" s="72"/>
      <c r="C237" s="75"/>
      <c r="D237" s="74"/>
      <c r="E237" s="75"/>
      <c r="F237" s="74"/>
      <c r="G237" s="72"/>
      <c r="H237" s="76"/>
      <c r="I237" s="72"/>
      <c r="J237" s="72"/>
      <c r="K237" s="72"/>
      <c r="L237" s="77"/>
      <c r="M237" s="77"/>
      <c r="N237" s="72"/>
      <c r="O237" s="78"/>
      <c r="P237" s="78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</row>
    <row r="238" spans="1:29" ht="15.75" customHeight="1">
      <c r="A238" s="71"/>
      <c r="B238" s="72"/>
      <c r="C238" s="75"/>
      <c r="D238" s="74"/>
      <c r="E238" s="75"/>
      <c r="F238" s="74"/>
      <c r="G238" s="72"/>
      <c r="H238" s="76"/>
      <c r="I238" s="72"/>
      <c r="J238" s="72"/>
      <c r="K238" s="72"/>
      <c r="L238" s="77"/>
      <c r="M238" s="77"/>
      <c r="N238" s="72"/>
      <c r="O238" s="78"/>
      <c r="P238" s="78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</row>
    <row r="239" spans="1:29" ht="15.75" customHeight="1">
      <c r="A239" s="71"/>
      <c r="B239" s="72"/>
      <c r="C239" s="75"/>
      <c r="D239" s="74"/>
      <c r="E239" s="75"/>
      <c r="F239" s="74"/>
      <c r="G239" s="72"/>
      <c r="H239" s="76"/>
      <c r="I239" s="72"/>
      <c r="J239" s="72"/>
      <c r="K239" s="72"/>
      <c r="L239" s="77"/>
      <c r="M239" s="77"/>
      <c r="N239" s="72"/>
      <c r="O239" s="78"/>
      <c r="P239" s="78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</row>
    <row r="240" spans="1:29" ht="15.75" customHeight="1">
      <c r="A240" s="71"/>
      <c r="B240" s="72"/>
      <c r="C240" s="75"/>
      <c r="D240" s="74"/>
      <c r="E240" s="75"/>
      <c r="F240" s="74"/>
      <c r="G240" s="72"/>
      <c r="H240" s="76"/>
      <c r="I240" s="72"/>
      <c r="J240" s="72"/>
      <c r="K240" s="72"/>
      <c r="L240" s="77"/>
      <c r="M240" s="77"/>
      <c r="N240" s="72"/>
      <c r="O240" s="78"/>
      <c r="P240" s="78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</row>
    <row r="241" spans="1:29" ht="15.75" customHeight="1">
      <c r="A241" s="71"/>
      <c r="B241" s="72"/>
      <c r="C241" s="75"/>
      <c r="D241" s="74"/>
      <c r="E241" s="75"/>
      <c r="F241" s="74"/>
      <c r="G241" s="72"/>
      <c r="H241" s="76"/>
      <c r="I241" s="72"/>
      <c r="J241" s="72"/>
      <c r="K241" s="72"/>
      <c r="L241" s="77"/>
      <c r="M241" s="77"/>
      <c r="N241" s="72"/>
      <c r="O241" s="78"/>
      <c r="P241" s="78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</row>
    <row r="242" spans="1:29" ht="15.75" customHeight="1">
      <c r="A242" s="71"/>
      <c r="B242" s="72"/>
      <c r="C242" s="75"/>
      <c r="D242" s="74"/>
      <c r="E242" s="75"/>
      <c r="F242" s="74"/>
      <c r="G242" s="72"/>
      <c r="H242" s="76"/>
      <c r="I242" s="72"/>
      <c r="J242" s="72"/>
      <c r="K242" s="72"/>
      <c r="L242" s="77"/>
      <c r="M242" s="77"/>
      <c r="N242" s="72"/>
      <c r="O242" s="78"/>
      <c r="P242" s="78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</row>
    <row r="243" spans="1:29" ht="15.75" customHeight="1">
      <c r="A243" s="71"/>
      <c r="B243" s="72"/>
      <c r="C243" s="75"/>
      <c r="D243" s="74"/>
      <c r="E243" s="75"/>
      <c r="F243" s="74"/>
      <c r="G243" s="72"/>
      <c r="H243" s="76"/>
      <c r="I243" s="72"/>
      <c r="J243" s="72"/>
      <c r="K243" s="72"/>
      <c r="L243" s="77"/>
      <c r="M243" s="77"/>
      <c r="N243" s="72"/>
      <c r="O243" s="78"/>
      <c r="P243" s="78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</row>
    <row r="244" spans="1:29" ht="15.75" customHeight="1">
      <c r="A244" s="71"/>
      <c r="B244" s="72"/>
      <c r="C244" s="75"/>
      <c r="D244" s="74"/>
      <c r="E244" s="75"/>
      <c r="F244" s="74"/>
      <c r="G244" s="72"/>
      <c r="H244" s="76"/>
      <c r="I244" s="72"/>
      <c r="J244" s="72"/>
      <c r="K244" s="72"/>
      <c r="L244" s="77"/>
      <c r="M244" s="77"/>
      <c r="N244" s="72"/>
      <c r="O244" s="78"/>
      <c r="P244" s="78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</row>
    <row r="245" spans="1:29" ht="15.75" customHeight="1">
      <c r="A245" s="71"/>
      <c r="B245" s="72"/>
      <c r="C245" s="75"/>
      <c r="D245" s="74"/>
      <c r="E245" s="75"/>
      <c r="F245" s="74"/>
      <c r="G245" s="72"/>
      <c r="H245" s="76"/>
      <c r="I245" s="72"/>
      <c r="J245" s="72"/>
      <c r="K245" s="72"/>
      <c r="L245" s="77"/>
      <c r="M245" s="77"/>
      <c r="N245" s="72"/>
      <c r="O245" s="78"/>
      <c r="P245" s="78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</row>
    <row r="246" spans="1:29" ht="15.75" customHeight="1">
      <c r="A246" s="71"/>
      <c r="B246" s="72"/>
      <c r="C246" s="75"/>
      <c r="D246" s="74"/>
      <c r="E246" s="75"/>
      <c r="F246" s="74"/>
      <c r="G246" s="72"/>
      <c r="H246" s="76"/>
      <c r="I246" s="72"/>
      <c r="J246" s="72"/>
      <c r="K246" s="72"/>
      <c r="L246" s="77"/>
      <c r="M246" s="77"/>
      <c r="N246" s="72"/>
      <c r="O246" s="78"/>
      <c r="P246" s="78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</row>
    <row r="247" spans="1:29" ht="15.75" customHeight="1">
      <c r="A247" s="71"/>
      <c r="B247" s="72"/>
      <c r="C247" s="75"/>
      <c r="D247" s="74"/>
      <c r="E247" s="75"/>
      <c r="F247" s="74"/>
      <c r="G247" s="72"/>
      <c r="H247" s="76"/>
      <c r="I247" s="72"/>
      <c r="J247" s="72"/>
      <c r="K247" s="72"/>
      <c r="L247" s="77"/>
      <c r="M247" s="77"/>
      <c r="N247" s="72"/>
      <c r="O247" s="78"/>
      <c r="P247" s="78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</row>
    <row r="248" spans="1:29" ht="15.75" customHeight="1">
      <c r="A248" s="71"/>
      <c r="B248" s="72"/>
      <c r="C248" s="75"/>
      <c r="D248" s="74"/>
      <c r="E248" s="75"/>
      <c r="F248" s="74"/>
      <c r="G248" s="72"/>
      <c r="H248" s="76"/>
      <c r="I248" s="72"/>
      <c r="J248" s="72"/>
      <c r="K248" s="72"/>
      <c r="L248" s="77"/>
      <c r="M248" s="77"/>
      <c r="N248" s="72"/>
      <c r="O248" s="78"/>
      <c r="P248" s="78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</row>
    <row r="249" spans="1:29" ht="15.75" customHeight="1">
      <c r="A249" s="71"/>
      <c r="B249" s="72"/>
      <c r="C249" s="75"/>
      <c r="D249" s="74"/>
      <c r="E249" s="75"/>
      <c r="F249" s="74"/>
      <c r="G249" s="72"/>
      <c r="H249" s="76"/>
      <c r="I249" s="72"/>
      <c r="J249" s="72"/>
      <c r="K249" s="72"/>
      <c r="L249" s="77"/>
      <c r="M249" s="77"/>
      <c r="N249" s="72"/>
      <c r="O249" s="78"/>
      <c r="P249" s="78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</row>
    <row r="250" spans="1:29" ht="15.75" customHeight="1">
      <c r="A250" s="71"/>
      <c r="B250" s="72"/>
      <c r="C250" s="75"/>
      <c r="D250" s="74"/>
      <c r="E250" s="75"/>
      <c r="F250" s="74"/>
      <c r="G250" s="72"/>
      <c r="H250" s="76"/>
      <c r="I250" s="72"/>
      <c r="J250" s="72"/>
      <c r="K250" s="72"/>
      <c r="L250" s="77"/>
      <c r="M250" s="77"/>
      <c r="N250" s="72"/>
      <c r="O250" s="78"/>
      <c r="P250" s="78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</row>
    <row r="251" spans="1:29" ht="15.75" customHeight="1">
      <c r="A251" s="71"/>
      <c r="B251" s="72"/>
      <c r="C251" s="75"/>
      <c r="D251" s="74"/>
      <c r="E251" s="75"/>
      <c r="F251" s="74"/>
      <c r="G251" s="72"/>
      <c r="H251" s="76"/>
      <c r="I251" s="72"/>
      <c r="J251" s="72"/>
      <c r="K251" s="72"/>
      <c r="L251" s="77"/>
      <c r="M251" s="77"/>
      <c r="N251" s="72"/>
      <c r="O251" s="78"/>
      <c r="P251" s="78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</row>
    <row r="252" spans="1:29" ht="15.75" customHeight="1">
      <c r="A252" s="71"/>
      <c r="B252" s="72"/>
      <c r="C252" s="75"/>
      <c r="D252" s="74"/>
      <c r="E252" s="75"/>
      <c r="F252" s="74"/>
      <c r="G252" s="72"/>
      <c r="H252" s="76"/>
      <c r="I252" s="72"/>
      <c r="J252" s="72"/>
      <c r="K252" s="72"/>
      <c r="L252" s="77"/>
      <c r="M252" s="77"/>
      <c r="N252" s="72"/>
      <c r="O252" s="78"/>
      <c r="P252" s="78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</row>
    <row r="253" spans="1:29" ht="15.75" customHeight="1">
      <c r="A253" s="71"/>
      <c r="B253" s="72"/>
      <c r="C253" s="75"/>
      <c r="D253" s="74"/>
      <c r="E253" s="75"/>
      <c r="F253" s="74"/>
      <c r="G253" s="72"/>
      <c r="H253" s="76"/>
      <c r="I253" s="72"/>
      <c r="J253" s="72"/>
      <c r="K253" s="72"/>
      <c r="L253" s="77"/>
      <c r="M253" s="77"/>
      <c r="N253" s="72"/>
      <c r="O253" s="78"/>
      <c r="P253" s="78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</row>
    <row r="254" spans="1:29" ht="15.75" customHeight="1">
      <c r="A254" s="71"/>
      <c r="B254" s="72"/>
      <c r="C254" s="75"/>
      <c r="D254" s="74"/>
      <c r="E254" s="75"/>
      <c r="F254" s="74"/>
      <c r="G254" s="72"/>
      <c r="H254" s="76"/>
      <c r="I254" s="72"/>
      <c r="J254" s="72"/>
      <c r="K254" s="72"/>
      <c r="L254" s="77"/>
      <c r="M254" s="77"/>
      <c r="N254" s="72"/>
      <c r="O254" s="78"/>
      <c r="P254" s="78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</row>
    <row r="255" spans="1:29" ht="15.75" customHeight="1">
      <c r="A255" s="71"/>
      <c r="B255" s="72"/>
      <c r="C255" s="75"/>
      <c r="D255" s="74"/>
      <c r="E255" s="75"/>
      <c r="F255" s="74"/>
      <c r="G255" s="72"/>
      <c r="H255" s="76"/>
      <c r="I255" s="72"/>
      <c r="J255" s="72"/>
      <c r="K255" s="72"/>
      <c r="L255" s="77"/>
      <c r="M255" s="77"/>
      <c r="N255" s="72"/>
      <c r="O255" s="78"/>
      <c r="P255" s="78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</row>
    <row r="256" spans="1:29" ht="15.75" customHeight="1">
      <c r="A256" s="71"/>
      <c r="B256" s="72"/>
      <c r="C256" s="75"/>
      <c r="D256" s="74"/>
      <c r="E256" s="75"/>
      <c r="F256" s="74"/>
      <c r="G256" s="72"/>
      <c r="H256" s="76"/>
      <c r="I256" s="72"/>
      <c r="J256" s="72"/>
      <c r="K256" s="72"/>
      <c r="L256" s="77"/>
      <c r="M256" s="77"/>
      <c r="N256" s="72"/>
      <c r="O256" s="78"/>
      <c r="P256" s="78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</row>
    <row r="257" spans="1:29" ht="15.75" customHeight="1">
      <c r="A257" s="71"/>
      <c r="B257" s="72"/>
      <c r="C257" s="75"/>
      <c r="D257" s="74"/>
      <c r="E257" s="75"/>
      <c r="F257" s="74"/>
      <c r="G257" s="72"/>
      <c r="H257" s="76"/>
      <c r="I257" s="72"/>
      <c r="J257" s="72"/>
      <c r="K257" s="72"/>
      <c r="L257" s="77"/>
      <c r="M257" s="77"/>
      <c r="N257" s="72"/>
      <c r="O257" s="78"/>
      <c r="P257" s="78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</row>
    <row r="258" spans="1:29" ht="15.75" customHeight="1">
      <c r="A258" s="71"/>
      <c r="B258" s="72"/>
      <c r="C258" s="75"/>
      <c r="D258" s="74"/>
      <c r="E258" s="75"/>
      <c r="F258" s="74"/>
      <c r="G258" s="72"/>
      <c r="H258" s="76"/>
      <c r="I258" s="72"/>
      <c r="J258" s="72"/>
      <c r="K258" s="72"/>
      <c r="L258" s="77"/>
      <c r="M258" s="77"/>
      <c r="N258" s="72"/>
      <c r="O258" s="78"/>
      <c r="P258" s="78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</row>
    <row r="259" spans="1:29" ht="15.75" customHeight="1">
      <c r="A259" s="71"/>
      <c r="B259" s="72"/>
      <c r="C259" s="75"/>
      <c r="D259" s="74"/>
      <c r="E259" s="75"/>
      <c r="F259" s="74"/>
      <c r="G259" s="72"/>
      <c r="H259" s="76"/>
      <c r="I259" s="72"/>
      <c r="J259" s="72"/>
      <c r="K259" s="72"/>
      <c r="L259" s="77"/>
      <c r="M259" s="77"/>
      <c r="N259" s="72"/>
      <c r="O259" s="78"/>
      <c r="P259" s="78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</row>
    <row r="260" spans="1:29" ht="15.75" customHeight="1">
      <c r="A260" s="71"/>
      <c r="B260" s="72"/>
      <c r="C260" s="75"/>
      <c r="D260" s="74"/>
      <c r="E260" s="75"/>
      <c r="F260" s="74"/>
      <c r="G260" s="72"/>
      <c r="H260" s="76"/>
      <c r="I260" s="72"/>
      <c r="J260" s="72"/>
      <c r="K260" s="72"/>
      <c r="L260" s="77"/>
      <c r="M260" s="77"/>
      <c r="N260" s="72"/>
      <c r="O260" s="78"/>
      <c r="P260" s="78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</row>
    <row r="261" spans="1:29" ht="15.75" customHeight="1">
      <c r="A261" s="71"/>
      <c r="B261" s="72"/>
      <c r="C261" s="75"/>
      <c r="D261" s="74"/>
      <c r="E261" s="75"/>
      <c r="F261" s="74"/>
      <c r="G261" s="72"/>
      <c r="H261" s="76"/>
      <c r="I261" s="72"/>
      <c r="J261" s="72"/>
      <c r="K261" s="72"/>
      <c r="L261" s="77"/>
      <c r="M261" s="77"/>
      <c r="N261" s="72"/>
      <c r="O261" s="78"/>
      <c r="P261" s="78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</row>
    <row r="262" spans="1:29" ht="15.75" customHeight="1">
      <c r="A262" s="71"/>
      <c r="B262" s="72"/>
      <c r="C262" s="75"/>
      <c r="D262" s="74"/>
      <c r="E262" s="75"/>
      <c r="F262" s="74"/>
      <c r="G262" s="72"/>
      <c r="H262" s="76"/>
      <c r="I262" s="72"/>
      <c r="J262" s="72"/>
      <c r="K262" s="72"/>
      <c r="L262" s="77"/>
      <c r="M262" s="77"/>
      <c r="N262" s="72"/>
      <c r="O262" s="78"/>
      <c r="P262" s="78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</row>
    <row r="263" spans="1:29" ht="15.75" customHeight="1">
      <c r="A263" s="71"/>
      <c r="B263" s="72"/>
      <c r="C263" s="75"/>
      <c r="D263" s="74"/>
      <c r="E263" s="75"/>
      <c r="F263" s="74"/>
      <c r="G263" s="72"/>
      <c r="H263" s="76"/>
      <c r="I263" s="72"/>
      <c r="J263" s="72"/>
      <c r="K263" s="72"/>
      <c r="L263" s="77"/>
      <c r="M263" s="77"/>
      <c r="N263" s="72"/>
      <c r="O263" s="78"/>
      <c r="P263" s="78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</row>
    <row r="264" spans="1:29" ht="15.75" customHeight="1">
      <c r="A264" s="71"/>
      <c r="B264" s="72"/>
      <c r="C264" s="75"/>
      <c r="D264" s="74"/>
      <c r="E264" s="75"/>
      <c r="F264" s="74"/>
      <c r="G264" s="72"/>
      <c r="H264" s="76"/>
      <c r="I264" s="72"/>
      <c r="J264" s="72"/>
      <c r="K264" s="72"/>
      <c r="L264" s="77"/>
      <c r="M264" s="77"/>
      <c r="N264" s="72"/>
      <c r="O264" s="78"/>
      <c r="P264" s="78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</row>
    <row r="265" spans="1:29" ht="15.75" customHeight="1">
      <c r="A265" s="71"/>
      <c r="B265" s="72"/>
      <c r="C265" s="75"/>
      <c r="D265" s="74"/>
      <c r="E265" s="75"/>
      <c r="F265" s="74"/>
      <c r="G265" s="72"/>
      <c r="H265" s="76"/>
      <c r="I265" s="72"/>
      <c r="J265" s="72"/>
      <c r="K265" s="72"/>
      <c r="L265" s="77"/>
      <c r="M265" s="77"/>
      <c r="N265" s="72"/>
      <c r="O265" s="78"/>
      <c r="P265" s="78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</row>
    <row r="266" spans="1:29" ht="15.75" customHeight="1">
      <c r="A266" s="71"/>
      <c r="B266" s="72"/>
      <c r="C266" s="75"/>
      <c r="D266" s="74"/>
      <c r="E266" s="75"/>
      <c r="F266" s="74"/>
      <c r="G266" s="72"/>
      <c r="H266" s="76"/>
      <c r="I266" s="72"/>
      <c r="J266" s="72"/>
      <c r="K266" s="72"/>
      <c r="L266" s="77"/>
      <c r="M266" s="77"/>
      <c r="N266" s="72"/>
      <c r="O266" s="78"/>
      <c r="P266" s="78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</row>
    <row r="267" spans="1:29" ht="15.75" customHeight="1">
      <c r="A267" s="71"/>
      <c r="B267" s="72"/>
      <c r="C267" s="75"/>
      <c r="D267" s="74"/>
      <c r="E267" s="75"/>
      <c r="F267" s="74"/>
      <c r="G267" s="72"/>
      <c r="H267" s="76"/>
      <c r="I267" s="72"/>
      <c r="J267" s="72"/>
      <c r="K267" s="72"/>
      <c r="L267" s="77"/>
      <c r="M267" s="77"/>
      <c r="N267" s="72"/>
      <c r="O267" s="78"/>
      <c r="P267" s="78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</row>
    <row r="268" spans="1:29" ht="15.75" customHeight="1">
      <c r="A268" s="71"/>
      <c r="B268" s="72"/>
      <c r="C268" s="75"/>
      <c r="D268" s="74"/>
      <c r="E268" s="75"/>
      <c r="F268" s="74"/>
      <c r="G268" s="72"/>
      <c r="H268" s="76"/>
      <c r="I268" s="72"/>
      <c r="J268" s="72"/>
      <c r="K268" s="72"/>
      <c r="L268" s="77"/>
      <c r="M268" s="77"/>
      <c r="N268" s="72"/>
      <c r="O268" s="78"/>
      <c r="P268" s="78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</row>
    <row r="269" spans="1:29" ht="15.75" customHeight="1">
      <c r="A269" s="71"/>
      <c r="B269" s="72"/>
      <c r="C269" s="75"/>
      <c r="D269" s="74"/>
      <c r="E269" s="75"/>
      <c r="F269" s="74"/>
      <c r="G269" s="72"/>
      <c r="H269" s="76"/>
      <c r="I269" s="72"/>
      <c r="J269" s="72"/>
      <c r="K269" s="72"/>
      <c r="L269" s="77"/>
      <c r="M269" s="77"/>
      <c r="N269" s="72"/>
      <c r="O269" s="78"/>
      <c r="P269" s="78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</row>
    <row r="270" spans="1:29" ht="15.75" customHeight="1">
      <c r="A270" s="71"/>
      <c r="B270" s="72"/>
      <c r="C270" s="75"/>
      <c r="D270" s="74"/>
      <c r="E270" s="75"/>
      <c r="F270" s="74"/>
      <c r="G270" s="72"/>
      <c r="H270" s="76"/>
      <c r="I270" s="72"/>
      <c r="J270" s="72"/>
      <c r="K270" s="72"/>
      <c r="L270" s="77"/>
      <c r="M270" s="77"/>
      <c r="N270" s="72"/>
      <c r="O270" s="78"/>
      <c r="P270" s="78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</row>
    <row r="271" spans="1:29" ht="15.75" customHeight="1">
      <c r="A271" s="71"/>
      <c r="B271" s="72"/>
      <c r="C271" s="75"/>
      <c r="D271" s="74"/>
      <c r="E271" s="75"/>
      <c r="F271" s="74"/>
      <c r="G271" s="72"/>
      <c r="H271" s="76"/>
      <c r="I271" s="72"/>
      <c r="J271" s="72"/>
      <c r="K271" s="72"/>
      <c r="L271" s="77"/>
      <c r="M271" s="77"/>
      <c r="N271" s="72"/>
      <c r="O271" s="78"/>
      <c r="P271" s="78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</row>
    <row r="272" spans="1:29" ht="15.75" customHeight="1">
      <c r="A272" s="71"/>
      <c r="B272" s="72"/>
      <c r="C272" s="75"/>
      <c r="D272" s="74"/>
      <c r="E272" s="75"/>
      <c r="F272" s="74"/>
      <c r="G272" s="72"/>
      <c r="H272" s="76"/>
      <c r="I272" s="72"/>
      <c r="J272" s="72"/>
      <c r="K272" s="72"/>
      <c r="L272" s="77"/>
      <c r="M272" s="77"/>
      <c r="N272" s="72"/>
      <c r="O272" s="78"/>
      <c r="P272" s="78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</row>
    <row r="273" spans="1:29" ht="15.75" customHeight="1">
      <c r="A273" s="71"/>
      <c r="B273" s="72"/>
      <c r="C273" s="75"/>
      <c r="D273" s="74"/>
      <c r="E273" s="75"/>
      <c r="F273" s="74"/>
      <c r="G273" s="72"/>
      <c r="H273" s="76"/>
      <c r="I273" s="72"/>
      <c r="J273" s="72"/>
      <c r="K273" s="72"/>
      <c r="L273" s="77"/>
      <c r="M273" s="77"/>
      <c r="N273" s="72"/>
      <c r="O273" s="78"/>
      <c r="P273" s="78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</row>
    <row r="274" spans="1:29" ht="15.75" customHeight="1">
      <c r="A274" s="71"/>
      <c r="B274" s="72"/>
      <c r="C274" s="75"/>
      <c r="D274" s="74"/>
      <c r="E274" s="75"/>
      <c r="F274" s="74"/>
      <c r="G274" s="72"/>
      <c r="H274" s="76"/>
      <c r="I274" s="72"/>
      <c r="J274" s="72"/>
      <c r="K274" s="72"/>
      <c r="L274" s="77"/>
      <c r="M274" s="77"/>
      <c r="N274" s="72"/>
      <c r="O274" s="78"/>
      <c r="P274" s="78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</row>
    <row r="275" spans="1:29" ht="15.75" customHeight="1">
      <c r="A275" s="71"/>
      <c r="B275" s="72"/>
      <c r="C275" s="75"/>
      <c r="D275" s="74"/>
      <c r="E275" s="75"/>
      <c r="F275" s="74"/>
      <c r="G275" s="72"/>
      <c r="H275" s="76"/>
      <c r="I275" s="72"/>
      <c r="J275" s="72"/>
      <c r="K275" s="72"/>
      <c r="L275" s="77"/>
      <c r="M275" s="77"/>
      <c r="N275" s="72"/>
      <c r="O275" s="78"/>
      <c r="P275" s="78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</row>
    <row r="276" spans="1:29" ht="15.75" customHeight="1">
      <c r="A276" s="71"/>
      <c r="B276" s="72"/>
      <c r="C276" s="75"/>
      <c r="D276" s="74"/>
      <c r="E276" s="75"/>
      <c r="F276" s="74"/>
      <c r="G276" s="72"/>
      <c r="H276" s="76"/>
      <c r="I276" s="72"/>
      <c r="J276" s="72"/>
      <c r="K276" s="72"/>
      <c r="L276" s="77"/>
      <c r="M276" s="77"/>
      <c r="N276" s="72"/>
      <c r="O276" s="78"/>
      <c r="P276" s="78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</row>
    <row r="277" spans="1:29" ht="15.75" customHeight="1">
      <c r="A277" s="71"/>
      <c r="B277" s="72"/>
      <c r="C277" s="75"/>
      <c r="D277" s="74"/>
      <c r="E277" s="75"/>
      <c r="F277" s="74"/>
      <c r="G277" s="72"/>
      <c r="H277" s="76"/>
      <c r="I277" s="72"/>
      <c r="J277" s="72"/>
      <c r="K277" s="72"/>
      <c r="L277" s="77"/>
      <c r="M277" s="77"/>
      <c r="N277" s="72"/>
      <c r="O277" s="78"/>
      <c r="P277" s="78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</row>
    <row r="278" spans="1:29" ht="15.75" customHeight="1">
      <c r="A278" s="71"/>
      <c r="B278" s="72"/>
      <c r="C278" s="75"/>
      <c r="D278" s="74"/>
      <c r="E278" s="75"/>
      <c r="F278" s="74"/>
      <c r="G278" s="72"/>
      <c r="H278" s="76"/>
      <c r="I278" s="72"/>
      <c r="J278" s="72"/>
      <c r="K278" s="72"/>
      <c r="L278" s="77"/>
      <c r="M278" s="77"/>
      <c r="N278" s="72"/>
      <c r="O278" s="78"/>
      <c r="P278" s="78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</row>
    <row r="279" spans="1:29" ht="15.75" customHeight="1">
      <c r="A279" s="71"/>
      <c r="B279" s="72"/>
      <c r="C279" s="75"/>
      <c r="D279" s="74"/>
      <c r="E279" s="75"/>
      <c r="F279" s="74"/>
      <c r="G279" s="72"/>
      <c r="H279" s="76"/>
      <c r="I279" s="72"/>
      <c r="J279" s="72"/>
      <c r="K279" s="72"/>
      <c r="L279" s="77"/>
      <c r="M279" s="77"/>
      <c r="N279" s="72"/>
      <c r="O279" s="78"/>
      <c r="P279" s="78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</row>
    <row r="280" spans="1:29" ht="15.75" customHeight="1">
      <c r="A280" s="71"/>
      <c r="B280" s="72"/>
      <c r="C280" s="75"/>
      <c r="D280" s="74"/>
      <c r="E280" s="75"/>
      <c r="F280" s="74"/>
      <c r="G280" s="72"/>
      <c r="H280" s="76"/>
      <c r="I280" s="72"/>
      <c r="J280" s="72"/>
      <c r="K280" s="72"/>
      <c r="L280" s="77"/>
      <c r="M280" s="77"/>
      <c r="N280" s="72"/>
      <c r="O280" s="78"/>
      <c r="P280" s="78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</row>
    <row r="281" spans="1:29" ht="15.75" customHeight="1">
      <c r="A281" s="71"/>
      <c r="B281" s="72"/>
      <c r="C281" s="75"/>
      <c r="D281" s="74"/>
      <c r="E281" s="75"/>
      <c r="F281" s="74"/>
      <c r="G281" s="72"/>
      <c r="H281" s="76"/>
      <c r="I281" s="72"/>
      <c r="J281" s="72"/>
      <c r="K281" s="72"/>
      <c r="L281" s="77"/>
      <c r="M281" s="77"/>
      <c r="N281" s="72"/>
      <c r="O281" s="78"/>
      <c r="P281" s="78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</row>
    <row r="282" spans="1:29" ht="15.75" customHeight="1">
      <c r="A282" s="71"/>
      <c r="B282" s="72"/>
      <c r="C282" s="75"/>
      <c r="D282" s="74"/>
      <c r="E282" s="75"/>
      <c r="F282" s="74"/>
      <c r="G282" s="72"/>
      <c r="H282" s="76"/>
      <c r="I282" s="72"/>
      <c r="J282" s="72"/>
      <c r="K282" s="72"/>
      <c r="L282" s="77"/>
      <c r="M282" s="77"/>
      <c r="N282" s="72"/>
      <c r="O282" s="78"/>
      <c r="P282" s="78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</row>
    <row r="283" spans="1:29" ht="15.75" customHeight="1">
      <c r="A283" s="71"/>
      <c r="B283" s="72"/>
      <c r="C283" s="75"/>
      <c r="D283" s="74"/>
      <c r="E283" s="75"/>
      <c r="F283" s="74"/>
      <c r="G283" s="72"/>
      <c r="H283" s="76"/>
      <c r="I283" s="72"/>
      <c r="J283" s="72"/>
      <c r="K283" s="72"/>
      <c r="L283" s="77"/>
      <c r="M283" s="77"/>
      <c r="N283" s="72"/>
      <c r="O283" s="78"/>
      <c r="P283" s="78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</row>
    <row r="284" spans="1:29" ht="15.75" customHeight="1">
      <c r="A284" s="71"/>
      <c r="B284" s="72"/>
      <c r="C284" s="75"/>
      <c r="D284" s="74"/>
      <c r="E284" s="75"/>
      <c r="F284" s="74"/>
      <c r="G284" s="72"/>
      <c r="H284" s="76"/>
      <c r="I284" s="72"/>
      <c r="J284" s="72"/>
      <c r="K284" s="72"/>
      <c r="L284" s="77"/>
      <c r="M284" s="77"/>
      <c r="N284" s="72"/>
      <c r="O284" s="78"/>
      <c r="P284" s="78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</row>
    <row r="285" spans="1:29" ht="15.75" customHeight="1">
      <c r="A285" s="71"/>
      <c r="B285" s="72"/>
      <c r="C285" s="75"/>
      <c r="D285" s="74"/>
      <c r="E285" s="75"/>
      <c r="F285" s="74"/>
      <c r="G285" s="72"/>
      <c r="H285" s="76"/>
      <c r="I285" s="72"/>
      <c r="J285" s="72"/>
      <c r="K285" s="72"/>
      <c r="L285" s="77"/>
      <c r="M285" s="77"/>
      <c r="N285" s="72"/>
      <c r="O285" s="78"/>
      <c r="P285" s="78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</row>
    <row r="286" spans="1:29" ht="15.75" customHeight="1">
      <c r="A286" s="71"/>
      <c r="B286" s="72"/>
      <c r="C286" s="75"/>
      <c r="D286" s="74"/>
      <c r="E286" s="75"/>
      <c r="F286" s="74"/>
      <c r="G286" s="72"/>
      <c r="H286" s="76"/>
      <c r="I286" s="72"/>
      <c r="J286" s="72"/>
      <c r="K286" s="72"/>
      <c r="L286" s="77"/>
      <c r="M286" s="77"/>
      <c r="N286" s="72"/>
      <c r="O286" s="78"/>
      <c r="P286" s="78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</row>
    <row r="287" spans="1:29" ht="15.75" customHeight="1">
      <c r="A287" s="71"/>
      <c r="B287" s="72"/>
      <c r="C287" s="75"/>
      <c r="D287" s="74"/>
      <c r="E287" s="75"/>
      <c r="F287" s="74"/>
      <c r="G287" s="72"/>
      <c r="H287" s="76"/>
      <c r="I287" s="72"/>
      <c r="J287" s="72"/>
      <c r="K287" s="72"/>
      <c r="L287" s="77"/>
      <c r="M287" s="77"/>
      <c r="N287" s="72"/>
      <c r="O287" s="78"/>
      <c r="P287" s="78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</row>
    <row r="288" spans="1:29" ht="15.75" customHeight="1">
      <c r="A288" s="71"/>
      <c r="B288" s="72"/>
      <c r="C288" s="75"/>
      <c r="D288" s="74"/>
      <c r="E288" s="75"/>
      <c r="F288" s="74"/>
      <c r="G288" s="72"/>
      <c r="H288" s="76"/>
      <c r="I288" s="72"/>
      <c r="J288" s="72"/>
      <c r="K288" s="72"/>
      <c r="L288" s="77"/>
      <c r="M288" s="77"/>
      <c r="N288" s="72"/>
      <c r="O288" s="78"/>
      <c r="P288" s="78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</row>
    <row r="289" spans="1:29" ht="15.75" customHeight="1">
      <c r="A289" s="71"/>
      <c r="B289" s="72"/>
      <c r="C289" s="75"/>
      <c r="D289" s="74"/>
      <c r="E289" s="75"/>
      <c r="F289" s="74"/>
      <c r="G289" s="72"/>
      <c r="H289" s="76"/>
      <c r="I289" s="72"/>
      <c r="J289" s="72"/>
      <c r="K289" s="72"/>
      <c r="L289" s="77"/>
      <c r="M289" s="77"/>
      <c r="N289" s="72"/>
      <c r="O289" s="78"/>
      <c r="P289" s="78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</row>
    <row r="290" spans="1:29" ht="15.75" customHeight="1">
      <c r="A290" s="71"/>
      <c r="B290" s="72"/>
      <c r="C290" s="75"/>
      <c r="D290" s="74"/>
      <c r="E290" s="75"/>
      <c r="F290" s="74"/>
      <c r="G290" s="72"/>
      <c r="H290" s="76"/>
      <c r="I290" s="72"/>
      <c r="J290" s="72"/>
      <c r="K290" s="72"/>
      <c r="L290" s="77"/>
      <c r="M290" s="77"/>
      <c r="N290" s="72"/>
      <c r="O290" s="78"/>
      <c r="P290" s="78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</row>
    <row r="291" spans="1:29" ht="15.75" customHeight="1">
      <c r="A291" s="71"/>
      <c r="B291" s="72"/>
      <c r="C291" s="75"/>
      <c r="D291" s="74"/>
      <c r="E291" s="75"/>
      <c r="F291" s="74"/>
      <c r="G291" s="72"/>
      <c r="H291" s="76"/>
      <c r="I291" s="72"/>
      <c r="J291" s="72"/>
      <c r="K291" s="72"/>
      <c r="L291" s="77"/>
      <c r="M291" s="77"/>
      <c r="N291" s="72"/>
      <c r="O291" s="78"/>
      <c r="P291" s="78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</row>
    <row r="292" spans="1:29" ht="15.75" customHeight="1">
      <c r="A292" s="71"/>
      <c r="B292" s="72"/>
      <c r="C292" s="75"/>
      <c r="D292" s="74"/>
      <c r="E292" s="75"/>
      <c r="F292" s="74"/>
      <c r="G292" s="72"/>
      <c r="H292" s="76"/>
      <c r="I292" s="72"/>
      <c r="J292" s="72"/>
      <c r="K292" s="72"/>
      <c r="L292" s="77"/>
      <c r="M292" s="77"/>
      <c r="N292" s="72"/>
      <c r="O292" s="78"/>
      <c r="P292" s="78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</row>
    <row r="293" spans="1:29" ht="15.75" customHeight="1">
      <c r="A293" s="71"/>
      <c r="B293" s="72"/>
      <c r="C293" s="75"/>
      <c r="D293" s="74"/>
      <c r="E293" s="75"/>
      <c r="F293" s="74"/>
      <c r="G293" s="72"/>
      <c r="H293" s="76"/>
      <c r="I293" s="72"/>
      <c r="J293" s="72"/>
      <c r="K293" s="72"/>
      <c r="L293" s="77"/>
      <c r="M293" s="77"/>
      <c r="N293" s="72"/>
      <c r="O293" s="78"/>
      <c r="P293" s="78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</row>
    <row r="294" spans="1:29" ht="15.75" customHeight="1">
      <c r="A294" s="71"/>
      <c r="B294" s="72"/>
      <c r="C294" s="75"/>
      <c r="D294" s="74"/>
      <c r="E294" s="75"/>
      <c r="F294" s="74"/>
      <c r="G294" s="72"/>
      <c r="H294" s="76"/>
      <c r="I294" s="72"/>
      <c r="J294" s="72"/>
      <c r="K294" s="72"/>
      <c r="L294" s="77"/>
      <c r="M294" s="77"/>
      <c r="N294" s="72"/>
      <c r="O294" s="78"/>
      <c r="P294" s="78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</row>
    <row r="295" spans="1:29" ht="15.75" customHeight="1">
      <c r="A295" s="71"/>
      <c r="B295" s="72"/>
      <c r="C295" s="75"/>
      <c r="D295" s="74"/>
      <c r="E295" s="75"/>
      <c r="F295" s="74"/>
      <c r="G295" s="72"/>
      <c r="H295" s="76"/>
      <c r="I295" s="72"/>
      <c r="J295" s="72"/>
      <c r="K295" s="72"/>
      <c r="L295" s="77"/>
      <c r="M295" s="77"/>
      <c r="N295" s="72"/>
      <c r="O295" s="78"/>
      <c r="P295" s="78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</row>
    <row r="296" spans="1:29" ht="15.75" customHeight="1">
      <c r="A296" s="71"/>
      <c r="B296" s="72"/>
      <c r="C296" s="75"/>
      <c r="D296" s="74"/>
      <c r="E296" s="75"/>
      <c r="F296" s="74"/>
      <c r="G296" s="72"/>
      <c r="H296" s="76"/>
      <c r="I296" s="72"/>
      <c r="J296" s="72"/>
      <c r="K296" s="72"/>
      <c r="L296" s="77"/>
      <c r="M296" s="77"/>
      <c r="N296" s="72"/>
      <c r="O296" s="78"/>
      <c r="P296" s="78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</row>
    <row r="297" spans="1:29" ht="15.75" customHeight="1">
      <c r="A297" s="71"/>
      <c r="B297" s="72"/>
      <c r="C297" s="75"/>
      <c r="D297" s="74"/>
      <c r="E297" s="75"/>
      <c r="F297" s="74"/>
      <c r="G297" s="72"/>
      <c r="H297" s="76"/>
      <c r="I297" s="72"/>
      <c r="J297" s="72"/>
      <c r="K297" s="72"/>
      <c r="L297" s="77"/>
      <c r="M297" s="77"/>
      <c r="N297" s="72"/>
      <c r="O297" s="78"/>
      <c r="P297" s="78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</row>
    <row r="298" spans="1:29" ht="15.75" customHeight="1">
      <c r="A298" s="71"/>
      <c r="B298" s="72"/>
      <c r="C298" s="75"/>
      <c r="D298" s="74"/>
      <c r="E298" s="75"/>
      <c r="F298" s="74"/>
      <c r="G298" s="72"/>
      <c r="H298" s="76"/>
      <c r="I298" s="72"/>
      <c r="J298" s="72"/>
      <c r="K298" s="72"/>
      <c r="L298" s="77"/>
      <c r="M298" s="77"/>
      <c r="N298" s="72"/>
      <c r="O298" s="78"/>
      <c r="P298" s="78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</row>
    <row r="299" spans="1:29" ht="15.75" customHeight="1">
      <c r="A299" s="71"/>
      <c r="B299" s="72"/>
      <c r="C299" s="75"/>
      <c r="D299" s="74"/>
      <c r="E299" s="75"/>
      <c r="F299" s="74"/>
      <c r="G299" s="72"/>
      <c r="H299" s="76"/>
      <c r="I299" s="72"/>
      <c r="J299" s="72"/>
      <c r="K299" s="72"/>
      <c r="L299" s="77"/>
      <c r="M299" s="77"/>
      <c r="N299" s="72"/>
      <c r="O299" s="78"/>
      <c r="P299" s="78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</row>
    <row r="300" spans="1:29" ht="15.75" customHeight="1">
      <c r="A300" s="71"/>
      <c r="B300" s="72"/>
      <c r="C300" s="75"/>
      <c r="D300" s="74"/>
      <c r="E300" s="75"/>
      <c r="F300" s="74"/>
      <c r="G300" s="72"/>
      <c r="H300" s="76"/>
      <c r="I300" s="72"/>
      <c r="J300" s="72"/>
      <c r="K300" s="72"/>
      <c r="L300" s="77"/>
      <c r="M300" s="77"/>
      <c r="N300" s="72"/>
      <c r="O300" s="78"/>
      <c r="P300" s="78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</row>
    <row r="301" spans="1:29" ht="15.75" customHeight="1">
      <c r="A301" s="71"/>
      <c r="B301" s="72"/>
      <c r="C301" s="75"/>
      <c r="D301" s="74"/>
      <c r="E301" s="75"/>
      <c r="F301" s="74"/>
      <c r="G301" s="72"/>
      <c r="H301" s="76"/>
      <c r="I301" s="72"/>
      <c r="J301" s="72"/>
      <c r="K301" s="72"/>
      <c r="L301" s="77"/>
      <c r="M301" s="77"/>
      <c r="N301" s="72"/>
      <c r="O301" s="78"/>
      <c r="P301" s="78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</row>
    <row r="302" spans="1:29" ht="15.75" customHeight="1">
      <c r="A302" s="71"/>
      <c r="B302" s="72"/>
      <c r="C302" s="75"/>
      <c r="D302" s="74"/>
      <c r="E302" s="75"/>
      <c r="F302" s="74"/>
      <c r="G302" s="72"/>
      <c r="H302" s="76"/>
      <c r="I302" s="72"/>
      <c r="J302" s="72"/>
      <c r="K302" s="72"/>
      <c r="L302" s="77"/>
      <c r="M302" s="77"/>
      <c r="N302" s="72"/>
      <c r="O302" s="78"/>
      <c r="P302" s="78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</row>
    <row r="303" spans="1:29" ht="15.75" customHeight="1">
      <c r="A303" s="71"/>
      <c r="B303" s="72"/>
      <c r="C303" s="75"/>
      <c r="D303" s="74"/>
      <c r="E303" s="75"/>
      <c r="F303" s="74"/>
      <c r="G303" s="72"/>
      <c r="H303" s="76"/>
      <c r="I303" s="72"/>
      <c r="J303" s="72"/>
      <c r="K303" s="72"/>
      <c r="L303" s="77"/>
      <c r="M303" s="77"/>
      <c r="N303" s="72"/>
      <c r="O303" s="78"/>
      <c r="P303" s="78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</row>
    <row r="304" spans="1:29" ht="15.75" customHeight="1">
      <c r="A304" s="71"/>
      <c r="B304" s="72"/>
      <c r="C304" s="75"/>
      <c r="D304" s="74"/>
      <c r="E304" s="75"/>
      <c r="F304" s="74"/>
      <c r="G304" s="72"/>
      <c r="H304" s="76"/>
      <c r="I304" s="72"/>
      <c r="J304" s="72"/>
      <c r="K304" s="72"/>
      <c r="L304" s="77"/>
      <c r="M304" s="77"/>
      <c r="N304" s="72"/>
      <c r="O304" s="78"/>
      <c r="P304" s="78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</row>
    <row r="305" spans="1:29" ht="15.75" customHeight="1">
      <c r="A305" s="71"/>
      <c r="B305" s="72"/>
      <c r="C305" s="75"/>
      <c r="D305" s="74"/>
      <c r="E305" s="75"/>
      <c r="F305" s="74"/>
      <c r="G305" s="72"/>
      <c r="H305" s="76"/>
      <c r="I305" s="72"/>
      <c r="J305" s="72"/>
      <c r="K305" s="72"/>
      <c r="L305" s="77"/>
      <c r="M305" s="77"/>
      <c r="N305" s="72"/>
      <c r="O305" s="78"/>
      <c r="P305" s="78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</row>
    <row r="306" spans="1:29" ht="15.75" customHeight="1">
      <c r="A306" s="71"/>
      <c r="B306" s="72"/>
      <c r="C306" s="75"/>
      <c r="D306" s="74"/>
      <c r="E306" s="75"/>
      <c r="F306" s="74"/>
      <c r="G306" s="72"/>
      <c r="H306" s="76"/>
      <c r="I306" s="72"/>
      <c r="J306" s="72"/>
      <c r="K306" s="72"/>
      <c r="L306" s="77"/>
      <c r="M306" s="77"/>
      <c r="N306" s="72"/>
      <c r="O306" s="78"/>
      <c r="P306" s="78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</row>
    <row r="307" spans="1:29" ht="15.75" customHeight="1">
      <c r="A307" s="71"/>
      <c r="B307" s="72"/>
      <c r="C307" s="75"/>
      <c r="D307" s="74"/>
      <c r="E307" s="75"/>
      <c r="F307" s="74"/>
      <c r="G307" s="72"/>
      <c r="H307" s="76"/>
      <c r="I307" s="72"/>
      <c r="J307" s="72"/>
      <c r="K307" s="72"/>
      <c r="L307" s="77"/>
      <c r="M307" s="77"/>
      <c r="N307" s="72"/>
      <c r="O307" s="78"/>
      <c r="P307" s="78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</row>
    <row r="308" spans="1:29" ht="15.75" customHeight="1">
      <c r="A308" s="71"/>
      <c r="B308" s="72"/>
      <c r="C308" s="75"/>
      <c r="D308" s="74"/>
      <c r="E308" s="75"/>
      <c r="F308" s="74"/>
      <c r="G308" s="72"/>
      <c r="H308" s="76"/>
      <c r="I308" s="72"/>
      <c r="J308" s="72"/>
      <c r="K308" s="72"/>
      <c r="L308" s="77"/>
      <c r="M308" s="77"/>
      <c r="N308" s="72"/>
      <c r="O308" s="78"/>
      <c r="P308" s="78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</row>
    <row r="309" spans="1:29" ht="15.75" customHeight="1">
      <c r="A309" s="71"/>
      <c r="B309" s="72"/>
      <c r="C309" s="75"/>
      <c r="D309" s="74"/>
      <c r="E309" s="75"/>
      <c r="F309" s="74"/>
      <c r="G309" s="72"/>
      <c r="H309" s="76"/>
      <c r="I309" s="72"/>
      <c r="J309" s="72"/>
      <c r="K309" s="72"/>
      <c r="L309" s="77"/>
      <c r="M309" s="77"/>
      <c r="N309" s="72"/>
      <c r="O309" s="78"/>
      <c r="P309" s="78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</row>
    <row r="310" spans="1:29" ht="15.75" customHeight="1">
      <c r="A310" s="71"/>
      <c r="B310" s="72"/>
      <c r="C310" s="75"/>
      <c r="D310" s="74"/>
      <c r="E310" s="75"/>
      <c r="F310" s="74"/>
      <c r="G310" s="72"/>
      <c r="H310" s="76"/>
      <c r="I310" s="72"/>
      <c r="J310" s="72"/>
      <c r="K310" s="72"/>
      <c r="L310" s="77"/>
      <c r="M310" s="77"/>
      <c r="N310" s="72"/>
      <c r="O310" s="78"/>
      <c r="P310" s="78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</row>
    <row r="311" spans="1:29" ht="15.75" customHeight="1">
      <c r="A311" s="71"/>
      <c r="B311" s="72"/>
      <c r="C311" s="75"/>
      <c r="D311" s="74"/>
      <c r="E311" s="75"/>
      <c r="F311" s="74"/>
      <c r="G311" s="72"/>
      <c r="H311" s="76"/>
      <c r="I311" s="72"/>
      <c r="J311" s="72"/>
      <c r="K311" s="72"/>
      <c r="L311" s="77"/>
      <c r="M311" s="77"/>
      <c r="N311" s="72"/>
      <c r="O311" s="78"/>
      <c r="P311" s="78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</row>
    <row r="312" spans="1:29" ht="15.75" customHeight="1">
      <c r="A312" s="71"/>
      <c r="B312" s="72"/>
      <c r="C312" s="75"/>
      <c r="D312" s="74"/>
      <c r="E312" s="75"/>
      <c r="F312" s="74"/>
      <c r="G312" s="72"/>
      <c r="H312" s="76"/>
      <c r="I312" s="72"/>
      <c r="J312" s="72"/>
      <c r="K312" s="72"/>
      <c r="L312" s="77"/>
      <c r="M312" s="77"/>
      <c r="N312" s="72"/>
      <c r="O312" s="78"/>
      <c r="P312" s="78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</row>
    <row r="313" spans="1:29" ht="15.75" customHeight="1">
      <c r="A313" s="71"/>
      <c r="B313" s="72"/>
      <c r="C313" s="75"/>
      <c r="D313" s="74"/>
      <c r="E313" s="75"/>
      <c r="F313" s="74"/>
      <c r="G313" s="72"/>
      <c r="H313" s="76"/>
      <c r="I313" s="72"/>
      <c r="J313" s="72"/>
      <c r="K313" s="72"/>
      <c r="L313" s="77"/>
      <c r="M313" s="77"/>
      <c r="N313" s="72"/>
      <c r="O313" s="78"/>
      <c r="P313" s="78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</row>
    <row r="314" spans="1:29" ht="15.75" customHeight="1">
      <c r="A314" s="71"/>
      <c r="B314" s="72"/>
      <c r="C314" s="75"/>
      <c r="D314" s="74"/>
      <c r="E314" s="75"/>
      <c r="F314" s="74"/>
      <c r="G314" s="72"/>
      <c r="H314" s="76"/>
      <c r="I314" s="72"/>
      <c r="J314" s="72"/>
      <c r="K314" s="72"/>
      <c r="L314" s="77"/>
      <c r="M314" s="77"/>
      <c r="N314" s="72"/>
      <c r="O314" s="78"/>
      <c r="P314" s="78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</row>
    <row r="315" spans="1:29" ht="15.75" customHeight="1">
      <c r="A315" s="71"/>
      <c r="B315" s="72"/>
      <c r="C315" s="75"/>
      <c r="D315" s="74"/>
      <c r="E315" s="75"/>
      <c r="F315" s="74"/>
      <c r="G315" s="72"/>
      <c r="H315" s="76"/>
      <c r="I315" s="72"/>
      <c r="J315" s="72"/>
      <c r="K315" s="72"/>
      <c r="L315" s="77"/>
      <c r="M315" s="77"/>
      <c r="N315" s="72"/>
      <c r="O315" s="78"/>
      <c r="P315" s="78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</row>
    <row r="316" spans="1:29" ht="15.75" customHeight="1">
      <c r="A316" s="71"/>
      <c r="B316" s="72"/>
      <c r="C316" s="75"/>
      <c r="D316" s="74"/>
      <c r="E316" s="75"/>
      <c r="F316" s="74"/>
      <c r="G316" s="72"/>
      <c r="H316" s="76"/>
      <c r="I316" s="72"/>
      <c r="J316" s="72"/>
      <c r="K316" s="72"/>
      <c r="L316" s="77"/>
      <c r="M316" s="77"/>
      <c r="N316" s="72"/>
      <c r="O316" s="78"/>
      <c r="P316" s="78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</row>
    <row r="317" spans="1:29" ht="15.75" customHeight="1">
      <c r="A317" s="71"/>
      <c r="B317" s="72"/>
      <c r="C317" s="75"/>
      <c r="D317" s="74"/>
      <c r="E317" s="75"/>
      <c r="F317" s="74"/>
      <c r="G317" s="72"/>
      <c r="H317" s="76"/>
      <c r="I317" s="72"/>
      <c r="J317" s="72"/>
      <c r="K317" s="72"/>
      <c r="L317" s="77"/>
      <c r="M317" s="77"/>
      <c r="N317" s="72"/>
      <c r="O317" s="78"/>
      <c r="P317" s="78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</row>
    <row r="318" spans="1:29" ht="15.75" customHeight="1">
      <c r="A318" s="71"/>
      <c r="B318" s="72"/>
      <c r="C318" s="75"/>
      <c r="D318" s="74"/>
      <c r="E318" s="75"/>
      <c r="F318" s="74"/>
      <c r="G318" s="72"/>
      <c r="H318" s="76"/>
      <c r="I318" s="72"/>
      <c r="J318" s="72"/>
      <c r="K318" s="72"/>
      <c r="L318" s="77"/>
      <c r="M318" s="77"/>
      <c r="N318" s="72"/>
      <c r="O318" s="78"/>
      <c r="P318" s="78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</row>
    <row r="319" spans="1:29" ht="15.75" customHeight="1">
      <c r="A319" s="71"/>
      <c r="B319" s="72"/>
      <c r="C319" s="75"/>
      <c r="D319" s="74"/>
      <c r="E319" s="75"/>
      <c r="F319" s="74"/>
      <c r="G319" s="72"/>
      <c r="H319" s="76"/>
      <c r="I319" s="72"/>
      <c r="J319" s="72"/>
      <c r="K319" s="72"/>
      <c r="L319" s="77"/>
      <c r="M319" s="77"/>
      <c r="N319" s="72"/>
      <c r="O319" s="78"/>
      <c r="P319" s="78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</row>
    <row r="320" spans="1:29" ht="15.75" customHeight="1">
      <c r="A320" s="71"/>
      <c r="B320" s="72"/>
      <c r="C320" s="75"/>
      <c r="D320" s="74"/>
      <c r="E320" s="75"/>
      <c r="F320" s="74"/>
      <c r="G320" s="72"/>
      <c r="H320" s="76"/>
      <c r="I320" s="72"/>
      <c r="J320" s="72"/>
      <c r="K320" s="72"/>
      <c r="L320" s="77"/>
      <c r="M320" s="77"/>
      <c r="N320" s="72"/>
      <c r="O320" s="78"/>
      <c r="P320" s="78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</row>
    <row r="321" spans="1:29" ht="15.75" customHeight="1">
      <c r="A321" s="71"/>
      <c r="B321" s="72"/>
      <c r="C321" s="75"/>
      <c r="D321" s="74"/>
      <c r="E321" s="75"/>
      <c r="F321" s="74"/>
      <c r="G321" s="72"/>
      <c r="H321" s="76"/>
      <c r="I321" s="72"/>
      <c r="J321" s="72"/>
      <c r="K321" s="72"/>
      <c r="L321" s="77"/>
      <c r="M321" s="77"/>
      <c r="N321" s="72"/>
      <c r="O321" s="78"/>
      <c r="P321" s="78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</row>
    <row r="322" spans="1:29" ht="15.75" customHeight="1">
      <c r="A322" s="71"/>
      <c r="B322" s="72"/>
      <c r="C322" s="75"/>
      <c r="D322" s="74"/>
      <c r="E322" s="75"/>
      <c r="F322" s="74"/>
      <c r="G322" s="72"/>
      <c r="H322" s="76"/>
      <c r="I322" s="72"/>
      <c r="J322" s="72"/>
      <c r="K322" s="72"/>
      <c r="L322" s="77"/>
      <c r="M322" s="77"/>
      <c r="N322" s="72"/>
      <c r="O322" s="78"/>
      <c r="P322" s="78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</row>
    <row r="323" spans="1:29" ht="15.75" customHeight="1">
      <c r="A323" s="71"/>
      <c r="B323" s="72"/>
      <c r="C323" s="75"/>
      <c r="D323" s="74"/>
      <c r="E323" s="75"/>
      <c r="F323" s="74"/>
      <c r="G323" s="72"/>
      <c r="H323" s="76"/>
      <c r="I323" s="72"/>
      <c r="J323" s="72"/>
      <c r="K323" s="72"/>
      <c r="L323" s="77"/>
      <c r="M323" s="77"/>
      <c r="N323" s="72"/>
      <c r="O323" s="78"/>
      <c r="P323" s="78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</row>
    <row r="324" spans="1:29" ht="15.75" customHeight="1">
      <c r="A324" s="71"/>
      <c r="B324" s="72"/>
      <c r="C324" s="75"/>
      <c r="D324" s="74"/>
      <c r="E324" s="75"/>
      <c r="F324" s="74"/>
      <c r="G324" s="72"/>
      <c r="H324" s="76"/>
      <c r="I324" s="72"/>
      <c r="J324" s="72"/>
      <c r="K324" s="72"/>
      <c r="L324" s="77"/>
      <c r="M324" s="77"/>
      <c r="N324" s="72"/>
      <c r="O324" s="78"/>
      <c r="P324" s="78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</row>
    <row r="325" spans="1:29" ht="15.75" customHeight="1">
      <c r="A325" s="71"/>
      <c r="B325" s="72"/>
      <c r="C325" s="75"/>
      <c r="D325" s="74"/>
      <c r="E325" s="75"/>
      <c r="F325" s="74"/>
      <c r="G325" s="72"/>
      <c r="H325" s="76"/>
      <c r="I325" s="72"/>
      <c r="J325" s="72"/>
      <c r="K325" s="72"/>
      <c r="L325" s="77"/>
      <c r="M325" s="77"/>
      <c r="N325" s="72"/>
      <c r="O325" s="78"/>
      <c r="P325" s="78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</row>
    <row r="326" spans="1:29" ht="15.75" customHeight="1">
      <c r="A326" s="71"/>
      <c r="B326" s="72"/>
      <c r="C326" s="75"/>
      <c r="D326" s="74"/>
      <c r="E326" s="75"/>
      <c r="F326" s="74"/>
      <c r="G326" s="72"/>
      <c r="H326" s="76"/>
      <c r="I326" s="72"/>
      <c r="J326" s="72"/>
      <c r="K326" s="72"/>
      <c r="L326" s="77"/>
      <c r="M326" s="77"/>
      <c r="N326" s="72"/>
      <c r="O326" s="78"/>
      <c r="P326" s="78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</row>
    <row r="327" spans="1:29" ht="15.75" customHeight="1">
      <c r="A327" s="71"/>
      <c r="B327" s="72"/>
      <c r="C327" s="75"/>
      <c r="D327" s="74"/>
      <c r="E327" s="75"/>
      <c r="F327" s="74"/>
      <c r="G327" s="72"/>
      <c r="H327" s="76"/>
      <c r="I327" s="72"/>
      <c r="J327" s="72"/>
      <c r="K327" s="72"/>
      <c r="L327" s="77"/>
      <c r="M327" s="77"/>
      <c r="N327" s="72"/>
      <c r="O327" s="78"/>
      <c r="P327" s="78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</row>
    <row r="328" spans="1:29" ht="15.75" customHeight="1">
      <c r="A328" s="71"/>
      <c r="B328" s="72"/>
      <c r="C328" s="75"/>
      <c r="D328" s="74"/>
      <c r="E328" s="75"/>
      <c r="F328" s="74"/>
      <c r="G328" s="72"/>
      <c r="H328" s="76"/>
      <c r="I328" s="72"/>
      <c r="J328" s="72"/>
      <c r="K328" s="72"/>
      <c r="L328" s="77"/>
      <c r="M328" s="77"/>
      <c r="N328" s="72"/>
      <c r="O328" s="78"/>
      <c r="P328" s="78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</row>
    <row r="329" spans="1:29" ht="15.75" customHeight="1">
      <c r="A329" s="71"/>
      <c r="B329" s="72"/>
      <c r="C329" s="75"/>
      <c r="D329" s="74"/>
      <c r="E329" s="75"/>
      <c r="F329" s="74"/>
      <c r="G329" s="72"/>
      <c r="H329" s="76"/>
      <c r="I329" s="72"/>
      <c r="J329" s="72"/>
      <c r="K329" s="72"/>
      <c r="L329" s="77"/>
      <c r="M329" s="77"/>
      <c r="N329" s="72"/>
      <c r="O329" s="78"/>
      <c r="P329" s="78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</row>
    <row r="330" spans="1:29" ht="15.75" customHeight="1">
      <c r="A330" s="71"/>
      <c r="B330" s="72"/>
      <c r="C330" s="75"/>
      <c r="D330" s="74"/>
      <c r="E330" s="75"/>
      <c r="F330" s="74"/>
      <c r="G330" s="72"/>
      <c r="H330" s="76"/>
      <c r="I330" s="72"/>
      <c r="J330" s="72"/>
      <c r="K330" s="72"/>
      <c r="L330" s="77"/>
      <c r="M330" s="77"/>
      <c r="N330" s="72"/>
      <c r="O330" s="78"/>
      <c r="P330" s="78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</row>
    <row r="331" spans="1:29" ht="15.75" customHeight="1">
      <c r="A331" s="71"/>
      <c r="B331" s="72"/>
      <c r="C331" s="75"/>
      <c r="D331" s="74"/>
      <c r="E331" s="75"/>
      <c r="F331" s="74"/>
      <c r="G331" s="72"/>
      <c r="H331" s="76"/>
      <c r="I331" s="72"/>
      <c r="J331" s="72"/>
      <c r="K331" s="72"/>
      <c r="L331" s="77"/>
      <c r="M331" s="77"/>
      <c r="N331" s="72"/>
      <c r="O331" s="78"/>
      <c r="P331" s="78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</row>
    <row r="332" spans="1:29" ht="15.75" customHeight="1">
      <c r="A332" s="71"/>
      <c r="B332" s="72"/>
      <c r="C332" s="75"/>
      <c r="D332" s="74"/>
      <c r="E332" s="75"/>
      <c r="F332" s="74"/>
      <c r="G332" s="72"/>
      <c r="H332" s="76"/>
      <c r="I332" s="72"/>
      <c r="J332" s="72"/>
      <c r="K332" s="72"/>
      <c r="L332" s="77"/>
      <c r="M332" s="77"/>
      <c r="N332" s="72"/>
      <c r="O332" s="78"/>
      <c r="P332" s="78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</row>
    <row r="333" spans="1:29" ht="15.75" customHeight="1">
      <c r="A333" s="71"/>
      <c r="B333" s="72"/>
      <c r="C333" s="75"/>
      <c r="D333" s="74"/>
      <c r="E333" s="75"/>
      <c r="F333" s="74"/>
      <c r="G333" s="72"/>
      <c r="H333" s="76"/>
      <c r="I333" s="72"/>
      <c r="J333" s="72"/>
      <c r="K333" s="72"/>
      <c r="L333" s="77"/>
      <c r="M333" s="77"/>
      <c r="N333" s="72"/>
      <c r="O333" s="78"/>
      <c r="P333" s="78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</row>
    <row r="334" spans="1:29" ht="15.75" customHeight="1">
      <c r="A334" s="71"/>
      <c r="B334" s="72"/>
      <c r="C334" s="75"/>
      <c r="D334" s="74"/>
      <c r="E334" s="75"/>
      <c r="F334" s="74"/>
      <c r="G334" s="72"/>
      <c r="H334" s="76"/>
      <c r="I334" s="72"/>
      <c r="J334" s="72"/>
      <c r="K334" s="72"/>
      <c r="L334" s="77"/>
      <c r="M334" s="77"/>
      <c r="N334" s="72"/>
      <c r="O334" s="78"/>
      <c r="P334" s="78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</row>
    <row r="335" spans="1:29" ht="15.75" customHeight="1">
      <c r="A335" s="71"/>
      <c r="B335" s="72"/>
      <c r="C335" s="75"/>
      <c r="D335" s="74"/>
      <c r="E335" s="75"/>
      <c r="F335" s="74"/>
      <c r="G335" s="72"/>
      <c r="H335" s="76"/>
      <c r="I335" s="72"/>
      <c r="J335" s="72"/>
      <c r="K335" s="72"/>
      <c r="L335" s="77"/>
      <c r="M335" s="77"/>
      <c r="N335" s="72"/>
      <c r="O335" s="78"/>
      <c r="P335" s="78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</row>
    <row r="336" spans="1:29" ht="15.75" customHeight="1">
      <c r="A336" s="71"/>
      <c r="B336" s="72"/>
      <c r="C336" s="75"/>
      <c r="D336" s="74"/>
      <c r="E336" s="75"/>
      <c r="F336" s="74"/>
      <c r="G336" s="72"/>
      <c r="H336" s="76"/>
      <c r="I336" s="72"/>
      <c r="J336" s="72"/>
      <c r="K336" s="72"/>
      <c r="L336" s="77"/>
      <c r="M336" s="77"/>
      <c r="N336" s="72"/>
      <c r="O336" s="78"/>
      <c r="P336" s="78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</row>
    <row r="337" spans="1:29" ht="15.75" customHeight="1">
      <c r="A337" s="71"/>
      <c r="B337" s="72"/>
      <c r="C337" s="75"/>
      <c r="D337" s="74"/>
      <c r="E337" s="75"/>
      <c r="F337" s="74"/>
      <c r="G337" s="72"/>
      <c r="H337" s="76"/>
      <c r="I337" s="72"/>
      <c r="J337" s="72"/>
      <c r="K337" s="72"/>
      <c r="L337" s="77"/>
      <c r="M337" s="77"/>
      <c r="N337" s="72"/>
      <c r="O337" s="78"/>
      <c r="P337" s="78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</row>
    <row r="338" spans="1:29" ht="15.75" customHeight="1">
      <c r="A338" s="71"/>
      <c r="B338" s="72"/>
      <c r="C338" s="75"/>
      <c r="D338" s="74"/>
      <c r="E338" s="75"/>
      <c r="F338" s="74"/>
      <c r="G338" s="72"/>
      <c r="H338" s="76"/>
      <c r="I338" s="72"/>
      <c r="J338" s="72"/>
      <c r="K338" s="72"/>
      <c r="L338" s="77"/>
      <c r="M338" s="77"/>
      <c r="N338" s="72"/>
      <c r="O338" s="78"/>
      <c r="P338" s="78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</row>
    <row r="339" spans="1:29" ht="15.75" customHeight="1">
      <c r="A339" s="71"/>
      <c r="B339" s="72"/>
      <c r="C339" s="75"/>
      <c r="D339" s="74"/>
      <c r="E339" s="75"/>
      <c r="F339" s="74"/>
      <c r="G339" s="72"/>
      <c r="H339" s="76"/>
      <c r="I339" s="72"/>
      <c r="J339" s="72"/>
      <c r="K339" s="72"/>
      <c r="L339" s="77"/>
      <c r="M339" s="77"/>
      <c r="N339" s="72"/>
      <c r="O339" s="78"/>
      <c r="P339" s="78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</row>
    <row r="340" spans="1:29" ht="15.75" customHeight="1">
      <c r="A340" s="71"/>
      <c r="B340" s="72"/>
      <c r="C340" s="75"/>
      <c r="D340" s="74"/>
      <c r="E340" s="75"/>
      <c r="F340" s="74"/>
      <c r="G340" s="72"/>
      <c r="H340" s="76"/>
      <c r="I340" s="72"/>
      <c r="J340" s="72"/>
      <c r="K340" s="72"/>
      <c r="L340" s="77"/>
      <c r="M340" s="77"/>
      <c r="N340" s="72"/>
      <c r="O340" s="78"/>
      <c r="P340" s="78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</row>
    <row r="341" spans="1:29" ht="15.75" customHeight="1">
      <c r="A341" s="71"/>
      <c r="B341" s="72"/>
      <c r="C341" s="75"/>
      <c r="D341" s="74"/>
      <c r="E341" s="75"/>
      <c r="F341" s="74"/>
      <c r="G341" s="72"/>
      <c r="H341" s="76"/>
      <c r="I341" s="72"/>
      <c r="J341" s="72"/>
      <c r="K341" s="72"/>
      <c r="L341" s="77"/>
      <c r="M341" s="77"/>
      <c r="N341" s="72"/>
      <c r="O341" s="78"/>
      <c r="P341" s="78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</row>
    <row r="342" spans="1:29" ht="15.75" customHeight="1">
      <c r="A342" s="71"/>
      <c r="B342" s="72"/>
      <c r="C342" s="75"/>
      <c r="D342" s="74"/>
      <c r="E342" s="75"/>
      <c r="F342" s="74"/>
      <c r="G342" s="72"/>
      <c r="H342" s="76"/>
      <c r="I342" s="72"/>
      <c r="J342" s="72"/>
      <c r="K342" s="72"/>
      <c r="L342" s="77"/>
      <c r="M342" s="77"/>
      <c r="N342" s="72"/>
      <c r="O342" s="78"/>
      <c r="P342" s="78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</row>
    <row r="343" spans="1:29" ht="15.75" customHeight="1">
      <c r="A343" s="71"/>
      <c r="B343" s="72"/>
      <c r="C343" s="75"/>
      <c r="D343" s="74"/>
      <c r="E343" s="75"/>
      <c r="F343" s="74"/>
      <c r="G343" s="72"/>
      <c r="H343" s="76"/>
      <c r="I343" s="72"/>
      <c r="J343" s="72"/>
      <c r="K343" s="72"/>
      <c r="L343" s="77"/>
      <c r="M343" s="77"/>
      <c r="N343" s="72"/>
      <c r="O343" s="78"/>
      <c r="P343" s="78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</row>
    <row r="344" spans="1:29" ht="15.75" customHeight="1">
      <c r="A344" s="71"/>
      <c r="B344" s="72"/>
      <c r="C344" s="75"/>
      <c r="D344" s="74"/>
      <c r="E344" s="75"/>
      <c r="F344" s="74"/>
      <c r="G344" s="72"/>
      <c r="H344" s="76"/>
      <c r="I344" s="72"/>
      <c r="J344" s="72"/>
      <c r="K344" s="72"/>
      <c r="L344" s="77"/>
      <c r="M344" s="77"/>
      <c r="N344" s="72"/>
      <c r="O344" s="78"/>
      <c r="P344" s="78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</row>
    <row r="345" spans="1:29" ht="15.75" customHeight="1">
      <c r="A345" s="71"/>
      <c r="B345" s="72"/>
      <c r="C345" s="75"/>
      <c r="D345" s="74"/>
      <c r="E345" s="75"/>
      <c r="F345" s="74"/>
      <c r="G345" s="72"/>
      <c r="H345" s="76"/>
      <c r="I345" s="72"/>
      <c r="J345" s="72"/>
      <c r="K345" s="72"/>
      <c r="L345" s="77"/>
      <c r="M345" s="77"/>
      <c r="N345" s="72"/>
      <c r="O345" s="78"/>
      <c r="P345" s="78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</row>
    <row r="346" spans="1:29" ht="15.75" customHeight="1">
      <c r="A346" s="71"/>
      <c r="B346" s="72"/>
      <c r="C346" s="75"/>
      <c r="D346" s="74"/>
      <c r="E346" s="75"/>
      <c r="F346" s="74"/>
      <c r="G346" s="72"/>
      <c r="H346" s="76"/>
      <c r="I346" s="72"/>
      <c r="J346" s="72"/>
      <c r="K346" s="72"/>
      <c r="L346" s="77"/>
      <c r="M346" s="77"/>
      <c r="N346" s="72"/>
      <c r="O346" s="78"/>
      <c r="P346" s="78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</row>
    <row r="347" spans="1:29" ht="15.75" customHeight="1">
      <c r="A347" s="71"/>
      <c r="B347" s="72"/>
      <c r="C347" s="75"/>
      <c r="D347" s="74"/>
      <c r="E347" s="75"/>
      <c r="F347" s="74"/>
      <c r="G347" s="72"/>
      <c r="H347" s="76"/>
      <c r="I347" s="72"/>
      <c r="J347" s="72"/>
      <c r="K347" s="72"/>
      <c r="L347" s="77"/>
      <c r="M347" s="77"/>
      <c r="N347" s="72"/>
      <c r="O347" s="78"/>
      <c r="P347" s="78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</row>
    <row r="348" spans="1:29" ht="15.75" customHeight="1">
      <c r="A348" s="71"/>
      <c r="B348" s="72"/>
      <c r="C348" s="75"/>
      <c r="D348" s="74"/>
      <c r="E348" s="75"/>
      <c r="F348" s="74"/>
      <c r="G348" s="72"/>
      <c r="H348" s="76"/>
      <c r="I348" s="72"/>
      <c r="J348" s="72"/>
      <c r="K348" s="72"/>
      <c r="L348" s="77"/>
      <c r="M348" s="77"/>
      <c r="N348" s="72"/>
      <c r="O348" s="78"/>
      <c r="P348" s="78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</row>
    <row r="349" spans="1:29" ht="15.75" customHeight="1">
      <c r="A349" s="71"/>
      <c r="B349" s="72"/>
      <c r="C349" s="75"/>
      <c r="D349" s="74"/>
      <c r="E349" s="75"/>
      <c r="F349" s="74"/>
      <c r="G349" s="72"/>
      <c r="H349" s="76"/>
      <c r="I349" s="72"/>
      <c r="J349" s="72"/>
      <c r="K349" s="72"/>
      <c r="L349" s="77"/>
      <c r="M349" s="77"/>
      <c r="N349" s="72"/>
      <c r="O349" s="78"/>
      <c r="P349" s="78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</row>
    <row r="350" spans="1:29" ht="15.75" customHeight="1">
      <c r="A350" s="71"/>
      <c r="B350" s="72"/>
      <c r="C350" s="75"/>
      <c r="D350" s="74"/>
      <c r="E350" s="75"/>
      <c r="F350" s="74"/>
      <c r="G350" s="72"/>
      <c r="H350" s="76"/>
      <c r="I350" s="72"/>
      <c r="J350" s="72"/>
      <c r="K350" s="72"/>
      <c r="L350" s="77"/>
      <c r="M350" s="77"/>
      <c r="N350" s="72"/>
      <c r="O350" s="78"/>
      <c r="P350" s="78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</row>
    <row r="351" spans="1:29" ht="15.75" customHeight="1">
      <c r="A351" s="71"/>
      <c r="B351" s="72"/>
      <c r="C351" s="75"/>
      <c r="D351" s="74"/>
      <c r="E351" s="75"/>
      <c r="F351" s="74"/>
      <c r="G351" s="72"/>
      <c r="H351" s="76"/>
      <c r="I351" s="72"/>
      <c r="J351" s="72"/>
      <c r="K351" s="72"/>
      <c r="L351" s="77"/>
      <c r="M351" s="77"/>
      <c r="N351" s="72"/>
      <c r="O351" s="78"/>
      <c r="P351" s="78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</row>
    <row r="352" spans="1:29" ht="15.75" customHeight="1">
      <c r="A352" s="71"/>
      <c r="B352" s="72"/>
      <c r="C352" s="75"/>
      <c r="D352" s="74"/>
      <c r="E352" s="75"/>
      <c r="F352" s="74"/>
      <c r="G352" s="72"/>
      <c r="H352" s="76"/>
      <c r="I352" s="72"/>
      <c r="J352" s="72"/>
      <c r="K352" s="72"/>
      <c r="L352" s="77"/>
      <c r="M352" s="77"/>
      <c r="N352" s="72"/>
      <c r="O352" s="78"/>
      <c r="P352" s="78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</row>
    <row r="353" spans="1:29" ht="15.75" customHeight="1">
      <c r="A353" s="71"/>
      <c r="B353" s="72"/>
      <c r="C353" s="75"/>
      <c r="D353" s="74"/>
      <c r="E353" s="75"/>
      <c r="F353" s="74"/>
      <c r="G353" s="72"/>
      <c r="H353" s="76"/>
      <c r="I353" s="72"/>
      <c r="J353" s="72"/>
      <c r="K353" s="72"/>
      <c r="L353" s="77"/>
      <c r="M353" s="77"/>
      <c r="N353" s="72"/>
      <c r="O353" s="78"/>
      <c r="P353" s="78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</row>
    <row r="354" spans="1:29" ht="15.75" customHeight="1">
      <c r="A354" s="71"/>
      <c r="B354" s="72"/>
      <c r="C354" s="75"/>
      <c r="D354" s="74"/>
      <c r="E354" s="75"/>
      <c r="F354" s="74"/>
      <c r="G354" s="72"/>
      <c r="H354" s="76"/>
      <c r="I354" s="72"/>
      <c r="J354" s="72"/>
      <c r="K354" s="72"/>
      <c r="L354" s="77"/>
      <c r="M354" s="77"/>
      <c r="N354" s="72"/>
      <c r="O354" s="78"/>
      <c r="P354" s="78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</row>
    <row r="355" spans="1:29" ht="15.75" customHeight="1">
      <c r="A355" s="71"/>
      <c r="B355" s="72"/>
      <c r="C355" s="75"/>
      <c r="D355" s="74"/>
      <c r="E355" s="75"/>
      <c r="F355" s="74"/>
      <c r="G355" s="72"/>
      <c r="H355" s="76"/>
      <c r="I355" s="72"/>
      <c r="J355" s="72"/>
      <c r="K355" s="72"/>
      <c r="L355" s="77"/>
      <c r="M355" s="77"/>
      <c r="N355" s="72"/>
      <c r="O355" s="78"/>
      <c r="P355" s="78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</row>
    <row r="356" spans="1:29" ht="15.75" customHeight="1">
      <c r="A356" s="71"/>
      <c r="B356" s="72"/>
      <c r="C356" s="75"/>
      <c r="D356" s="74"/>
      <c r="E356" s="75"/>
      <c r="F356" s="74"/>
      <c r="G356" s="72"/>
      <c r="H356" s="76"/>
      <c r="I356" s="72"/>
      <c r="J356" s="72"/>
      <c r="K356" s="72"/>
      <c r="L356" s="77"/>
      <c r="M356" s="77"/>
      <c r="N356" s="72"/>
      <c r="O356" s="78"/>
      <c r="P356" s="78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</row>
    <row r="357" spans="1:29" ht="15.75" customHeight="1">
      <c r="A357" s="71"/>
      <c r="B357" s="72"/>
      <c r="C357" s="75"/>
      <c r="D357" s="74"/>
      <c r="E357" s="75"/>
      <c r="F357" s="74"/>
      <c r="G357" s="72"/>
      <c r="H357" s="76"/>
      <c r="I357" s="72"/>
      <c r="J357" s="72"/>
      <c r="K357" s="72"/>
      <c r="L357" s="77"/>
      <c r="M357" s="77"/>
      <c r="N357" s="72"/>
      <c r="O357" s="78"/>
      <c r="P357" s="78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</row>
    <row r="358" spans="1:29" ht="15.75" customHeight="1">
      <c r="A358" s="71"/>
      <c r="B358" s="72"/>
      <c r="C358" s="75"/>
      <c r="D358" s="74"/>
      <c r="E358" s="75"/>
      <c r="F358" s="74"/>
      <c r="G358" s="72"/>
      <c r="H358" s="76"/>
      <c r="I358" s="72"/>
      <c r="J358" s="72"/>
      <c r="K358" s="72"/>
      <c r="L358" s="77"/>
      <c r="M358" s="77"/>
      <c r="N358" s="72"/>
      <c r="O358" s="78"/>
      <c r="P358" s="78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</row>
    <row r="359" spans="1:29" ht="15.75" customHeight="1">
      <c r="A359" s="71"/>
      <c r="B359" s="72"/>
      <c r="C359" s="75"/>
      <c r="D359" s="74"/>
      <c r="E359" s="75"/>
      <c r="F359" s="74"/>
      <c r="G359" s="72"/>
      <c r="H359" s="76"/>
      <c r="I359" s="72"/>
      <c r="J359" s="72"/>
      <c r="K359" s="72"/>
      <c r="L359" s="77"/>
      <c r="M359" s="77"/>
      <c r="N359" s="72"/>
      <c r="O359" s="78"/>
      <c r="P359" s="78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</row>
    <row r="360" spans="1:29" ht="15.75" customHeight="1">
      <c r="A360" s="71"/>
      <c r="B360" s="72"/>
      <c r="C360" s="75"/>
      <c r="D360" s="74"/>
      <c r="E360" s="75"/>
      <c r="F360" s="74"/>
      <c r="G360" s="72"/>
      <c r="H360" s="76"/>
      <c r="I360" s="72"/>
      <c r="J360" s="72"/>
      <c r="K360" s="72"/>
      <c r="L360" s="77"/>
      <c r="M360" s="77"/>
      <c r="N360" s="72"/>
      <c r="O360" s="78"/>
      <c r="P360" s="78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</row>
    <row r="361" spans="1:29" ht="15.75" customHeight="1">
      <c r="A361" s="71"/>
      <c r="B361" s="72"/>
      <c r="C361" s="75"/>
      <c r="D361" s="74"/>
      <c r="E361" s="75"/>
      <c r="F361" s="74"/>
      <c r="G361" s="72"/>
      <c r="H361" s="76"/>
      <c r="I361" s="72"/>
      <c r="J361" s="72"/>
      <c r="K361" s="72"/>
      <c r="L361" s="77"/>
      <c r="M361" s="77"/>
      <c r="N361" s="72"/>
      <c r="O361" s="78"/>
      <c r="P361" s="78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</row>
    <row r="362" spans="1:29" ht="15.75" customHeight="1">
      <c r="A362" s="71"/>
      <c r="B362" s="72"/>
      <c r="C362" s="75"/>
      <c r="D362" s="74"/>
      <c r="E362" s="75"/>
      <c r="F362" s="74"/>
      <c r="G362" s="72"/>
      <c r="H362" s="76"/>
      <c r="I362" s="72"/>
      <c r="J362" s="72"/>
      <c r="K362" s="72"/>
      <c r="L362" s="77"/>
      <c r="M362" s="77"/>
      <c r="N362" s="72"/>
      <c r="O362" s="78"/>
      <c r="P362" s="78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</row>
    <row r="363" spans="1:29" ht="15.75" customHeight="1">
      <c r="A363" s="71"/>
      <c r="B363" s="72"/>
      <c r="C363" s="75"/>
      <c r="D363" s="74"/>
      <c r="E363" s="75"/>
      <c r="F363" s="74"/>
      <c r="G363" s="72"/>
      <c r="H363" s="76"/>
      <c r="I363" s="72"/>
      <c r="J363" s="72"/>
      <c r="K363" s="72"/>
      <c r="L363" s="77"/>
      <c r="M363" s="77"/>
      <c r="N363" s="72"/>
      <c r="O363" s="78"/>
      <c r="P363" s="78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</row>
    <row r="364" spans="1:29" ht="15.75" customHeight="1">
      <c r="A364" s="71"/>
      <c r="B364" s="72"/>
      <c r="C364" s="75"/>
      <c r="D364" s="74"/>
      <c r="E364" s="75"/>
      <c r="F364" s="74"/>
      <c r="G364" s="72"/>
      <c r="H364" s="76"/>
      <c r="I364" s="72"/>
      <c r="J364" s="72"/>
      <c r="K364" s="72"/>
      <c r="L364" s="77"/>
      <c r="M364" s="77"/>
      <c r="N364" s="72"/>
      <c r="O364" s="78"/>
      <c r="P364" s="78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</row>
    <row r="365" spans="1:29" ht="15.75" customHeight="1">
      <c r="A365" s="71"/>
      <c r="B365" s="72"/>
      <c r="C365" s="75"/>
      <c r="D365" s="74"/>
      <c r="E365" s="75"/>
      <c r="F365" s="74"/>
      <c r="G365" s="72"/>
      <c r="H365" s="76"/>
      <c r="I365" s="72"/>
      <c r="J365" s="72"/>
      <c r="K365" s="72"/>
      <c r="L365" s="77"/>
      <c r="M365" s="77"/>
      <c r="N365" s="72"/>
      <c r="O365" s="78"/>
      <c r="P365" s="78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</row>
    <row r="366" spans="1:29" ht="15.75" customHeight="1">
      <c r="A366" s="71"/>
      <c r="B366" s="72"/>
      <c r="C366" s="75"/>
      <c r="D366" s="74"/>
      <c r="E366" s="75"/>
      <c r="F366" s="74"/>
      <c r="G366" s="72"/>
      <c r="H366" s="76"/>
      <c r="I366" s="72"/>
      <c r="J366" s="72"/>
      <c r="K366" s="72"/>
      <c r="L366" s="77"/>
      <c r="M366" s="77"/>
      <c r="N366" s="72"/>
      <c r="O366" s="78"/>
      <c r="P366" s="78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</row>
    <row r="367" spans="1:29" ht="15.75" customHeight="1">
      <c r="A367" s="71"/>
      <c r="B367" s="72"/>
      <c r="C367" s="75"/>
      <c r="D367" s="74"/>
      <c r="E367" s="75"/>
      <c r="F367" s="74"/>
      <c r="G367" s="72"/>
      <c r="H367" s="76"/>
      <c r="I367" s="72"/>
      <c r="J367" s="72"/>
      <c r="K367" s="72"/>
      <c r="L367" s="77"/>
      <c r="M367" s="77"/>
      <c r="N367" s="72"/>
      <c r="O367" s="78"/>
      <c r="P367" s="78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</row>
    <row r="368" spans="1:29" ht="15.75" customHeight="1">
      <c r="A368" s="71"/>
      <c r="B368" s="72"/>
      <c r="C368" s="75"/>
      <c r="D368" s="74"/>
      <c r="E368" s="75"/>
      <c r="F368" s="74"/>
      <c r="G368" s="72"/>
      <c r="H368" s="76"/>
      <c r="I368" s="72"/>
      <c r="J368" s="72"/>
      <c r="K368" s="72"/>
      <c r="L368" s="77"/>
      <c r="M368" s="77"/>
      <c r="N368" s="72"/>
      <c r="O368" s="78"/>
      <c r="P368" s="78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</row>
    <row r="369" spans="1:29" ht="15.75" customHeight="1">
      <c r="A369" s="71"/>
      <c r="B369" s="72"/>
      <c r="C369" s="75"/>
      <c r="D369" s="74"/>
      <c r="E369" s="75"/>
      <c r="F369" s="74"/>
      <c r="G369" s="72"/>
      <c r="H369" s="76"/>
      <c r="I369" s="72"/>
      <c r="J369" s="72"/>
      <c r="K369" s="72"/>
      <c r="L369" s="77"/>
      <c r="M369" s="77"/>
      <c r="N369" s="72"/>
      <c r="O369" s="78"/>
      <c r="P369" s="78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</row>
    <row r="370" spans="1:29" ht="15.75" customHeight="1">
      <c r="A370" s="71"/>
      <c r="B370" s="72"/>
      <c r="C370" s="75"/>
      <c r="D370" s="74"/>
      <c r="E370" s="75"/>
      <c r="F370" s="74"/>
      <c r="G370" s="72"/>
      <c r="H370" s="76"/>
      <c r="I370" s="72"/>
      <c r="J370" s="72"/>
      <c r="K370" s="72"/>
      <c r="L370" s="77"/>
      <c r="M370" s="77"/>
      <c r="N370" s="72"/>
      <c r="O370" s="78"/>
      <c r="P370" s="78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</row>
    <row r="371" spans="1:29" ht="15.75" customHeight="1">
      <c r="A371" s="71"/>
      <c r="B371" s="72"/>
      <c r="C371" s="75"/>
      <c r="D371" s="74"/>
      <c r="E371" s="75"/>
      <c r="F371" s="74"/>
      <c r="G371" s="72"/>
      <c r="H371" s="76"/>
      <c r="I371" s="72"/>
      <c r="J371" s="72"/>
      <c r="K371" s="72"/>
      <c r="L371" s="77"/>
      <c r="M371" s="77"/>
      <c r="N371" s="72"/>
      <c r="O371" s="78"/>
      <c r="P371" s="78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</row>
    <row r="372" spans="1:29" ht="15.75" customHeight="1">
      <c r="A372" s="71"/>
      <c r="B372" s="72"/>
      <c r="C372" s="75"/>
      <c r="D372" s="74"/>
      <c r="E372" s="75"/>
      <c r="F372" s="74"/>
      <c r="G372" s="72"/>
      <c r="H372" s="76"/>
      <c r="I372" s="72"/>
      <c r="J372" s="72"/>
      <c r="K372" s="72"/>
      <c r="L372" s="77"/>
      <c r="M372" s="77"/>
      <c r="N372" s="72"/>
      <c r="O372" s="78"/>
      <c r="P372" s="78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</row>
    <row r="373" spans="1:29" ht="15.75" customHeight="1">
      <c r="A373" s="71"/>
      <c r="B373" s="72"/>
      <c r="C373" s="75"/>
      <c r="D373" s="74"/>
      <c r="E373" s="75"/>
      <c r="F373" s="74"/>
      <c r="G373" s="72"/>
      <c r="H373" s="76"/>
      <c r="I373" s="72"/>
      <c r="J373" s="72"/>
      <c r="K373" s="72"/>
      <c r="L373" s="77"/>
      <c r="M373" s="77"/>
      <c r="N373" s="72"/>
      <c r="O373" s="78"/>
      <c r="P373" s="78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</row>
    <row r="374" spans="1:29" ht="15.75" customHeight="1">
      <c r="A374" s="71"/>
      <c r="B374" s="72"/>
      <c r="C374" s="75"/>
      <c r="D374" s="74"/>
      <c r="E374" s="75"/>
      <c r="F374" s="74"/>
      <c r="G374" s="72"/>
      <c r="H374" s="76"/>
      <c r="I374" s="72"/>
      <c r="J374" s="72"/>
      <c r="K374" s="72"/>
      <c r="L374" s="77"/>
      <c r="M374" s="77"/>
      <c r="N374" s="72"/>
      <c r="O374" s="78"/>
      <c r="P374" s="78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</row>
    <row r="375" spans="1:29" ht="15.75" customHeight="1">
      <c r="A375" s="71"/>
      <c r="B375" s="72"/>
      <c r="C375" s="75"/>
      <c r="D375" s="74"/>
      <c r="E375" s="75"/>
      <c r="F375" s="74"/>
      <c r="G375" s="72"/>
      <c r="H375" s="76"/>
      <c r="I375" s="72"/>
      <c r="J375" s="72"/>
      <c r="K375" s="72"/>
      <c r="L375" s="77"/>
      <c r="M375" s="77"/>
      <c r="N375" s="72"/>
      <c r="O375" s="78"/>
      <c r="P375" s="78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</row>
    <row r="376" spans="1:29" ht="15.75" customHeight="1">
      <c r="A376" s="71"/>
      <c r="B376" s="72"/>
      <c r="C376" s="75"/>
      <c r="D376" s="74"/>
      <c r="E376" s="75"/>
      <c r="F376" s="74"/>
      <c r="G376" s="72"/>
      <c r="H376" s="76"/>
      <c r="I376" s="72"/>
      <c r="J376" s="72"/>
      <c r="K376" s="72"/>
      <c r="L376" s="77"/>
      <c r="M376" s="77"/>
      <c r="N376" s="72"/>
      <c r="O376" s="78"/>
      <c r="P376" s="78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</row>
    <row r="377" spans="1:29" ht="15.75" customHeight="1">
      <c r="A377" s="71"/>
      <c r="B377" s="72"/>
      <c r="C377" s="75"/>
      <c r="D377" s="74"/>
      <c r="E377" s="75"/>
      <c r="F377" s="74"/>
      <c r="G377" s="72"/>
      <c r="H377" s="76"/>
      <c r="I377" s="72"/>
      <c r="J377" s="72"/>
      <c r="K377" s="72"/>
      <c r="L377" s="77"/>
      <c r="M377" s="77"/>
      <c r="N377" s="72"/>
      <c r="O377" s="78"/>
      <c r="P377" s="78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</row>
    <row r="378" spans="1:29" ht="15.75" customHeight="1">
      <c r="A378" s="71"/>
      <c r="B378" s="72"/>
      <c r="C378" s="75"/>
      <c r="D378" s="74"/>
      <c r="E378" s="75"/>
      <c r="F378" s="74"/>
      <c r="G378" s="72"/>
      <c r="H378" s="76"/>
      <c r="I378" s="72"/>
      <c r="J378" s="72"/>
      <c r="K378" s="72"/>
      <c r="L378" s="77"/>
      <c r="M378" s="77"/>
      <c r="N378" s="72"/>
      <c r="O378" s="78"/>
      <c r="P378" s="78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</row>
    <row r="379" spans="1:29" ht="15.75" customHeight="1">
      <c r="A379" s="71"/>
      <c r="B379" s="72"/>
      <c r="C379" s="75"/>
      <c r="D379" s="74"/>
      <c r="E379" s="75"/>
      <c r="F379" s="74"/>
      <c r="G379" s="72"/>
      <c r="H379" s="76"/>
      <c r="I379" s="72"/>
      <c r="J379" s="72"/>
      <c r="K379" s="72"/>
      <c r="L379" s="77"/>
      <c r="M379" s="77"/>
      <c r="N379" s="72"/>
      <c r="O379" s="78"/>
      <c r="P379" s="78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</row>
    <row r="380" spans="1:29" ht="15.75" customHeight="1">
      <c r="A380" s="71"/>
      <c r="B380" s="72"/>
      <c r="C380" s="75"/>
      <c r="D380" s="74"/>
      <c r="E380" s="75"/>
      <c r="F380" s="74"/>
      <c r="G380" s="72"/>
      <c r="H380" s="76"/>
      <c r="I380" s="72"/>
      <c r="J380" s="72"/>
      <c r="K380" s="72"/>
      <c r="L380" s="77"/>
      <c r="M380" s="77"/>
      <c r="N380" s="72"/>
      <c r="O380" s="78"/>
      <c r="P380" s="78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</row>
    <row r="381" spans="1:29" ht="15.75" customHeight="1">
      <c r="A381" s="71"/>
      <c r="B381" s="72"/>
      <c r="C381" s="75"/>
      <c r="D381" s="74"/>
      <c r="E381" s="75"/>
      <c r="F381" s="74"/>
      <c r="G381" s="72"/>
      <c r="H381" s="76"/>
      <c r="I381" s="72"/>
      <c r="J381" s="72"/>
      <c r="K381" s="72"/>
      <c r="L381" s="77"/>
      <c r="M381" s="77"/>
      <c r="N381" s="72"/>
      <c r="O381" s="78"/>
      <c r="P381" s="78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</row>
    <row r="382" spans="1:29" ht="15.75" customHeight="1">
      <c r="A382" s="71"/>
      <c r="B382" s="72"/>
      <c r="C382" s="75"/>
      <c r="D382" s="74"/>
      <c r="E382" s="75"/>
      <c r="F382" s="74"/>
      <c r="G382" s="72"/>
      <c r="H382" s="76"/>
      <c r="I382" s="72"/>
      <c r="J382" s="72"/>
      <c r="K382" s="72"/>
      <c r="L382" s="77"/>
      <c r="M382" s="77"/>
      <c r="N382" s="72"/>
      <c r="O382" s="78"/>
      <c r="P382" s="78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</row>
    <row r="383" spans="1:29" ht="15.75" customHeight="1">
      <c r="A383" s="71"/>
      <c r="B383" s="72"/>
      <c r="C383" s="75"/>
      <c r="D383" s="74"/>
      <c r="E383" s="75"/>
      <c r="F383" s="74"/>
      <c r="G383" s="72"/>
      <c r="H383" s="76"/>
      <c r="I383" s="72"/>
      <c r="J383" s="72"/>
      <c r="K383" s="72"/>
      <c r="L383" s="77"/>
      <c r="M383" s="77"/>
      <c r="N383" s="72"/>
      <c r="O383" s="78"/>
      <c r="P383" s="78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</row>
    <row r="384" spans="1:29" ht="15.75" customHeight="1">
      <c r="A384" s="71"/>
      <c r="B384" s="72"/>
      <c r="C384" s="75"/>
      <c r="D384" s="74"/>
      <c r="E384" s="75"/>
      <c r="F384" s="74"/>
      <c r="G384" s="72"/>
      <c r="H384" s="76"/>
      <c r="I384" s="72"/>
      <c r="J384" s="72"/>
      <c r="K384" s="72"/>
      <c r="L384" s="77"/>
      <c r="M384" s="77"/>
      <c r="N384" s="72"/>
      <c r="O384" s="78"/>
      <c r="P384" s="78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</row>
    <row r="385" spans="1:29" ht="15.75" customHeight="1">
      <c r="A385" s="71"/>
      <c r="B385" s="72"/>
      <c r="C385" s="75"/>
      <c r="D385" s="74"/>
      <c r="E385" s="75"/>
      <c r="F385" s="74"/>
      <c r="G385" s="72"/>
      <c r="H385" s="76"/>
      <c r="I385" s="72"/>
      <c r="J385" s="72"/>
      <c r="K385" s="72"/>
      <c r="L385" s="77"/>
      <c r="M385" s="77"/>
      <c r="N385" s="72"/>
      <c r="O385" s="78"/>
      <c r="P385" s="78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</row>
    <row r="386" spans="1:29" ht="15.75" customHeight="1">
      <c r="A386" s="71"/>
      <c r="B386" s="72"/>
      <c r="C386" s="75"/>
      <c r="D386" s="74"/>
      <c r="E386" s="75"/>
      <c r="F386" s="74"/>
      <c r="G386" s="72"/>
      <c r="H386" s="76"/>
      <c r="I386" s="72"/>
      <c r="J386" s="72"/>
      <c r="K386" s="72"/>
      <c r="L386" s="77"/>
      <c r="M386" s="77"/>
      <c r="N386" s="72"/>
      <c r="O386" s="78"/>
      <c r="P386" s="78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</row>
    <row r="387" spans="1:29" ht="15.75" customHeight="1">
      <c r="A387" s="71"/>
      <c r="B387" s="72"/>
      <c r="C387" s="75"/>
      <c r="D387" s="74"/>
      <c r="E387" s="75"/>
      <c r="F387" s="74"/>
      <c r="G387" s="72"/>
      <c r="H387" s="76"/>
      <c r="I387" s="72"/>
      <c r="J387" s="72"/>
      <c r="K387" s="72"/>
      <c r="L387" s="77"/>
      <c r="M387" s="77"/>
      <c r="N387" s="72"/>
      <c r="O387" s="78"/>
      <c r="P387" s="78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</row>
    <row r="388" spans="1:29" ht="15.75" customHeight="1">
      <c r="A388" s="71"/>
      <c r="B388" s="72"/>
      <c r="C388" s="75"/>
      <c r="D388" s="74"/>
      <c r="E388" s="75"/>
      <c r="F388" s="74"/>
      <c r="G388" s="72"/>
      <c r="H388" s="76"/>
      <c r="I388" s="72"/>
      <c r="J388" s="72"/>
      <c r="K388" s="72"/>
      <c r="L388" s="77"/>
      <c r="M388" s="77"/>
      <c r="N388" s="72"/>
      <c r="O388" s="78"/>
      <c r="P388" s="78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</row>
    <row r="389" spans="1:29" ht="15.75" customHeight="1">
      <c r="A389" s="71"/>
      <c r="B389" s="72"/>
      <c r="C389" s="75"/>
      <c r="D389" s="74"/>
      <c r="E389" s="75"/>
      <c r="F389" s="74"/>
      <c r="G389" s="72"/>
      <c r="H389" s="76"/>
      <c r="I389" s="72"/>
      <c r="J389" s="72"/>
      <c r="K389" s="72"/>
      <c r="L389" s="77"/>
      <c r="M389" s="77"/>
      <c r="N389" s="72"/>
      <c r="O389" s="78"/>
      <c r="P389" s="78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</row>
    <row r="390" spans="1:29" ht="15.75" customHeight="1">
      <c r="A390" s="71"/>
      <c r="B390" s="72"/>
      <c r="C390" s="75"/>
      <c r="D390" s="74"/>
      <c r="E390" s="75"/>
      <c r="F390" s="74"/>
      <c r="G390" s="72"/>
      <c r="H390" s="76"/>
      <c r="I390" s="72"/>
      <c r="J390" s="72"/>
      <c r="K390" s="72"/>
      <c r="L390" s="77"/>
      <c r="M390" s="77"/>
      <c r="N390" s="72"/>
      <c r="O390" s="78"/>
      <c r="P390" s="78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</row>
    <row r="391" spans="1:29" ht="15.75" customHeight="1">
      <c r="A391" s="71"/>
      <c r="B391" s="72"/>
      <c r="C391" s="75"/>
      <c r="D391" s="74"/>
      <c r="E391" s="75"/>
      <c r="F391" s="74"/>
      <c r="G391" s="72"/>
      <c r="H391" s="76"/>
      <c r="I391" s="72"/>
      <c r="J391" s="72"/>
      <c r="K391" s="72"/>
      <c r="L391" s="77"/>
      <c r="M391" s="77"/>
      <c r="N391" s="72"/>
      <c r="O391" s="78"/>
      <c r="P391" s="78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</row>
    <row r="392" spans="1:29" ht="15.75" customHeight="1">
      <c r="A392" s="71"/>
      <c r="B392" s="72"/>
      <c r="C392" s="75"/>
      <c r="D392" s="74"/>
      <c r="E392" s="75"/>
      <c r="F392" s="74"/>
      <c r="G392" s="72"/>
      <c r="H392" s="76"/>
      <c r="I392" s="72"/>
      <c r="J392" s="72"/>
      <c r="K392" s="72"/>
      <c r="L392" s="77"/>
      <c r="M392" s="77"/>
      <c r="N392" s="72"/>
      <c r="O392" s="78"/>
      <c r="P392" s="78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</row>
    <row r="393" spans="1:29" ht="15.75" customHeight="1">
      <c r="A393" s="71"/>
      <c r="B393" s="72"/>
      <c r="C393" s="75"/>
      <c r="D393" s="74"/>
      <c r="E393" s="75"/>
      <c r="F393" s="74"/>
      <c r="G393" s="72"/>
      <c r="H393" s="76"/>
      <c r="I393" s="72"/>
      <c r="J393" s="72"/>
      <c r="K393" s="72"/>
      <c r="L393" s="77"/>
      <c r="M393" s="77"/>
      <c r="N393" s="72"/>
      <c r="O393" s="78"/>
      <c r="P393" s="78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</row>
    <row r="394" spans="1:29" ht="15.75" customHeight="1">
      <c r="A394" s="71"/>
      <c r="B394" s="72"/>
      <c r="C394" s="75"/>
      <c r="D394" s="74"/>
      <c r="E394" s="75"/>
      <c r="F394" s="74"/>
      <c r="G394" s="72"/>
      <c r="H394" s="76"/>
      <c r="I394" s="72"/>
      <c r="J394" s="72"/>
      <c r="K394" s="72"/>
      <c r="L394" s="77"/>
      <c r="M394" s="77"/>
      <c r="N394" s="72"/>
      <c r="O394" s="78"/>
      <c r="P394" s="78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</row>
    <row r="395" spans="1:29" ht="15.75" customHeight="1">
      <c r="A395" s="71"/>
      <c r="B395" s="72"/>
      <c r="C395" s="75"/>
      <c r="D395" s="74"/>
      <c r="E395" s="75"/>
      <c r="F395" s="74"/>
      <c r="G395" s="72"/>
      <c r="H395" s="76"/>
      <c r="I395" s="72"/>
      <c r="J395" s="72"/>
      <c r="K395" s="72"/>
      <c r="L395" s="77"/>
      <c r="M395" s="77"/>
      <c r="N395" s="72"/>
      <c r="O395" s="78"/>
      <c r="P395" s="78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</row>
    <row r="396" spans="1:29" ht="15.75" customHeight="1">
      <c r="A396" s="71"/>
      <c r="B396" s="72"/>
      <c r="C396" s="75"/>
      <c r="D396" s="74"/>
      <c r="E396" s="75"/>
      <c r="F396" s="74"/>
      <c r="G396" s="72"/>
      <c r="H396" s="76"/>
      <c r="I396" s="72"/>
      <c r="J396" s="72"/>
      <c r="K396" s="72"/>
      <c r="L396" s="77"/>
      <c r="M396" s="77"/>
      <c r="N396" s="72"/>
      <c r="O396" s="78"/>
      <c r="P396" s="78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</row>
    <row r="397" spans="1:29" ht="15.75" customHeight="1">
      <c r="A397" s="71"/>
      <c r="B397" s="72"/>
      <c r="C397" s="75"/>
      <c r="D397" s="74"/>
      <c r="E397" s="75"/>
      <c r="F397" s="74"/>
      <c r="G397" s="72"/>
      <c r="H397" s="76"/>
      <c r="I397" s="72"/>
      <c r="J397" s="72"/>
      <c r="K397" s="72"/>
      <c r="L397" s="77"/>
      <c r="M397" s="77"/>
      <c r="N397" s="72"/>
      <c r="O397" s="78"/>
      <c r="P397" s="78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</row>
    <row r="398" spans="1:29" ht="15.75" customHeight="1">
      <c r="A398" s="71"/>
      <c r="B398" s="72"/>
      <c r="C398" s="75"/>
      <c r="D398" s="74"/>
      <c r="E398" s="75"/>
      <c r="F398" s="74"/>
      <c r="G398" s="72"/>
      <c r="H398" s="76"/>
      <c r="I398" s="72"/>
      <c r="J398" s="72"/>
      <c r="K398" s="72"/>
      <c r="L398" s="77"/>
      <c r="M398" s="77"/>
      <c r="N398" s="72"/>
      <c r="O398" s="78"/>
      <c r="P398" s="78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</row>
    <row r="399" spans="1:29" ht="15.75" customHeight="1">
      <c r="A399" s="71"/>
      <c r="B399" s="72"/>
      <c r="C399" s="75"/>
      <c r="D399" s="74"/>
      <c r="E399" s="75"/>
      <c r="F399" s="74"/>
      <c r="G399" s="72"/>
      <c r="H399" s="76"/>
      <c r="I399" s="72"/>
      <c r="J399" s="72"/>
      <c r="K399" s="72"/>
      <c r="L399" s="77"/>
      <c r="M399" s="77"/>
      <c r="N399" s="72"/>
      <c r="O399" s="78"/>
      <c r="P399" s="78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</row>
    <row r="400" spans="1:29" ht="15.75" customHeight="1">
      <c r="A400" s="71"/>
      <c r="B400" s="72"/>
      <c r="C400" s="75"/>
      <c r="D400" s="74"/>
      <c r="E400" s="75"/>
      <c r="F400" s="74"/>
      <c r="G400" s="72"/>
      <c r="H400" s="76"/>
      <c r="I400" s="72"/>
      <c r="J400" s="72"/>
      <c r="K400" s="72"/>
      <c r="L400" s="77"/>
      <c r="M400" s="77"/>
      <c r="N400" s="72"/>
      <c r="O400" s="78"/>
      <c r="P400" s="78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</row>
    <row r="401" spans="1:29" ht="15.75" customHeight="1">
      <c r="A401" s="71"/>
      <c r="B401" s="72"/>
      <c r="C401" s="75"/>
      <c r="D401" s="74"/>
      <c r="E401" s="75"/>
      <c r="F401" s="74"/>
      <c r="G401" s="72"/>
      <c r="H401" s="76"/>
      <c r="I401" s="72"/>
      <c r="J401" s="72"/>
      <c r="K401" s="72"/>
      <c r="L401" s="77"/>
      <c r="M401" s="77"/>
      <c r="N401" s="72"/>
      <c r="O401" s="78"/>
      <c r="P401" s="78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</row>
    <row r="402" spans="1:29" ht="15.75" customHeight="1">
      <c r="A402" s="71"/>
      <c r="B402" s="72"/>
      <c r="C402" s="75"/>
      <c r="D402" s="74"/>
      <c r="E402" s="75"/>
      <c r="F402" s="74"/>
      <c r="G402" s="72"/>
      <c r="H402" s="76"/>
      <c r="I402" s="72"/>
      <c r="J402" s="72"/>
      <c r="K402" s="72"/>
      <c r="L402" s="77"/>
      <c r="M402" s="77"/>
      <c r="N402" s="72"/>
      <c r="O402" s="78"/>
      <c r="P402" s="78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</row>
    <row r="403" spans="1:29" ht="15.75" customHeight="1">
      <c r="A403" s="71"/>
      <c r="B403" s="72"/>
      <c r="C403" s="75"/>
      <c r="D403" s="74"/>
      <c r="E403" s="75"/>
      <c r="F403" s="74"/>
      <c r="G403" s="72"/>
      <c r="H403" s="76"/>
      <c r="I403" s="72"/>
      <c r="J403" s="72"/>
      <c r="K403" s="72"/>
      <c r="L403" s="77"/>
      <c r="M403" s="77"/>
      <c r="N403" s="72"/>
      <c r="O403" s="78"/>
      <c r="P403" s="78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</row>
    <row r="404" spans="1:29" ht="15.75" customHeight="1">
      <c r="A404" s="71"/>
      <c r="B404" s="72"/>
      <c r="C404" s="75"/>
      <c r="D404" s="74"/>
      <c r="E404" s="75"/>
      <c r="F404" s="74"/>
      <c r="G404" s="72"/>
      <c r="H404" s="76"/>
      <c r="I404" s="72"/>
      <c r="J404" s="72"/>
      <c r="K404" s="72"/>
      <c r="L404" s="77"/>
      <c r="M404" s="77"/>
      <c r="N404" s="72"/>
      <c r="O404" s="78"/>
      <c r="P404" s="78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</row>
    <row r="405" spans="1:29" ht="15.75" customHeight="1">
      <c r="A405" s="71"/>
      <c r="B405" s="72"/>
      <c r="C405" s="75"/>
      <c r="D405" s="74"/>
      <c r="E405" s="75"/>
      <c r="F405" s="74"/>
      <c r="G405" s="72"/>
      <c r="H405" s="76"/>
      <c r="I405" s="72"/>
      <c r="J405" s="72"/>
      <c r="K405" s="72"/>
      <c r="L405" s="77"/>
      <c r="M405" s="77"/>
      <c r="N405" s="72"/>
      <c r="O405" s="78"/>
      <c r="P405" s="78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</row>
    <row r="406" spans="1:29" ht="15.75" customHeight="1">
      <c r="A406" s="71"/>
      <c r="B406" s="72"/>
      <c r="C406" s="75"/>
      <c r="D406" s="74"/>
      <c r="E406" s="75"/>
      <c r="F406" s="74"/>
      <c r="G406" s="72"/>
      <c r="H406" s="76"/>
      <c r="I406" s="72"/>
      <c r="J406" s="72"/>
      <c r="K406" s="72"/>
      <c r="L406" s="77"/>
      <c r="M406" s="77"/>
      <c r="N406" s="72"/>
      <c r="O406" s="78"/>
      <c r="P406" s="78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</row>
    <row r="407" spans="1:29" ht="15.75" customHeight="1">
      <c r="A407" s="71"/>
      <c r="B407" s="72"/>
      <c r="C407" s="75"/>
      <c r="D407" s="74"/>
      <c r="E407" s="75"/>
      <c r="F407" s="74"/>
      <c r="G407" s="72"/>
      <c r="H407" s="76"/>
      <c r="I407" s="72"/>
      <c r="J407" s="72"/>
      <c r="K407" s="72"/>
      <c r="L407" s="77"/>
      <c r="M407" s="77"/>
      <c r="N407" s="72"/>
      <c r="O407" s="78"/>
      <c r="P407" s="78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</row>
    <row r="408" spans="1:29" ht="15.75" customHeight="1">
      <c r="A408" s="71"/>
      <c r="B408" s="72"/>
      <c r="C408" s="75"/>
      <c r="D408" s="74"/>
      <c r="E408" s="75"/>
      <c r="F408" s="74"/>
      <c r="G408" s="72"/>
      <c r="H408" s="76"/>
      <c r="I408" s="72"/>
      <c r="J408" s="72"/>
      <c r="K408" s="72"/>
      <c r="L408" s="77"/>
      <c r="M408" s="77"/>
      <c r="N408" s="72"/>
      <c r="O408" s="78"/>
      <c r="P408" s="78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</row>
    <row r="409" spans="1:29" ht="15.75" customHeight="1">
      <c r="A409" s="71"/>
      <c r="B409" s="72"/>
      <c r="C409" s="75"/>
      <c r="D409" s="74"/>
      <c r="E409" s="75"/>
      <c r="F409" s="74"/>
      <c r="G409" s="72"/>
      <c r="H409" s="76"/>
      <c r="I409" s="72"/>
      <c r="J409" s="72"/>
      <c r="K409" s="72"/>
      <c r="L409" s="77"/>
      <c r="M409" s="77"/>
      <c r="N409" s="72"/>
      <c r="O409" s="78"/>
      <c r="P409" s="78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</row>
    <row r="410" spans="1:29" ht="15.75" customHeight="1">
      <c r="A410" s="71"/>
      <c r="B410" s="72"/>
      <c r="C410" s="75"/>
      <c r="D410" s="74"/>
      <c r="E410" s="75"/>
      <c r="F410" s="74"/>
      <c r="G410" s="72"/>
      <c r="H410" s="76"/>
      <c r="I410" s="72"/>
      <c r="J410" s="72"/>
      <c r="K410" s="72"/>
      <c r="L410" s="77"/>
      <c r="M410" s="77"/>
      <c r="N410" s="72"/>
      <c r="O410" s="78"/>
      <c r="P410" s="78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</row>
    <row r="411" spans="1:29" ht="15.75" customHeight="1">
      <c r="A411" s="71"/>
      <c r="B411" s="72"/>
      <c r="C411" s="75"/>
      <c r="D411" s="74"/>
      <c r="E411" s="75"/>
      <c r="F411" s="74"/>
      <c r="G411" s="72"/>
      <c r="H411" s="76"/>
      <c r="I411" s="72"/>
      <c r="J411" s="72"/>
      <c r="K411" s="72"/>
      <c r="L411" s="77"/>
      <c r="M411" s="77"/>
      <c r="N411" s="72"/>
      <c r="O411" s="78"/>
      <c r="P411" s="78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</row>
    <row r="412" spans="1:29" ht="15.75" customHeight="1">
      <c r="A412" s="71"/>
      <c r="B412" s="72"/>
      <c r="C412" s="75"/>
      <c r="D412" s="74"/>
      <c r="E412" s="75"/>
      <c r="F412" s="74"/>
      <c r="G412" s="72"/>
      <c r="H412" s="76"/>
      <c r="I412" s="72"/>
      <c r="J412" s="72"/>
      <c r="K412" s="72"/>
      <c r="L412" s="77"/>
      <c r="M412" s="77"/>
      <c r="N412" s="72"/>
      <c r="O412" s="78"/>
      <c r="P412" s="78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</row>
    <row r="413" spans="1:29" ht="15.75" customHeight="1">
      <c r="A413" s="71"/>
      <c r="B413" s="72"/>
      <c r="C413" s="75"/>
      <c r="D413" s="74"/>
      <c r="E413" s="75"/>
      <c r="F413" s="74"/>
      <c r="G413" s="72"/>
      <c r="H413" s="76"/>
      <c r="I413" s="72"/>
      <c r="J413" s="72"/>
      <c r="K413" s="72"/>
      <c r="L413" s="77"/>
      <c r="M413" s="77"/>
      <c r="N413" s="72"/>
      <c r="O413" s="78"/>
      <c r="P413" s="78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</row>
    <row r="414" spans="1:29" ht="15.75" customHeight="1">
      <c r="A414" s="71"/>
      <c r="B414" s="72"/>
      <c r="C414" s="75"/>
      <c r="D414" s="74"/>
      <c r="E414" s="75"/>
      <c r="F414" s="74"/>
      <c r="G414" s="72"/>
      <c r="H414" s="76"/>
      <c r="I414" s="72"/>
      <c r="J414" s="72"/>
      <c r="K414" s="72"/>
      <c r="L414" s="77"/>
      <c r="M414" s="77"/>
      <c r="N414" s="72"/>
      <c r="O414" s="78"/>
      <c r="P414" s="78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</row>
    <row r="415" spans="1:29" ht="15.75" customHeight="1">
      <c r="A415" s="71"/>
      <c r="B415" s="72"/>
      <c r="C415" s="75"/>
      <c r="D415" s="74"/>
      <c r="E415" s="75"/>
      <c r="F415" s="74"/>
      <c r="G415" s="72"/>
      <c r="H415" s="76"/>
      <c r="I415" s="72"/>
      <c r="J415" s="72"/>
      <c r="K415" s="72"/>
      <c r="L415" s="77"/>
      <c r="M415" s="77"/>
      <c r="N415" s="72"/>
      <c r="O415" s="78"/>
      <c r="P415" s="78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</row>
    <row r="416" spans="1:29" ht="15.75" customHeight="1">
      <c r="A416" s="71"/>
      <c r="B416" s="72"/>
      <c r="C416" s="75"/>
      <c r="D416" s="74"/>
      <c r="E416" s="75"/>
      <c r="F416" s="74"/>
      <c r="G416" s="72"/>
      <c r="H416" s="76"/>
      <c r="I416" s="72"/>
      <c r="J416" s="72"/>
      <c r="K416" s="72"/>
      <c r="L416" s="77"/>
      <c r="M416" s="77"/>
      <c r="N416" s="72"/>
      <c r="O416" s="78"/>
      <c r="P416" s="78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</row>
    <row r="417" spans="1:29" ht="15.75" customHeight="1">
      <c r="A417" s="71"/>
      <c r="B417" s="72"/>
      <c r="C417" s="75"/>
      <c r="D417" s="74"/>
      <c r="E417" s="75"/>
      <c r="F417" s="74"/>
      <c r="G417" s="72"/>
      <c r="H417" s="76"/>
      <c r="I417" s="72"/>
      <c r="J417" s="72"/>
      <c r="K417" s="72"/>
      <c r="L417" s="77"/>
      <c r="M417" s="77"/>
      <c r="N417" s="72"/>
      <c r="O417" s="78"/>
      <c r="P417" s="78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</row>
    <row r="418" spans="1:29" ht="15.75" customHeight="1">
      <c r="A418" s="71"/>
      <c r="B418" s="72"/>
      <c r="C418" s="75"/>
      <c r="D418" s="74"/>
      <c r="E418" s="75"/>
      <c r="F418" s="74"/>
      <c r="G418" s="72"/>
      <c r="H418" s="76"/>
      <c r="I418" s="72"/>
      <c r="J418" s="72"/>
      <c r="K418" s="72"/>
      <c r="L418" s="77"/>
      <c r="M418" s="77"/>
      <c r="N418" s="72"/>
      <c r="O418" s="78"/>
      <c r="P418" s="78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</row>
    <row r="419" spans="1:29" ht="15.75" customHeight="1">
      <c r="A419" s="71"/>
      <c r="B419" s="72"/>
      <c r="C419" s="75"/>
      <c r="D419" s="74"/>
      <c r="E419" s="75"/>
      <c r="F419" s="74"/>
      <c r="G419" s="72"/>
      <c r="H419" s="76"/>
      <c r="I419" s="72"/>
      <c r="J419" s="72"/>
      <c r="K419" s="72"/>
      <c r="L419" s="77"/>
      <c r="M419" s="77"/>
      <c r="N419" s="72"/>
      <c r="O419" s="78"/>
      <c r="P419" s="78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</row>
    <row r="420" spans="1:29" ht="15.75" customHeight="1">
      <c r="A420" s="71"/>
      <c r="B420" s="72"/>
      <c r="C420" s="75"/>
      <c r="D420" s="74"/>
      <c r="E420" s="75"/>
      <c r="F420" s="74"/>
      <c r="G420" s="72"/>
      <c r="H420" s="76"/>
      <c r="I420" s="72"/>
      <c r="J420" s="72"/>
      <c r="K420" s="72"/>
      <c r="L420" s="77"/>
      <c r="M420" s="77"/>
      <c r="N420" s="72"/>
      <c r="O420" s="78"/>
      <c r="P420" s="78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</row>
    <row r="421" spans="1:29" ht="15.75" customHeight="1">
      <c r="A421" s="71"/>
      <c r="B421" s="72"/>
      <c r="C421" s="75"/>
      <c r="D421" s="74"/>
      <c r="E421" s="75"/>
      <c r="F421" s="74"/>
      <c r="G421" s="72"/>
      <c r="H421" s="76"/>
      <c r="I421" s="72"/>
      <c r="J421" s="72"/>
      <c r="K421" s="72"/>
      <c r="L421" s="77"/>
      <c r="M421" s="77"/>
      <c r="N421" s="72"/>
      <c r="O421" s="78"/>
      <c r="P421" s="78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</row>
    <row r="422" spans="1:29" ht="15.75" customHeight="1">
      <c r="A422" s="71"/>
      <c r="B422" s="72"/>
      <c r="C422" s="75"/>
      <c r="D422" s="74"/>
      <c r="E422" s="75"/>
      <c r="F422" s="74"/>
      <c r="G422" s="72"/>
      <c r="H422" s="76"/>
      <c r="I422" s="72"/>
      <c r="J422" s="72"/>
      <c r="K422" s="72"/>
      <c r="L422" s="77"/>
      <c r="M422" s="77"/>
      <c r="N422" s="72"/>
      <c r="O422" s="78"/>
      <c r="P422" s="78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</row>
    <row r="423" spans="1:29" ht="15.75" customHeight="1">
      <c r="A423" s="71"/>
      <c r="B423" s="72"/>
      <c r="C423" s="75"/>
      <c r="D423" s="74"/>
      <c r="E423" s="75"/>
      <c r="F423" s="74"/>
      <c r="G423" s="72"/>
      <c r="H423" s="76"/>
      <c r="I423" s="72"/>
      <c r="J423" s="72"/>
      <c r="K423" s="72"/>
      <c r="L423" s="77"/>
      <c r="M423" s="77"/>
      <c r="N423" s="72"/>
      <c r="O423" s="78"/>
      <c r="P423" s="78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</row>
    <row r="424" spans="1:29" ht="15.75" customHeight="1">
      <c r="A424" s="71"/>
      <c r="B424" s="72"/>
      <c r="C424" s="75"/>
      <c r="D424" s="74"/>
      <c r="E424" s="75"/>
      <c r="F424" s="74"/>
      <c r="G424" s="72"/>
      <c r="H424" s="76"/>
      <c r="I424" s="72"/>
      <c r="J424" s="72"/>
      <c r="K424" s="72"/>
      <c r="L424" s="77"/>
      <c r="M424" s="77"/>
      <c r="N424" s="72"/>
      <c r="O424" s="78"/>
      <c r="P424" s="78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</row>
    <row r="425" spans="1:29" ht="15.75" customHeight="1">
      <c r="A425" s="71"/>
      <c r="B425" s="72"/>
      <c r="C425" s="75"/>
      <c r="D425" s="74"/>
      <c r="E425" s="75"/>
      <c r="F425" s="74"/>
      <c r="G425" s="72"/>
      <c r="H425" s="76"/>
      <c r="I425" s="72"/>
      <c r="J425" s="72"/>
      <c r="K425" s="72"/>
      <c r="L425" s="77"/>
      <c r="M425" s="77"/>
      <c r="N425" s="72"/>
      <c r="O425" s="78"/>
      <c r="P425" s="78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</row>
    <row r="426" spans="1:29" ht="15.75" customHeight="1">
      <c r="A426" s="71"/>
      <c r="B426" s="72"/>
      <c r="C426" s="75"/>
      <c r="D426" s="74"/>
      <c r="E426" s="75"/>
      <c r="F426" s="74"/>
      <c r="G426" s="72"/>
      <c r="H426" s="76"/>
      <c r="I426" s="72"/>
      <c r="J426" s="72"/>
      <c r="K426" s="72"/>
      <c r="L426" s="77"/>
      <c r="M426" s="77"/>
      <c r="N426" s="72"/>
      <c r="O426" s="78"/>
      <c r="P426" s="78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</row>
    <row r="427" spans="1:29" ht="15.75" customHeight="1">
      <c r="A427" s="71"/>
      <c r="B427" s="72"/>
      <c r="C427" s="75"/>
      <c r="D427" s="74"/>
      <c r="E427" s="75"/>
      <c r="F427" s="74"/>
      <c r="G427" s="72"/>
      <c r="H427" s="76"/>
      <c r="I427" s="72"/>
      <c r="J427" s="72"/>
      <c r="K427" s="72"/>
      <c r="L427" s="77"/>
      <c r="M427" s="77"/>
      <c r="N427" s="72"/>
      <c r="O427" s="78"/>
      <c r="P427" s="78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</row>
    <row r="428" spans="1:29" ht="15.75" customHeight="1">
      <c r="A428" s="71"/>
      <c r="B428" s="72"/>
      <c r="C428" s="75"/>
      <c r="D428" s="74"/>
      <c r="E428" s="75"/>
      <c r="F428" s="74"/>
      <c r="G428" s="72"/>
      <c r="H428" s="76"/>
      <c r="I428" s="72"/>
      <c r="J428" s="72"/>
      <c r="K428" s="72"/>
      <c r="L428" s="77"/>
      <c r="M428" s="77"/>
      <c r="N428" s="72"/>
      <c r="O428" s="78"/>
      <c r="P428" s="78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</row>
    <row r="429" spans="1:29" ht="15.75" customHeight="1">
      <c r="A429" s="71"/>
      <c r="B429" s="72"/>
      <c r="C429" s="75"/>
      <c r="D429" s="74"/>
      <c r="E429" s="75"/>
      <c r="F429" s="74"/>
      <c r="G429" s="72"/>
      <c r="H429" s="76"/>
      <c r="I429" s="72"/>
      <c r="J429" s="72"/>
      <c r="K429" s="72"/>
      <c r="L429" s="77"/>
      <c r="M429" s="77"/>
      <c r="N429" s="72"/>
      <c r="O429" s="78"/>
      <c r="P429" s="78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</row>
    <row r="430" spans="1:29" ht="15.75" customHeight="1">
      <c r="A430" s="71"/>
      <c r="B430" s="72"/>
      <c r="C430" s="75"/>
      <c r="D430" s="74"/>
      <c r="E430" s="75"/>
      <c r="F430" s="74"/>
      <c r="G430" s="72"/>
      <c r="H430" s="76"/>
      <c r="I430" s="72"/>
      <c r="J430" s="72"/>
      <c r="K430" s="72"/>
      <c r="L430" s="77"/>
      <c r="M430" s="77"/>
      <c r="N430" s="72"/>
      <c r="O430" s="78"/>
      <c r="P430" s="78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</row>
    <row r="431" spans="1:29" ht="15.75" customHeight="1">
      <c r="A431" s="71"/>
      <c r="B431" s="72"/>
      <c r="C431" s="75"/>
      <c r="D431" s="74"/>
      <c r="E431" s="75"/>
      <c r="F431" s="74"/>
      <c r="G431" s="72"/>
      <c r="H431" s="76"/>
      <c r="I431" s="72"/>
      <c r="J431" s="72"/>
      <c r="K431" s="72"/>
      <c r="L431" s="77"/>
      <c r="M431" s="77"/>
      <c r="N431" s="72"/>
      <c r="O431" s="78"/>
      <c r="P431" s="78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</row>
    <row r="432" spans="1:29" ht="15.75" customHeight="1">
      <c r="A432" s="71"/>
      <c r="B432" s="72"/>
      <c r="C432" s="75"/>
      <c r="D432" s="74"/>
      <c r="E432" s="75"/>
      <c r="F432" s="74"/>
      <c r="G432" s="72"/>
      <c r="H432" s="76"/>
      <c r="I432" s="72"/>
      <c r="J432" s="72"/>
      <c r="K432" s="72"/>
      <c r="L432" s="77"/>
      <c r="M432" s="77"/>
      <c r="N432" s="72"/>
      <c r="O432" s="78"/>
      <c r="P432" s="78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</row>
    <row r="433" spans="1:29" ht="15.75" customHeight="1">
      <c r="A433" s="71"/>
      <c r="B433" s="72"/>
      <c r="C433" s="75"/>
      <c r="D433" s="74"/>
      <c r="E433" s="75"/>
      <c r="F433" s="74"/>
      <c r="G433" s="72"/>
      <c r="H433" s="76"/>
      <c r="I433" s="72"/>
      <c r="J433" s="72"/>
      <c r="K433" s="72"/>
      <c r="L433" s="77"/>
      <c r="M433" s="77"/>
      <c r="N433" s="72"/>
      <c r="O433" s="78"/>
      <c r="P433" s="78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</row>
    <row r="434" spans="1:29" ht="15.75" customHeight="1">
      <c r="A434" s="71"/>
      <c r="B434" s="72"/>
      <c r="C434" s="75"/>
      <c r="D434" s="74"/>
      <c r="E434" s="75"/>
      <c r="F434" s="74"/>
      <c r="G434" s="72"/>
      <c r="H434" s="76"/>
      <c r="I434" s="72"/>
      <c r="J434" s="72"/>
      <c r="K434" s="72"/>
      <c r="L434" s="77"/>
      <c r="M434" s="77"/>
      <c r="N434" s="72"/>
      <c r="O434" s="78"/>
      <c r="P434" s="78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</row>
    <row r="435" spans="1:29" ht="15.75" customHeight="1">
      <c r="A435" s="71"/>
      <c r="B435" s="72"/>
      <c r="C435" s="75"/>
      <c r="D435" s="74"/>
      <c r="E435" s="75"/>
      <c r="F435" s="74"/>
      <c r="G435" s="72"/>
      <c r="H435" s="76"/>
      <c r="I435" s="72"/>
      <c r="J435" s="72"/>
      <c r="K435" s="72"/>
      <c r="L435" s="77"/>
      <c r="M435" s="77"/>
      <c r="N435" s="72"/>
      <c r="O435" s="78"/>
      <c r="P435" s="78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</row>
    <row r="436" spans="1:29" ht="15.75" customHeight="1">
      <c r="A436" s="71"/>
      <c r="B436" s="72"/>
      <c r="C436" s="75"/>
      <c r="D436" s="74"/>
      <c r="E436" s="75"/>
      <c r="F436" s="74"/>
      <c r="G436" s="72"/>
      <c r="H436" s="76"/>
      <c r="I436" s="72"/>
      <c r="J436" s="72"/>
      <c r="K436" s="72"/>
      <c r="L436" s="77"/>
      <c r="M436" s="77"/>
      <c r="N436" s="72"/>
      <c r="O436" s="78"/>
      <c r="P436" s="78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</row>
    <row r="437" spans="1:29" ht="15.75" customHeight="1">
      <c r="A437" s="71"/>
      <c r="B437" s="72"/>
      <c r="C437" s="75"/>
      <c r="D437" s="74"/>
      <c r="E437" s="75"/>
      <c r="F437" s="74"/>
      <c r="G437" s="72"/>
      <c r="H437" s="76"/>
      <c r="I437" s="72"/>
      <c r="J437" s="72"/>
      <c r="K437" s="72"/>
      <c r="L437" s="77"/>
      <c r="M437" s="77"/>
      <c r="N437" s="72"/>
      <c r="O437" s="78"/>
      <c r="P437" s="78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</row>
    <row r="438" spans="1:29" ht="15.75" customHeight="1">
      <c r="A438" s="71"/>
      <c r="B438" s="72"/>
      <c r="C438" s="75"/>
      <c r="D438" s="74"/>
      <c r="E438" s="75"/>
      <c r="F438" s="74"/>
      <c r="G438" s="72"/>
      <c r="H438" s="76"/>
      <c r="I438" s="72"/>
      <c r="J438" s="72"/>
      <c r="K438" s="72"/>
      <c r="L438" s="77"/>
      <c r="M438" s="77"/>
      <c r="N438" s="72"/>
      <c r="O438" s="78"/>
      <c r="P438" s="78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</row>
    <row r="439" spans="1:29" ht="15.75" customHeight="1">
      <c r="A439" s="71"/>
      <c r="B439" s="72"/>
      <c r="C439" s="75"/>
      <c r="D439" s="74"/>
      <c r="E439" s="75"/>
      <c r="F439" s="74"/>
      <c r="G439" s="72"/>
      <c r="H439" s="76"/>
      <c r="I439" s="72"/>
      <c r="J439" s="72"/>
      <c r="K439" s="72"/>
      <c r="L439" s="77"/>
      <c r="M439" s="77"/>
      <c r="N439" s="72"/>
      <c r="O439" s="78"/>
      <c r="P439" s="78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</row>
    <row r="440" spans="1:29" ht="15.75" customHeight="1">
      <c r="A440" s="71"/>
      <c r="B440" s="72"/>
      <c r="C440" s="75"/>
      <c r="D440" s="74"/>
      <c r="E440" s="75"/>
      <c r="F440" s="74"/>
      <c r="G440" s="72"/>
      <c r="H440" s="76"/>
      <c r="I440" s="72"/>
      <c r="J440" s="72"/>
      <c r="K440" s="72"/>
      <c r="L440" s="77"/>
      <c r="M440" s="77"/>
      <c r="N440" s="72"/>
      <c r="O440" s="78"/>
      <c r="P440" s="78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</row>
    <row r="441" spans="1:29" ht="15.75" customHeight="1">
      <c r="A441" s="71"/>
      <c r="B441" s="72"/>
      <c r="C441" s="75"/>
      <c r="D441" s="74"/>
      <c r="E441" s="75"/>
      <c r="F441" s="74"/>
      <c r="G441" s="72"/>
      <c r="H441" s="76"/>
      <c r="I441" s="72"/>
      <c r="J441" s="72"/>
      <c r="K441" s="72"/>
      <c r="L441" s="77"/>
      <c r="M441" s="77"/>
      <c r="N441" s="72"/>
      <c r="O441" s="78"/>
      <c r="P441" s="78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</row>
    <row r="442" spans="1:29" ht="15.75" customHeight="1">
      <c r="A442" s="71"/>
      <c r="B442" s="72"/>
      <c r="C442" s="75"/>
      <c r="D442" s="74"/>
      <c r="E442" s="75"/>
      <c r="F442" s="74"/>
      <c r="G442" s="72"/>
      <c r="H442" s="76"/>
      <c r="I442" s="72"/>
      <c r="J442" s="72"/>
      <c r="K442" s="72"/>
      <c r="L442" s="77"/>
      <c r="M442" s="77"/>
      <c r="N442" s="72"/>
      <c r="O442" s="78"/>
      <c r="P442" s="78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</row>
    <row r="443" spans="1:29" ht="15.75" customHeight="1">
      <c r="A443" s="71"/>
      <c r="B443" s="72"/>
      <c r="C443" s="75"/>
      <c r="D443" s="74"/>
      <c r="E443" s="75"/>
      <c r="F443" s="74"/>
      <c r="G443" s="72"/>
      <c r="H443" s="76"/>
      <c r="I443" s="72"/>
      <c r="J443" s="72"/>
      <c r="K443" s="72"/>
      <c r="L443" s="77"/>
      <c r="M443" s="77"/>
      <c r="N443" s="72"/>
      <c r="O443" s="78"/>
      <c r="P443" s="78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</row>
    <row r="444" spans="1:29" ht="15.75" customHeight="1">
      <c r="A444" s="71"/>
      <c r="B444" s="72"/>
      <c r="C444" s="75"/>
      <c r="D444" s="74"/>
      <c r="E444" s="75"/>
      <c r="F444" s="74"/>
      <c r="G444" s="72"/>
      <c r="H444" s="76"/>
      <c r="I444" s="72"/>
      <c r="J444" s="72"/>
      <c r="K444" s="72"/>
      <c r="L444" s="77"/>
      <c r="M444" s="77"/>
      <c r="N444" s="72"/>
      <c r="O444" s="78"/>
      <c r="P444" s="78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</row>
    <row r="445" spans="1:29" ht="15.75" customHeight="1">
      <c r="A445" s="71"/>
      <c r="B445" s="72"/>
      <c r="C445" s="75"/>
      <c r="D445" s="74"/>
      <c r="E445" s="75"/>
      <c r="F445" s="74"/>
      <c r="G445" s="72"/>
      <c r="H445" s="76"/>
      <c r="I445" s="72"/>
      <c r="J445" s="72"/>
      <c r="K445" s="72"/>
      <c r="L445" s="77"/>
      <c r="M445" s="77"/>
      <c r="N445" s="72"/>
      <c r="O445" s="78"/>
      <c r="P445" s="78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</row>
    <row r="446" spans="1:29" ht="15.75" customHeight="1">
      <c r="A446" s="71"/>
      <c r="B446" s="72"/>
      <c r="C446" s="75"/>
      <c r="D446" s="74"/>
      <c r="E446" s="75"/>
      <c r="F446" s="74"/>
      <c r="G446" s="72"/>
      <c r="H446" s="76"/>
      <c r="I446" s="72"/>
      <c r="J446" s="72"/>
      <c r="K446" s="72"/>
      <c r="L446" s="77"/>
      <c r="M446" s="77"/>
      <c r="N446" s="72"/>
      <c r="O446" s="78"/>
      <c r="P446" s="78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</row>
    <row r="447" spans="1:29" ht="15.75" customHeight="1">
      <c r="A447" s="71"/>
      <c r="B447" s="72"/>
      <c r="C447" s="75"/>
      <c r="D447" s="74"/>
      <c r="E447" s="75"/>
      <c r="F447" s="74"/>
      <c r="G447" s="72"/>
      <c r="H447" s="76"/>
      <c r="I447" s="72"/>
      <c r="J447" s="72"/>
      <c r="K447" s="72"/>
      <c r="L447" s="77"/>
      <c r="M447" s="77"/>
      <c r="N447" s="72"/>
      <c r="O447" s="78"/>
      <c r="P447" s="78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</row>
    <row r="448" spans="1:29" ht="15.75" customHeight="1">
      <c r="A448" s="71"/>
      <c r="B448" s="72"/>
      <c r="C448" s="75"/>
      <c r="D448" s="74"/>
      <c r="E448" s="75"/>
      <c r="F448" s="74"/>
      <c r="G448" s="72"/>
      <c r="H448" s="76"/>
      <c r="I448" s="72"/>
      <c r="J448" s="72"/>
      <c r="K448" s="72"/>
      <c r="L448" s="77"/>
      <c r="M448" s="77"/>
      <c r="N448" s="72"/>
      <c r="O448" s="78"/>
      <c r="P448" s="78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</row>
    <row r="449" spans="1:29" ht="15.75" customHeight="1">
      <c r="A449" s="71"/>
      <c r="B449" s="72"/>
      <c r="C449" s="75"/>
      <c r="D449" s="74"/>
      <c r="E449" s="75"/>
      <c r="F449" s="74"/>
      <c r="G449" s="72"/>
      <c r="H449" s="76"/>
      <c r="I449" s="72"/>
      <c r="J449" s="72"/>
      <c r="K449" s="72"/>
      <c r="L449" s="77"/>
      <c r="M449" s="77"/>
      <c r="N449" s="72"/>
      <c r="O449" s="78"/>
      <c r="P449" s="78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</row>
    <row r="450" spans="1:29" ht="15.75" customHeight="1">
      <c r="A450" s="71"/>
      <c r="B450" s="72"/>
      <c r="C450" s="75"/>
      <c r="D450" s="74"/>
      <c r="E450" s="75"/>
      <c r="F450" s="74"/>
      <c r="G450" s="72"/>
      <c r="H450" s="76"/>
      <c r="I450" s="72"/>
      <c r="J450" s="72"/>
      <c r="K450" s="72"/>
      <c r="L450" s="77"/>
      <c r="M450" s="77"/>
      <c r="N450" s="72"/>
      <c r="O450" s="78"/>
      <c r="P450" s="78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</row>
    <row r="451" spans="1:29" ht="15.75" customHeight="1">
      <c r="A451" s="71"/>
      <c r="B451" s="72"/>
      <c r="C451" s="75"/>
      <c r="D451" s="74"/>
      <c r="E451" s="75"/>
      <c r="F451" s="74"/>
      <c r="G451" s="72"/>
      <c r="H451" s="76"/>
      <c r="I451" s="72"/>
      <c r="J451" s="72"/>
      <c r="K451" s="72"/>
      <c r="L451" s="77"/>
      <c r="M451" s="77"/>
      <c r="N451" s="72"/>
      <c r="O451" s="78"/>
      <c r="P451" s="78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</row>
    <row r="452" spans="1:29" ht="15.75" customHeight="1">
      <c r="A452" s="71"/>
      <c r="B452" s="72"/>
      <c r="C452" s="75"/>
      <c r="D452" s="74"/>
      <c r="E452" s="75"/>
      <c r="F452" s="74"/>
      <c r="G452" s="72"/>
      <c r="H452" s="76"/>
      <c r="I452" s="72"/>
      <c r="J452" s="72"/>
      <c r="K452" s="72"/>
      <c r="L452" s="77"/>
      <c r="M452" s="77"/>
      <c r="N452" s="72"/>
      <c r="O452" s="78"/>
      <c r="P452" s="78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</row>
    <row r="453" spans="1:29" ht="15.75" customHeight="1">
      <c r="A453" s="71"/>
      <c r="B453" s="72"/>
      <c r="C453" s="75"/>
      <c r="D453" s="74"/>
      <c r="E453" s="75"/>
      <c r="F453" s="74"/>
      <c r="G453" s="72"/>
      <c r="H453" s="76"/>
      <c r="I453" s="72"/>
      <c r="J453" s="72"/>
      <c r="K453" s="72"/>
      <c r="L453" s="77"/>
      <c r="M453" s="77"/>
      <c r="N453" s="72"/>
      <c r="O453" s="78"/>
      <c r="P453" s="78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</row>
    <row r="454" spans="1:29" ht="15.75" customHeight="1">
      <c r="A454" s="71"/>
      <c r="B454" s="72"/>
      <c r="C454" s="75"/>
      <c r="D454" s="74"/>
      <c r="E454" s="75"/>
      <c r="F454" s="74"/>
      <c r="G454" s="72"/>
      <c r="H454" s="76"/>
      <c r="I454" s="72"/>
      <c r="J454" s="72"/>
      <c r="K454" s="72"/>
      <c r="L454" s="77"/>
      <c r="M454" s="77"/>
      <c r="N454" s="72"/>
      <c r="O454" s="78"/>
      <c r="P454" s="78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</row>
    <row r="455" spans="1:29" ht="15.75" customHeight="1">
      <c r="A455" s="71"/>
      <c r="B455" s="72"/>
      <c r="C455" s="75"/>
      <c r="D455" s="74"/>
      <c r="E455" s="75"/>
      <c r="F455" s="74"/>
      <c r="G455" s="72"/>
      <c r="H455" s="76"/>
      <c r="I455" s="72"/>
      <c r="J455" s="72"/>
      <c r="K455" s="72"/>
      <c r="L455" s="77"/>
      <c r="M455" s="77"/>
      <c r="N455" s="72"/>
      <c r="O455" s="78"/>
      <c r="P455" s="78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</row>
    <row r="456" spans="1:29" ht="15.75" customHeight="1">
      <c r="A456" s="71"/>
      <c r="B456" s="72"/>
      <c r="C456" s="75"/>
      <c r="D456" s="74"/>
      <c r="E456" s="75"/>
      <c r="F456" s="74"/>
      <c r="G456" s="72"/>
      <c r="H456" s="76"/>
      <c r="I456" s="72"/>
      <c r="J456" s="72"/>
      <c r="K456" s="72"/>
      <c r="L456" s="77"/>
      <c r="M456" s="77"/>
      <c r="N456" s="72"/>
      <c r="O456" s="78"/>
      <c r="P456" s="78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</row>
    <row r="457" spans="1:29" ht="15.75" customHeight="1">
      <c r="A457" s="71"/>
      <c r="B457" s="72"/>
      <c r="C457" s="75"/>
      <c r="D457" s="74"/>
      <c r="E457" s="75"/>
      <c r="F457" s="74"/>
      <c r="G457" s="72"/>
      <c r="H457" s="76"/>
      <c r="I457" s="72"/>
      <c r="J457" s="72"/>
      <c r="K457" s="72"/>
      <c r="L457" s="77"/>
      <c r="M457" s="77"/>
      <c r="N457" s="72"/>
      <c r="O457" s="78"/>
      <c r="P457" s="78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</row>
    <row r="458" spans="1:29" ht="15.75" customHeight="1">
      <c r="A458" s="71"/>
      <c r="B458" s="72"/>
      <c r="C458" s="75"/>
      <c r="D458" s="74"/>
      <c r="E458" s="75"/>
      <c r="F458" s="74"/>
      <c r="G458" s="72"/>
      <c r="H458" s="76"/>
      <c r="I458" s="72"/>
      <c r="J458" s="72"/>
      <c r="K458" s="72"/>
      <c r="L458" s="77"/>
      <c r="M458" s="77"/>
      <c r="N458" s="72"/>
      <c r="O458" s="78"/>
      <c r="P458" s="78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</row>
    <row r="459" spans="1:29" ht="15.75" customHeight="1">
      <c r="A459" s="71"/>
      <c r="B459" s="72"/>
      <c r="C459" s="75"/>
      <c r="D459" s="74"/>
      <c r="E459" s="75"/>
      <c r="F459" s="74"/>
      <c r="G459" s="72"/>
      <c r="H459" s="76"/>
      <c r="I459" s="72"/>
      <c r="J459" s="72"/>
      <c r="K459" s="72"/>
      <c r="L459" s="77"/>
      <c r="M459" s="77"/>
      <c r="N459" s="72"/>
      <c r="O459" s="78"/>
      <c r="P459" s="78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</row>
    <row r="460" spans="1:29" ht="15.75" customHeight="1">
      <c r="A460" s="71"/>
      <c r="B460" s="72"/>
      <c r="C460" s="75"/>
      <c r="D460" s="74"/>
      <c r="E460" s="75"/>
      <c r="F460" s="74"/>
      <c r="G460" s="72"/>
      <c r="H460" s="76"/>
      <c r="I460" s="72"/>
      <c r="J460" s="72"/>
      <c r="K460" s="72"/>
      <c r="L460" s="77"/>
      <c r="M460" s="77"/>
      <c r="N460" s="72"/>
      <c r="O460" s="78"/>
      <c r="P460" s="78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</row>
    <row r="461" spans="1:29" ht="15.75" customHeight="1">
      <c r="A461" s="71"/>
      <c r="B461" s="72"/>
      <c r="C461" s="75"/>
      <c r="D461" s="74"/>
      <c r="E461" s="75"/>
      <c r="F461" s="74"/>
      <c r="G461" s="72"/>
      <c r="H461" s="76"/>
      <c r="I461" s="72"/>
      <c r="J461" s="72"/>
      <c r="K461" s="72"/>
      <c r="L461" s="77"/>
      <c r="M461" s="77"/>
      <c r="N461" s="72"/>
      <c r="O461" s="78"/>
      <c r="P461" s="78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</row>
    <row r="462" spans="1:29" ht="15.75" customHeight="1">
      <c r="A462" s="71"/>
      <c r="B462" s="72"/>
      <c r="C462" s="75"/>
      <c r="D462" s="74"/>
      <c r="E462" s="75"/>
      <c r="F462" s="74"/>
      <c r="G462" s="72"/>
      <c r="H462" s="76"/>
      <c r="I462" s="72"/>
      <c r="J462" s="72"/>
      <c r="K462" s="72"/>
      <c r="L462" s="77"/>
      <c r="M462" s="77"/>
      <c r="N462" s="72"/>
      <c r="O462" s="78"/>
      <c r="P462" s="78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</row>
    <row r="463" spans="1:29" ht="15.75" customHeight="1">
      <c r="A463" s="71"/>
      <c r="B463" s="72"/>
      <c r="C463" s="75"/>
      <c r="D463" s="74"/>
      <c r="E463" s="75"/>
      <c r="F463" s="74"/>
      <c r="G463" s="72"/>
      <c r="H463" s="76"/>
      <c r="I463" s="72"/>
      <c r="J463" s="72"/>
      <c r="K463" s="72"/>
      <c r="L463" s="77"/>
      <c r="M463" s="77"/>
      <c r="N463" s="72"/>
      <c r="O463" s="78"/>
      <c r="P463" s="78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</row>
    <row r="464" spans="1:29" ht="15.75" customHeight="1">
      <c r="A464" s="71"/>
      <c r="B464" s="72"/>
      <c r="C464" s="75"/>
      <c r="D464" s="74"/>
      <c r="E464" s="75"/>
      <c r="F464" s="74"/>
      <c r="G464" s="72"/>
      <c r="H464" s="76"/>
      <c r="I464" s="72"/>
      <c r="J464" s="72"/>
      <c r="K464" s="72"/>
      <c r="L464" s="77"/>
      <c r="M464" s="77"/>
      <c r="N464" s="72"/>
      <c r="O464" s="78"/>
      <c r="P464" s="78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</row>
    <row r="465" spans="1:29" ht="15.75" customHeight="1">
      <c r="A465" s="71"/>
      <c r="B465" s="72"/>
      <c r="C465" s="75"/>
      <c r="D465" s="74"/>
      <c r="E465" s="75"/>
      <c r="F465" s="74"/>
      <c r="G465" s="72"/>
      <c r="H465" s="76"/>
      <c r="I465" s="72"/>
      <c r="J465" s="72"/>
      <c r="K465" s="72"/>
      <c r="L465" s="77"/>
      <c r="M465" s="77"/>
      <c r="N465" s="72"/>
      <c r="O465" s="78"/>
      <c r="P465" s="78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</row>
    <row r="466" spans="1:29" ht="15.75" customHeight="1">
      <c r="A466" s="71"/>
      <c r="B466" s="72"/>
      <c r="C466" s="75"/>
      <c r="D466" s="74"/>
      <c r="E466" s="75"/>
      <c r="F466" s="74"/>
      <c r="G466" s="72"/>
      <c r="H466" s="76"/>
      <c r="I466" s="72"/>
      <c r="J466" s="72"/>
      <c r="K466" s="72"/>
      <c r="L466" s="77"/>
      <c r="M466" s="77"/>
      <c r="N466" s="72"/>
      <c r="O466" s="78"/>
      <c r="P466" s="78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</row>
    <row r="467" spans="1:29" ht="15.75" customHeight="1">
      <c r="A467" s="71"/>
      <c r="B467" s="72"/>
      <c r="C467" s="75"/>
      <c r="D467" s="74"/>
      <c r="E467" s="75"/>
      <c r="F467" s="74"/>
      <c r="G467" s="72"/>
      <c r="H467" s="76"/>
      <c r="I467" s="72"/>
      <c r="J467" s="72"/>
      <c r="K467" s="72"/>
      <c r="L467" s="77"/>
      <c r="M467" s="77"/>
      <c r="N467" s="72"/>
      <c r="O467" s="78"/>
      <c r="P467" s="78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</row>
    <row r="468" spans="1:29" ht="15.75" customHeight="1">
      <c r="A468" s="71"/>
      <c r="B468" s="72"/>
      <c r="C468" s="75"/>
      <c r="D468" s="74"/>
      <c r="E468" s="75"/>
      <c r="F468" s="74"/>
      <c r="G468" s="72"/>
      <c r="H468" s="76"/>
      <c r="I468" s="72"/>
      <c r="J468" s="72"/>
      <c r="K468" s="72"/>
      <c r="L468" s="77"/>
      <c r="M468" s="77"/>
      <c r="N468" s="72"/>
      <c r="O468" s="78"/>
      <c r="P468" s="78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</row>
    <row r="469" spans="1:29" ht="15.75" customHeight="1">
      <c r="A469" s="71"/>
      <c r="B469" s="72"/>
      <c r="C469" s="75"/>
      <c r="D469" s="74"/>
      <c r="E469" s="75"/>
      <c r="F469" s="74"/>
      <c r="G469" s="72"/>
      <c r="H469" s="76"/>
      <c r="I469" s="72"/>
      <c r="J469" s="72"/>
      <c r="K469" s="72"/>
      <c r="L469" s="77"/>
      <c r="M469" s="77"/>
      <c r="N469" s="72"/>
      <c r="O469" s="78"/>
      <c r="P469" s="78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</row>
    <row r="470" spans="1:29" ht="15.75" customHeight="1">
      <c r="A470" s="71"/>
      <c r="B470" s="72"/>
      <c r="C470" s="75"/>
      <c r="D470" s="74"/>
      <c r="E470" s="75"/>
      <c r="F470" s="74"/>
      <c r="G470" s="72"/>
      <c r="H470" s="76"/>
      <c r="I470" s="72"/>
      <c r="J470" s="72"/>
      <c r="K470" s="72"/>
      <c r="L470" s="77"/>
      <c r="M470" s="77"/>
      <c r="N470" s="72"/>
      <c r="O470" s="78"/>
      <c r="P470" s="78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</row>
    <row r="471" spans="1:29" ht="15.75" customHeight="1">
      <c r="A471" s="71"/>
      <c r="B471" s="72"/>
      <c r="C471" s="75"/>
      <c r="D471" s="74"/>
      <c r="E471" s="75"/>
      <c r="F471" s="74"/>
      <c r="G471" s="72"/>
      <c r="H471" s="76"/>
      <c r="I471" s="72"/>
      <c r="J471" s="72"/>
      <c r="K471" s="72"/>
      <c r="L471" s="77"/>
      <c r="M471" s="77"/>
      <c r="N471" s="72"/>
      <c r="O471" s="78"/>
      <c r="P471" s="78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</row>
    <row r="472" spans="1:29" ht="15.75" customHeight="1">
      <c r="A472" s="71"/>
      <c r="B472" s="72"/>
      <c r="C472" s="75"/>
      <c r="D472" s="74"/>
      <c r="E472" s="75"/>
      <c r="F472" s="74"/>
      <c r="G472" s="72"/>
      <c r="H472" s="76"/>
      <c r="I472" s="72"/>
      <c r="J472" s="72"/>
      <c r="K472" s="72"/>
      <c r="L472" s="77"/>
      <c r="M472" s="77"/>
      <c r="N472" s="72"/>
      <c r="O472" s="78"/>
      <c r="P472" s="78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</row>
    <row r="473" spans="1:29" ht="15.75" customHeight="1">
      <c r="A473" s="71"/>
      <c r="B473" s="72"/>
      <c r="C473" s="75"/>
      <c r="D473" s="74"/>
      <c r="E473" s="75"/>
      <c r="F473" s="74"/>
      <c r="G473" s="72"/>
      <c r="H473" s="76"/>
      <c r="I473" s="72"/>
      <c r="J473" s="72"/>
      <c r="K473" s="72"/>
      <c r="L473" s="77"/>
      <c r="M473" s="77"/>
      <c r="N473" s="72"/>
      <c r="O473" s="78"/>
      <c r="P473" s="78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</row>
    <row r="474" spans="1:29" ht="15.75" customHeight="1">
      <c r="A474" s="71"/>
      <c r="B474" s="72"/>
      <c r="C474" s="75"/>
      <c r="D474" s="74"/>
      <c r="E474" s="75"/>
      <c r="F474" s="74"/>
      <c r="G474" s="72"/>
      <c r="H474" s="76"/>
      <c r="I474" s="72"/>
      <c r="J474" s="72"/>
      <c r="K474" s="72"/>
      <c r="L474" s="77"/>
      <c r="M474" s="77"/>
      <c r="N474" s="72"/>
      <c r="O474" s="78"/>
      <c r="P474" s="78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</row>
    <row r="475" spans="1:29" ht="15.75" customHeight="1">
      <c r="A475" s="71"/>
      <c r="B475" s="72"/>
      <c r="C475" s="75"/>
      <c r="D475" s="74"/>
      <c r="E475" s="75"/>
      <c r="F475" s="74"/>
      <c r="G475" s="72"/>
      <c r="H475" s="76"/>
      <c r="I475" s="72"/>
      <c r="J475" s="72"/>
      <c r="K475" s="72"/>
      <c r="L475" s="77"/>
      <c r="M475" s="77"/>
      <c r="N475" s="72"/>
      <c r="O475" s="78"/>
      <c r="P475" s="78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</row>
    <row r="476" spans="1:29" ht="15.75" customHeight="1">
      <c r="A476" s="71"/>
      <c r="B476" s="72"/>
      <c r="C476" s="75"/>
      <c r="D476" s="74"/>
      <c r="E476" s="75"/>
      <c r="F476" s="74"/>
      <c r="G476" s="72"/>
      <c r="H476" s="76"/>
      <c r="I476" s="72"/>
      <c r="J476" s="72"/>
      <c r="K476" s="72"/>
      <c r="L476" s="77"/>
      <c r="M476" s="77"/>
      <c r="N476" s="72"/>
      <c r="O476" s="78"/>
      <c r="P476" s="78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</row>
    <row r="477" spans="1:29" ht="15.75" customHeight="1">
      <c r="A477" s="71"/>
      <c r="B477" s="72"/>
      <c r="C477" s="75"/>
      <c r="D477" s="74"/>
      <c r="E477" s="75"/>
      <c r="F477" s="74"/>
      <c r="G477" s="72"/>
      <c r="H477" s="76"/>
      <c r="I477" s="72"/>
      <c r="J477" s="72"/>
      <c r="K477" s="72"/>
      <c r="L477" s="77"/>
      <c r="M477" s="77"/>
      <c r="N477" s="72"/>
      <c r="O477" s="78"/>
      <c r="P477" s="78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</row>
    <row r="478" spans="1:29" ht="15.75" customHeight="1">
      <c r="A478" s="71"/>
      <c r="B478" s="72"/>
      <c r="C478" s="75"/>
      <c r="D478" s="74"/>
      <c r="E478" s="75"/>
      <c r="F478" s="74"/>
      <c r="G478" s="72"/>
      <c r="H478" s="76"/>
      <c r="I478" s="72"/>
      <c r="J478" s="72"/>
      <c r="K478" s="72"/>
      <c r="L478" s="77"/>
      <c r="M478" s="77"/>
      <c r="N478" s="72"/>
      <c r="O478" s="78"/>
      <c r="P478" s="78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</row>
    <row r="479" spans="1:29" ht="15.75" customHeight="1">
      <c r="A479" s="71"/>
      <c r="B479" s="72"/>
      <c r="C479" s="75"/>
      <c r="D479" s="74"/>
      <c r="E479" s="75"/>
      <c r="F479" s="74"/>
      <c r="G479" s="72"/>
      <c r="H479" s="76"/>
      <c r="I479" s="72"/>
      <c r="J479" s="72"/>
      <c r="K479" s="72"/>
      <c r="L479" s="77"/>
      <c r="M479" s="77"/>
      <c r="N479" s="72"/>
      <c r="O479" s="78"/>
      <c r="P479" s="78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</row>
    <row r="480" spans="1:29" ht="15.75" customHeight="1">
      <c r="A480" s="71"/>
      <c r="B480" s="72"/>
      <c r="C480" s="75"/>
      <c r="D480" s="74"/>
      <c r="E480" s="75"/>
      <c r="F480" s="74"/>
      <c r="G480" s="72"/>
      <c r="H480" s="76"/>
      <c r="I480" s="72"/>
      <c r="J480" s="72"/>
      <c r="K480" s="72"/>
      <c r="L480" s="77"/>
      <c r="M480" s="77"/>
      <c r="N480" s="72"/>
      <c r="O480" s="78"/>
      <c r="P480" s="78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</row>
    <row r="481" spans="1:29" ht="15.75" customHeight="1">
      <c r="A481" s="71"/>
      <c r="B481" s="72"/>
      <c r="C481" s="75"/>
      <c r="D481" s="74"/>
      <c r="E481" s="75"/>
      <c r="F481" s="74"/>
      <c r="G481" s="72"/>
      <c r="H481" s="76"/>
      <c r="I481" s="72"/>
      <c r="J481" s="72"/>
      <c r="K481" s="72"/>
      <c r="L481" s="77"/>
      <c r="M481" s="77"/>
      <c r="N481" s="72"/>
      <c r="O481" s="78"/>
      <c r="P481" s="78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</row>
    <row r="482" spans="1:29" ht="15.75" customHeight="1">
      <c r="A482" s="71"/>
      <c r="B482" s="72"/>
      <c r="C482" s="75"/>
      <c r="D482" s="74"/>
      <c r="E482" s="75"/>
      <c r="F482" s="74"/>
      <c r="G482" s="72"/>
      <c r="H482" s="76"/>
      <c r="I482" s="72"/>
      <c r="J482" s="72"/>
      <c r="K482" s="72"/>
      <c r="L482" s="77"/>
      <c r="M482" s="77"/>
      <c r="N482" s="72"/>
      <c r="O482" s="78"/>
      <c r="P482" s="78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</row>
    <row r="483" spans="1:29" ht="15.75" customHeight="1">
      <c r="A483" s="71"/>
      <c r="B483" s="72"/>
      <c r="C483" s="75"/>
      <c r="D483" s="74"/>
      <c r="E483" s="75"/>
      <c r="F483" s="74"/>
      <c r="G483" s="72"/>
      <c r="H483" s="76"/>
      <c r="I483" s="72"/>
      <c r="J483" s="72"/>
      <c r="K483" s="72"/>
      <c r="L483" s="77"/>
      <c r="M483" s="77"/>
      <c r="N483" s="72"/>
      <c r="O483" s="78"/>
      <c r="P483" s="78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</row>
    <row r="484" spans="1:29" ht="15.75" customHeight="1">
      <c r="A484" s="71"/>
      <c r="B484" s="72"/>
      <c r="C484" s="75"/>
      <c r="D484" s="74"/>
      <c r="E484" s="75"/>
      <c r="F484" s="74"/>
      <c r="G484" s="72"/>
      <c r="H484" s="76"/>
      <c r="I484" s="72"/>
      <c r="J484" s="72"/>
      <c r="K484" s="72"/>
      <c r="L484" s="77"/>
      <c r="M484" s="77"/>
      <c r="N484" s="72"/>
      <c r="O484" s="78"/>
      <c r="P484" s="78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</row>
    <row r="485" spans="1:29" ht="15.75" customHeight="1">
      <c r="A485" s="71"/>
      <c r="B485" s="72"/>
      <c r="C485" s="75"/>
      <c r="D485" s="74"/>
      <c r="E485" s="75"/>
      <c r="F485" s="74"/>
      <c r="G485" s="72"/>
      <c r="H485" s="76"/>
      <c r="I485" s="72"/>
      <c r="J485" s="72"/>
      <c r="K485" s="72"/>
      <c r="L485" s="77"/>
      <c r="M485" s="77"/>
      <c r="N485" s="72"/>
      <c r="O485" s="78"/>
      <c r="P485" s="78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</row>
    <row r="486" spans="1:29" ht="15.75" customHeight="1">
      <c r="A486" s="71"/>
      <c r="B486" s="72"/>
      <c r="C486" s="75"/>
      <c r="D486" s="74"/>
      <c r="E486" s="75"/>
      <c r="F486" s="74"/>
      <c r="G486" s="72"/>
      <c r="H486" s="76"/>
      <c r="I486" s="72"/>
      <c r="J486" s="72"/>
      <c r="K486" s="72"/>
      <c r="L486" s="77"/>
      <c r="M486" s="77"/>
      <c r="N486" s="72"/>
      <c r="O486" s="78"/>
      <c r="P486" s="78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</row>
    <row r="487" spans="1:29" ht="15.75" customHeight="1">
      <c r="A487" s="71"/>
      <c r="B487" s="72"/>
      <c r="C487" s="75"/>
      <c r="D487" s="74"/>
      <c r="E487" s="75"/>
      <c r="F487" s="74"/>
      <c r="G487" s="72"/>
      <c r="H487" s="76"/>
      <c r="I487" s="72"/>
      <c r="J487" s="72"/>
      <c r="K487" s="72"/>
      <c r="L487" s="77"/>
      <c r="M487" s="77"/>
      <c r="N487" s="72"/>
      <c r="O487" s="78"/>
      <c r="P487" s="78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</row>
    <row r="488" spans="1:29" ht="15.75" customHeight="1">
      <c r="A488" s="71"/>
      <c r="B488" s="72"/>
      <c r="C488" s="75"/>
      <c r="D488" s="74"/>
      <c r="E488" s="75"/>
      <c r="F488" s="74"/>
      <c r="G488" s="72"/>
      <c r="H488" s="76"/>
      <c r="I488" s="72"/>
      <c r="J488" s="72"/>
      <c r="K488" s="72"/>
      <c r="L488" s="77"/>
      <c r="M488" s="77"/>
      <c r="N488" s="72"/>
      <c r="O488" s="78"/>
      <c r="P488" s="78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</row>
    <row r="489" spans="1:29" ht="15.75" customHeight="1">
      <c r="A489" s="71"/>
      <c r="B489" s="72"/>
      <c r="C489" s="75"/>
      <c r="D489" s="74"/>
      <c r="E489" s="75"/>
      <c r="F489" s="74"/>
      <c r="G489" s="72"/>
      <c r="H489" s="76"/>
      <c r="I489" s="72"/>
      <c r="J489" s="72"/>
      <c r="K489" s="72"/>
      <c r="L489" s="77"/>
      <c r="M489" s="77"/>
      <c r="N489" s="72"/>
      <c r="O489" s="78"/>
      <c r="P489" s="78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</row>
    <row r="490" spans="1:29" ht="15.75" customHeight="1">
      <c r="A490" s="71"/>
      <c r="B490" s="72"/>
      <c r="C490" s="75"/>
      <c r="D490" s="74"/>
      <c r="E490" s="75"/>
      <c r="F490" s="74"/>
      <c r="G490" s="72"/>
      <c r="H490" s="76"/>
      <c r="I490" s="72"/>
      <c r="J490" s="72"/>
      <c r="K490" s="72"/>
      <c r="L490" s="77"/>
      <c r="M490" s="77"/>
      <c r="N490" s="72"/>
      <c r="O490" s="78"/>
      <c r="P490" s="78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</row>
    <row r="491" spans="1:29" ht="15.75" customHeight="1">
      <c r="A491" s="71"/>
      <c r="B491" s="72"/>
      <c r="C491" s="75"/>
      <c r="D491" s="74"/>
      <c r="E491" s="75"/>
      <c r="F491" s="74"/>
      <c r="G491" s="72"/>
      <c r="H491" s="76"/>
      <c r="I491" s="72"/>
      <c r="J491" s="72"/>
      <c r="K491" s="72"/>
      <c r="L491" s="77"/>
      <c r="M491" s="77"/>
      <c r="N491" s="72"/>
      <c r="O491" s="78"/>
      <c r="P491" s="78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</row>
    <row r="492" spans="1:29" ht="15.75" customHeight="1">
      <c r="A492" s="71"/>
      <c r="B492" s="72"/>
      <c r="C492" s="75"/>
      <c r="D492" s="74"/>
      <c r="E492" s="75"/>
      <c r="F492" s="74"/>
      <c r="G492" s="72"/>
      <c r="H492" s="76"/>
      <c r="I492" s="72"/>
      <c r="J492" s="72"/>
      <c r="K492" s="72"/>
      <c r="L492" s="77"/>
      <c r="M492" s="77"/>
      <c r="N492" s="72"/>
      <c r="O492" s="78"/>
      <c r="P492" s="78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</row>
    <row r="493" spans="1:29" ht="15.75" customHeight="1">
      <c r="A493" s="71"/>
      <c r="B493" s="72"/>
      <c r="C493" s="75"/>
      <c r="D493" s="74"/>
      <c r="E493" s="75"/>
      <c r="F493" s="74"/>
      <c r="G493" s="72"/>
      <c r="H493" s="76"/>
      <c r="I493" s="72"/>
      <c r="J493" s="72"/>
      <c r="K493" s="72"/>
      <c r="L493" s="77"/>
      <c r="M493" s="77"/>
      <c r="N493" s="72"/>
      <c r="O493" s="78"/>
      <c r="P493" s="78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</row>
    <row r="494" spans="1:29" ht="15.75" customHeight="1">
      <c r="A494" s="71"/>
      <c r="B494" s="72"/>
      <c r="C494" s="75"/>
      <c r="D494" s="74"/>
      <c r="E494" s="75"/>
      <c r="F494" s="74"/>
      <c r="G494" s="72"/>
      <c r="H494" s="76"/>
      <c r="I494" s="72"/>
      <c r="J494" s="72"/>
      <c r="K494" s="72"/>
      <c r="L494" s="77"/>
      <c r="M494" s="77"/>
      <c r="N494" s="72"/>
      <c r="O494" s="78"/>
      <c r="P494" s="78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</row>
    <row r="495" spans="1:29" ht="15.75" customHeight="1">
      <c r="A495" s="71"/>
      <c r="B495" s="72"/>
      <c r="C495" s="75"/>
      <c r="D495" s="74"/>
      <c r="E495" s="75"/>
      <c r="F495" s="74"/>
      <c r="G495" s="72"/>
      <c r="H495" s="76"/>
      <c r="I495" s="72"/>
      <c r="J495" s="72"/>
      <c r="K495" s="72"/>
      <c r="L495" s="77"/>
      <c r="M495" s="77"/>
      <c r="N495" s="72"/>
      <c r="O495" s="78"/>
      <c r="P495" s="78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</row>
    <row r="496" spans="1:29" ht="15.75" customHeight="1">
      <c r="A496" s="71"/>
      <c r="B496" s="72"/>
      <c r="C496" s="75"/>
      <c r="D496" s="74"/>
      <c r="E496" s="75"/>
      <c r="F496" s="74"/>
      <c r="G496" s="72"/>
      <c r="H496" s="76"/>
      <c r="I496" s="72"/>
      <c r="J496" s="72"/>
      <c r="K496" s="72"/>
      <c r="L496" s="77"/>
      <c r="M496" s="77"/>
      <c r="N496" s="72"/>
      <c r="O496" s="78"/>
      <c r="P496" s="78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</row>
    <row r="497" spans="1:29" ht="15.75" customHeight="1">
      <c r="A497" s="71"/>
      <c r="B497" s="72"/>
      <c r="C497" s="75"/>
      <c r="D497" s="74"/>
      <c r="E497" s="75"/>
      <c r="F497" s="74"/>
      <c r="G497" s="72"/>
      <c r="H497" s="76"/>
      <c r="I497" s="72"/>
      <c r="J497" s="72"/>
      <c r="K497" s="72"/>
      <c r="L497" s="77"/>
      <c r="M497" s="77"/>
      <c r="N497" s="72"/>
      <c r="O497" s="78"/>
      <c r="P497" s="78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</row>
    <row r="498" spans="1:29" ht="15.75" customHeight="1">
      <c r="A498" s="71"/>
      <c r="B498" s="72"/>
      <c r="C498" s="75"/>
      <c r="D498" s="74"/>
      <c r="E498" s="75"/>
      <c r="F498" s="74"/>
      <c r="G498" s="72"/>
      <c r="H498" s="76"/>
      <c r="I498" s="72"/>
      <c r="J498" s="72"/>
      <c r="K498" s="72"/>
      <c r="L498" s="77"/>
      <c r="M498" s="77"/>
      <c r="N498" s="72"/>
      <c r="O498" s="78"/>
      <c r="P498" s="78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</row>
    <row r="499" spans="1:29" ht="15.75" customHeight="1">
      <c r="A499" s="71"/>
      <c r="B499" s="72"/>
      <c r="C499" s="75"/>
      <c r="D499" s="74"/>
      <c r="E499" s="75"/>
      <c r="F499" s="74"/>
      <c r="G499" s="72"/>
      <c r="H499" s="76"/>
      <c r="I499" s="72"/>
      <c r="J499" s="72"/>
      <c r="K499" s="72"/>
      <c r="L499" s="77"/>
      <c r="M499" s="77"/>
      <c r="N499" s="72"/>
      <c r="O499" s="78"/>
      <c r="P499" s="78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</row>
    <row r="500" spans="1:29" ht="15.75" customHeight="1">
      <c r="A500" s="71"/>
      <c r="B500" s="72"/>
      <c r="C500" s="75"/>
      <c r="D500" s="74"/>
      <c r="E500" s="75"/>
      <c r="F500" s="74"/>
      <c r="G500" s="72"/>
      <c r="H500" s="76"/>
      <c r="I500" s="72"/>
      <c r="J500" s="72"/>
      <c r="K500" s="72"/>
      <c r="L500" s="77"/>
      <c r="M500" s="77"/>
      <c r="N500" s="72"/>
      <c r="O500" s="78"/>
      <c r="P500" s="78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</row>
    <row r="501" spans="1:29" ht="15.75" customHeight="1">
      <c r="A501" s="71"/>
      <c r="B501" s="72"/>
      <c r="C501" s="75"/>
      <c r="D501" s="74"/>
      <c r="E501" s="75"/>
      <c r="F501" s="74"/>
      <c r="G501" s="72"/>
      <c r="H501" s="76"/>
      <c r="I501" s="72"/>
      <c r="J501" s="72"/>
      <c r="K501" s="72"/>
      <c r="L501" s="77"/>
      <c r="M501" s="77"/>
      <c r="N501" s="72"/>
      <c r="O501" s="78"/>
      <c r="P501" s="78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</row>
    <row r="502" spans="1:29" ht="15.75" customHeight="1">
      <c r="A502" s="71"/>
      <c r="B502" s="72"/>
      <c r="C502" s="75"/>
      <c r="D502" s="74"/>
      <c r="E502" s="75"/>
      <c r="F502" s="74"/>
      <c r="G502" s="72"/>
      <c r="H502" s="76"/>
      <c r="I502" s="72"/>
      <c r="J502" s="72"/>
      <c r="K502" s="72"/>
      <c r="L502" s="77"/>
      <c r="M502" s="77"/>
      <c r="N502" s="72"/>
      <c r="O502" s="78"/>
      <c r="P502" s="78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</row>
    <row r="503" spans="1:29" ht="15.75" customHeight="1">
      <c r="A503" s="71"/>
      <c r="B503" s="72"/>
      <c r="C503" s="75"/>
      <c r="D503" s="74"/>
      <c r="E503" s="75"/>
      <c r="F503" s="74"/>
      <c r="G503" s="72"/>
      <c r="H503" s="76"/>
      <c r="I503" s="72"/>
      <c r="J503" s="72"/>
      <c r="K503" s="72"/>
      <c r="L503" s="77"/>
      <c r="M503" s="77"/>
      <c r="N503" s="72"/>
      <c r="O503" s="78"/>
      <c r="P503" s="78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</row>
    <row r="504" spans="1:29" ht="15.75" customHeight="1">
      <c r="A504" s="71"/>
      <c r="B504" s="72"/>
      <c r="C504" s="75"/>
      <c r="D504" s="74"/>
      <c r="E504" s="75"/>
      <c r="F504" s="74"/>
      <c r="G504" s="72"/>
      <c r="H504" s="76"/>
      <c r="I504" s="72"/>
      <c r="J504" s="72"/>
      <c r="K504" s="72"/>
      <c r="L504" s="77"/>
      <c r="M504" s="77"/>
      <c r="N504" s="72"/>
      <c r="O504" s="78"/>
      <c r="P504" s="78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</row>
    <row r="505" spans="1:29" ht="15.75" customHeight="1">
      <c r="A505" s="71"/>
      <c r="B505" s="72"/>
      <c r="C505" s="75"/>
      <c r="D505" s="74"/>
      <c r="E505" s="75"/>
      <c r="F505" s="74"/>
      <c r="G505" s="72"/>
      <c r="H505" s="76"/>
      <c r="I505" s="72"/>
      <c r="J505" s="72"/>
      <c r="K505" s="72"/>
      <c r="L505" s="77"/>
      <c r="M505" s="77"/>
      <c r="N505" s="72"/>
      <c r="O505" s="78"/>
      <c r="P505" s="78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</row>
    <row r="506" spans="1:29" ht="15.75" customHeight="1">
      <c r="A506" s="71"/>
      <c r="B506" s="72"/>
      <c r="C506" s="75"/>
      <c r="D506" s="74"/>
      <c r="E506" s="75"/>
      <c r="F506" s="74"/>
      <c r="G506" s="72"/>
      <c r="H506" s="76"/>
      <c r="I506" s="72"/>
      <c r="J506" s="72"/>
      <c r="K506" s="72"/>
      <c r="L506" s="77"/>
      <c r="M506" s="77"/>
      <c r="N506" s="72"/>
      <c r="O506" s="78"/>
      <c r="P506" s="78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</row>
    <row r="507" spans="1:29" ht="15.75" customHeight="1">
      <c r="A507" s="71"/>
      <c r="B507" s="72"/>
      <c r="C507" s="75"/>
      <c r="D507" s="74"/>
      <c r="E507" s="75"/>
      <c r="F507" s="74"/>
      <c r="G507" s="72"/>
      <c r="H507" s="76"/>
      <c r="I507" s="72"/>
      <c r="J507" s="72"/>
      <c r="K507" s="72"/>
      <c r="L507" s="77"/>
      <c r="M507" s="77"/>
      <c r="N507" s="72"/>
      <c r="O507" s="78"/>
      <c r="P507" s="78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</row>
    <row r="508" spans="1:29" ht="15.75" customHeight="1">
      <c r="A508" s="71"/>
      <c r="B508" s="72"/>
      <c r="C508" s="75"/>
      <c r="D508" s="74"/>
      <c r="E508" s="75"/>
      <c r="F508" s="74"/>
      <c r="G508" s="72"/>
      <c r="H508" s="76"/>
      <c r="I508" s="72"/>
      <c r="J508" s="72"/>
      <c r="K508" s="72"/>
      <c r="L508" s="77"/>
      <c r="M508" s="77"/>
      <c r="N508" s="72"/>
      <c r="O508" s="78"/>
      <c r="P508" s="78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</row>
    <row r="509" spans="1:29" ht="15.75" customHeight="1">
      <c r="A509" s="71"/>
      <c r="B509" s="72"/>
      <c r="C509" s="75"/>
      <c r="D509" s="74"/>
      <c r="E509" s="75"/>
      <c r="F509" s="74"/>
      <c r="G509" s="72"/>
      <c r="H509" s="76"/>
      <c r="I509" s="72"/>
      <c r="J509" s="72"/>
      <c r="K509" s="72"/>
      <c r="L509" s="77"/>
      <c r="M509" s="77"/>
      <c r="N509" s="72"/>
      <c r="O509" s="78"/>
      <c r="P509" s="78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</row>
    <row r="510" spans="1:29" ht="15.75" customHeight="1">
      <c r="A510" s="71"/>
      <c r="B510" s="72"/>
      <c r="C510" s="75"/>
      <c r="D510" s="74"/>
      <c r="E510" s="75"/>
      <c r="F510" s="74"/>
      <c r="G510" s="72"/>
      <c r="H510" s="76"/>
      <c r="I510" s="72"/>
      <c r="J510" s="72"/>
      <c r="K510" s="72"/>
      <c r="L510" s="77"/>
      <c r="M510" s="77"/>
      <c r="N510" s="72"/>
      <c r="O510" s="78"/>
      <c r="P510" s="78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</row>
    <row r="511" spans="1:29" ht="15.75" customHeight="1">
      <c r="A511" s="71"/>
      <c r="B511" s="72"/>
      <c r="C511" s="75"/>
      <c r="D511" s="74"/>
      <c r="E511" s="75"/>
      <c r="F511" s="74"/>
      <c r="G511" s="72"/>
      <c r="H511" s="76"/>
      <c r="I511" s="72"/>
      <c r="J511" s="72"/>
      <c r="K511" s="72"/>
      <c r="L511" s="77"/>
      <c r="M511" s="77"/>
      <c r="N511" s="72"/>
      <c r="O511" s="78"/>
      <c r="P511" s="78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</row>
    <row r="512" spans="1:29" ht="15.75" customHeight="1">
      <c r="A512" s="71"/>
      <c r="B512" s="72"/>
      <c r="C512" s="75"/>
      <c r="D512" s="74"/>
      <c r="E512" s="75"/>
      <c r="F512" s="74"/>
      <c r="G512" s="72"/>
      <c r="H512" s="76"/>
      <c r="I512" s="72"/>
      <c r="J512" s="72"/>
      <c r="K512" s="72"/>
      <c r="L512" s="77"/>
      <c r="M512" s="77"/>
      <c r="N512" s="72"/>
      <c r="O512" s="78"/>
      <c r="P512" s="78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</row>
    <row r="513" spans="1:29" ht="15.75" customHeight="1">
      <c r="A513" s="71"/>
      <c r="B513" s="72"/>
      <c r="C513" s="75"/>
      <c r="D513" s="74"/>
      <c r="E513" s="75"/>
      <c r="F513" s="74"/>
      <c r="G513" s="72"/>
      <c r="H513" s="76"/>
      <c r="I513" s="72"/>
      <c r="J513" s="72"/>
      <c r="K513" s="72"/>
      <c r="L513" s="77"/>
      <c r="M513" s="77"/>
      <c r="N513" s="72"/>
      <c r="O513" s="78"/>
      <c r="P513" s="78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</row>
    <row r="514" spans="1:29" ht="15.75" customHeight="1">
      <c r="A514" s="71"/>
      <c r="B514" s="72"/>
      <c r="C514" s="75"/>
      <c r="D514" s="74"/>
      <c r="E514" s="75"/>
      <c r="F514" s="74"/>
      <c r="G514" s="72"/>
      <c r="H514" s="76"/>
      <c r="I514" s="72"/>
      <c r="J514" s="72"/>
      <c r="K514" s="72"/>
      <c r="L514" s="77"/>
      <c r="M514" s="77"/>
      <c r="N514" s="72"/>
      <c r="O514" s="78"/>
      <c r="P514" s="78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</row>
    <row r="515" spans="1:29" ht="15.75" customHeight="1">
      <c r="A515" s="71"/>
      <c r="B515" s="72"/>
      <c r="C515" s="75"/>
      <c r="D515" s="74"/>
      <c r="E515" s="75"/>
      <c r="F515" s="74"/>
      <c r="G515" s="72"/>
      <c r="H515" s="76"/>
      <c r="I515" s="72"/>
      <c r="J515" s="72"/>
      <c r="K515" s="72"/>
      <c r="L515" s="77"/>
      <c r="M515" s="77"/>
      <c r="N515" s="72"/>
      <c r="O515" s="78"/>
      <c r="P515" s="78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</row>
    <row r="516" spans="1:29" ht="15.75" customHeight="1">
      <c r="A516" s="71"/>
      <c r="B516" s="72"/>
      <c r="C516" s="75"/>
      <c r="D516" s="74"/>
      <c r="E516" s="75"/>
      <c r="F516" s="74"/>
      <c r="G516" s="72"/>
      <c r="H516" s="76"/>
      <c r="I516" s="72"/>
      <c r="J516" s="72"/>
      <c r="K516" s="72"/>
      <c r="L516" s="77"/>
      <c r="M516" s="77"/>
      <c r="N516" s="72"/>
      <c r="O516" s="78"/>
      <c r="P516" s="78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</row>
    <row r="517" spans="1:29" ht="15.75" customHeight="1">
      <c r="A517" s="71"/>
      <c r="B517" s="72"/>
      <c r="C517" s="75"/>
      <c r="D517" s="74"/>
      <c r="E517" s="75"/>
      <c r="F517" s="74"/>
      <c r="G517" s="72"/>
      <c r="H517" s="76"/>
      <c r="I517" s="72"/>
      <c r="J517" s="72"/>
      <c r="K517" s="72"/>
      <c r="L517" s="77"/>
      <c r="M517" s="77"/>
      <c r="N517" s="72"/>
      <c r="O517" s="78"/>
      <c r="P517" s="78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</row>
    <row r="518" spans="1:29" ht="15.75" customHeight="1">
      <c r="A518" s="71"/>
      <c r="B518" s="72"/>
      <c r="C518" s="75"/>
      <c r="D518" s="74"/>
      <c r="E518" s="75"/>
      <c r="F518" s="74"/>
      <c r="G518" s="72"/>
      <c r="H518" s="76"/>
      <c r="I518" s="72"/>
      <c r="J518" s="72"/>
      <c r="K518" s="72"/>
      <c r="L518" s="77"/>
      <c r="M518" s="77"/>
      <c r="N518" s="72"/>
      <c r="O518" s="78"/>
      <c r="P518" s="78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</row>
    <row r="519" spans="1:29" ht="15.75" customHeight="1">
      <c r="A519" s="71"/>
      <c r="B519" s="72"/>
      <c r="C519" s="75"/>
      <c r="D519" s="74"/>
      <c r="E519" s="75"/>
      <c r="F519" s="74"/>
      <c r="G519" s="72"/>
      <c r="H519" s="76"/>
      <c r="I519" s="72"/>
      <c r="J519" s="72"/>
      <c r="K519" s="72"/>
      <c r="L519" s="77"/>
      <c r="M519" s="77"/>
      <c r="N519" s="72"/>
      <c r="O519" s="78"/>
      <c r="P519" s="78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</row>
    <row r="520" spans="1:29" ht="15.75" customHeight="1">
      <c r="A520" s="71"/>
      <c r="B520" s="72"/>
      <c r="C520" s="75"/>
      <c r="D520" s="74"/>
      <c r="E520" s="75"/>
      <c r="F520" s="74"/>
      <c r="G520" s="72"/>
      <c r="H520" s="76"/>
      <c r="I520" s="72"/>
      <c r="J520" s="72"/>
      <c r="K520" s="72"/>
      <c r="L520" s="77"/>
      <c r="M520" s="77"/>
      <c r="N520" s="72"/>
      <c r="O520" s="78"/>
      <c r="P520" s="78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</row>
    <row r="521" spans="1:29" ht="15.75" customHeight="1">
      <c r="A521" s="71"/>
      <c r="B521" s="72"/>
      <c r="C521" s="75"/>
      <c r="D521" s="74"/>
      <c r="E521" s="75"/>
      <c r="F521" s="74"/>
      <c r="G521" s="72"/>
      <c r="H521" s="76"/>
      <c r="I521" s="72"/>
      <c r="J521" s="72"/>
      <c r="K521" s="72"/>
      <c r="L521" s="77"/>
      <c r="M521" s="77"/>
      <c r="N521" s="72"/>
      <c r="O521" s="78"/>
      <c r="P521" s="78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</row>
    <row r="522" spans="1:29" ht="15.75" customHeight="1">
      <c r="A522" s="71"/>
      <c r="B522" s="72"/>
      <c r="C522" s="75"/>
      <c r="D522" s="74"/>
      <c r="E522" s="75"/>
      <c r="F522" s="74"/>
      <c r="G522" s="72"/>
      <c r="H522" s="76"/>
      <c r="I522" s="72"/>
      <c r="J522" s="72"/>
      <c r="K522" s="72"/>
      <c r="L522" s="77"/>
      <c r="M522" s="77"/>
      <c r="N522" s="72"/>
      <c r="O522" s="78"/>
      <c r="P522" s="78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</row>
    <row r="523" spans="1:29" ht="15.75" customHeight="1">
      <c r="A523" s="71"/>
      <c r="B523" s="72"/>
      <c r="C523" s="75"/>
      <c r="D523" s="74"/>
      <c r="E523" s="75"/>
      <c r="F523" s="74"/>
      <c r="G523" s="72"/>
      <c r="H523" s="76"/>
      <c r="I523" s="72"/>
      <c r="J523" s="72"/>
      <c r="K523" s="72"/>
      <c r="L523" s="77"/>
      <c r="M523" s="77"/>
      <c r="N523" s="72"/>
      <c r="O523" s="78"/>
      <c r="P523" s="78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</row>
    <row r="524" spans="1:29" ht="15.75" customHeight="1">
      <c r="A524" s="71"/>
      <c r="B524" s="72"/>
      <c r="C524" s="75"/>
      <c r="D524" s="74"/>
      <c r="E524" s="75"/>
      <c r="F524" s="74"/>
      <c r="G524" s="72"/>
      <c r="H524" s="76"/>
      <c r="I524" s="72"/>
      <c r="J524" s="72"/>
      <c r="K524" s="72"/>
      <c r="L524" s="77"/>
      <c r="M524" s="77"/>
      <c r="N524" s="72"/>
      <c r="O524" s="78"/>
      <c r="P524" s="78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</row>
    <row r="525" spans="1:29" ht="15.75" customHeight="1">
      <c r="A525" s="71"/>
      <c r="B525" s="72"/>
      <c r="C525" s="75"/>
      <c r="D525" s="74"/>
      <c r="E525" s="75"/>
      <c r="F525" s="74"/>
      <c r="G525" s="72"/>
      <c r="H525" s="76"/>
      <c r="I525" s="72"/>
      <c r="J525" s="72"/>
      <c r="K525" s="72"/>
      <c r="L525" s="77"/>
      <c r="M525" s="77"/>
      <c r="N525" s="72"/>
      <c r="O525" s="78"/>
      <c r="P525" s="78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</row>
    <row r="526" spans="1:29" ht="15.75" customHeight="1">
      <c r="A526" s="71"/>
      <c r="B526" s="72"/>
      <c r="C526" s="75"/>
      <c r="D526" s="74"/>
      <c r="E526" s="75"/>
      <c r="F526" s="74"/>
      <c r="G526" s="72"/>
      <c r="H526" s="76"/>
      <c r="I526" s="72"/>
      <c r="J526" s="72"/>
      <c r="K526" s="72"/>
      <c r="L526" s="77"/>
      <c r="M526" s="77"/>
      <c r="N526" s="72"/>
      <c r="O526" s="78"/>
      <c r="P526" s="78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</row>
    <row r="527" spans="1:29" ht="15.75" customHeight="1">
      <c r="A527" s="71"/>
      <c r="B527" s="72"/>
      <c r="C527" s="75"/>
      <c r="D527" s="74"/>
      <c r="E527" s="75"/>
      <c r="F527" s="74"/>
      <c r="G527" s="72"/>
      <c r="H527" s="76"/>
      <c r="I527" s="72"/>
      <c r="J527" s="72"/>
      <c r="K527" s="72"/>
      <c r="L527" s="77"/>
      <c r="M527" s="77"/>
      <c r="N527" s="72"/>
      <c r="O527" s="78"/>
      <c r="P527" s="78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</row>
    <row r="528" spans="1:29" ht="15.75" customHeight="1">
      <c r="A528" s="71"/>
      <c r="B528" s="72"/>
      <c r="C528" s="75"/>
      <c r="D528" s="74"/>
      <c r="E528" s="75"/>
      <c r="F528" s="74"/>
      <c r="G528" s="72"/>
      <c r="H528" s="76"/>
      <c r="I528" s="72"/>
      <c r="J528" s="72"/>
      <c r="K528" s="72"/>
      <c r="L528" s="77"/>
      <c r="M528" s="77"/>
      <c r="N528" s="72"/>
      <c r="O528" s="78"/>
      <c r="P528" s="78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</row>
    <row r="529" spans="1:29" ht="15.75" customHeight="1">
      <c r="A529" s="71"/>
      <c r="B529" s="72"/>
      <c r="C529" s="75"/>
      <c r="D529" s="74"/>
      <c r="E529" s="75"/>
      <c r="F529" s="74"/>
      <c r="G529" s="72"/>
      <c r="H529" s="76"/>
      <c r="I529" s="72"/>
      <c r="J529" s="72"/>
      <c r="K529" s="72"/>
      <c r="L529" s="77"/>
      <c r="M529" s="77"/>
      <c r="N529" s="72"/>
      <c r="O529" s="78"/>
      <c r="P529" s="78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</row>
    <row r="530" spans="1:29" ht="15.75" customHeight="1">
      <c r="A530" s="71"/>
      <c r="B530" s="72"/>
      <c r="C530" s="75"/>
      <c r="D530" s="74"/>
      <c r="E530" s="75"/>
      <c r="F530" s="74"/>
      <c r="G530" s="72"/>
      <c r="H530" s="76"/>
      <c r="I530" s="72"/>
      <c r="J530" s="72"/>
      <c r="K530" s="72"/>
      <c r="L530" s="77"/>
      <c r="M530" s="77"/>
      <c r="N530" s="72"/>
      <c r="O530" s="78"/>
      <c r="P530" s="78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</row>
    <row r="531" spans="1:29" ht="15.75" customHeight="1">
      <c r="A531" s="71"/>
      <c r="B531" s="72"/>
      <c r="C531" s="75"/>
      <c r="D531" s="74"/>
      <c r="E531" s="75"/>
      <c r="F531" s="74"/>
      <c r="G531" s="72"/>
      <c r="H531" s="76"/>
      <c r="I531" s="72"/>
      <c r="J531" s="72"/>
      <c r="K531" s="72"/>
      <c r="L531" s="77"/>
      <c r="M531" s="77"/>
      <c r="N531" s="72"/>
      <c r="O531" s="78"/>
      <c r="P531" s="78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</row>
    <row r="532" spans="1:29" ht="15.75" customHeight="1">
      <c r="A532" s="71"/>
      <c r="B532" s="72"/>
      <c r="C532" s="75"/>
      <c r="D532" s="74"/>
      <c r="E532" s="75"/>
      <c r="F532" s="74"/>
      <c r="G532" s="72"/>
      <c r="H532" s="76"/>
      <c r="I532" s="72"/>
      <c r="J532" s="72"/>
      <c r="K532" s="72"/>
      <c r="L532" s="77"/>
      <c r="M532" s="77"/>
      <c r="N532" s="72"/>
      <c r="O532" s="78"/>
      <c r="P532" s="78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</row>
    <row r="533" spans="1:29" ht="15.75" customHeight="1">
      <c r="A533" s="71"/>
      <c r="B533" s="72"/>
      <c r="C533" s="75"/>
      <c r="D533" s="74"/>
      <c r="E533" s="75"/>
      <c r="F533" s="74"/>
      <c r="G533" s="72"/>
      <c r="H533" s="76"/>
      <c r="I533" s="72"/>
      <c r="J533" s="72"/>
      <c r="K533" s="72"/>
      <c r="L533" s="77"/>
      <c r="M533" s="77"/>
      <c r="N533" s="72"/>
      <c r="O533" s="78"/>
      <c r="P533" s="78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</row>
    <row r="534" spans="1:29" ht="15.75" customHeight="1">
      <c r="A534" s="71"/>
      <c r="B534" s="72"/>
      <c r="C534" s="75"/>
      <c r="D534" s="74"/>
      <c r="E534" s="75"/>
      <c r="F534" s="74"/>
      <c r="G534" s="72"/>
      <c r="H534" s="76"/>
      <c r="I534" s="72"/>
      <c r="J534" s="72"/>
      <c r="K534" s="72"/>
      <c r="L534" s="77"/>
      <c r="M534" s="77"/>
      <c r="N534" s="72"/>
      <c r="O534" s="78"/>
      <c r="P534" s="78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</row>
    <row r="535" spans="1:29" ht="15.75" customHeight="1">
      <c r="A535" s="71"/>
      <c r="B535" s="72"/>
      <c r="C535" s="75"/>
      <c r="D535" s="74"/>
      <c r="E535" s="75"/>
      <c r="F535" s="74"/>
      <c r="G535" s="72"/>
      <c r="H535" s="76"/>
      <c r="I535" s="72"/>
      <c r="J535" s="72"/>
      <c r="K535" s="72"/>
      <c r="L535" s="77"/>
      <c r="M535" s="77"/>
      <c r="N535" s="72"/>
      <c r="O535" s="78"/>
      <c r="P535" s="78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</row>
    <row r="536" spans="1:29" ht="15.75" customHeight="1">
      <c r="A536" s="71"/>
      <c r="B536" s="72"/>
      <c r="C536" s="75"/>
      <c r="D536" s="74"/>
      <c r="E536" s="75"/>
      <c r="F536" s="74"/>
      <c r="G536" s="72"/>
      <c r="H536" s="76"/>
      <c r="I536" s="72"/>
      <c r="J536" s="72"/>
      <c r="K536" s="72"/>
      <c r="L536" s="77"/>
      <c r="M536" s="77"/>
      <c r="N536" s="72"/>
      <c r="O536" s="78"/>
      <c r="P536" s="78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</row>
    <row r="537" spans="1:29" ht="15.75" customHeight="1">
      <c r="A537" s="71"/>
      <c r="B537" s="72"/>
      <c r="C537" s="75"/>
      <c r="D537" s="74"/>
      <c r="E537" s="75"/>
      <c r="F537" s="74"/>
      <c r="G537" s="72"/>
      <c r="H537" s="76"/>
      <c r="I537" s="72"/>
      <c r="J537" s="72"/>
      <c r="K537" s="72"/>
      <c r="L537" s="77"/>
      <c r="M537" s="77"/>
      <c r="N537" s="72"/>
      <c r="O537" s="78"/>
      <c r="P537" s="78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</row>
    <row r="538" spans="1:29" ht="15.75" customHeight="1">
      <c r="A538" s="71"/>
      <c r="B538" s="72"/>
      <c r="C538" s="75"/>
      <c r="D538" s="74"/>
      <c r="E538" s="75"/>
      <c r="F538" s="74"/>
      <c r="G538" s="72"/>
      <c r="H538" s="76"/>
      <c r="I538" s="72"/>
      <c r="J538" s="72"/>
      <c r="K538" s="72"/>
      <c r="L538" s="77"/>
      <c r="M538" s="77"/>
      <c r="N538" s="72"/>
      <c r="O538" s="78"/>
      <c r="P538" s="78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</row>
    <row r="539" spans="1:29" ht="15.75" customHeight="1">
      <c r="A539" s="71"/>
      <c r="B539" s="72"/>
      <c r="C539" s="75"/>
      <c r="D539" s="74"/>
      <c r="E539" s="75"/>
      <c r="F539" s="74"/>
      <c r="G539" s="72"/>
      <c r="H539" s="76"/>
      <c r="I539" s="72"/>
      <c r="J539" s="72"/>
      <c r="K539" s="72"/>
      <c r="L539" s="77"/>
      <c r="M539" s="77"/>
      <c r="N539" s="72"/>
      <c r="O539" s="78"/>
      <c r="P539" s="78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</row>
    <row r="540" spans="1:29" ht="15.75" customHeight="1">
      <c r="A540" s="71"/>
      <c r="B540" s="72"/>
      <c r="C540" s="75"/>
      <c r="D540" s="74"/>
      <c r="E540" s="75"/>
      <c r="F540" s="74"/>
      <c r="G540" s="72"/>
      <c r="H540" s="76"/>
      <c r="I540" s="72"/>
      <c r="J540" s="72"/>
      <c r="K540" s="72"/>
      <c r="L540" s="77"/>
      <c r="M540" s="77"/>
      <c r="N540" s="72"/>
      <c r="O540" s="78"/>
      <c r="P540" s="78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</row>
    <row r="541" spans="1:29" ht="15.75" customHeight="1">
      <c r="A541" s="71"/>
      <c r="B541" s="72"/>
      <c r="C541" s="75"/>
      <c r="D541" s="74"/>
      <c r="E541" s="75"/>
      <c r="F541" s="74"/>
      <c r="G541" s="72"/>
      <c r="H541" s="76"/>
      <c r="I541" s="72"/>
      <c r="J541" s="72"/>
      <c r="K541" s="72"/>
      <c r="L541" s="77"/>
      <c r="M541" s="77"/>
      <c r="N541" s="72"/>
      <c r="O541" s="78"/>
      <c r="P541" s="78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</row>
    <row r="542" spans="1:29" ht="15.75" customHeight="1">
      <c r="A542" s="71"/>
      <c r="B542" s="72"/>
      <c r="C542" s="75"/>
      <c r="D542" s="74"/>
      <c r="E542" s="75"/>
      <c r="F542" s="74"/>
      <c r="G542" s="72"/>
      <c r="H542" s="76"/>
      <c r="I542" s="72"/>
      <c r="J542" s="72"/>
      <c r="K542" s="72"/>
      <c r="L542" s="77"/>
      <c r="M542" s="77"/>
      <c r="N542" s="72"/>
      <c r="O542" s="78"/>
      <c r="P542" s="78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</row>
    <row r="543" spans="1:29" ht="15.75" customHeight="1">
      <c r="A543" s="71"/>
      <c r="B543" s="72"/>
      <c r="C543" s="75"/>
      <c r="D543" s="74"/>
      <c r="E543" s="75"/>
      <c r="F543" s="74"/>
      <c r="G543" s="72"/>
      <c r="H543" s="76"/>
      <c r="I543" s="72"/>
      <c r="J543" s="72"/>
      <c r="K543" s="72"/>
      <c r="L543" s="77"/>
      <c r="M543" s="77"/>
      <c r="N543" s="72"/>
      <c r="O543" s="78"/>
      <c r="P543" s="78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</row>
    <row r="544" spans="1:29" ht="15.75" customHeight="1">
      <c r="A544" s="71"/>
      <c r="B544" s="72"/>
      <c r="C544" s="75"/>
      <c r="D544" s="74"/>
      <c r="E544" s="75"/>
      <c r="F544" s="74"/>
      <c r="G544" s="72"/>
      <c r="H544" s="76"/>
      <c r="I544" s="72"/>
      <c r="J544" s="72"/>
      <c r="K544" s="72"/>
      <c r="L544" s="77"/>
      <c r="M544" s="77"/>
      <c r="N544" s="72"/>
      <c r="O544" s="78"/>
      <c r="P544" s="78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</row>
    <row r="545" spans="1:29" ht="15.75" customHeight="1">
      <c r="A545" s="71"/>
      <c r="B545" s="72"/>
      <c r="C545" s="75"/>
      <c r="D545" s="74"/>
      <c r="E545" s="75"/>
      <c r="F545" s="74"/>
      <c r="G545" s="72"/>
      <c r="H545" s="76"/>
      <c r="I545" s="72"/>
      <c r="J545" s="72"/>
      <c r="K545" s="72"/>
      <c r="L545" s="77"/>
      <c r="M545" s="77"/>
      <c r="N545" s="72"/>
      <c r="O545" s="78"/>
      <c r="P545" s="78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</row>
    <row r="546" spans="1:29" ht="15.75" customHeight="1">
      <c r="A546" s="71"/>
      <c r="B546" s="72"/>
      <c r="C546" s="75"/>
      <c r="D546" s="74"/>
      <c r="E546" s="75"/>
      <c r="F546" s="74"/>
      <c r="G546" s="72"/>
      <c r="H546" s="76"/>
      <c r="I546" s="72"/>
      <c r="J546" s="72"/>
      <c r="K546" s="72"/>
      <c r="L546" s="77"/>
      <c r="M546" s="77"/>
      <c r="N546" s="72"/>
      <c r="O546" s="78"/>
      <c r="P546" s="78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</row>
    <row r="547" spans="1:29" ht="15.75" customHeight="1">
      <c r="A547" s="71"/>
      <c r="B547" s="72"/>
      <c r="C547" s="75"/>
      <c r="D547" s="74"/>
      <c r="E547" s="75"/>
      <c r="F547" s="74"/>
      <c r="G547" s="72"/>
      <c r="H547" s="76"/>
      <c r="I547" s="72"/>
      <c r="J547" s="72"/>
      <c r="K547" s="72"/>
      <c r="L547" s="77"/>
      <c r="M547" s="77"/>
      <c r="N547" s="72"/>
      <c r="O547" s="78"/>
      <c r="P547" s="78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</row>
    <row r="548" spans="1:29" ht="15.75" customHeight="1">
      <c r="A548" s="71"/>
      <c r="B548" s="72"/>
      <c r="C548" s="75"/>
      <c r="D548" s="74"/>
      <c r="E548" s="75"/>
      <c r="F548" s="74"/>
      <c r="G548" s="72"/>
      <c r="H548" s="76"/>
      <c r="I548" s="72"/>
      <c r="J548" s="72"/>
      <c r="K548" s="72"/>
      <c r="L548" s="77"/>
      <c r="M548" s="77"/>
      <c r="N548" s="72"/>
      <c r="O548" s="78"/>
      <c r="P548" s="78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</row>
    <row r="549" spans="1:29" ht="15.75" customHeight="1">
      <c r="A549" s="71"/>
      <c r="B549" s="72"/>
      <c r="C549" s="75"/>
      <c r="D549" s="74"/>
      <c r="E549" s="75"/>
      <c r="F549" s="74"/>
      <c r="G549" s="72"/>
      <c r="H549" s="76"/>
      <c r="I549" s="72"/>
      <c r="J549" s="72"/>
      <c r="K549" s="72"/>
      <c r="L549" s="77"/>
      <c r="M549" s="77"/>
      <c r="N549" s="72"/>
      <c r="O549" s="78"/>
      <c r="P549" s="78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</row>
    <row r="550" spans="1:29" ht="15.75" customHeight="1">
      <c r="A550" s="71"/>
      <c r="B550" s="72"/>
      <c r="C550" s="75"/>
      <c r="D550" s="74"/>
      <c r="E550" s="75"/>
      <c r="F550" s="74"/>
      <c r="G550" s="72"/>
      <c r="H550" s="76"/>
      <c r="I550" s="72"/>
      <c r="J550" s="72"/>
      <c r="K550" s="72"/>
      <c r="L550" s="77"/>
      <c r="M550" s="77"/>
      <c r="N550" s="72"/>
      <c r="O550" s="78"/>
      <c r="P550" s="78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</row>
    <row r="551" spans="1:29" ht="15.75" customHeight="1">
      <c r="A551" s="71"/>
      <c r="B551" s="72"/>
      <c r="C551" s="75"/>
      <c r="D551" s="74"/>
      <c r="E551" s="75"/>
      <c r="F551" s="74"/>
      <c r="G551" s="72"/>
      <c r="H551" s="76"/>
      <c r="I551" s="72"/>
      <c r="J551" s="72"/>
      <c r="K551" s="72"/>
      <c r="L551" s="77"/>
      <c r="M551" s="77"/>
      <c r="N551" s="72"/>
      <c r="O551" s="78"/>
      <c r="P551" s="78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</row>
    <row r="552" spans="1:29" ht="15.75" customHeight="1">
      <c r="A552" s="71"/>
      <c r="B552" s="72"/>
      <c r="C552" s="75"/>
      <c r="D552" s="74"/>
      <c r="E552" s="75"/>
      <c r="F552" s="74"/>
      <c r="G552" s="72"/>
      <c r="H552" s="76"/>
      <c r="I552" s="72"/>
      <c r="J552" s="72"/>
      <c r="K552" s="72"/>
      <c r="L552" s="77"/>
      <c r="M552" s="77"/>
      <c r="N552" s="72"/>
      <c r="O552" s="78"/>
      <c r="P552" s="78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</row>
    <row r="553" spans="1:29" ht="15.75" customHeight="1">
      <c r="A553" s="71"/>
      <c r="B553" s="72"/>
      <c r="C553" s="75"/>
      <c r="D553" s="74"/>
      <c r="E553" s="75"/>
      <c r="F553" s="74"/>
      <c r="G553" s="72"/>
      <c r="H553" s="76"/>
      <c r="I553" s="72"/>
      <c r="J553" s="72"/>
      <c r="K553" s="72"/>
      <c r="L553" s="77"/>
      <c r="M553" s="77"/>
      <c r="N553" s="72"/>
      <c r="O553" s="78"/>
      <c r="P553" s="78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</row>
    <row r="554" spans="1:29" ht="15.75" customHeight="1">
      <c r="A554" s="71"/>
      <c r="B554" s="72"/>
      <c r="C554" s="75"/>
      <c r="D554" s="74"/>
      <c r="E554" s="75"/>
      <c r="F554" s="74"/>
      <c r="G554" s="72"/>
      <c r="H554" s="76"/>
      <c r="I554" s="72"/>
      <c r="J554" s="72"/>
      <c r="K554" s="72"/>
      <c r="L554" s="77"/>
      <c r="M554" s="77"/>
      <c r="N554" s="72"/>
      <c r="O554" s="78"/>
      <c r="P554" s="78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</row>
    <row r="555" spans="1:29" ht="15.75" customHeight="1">
      <c r="A555" s="71"/>
      <c r="B555" s="72"/>
      <c r="C555" s="75"/>
      <c r="D555" s="74"/>
      <c r="E555" s="75"/>
      <c r="F555" s="74"/>
      <c r="G555" s="72"/>
      <c r="H555" s="76"/>
      <c r="I555" s="72"/>
      <c r="J555" s="72"/>
      <c r="K555" s="72"/>
      <c r="L555" s="77"/>
      <c r="M555" s="77"/>
      <c r="N555" s="72"/>
      <c r="O555" s="78"/>
      <c r="P555" s="78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</row>
    <row r="556" spans="1:29" ht="15.75" customHeight="1">
      <c r="A556" s="71"/>
      <c r="B556" s="72"/>
      <c r="C556" s="75"/>
      <c r="D556" s="74"/>
      <c r="E556" s="75"/>
      <c r="F556" s="74"/>
      <c r="G556" s="72"/>
      <c r="H556" s="76"/>
      <c r="I556" s="72"/>
      <c r="J556" s="72"/>
      <c r="K556" s="72"/>
      <c r="L556" s="77"/>
      <c r="M556" s="77"/>
      <c r="N556" s="72"/>
      <c r="O556" s="78"/>
      <c r="P556" s="78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</row>
    <row r="557" spans="1:29" ht="15.75" customHeight="1">
      <c r="A557" s="71"/>
      <c r="B557" s="72"/>
      <c r="C557" s="75"/>
      <c r="D557" s="74"/>
      <c r="E557" s="75"/>
      <c r="F557" s="74"/>
      <c r="G557" s="72"/>
      <c r="H557" s="76"/>
      <c r="I557" s="72"/>
      <c r="J557" s="72"/>
      <c r="K557" s="72"/>
      <c r="L557" s="77"/>
      <c r="M557" s="77"/>
      <c r="N557" s="72"/>
      <c r="O557" s="78"/>
      <c r="P557" s="78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</row>
    <row r="558" spans="1:29" ht="15.75" customHeight="1">
      <c r="A558" s="71"/>
      <c r="B558" s="72"/>
      <c r="C558" s="75"/>
      <c r="D558" s="74"/>
      <c r="E558" s="75"/>
      <c r="F558" s="74"/>
      <c r="G558" s="72"/>
      <c r="H558" s="76"/>
      <c r="I558" s="72"/>
      <c r="J558" s="72"/>
      <c r="K558" s="72"/>
      <c r="L558" s="77"/>
      <c r="M558" s="77"/>
      <c r="N558" s="72"/>
      <c r="O558" s="78"/>
      <c r="P558" s="78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</row>
    <row r="559" spans="1:29" ht="15.75" customHeight="1">
      <c r="A559" s="71"/>
      <c r="B559" s="72"/>
      <c r="C559" s="75"/>
      <c r="D559" s="74"/>
      <c r="E559" s="75"/>
      <c r="F559" s="74"/>
      <c r="G559" s="72"/>
      <c r="H559" s="76"/>
      <c r="I559" s="72"/>
      <c r="J559" s="72"/>
      <c r="K559" s="72"/>
      <c r="L559" s="77"/>
      <c r="M559" s="77"/>
      <c r="N559" s="72"/>
      <c r="O559" s="78"/>
      <c r="P559" s="78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</row>
    <row r="560" spans="1:29" ht="15.75" customHeight="1">
      <c r="A560" s="71"/>
      <c r="B560" s="72"/>
      <c r="C560" s="75"/>
      <c r="D560" s="74"/>
      <c r="E560" s="75"/>
      <c r="F560" s="74"/>
      <c r="G560" s="72"/>
      <c r="H560" s="76"/>
      <c r="I560" s="72"/>
      <c r="J560" s="72"/>
      <c r="K560" s="72"/>
      <c r="L560" s="77"/>
      <c r="M560" s="77"/>
      <c r="N560" s="72"/>
      <c r="O560" s="78"/>
      <c r="P560" s="78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</row>
    <row r="561" spans="1:29" ht="15.75" customHeight="1">
      <c r="A561" s="71"/>
      <c r="B561" s="72"/>
      <c r="C561" s="75"/>
      <c r="D561" s="74"/>
      <c r="E561" s="75"/>
      <c r="F561" s="74"/>
      <c r="G561" s="72"/>
      <c r="H561" s="76"/>
      <c r="I561" s="72"/>
      <c r="J561" s="72"/>
      <c r="K561" s="72"/>
      <c r="L561" s="77"/>
      <c r="M561" s="77"/>
      <c r="N561" s="72"/>
      <c r="O561" s="78"/>
      <c r="P561" s="78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</row>
    <row r="562" spans="1:29" ht="15.75" customHeight="1">
      <c r="A562" s="71"/>
      <c r="B562" s="72"/>
      <c r="C562" s="75"/>
      <c r="D562" s="74"/>
      <c r="E562" s="75"/>
      <c r="F562" s="74"/>
      <c r="G562" s="72"/>
      <c r="H562" s="76"/>
      <c r="I562" s="72"/>
      <c r="J562" s="72"/>
      <c r="K562" s="72"/>
      <c r="L562" s="77"/>
      <c r="M562" s="77"/>
      <c r="N562" s="72"/>
      <c r="O562" s="78"/>
      <c r="P562" s="78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</row>
    <row r="563" spans="1:29" ht="15.75" customHeight="1">
      <c r="A563" s="71"/>
      <c r="B563" s="72"/>
      <c r="C563" s="75"/>
      <c r="D563" s="74"/>
      <c r="E563" s="75"/>
      <c r="F563" s="74"/>
      <c r="G563" s="72"/>
      <c r="H563" s="76"/>
      <c r="I563" s="72"/>
      <c r="J563" s="72"/>
      <c r="K563" s="72"/>
      <c r="L563" s="77"/>
      <c r="M563" s="77"/>
      <c r="N563" s="72"/>
      <c r="O563" s="78"/>
      <c r="P563" s="78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</row>
    <row r="564" spans="1:29" ht="15.75" customHeight="1">
      <c r="A564" s="71"/>
      <c r="B564" s="72"/>
      <c r="C564" s="75"/>
      <c r="D564" s="74"/>
      <c r="E564" s="75"/>
      <c r="F564" s="74"/>
      <c r="G564" s="72"/>
      <c r="H564" s="76"/>
      <c r="I564" s="72"/>
      <c r="J564" s="72"/>
      <c r="K564" s="72"/>
      <c r="L564" s="77"/>
      <c r="M564" s="77"/>
      <c r="N564" s="72"/>
      <c r="O564" s="78"/>
      <c r="P564" s="78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</row>
    <row r="565" spans="1:29" ht="15.75" customHeight="1">
      <c r="A565" s="71"/>
      <c r="B565" s="72"/>
      <c r="C565" s="75"/>
      <c r="D565" s="74"/>
      <c r="E565" s="75"/>
      <c r="F565" s="74"/>
      <c r="G565" s="72"/>
      <c r="H565" s="76"/>
      <c r="I565" s="72"/>
      <c r="J565" s="72"/>
      <c r="K565" s="72"/>
      <c r="L565" s="77"/>
      <c r="M565" s="77"/>
      <c r="N565" s="72"/>
      <c r="O565" s="78"/>
      <c r="P565" s="78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</row>
    <row r="566" spans="1:29" ht="15.75" customHeight="1">
      <c r="A566" s="71"/>
      <c r="B566" s="72"/>
      <c r="C566" s="75"/>
      <c r="D566" s="74"/>
      <c r="E566" s="75"/>
      <c r="F566" s="74"/>
      <c r="G566" s="72"/>
      <c r="H566" s="76"/>
      <c r="I566" s="72"/>
      <c r="J566" s="72"/>
      <c r="K566" s="72"/>
      <c r="L566" s="77"/>
      <c r="M566" s="77"/>
      <c r="N566" s="72"/>
      <c r="O566" s="78"/>
      <c r="P566" s="78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</row>
    <row r="567" spans="1:29" ht="15.75" customHeight="1">
      <c r="A567" s="71"/>
      <c r="B567" s="72"/>
      <c r="C567" s="75"/>
      <c r="D567" s="74"/>
      <c r="E567" s="75"/>
      <c r="F567" s="74"/>
      <c r="G567" s="72"/>
      <c r="H567" s="76"/>
      <c r="I567" s="72"/>
      <c r="J567" s="72"/>
      <c r="K567" s="72"/>
      <c r="L567" s="77"/>
      <c r="M567" s="77"/>
      <c r="N567" s="72"/>
      <c r="O567" s="78"/>
      <c r="P567" s="78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</row>
    <row r="568" spans="1:29" ht="15.75" customHeight="1">
      <c r="A568" s="71"/>
      <c r="B568" s="72"/>
      <c r="C568" s="75"/>
      <c r="D568" s="74"/>
      <c r="E568" s="75"/>
      <c r="F568" s="74"/>
      <c r="G568" s="72"/>
      <c r="H568" s="76"/>
      <c r="I568" s="72"/>
      <c r="J568" s="72"/>
      <c r="K568" s="72"/>
      <c r="L568" s="77"/>
      <c r="M568" s="77"/>
      <c r="N568" s="72"/>
      <c r="O568" s="78"/>
      <c r="P568" s="78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</row>
    <row r="569" spans="1:29" ht="15.75" customHeight="1">
      <c r="A569" s="71"/>
      <c r="B569" s="72"/>
      <c r="C569" s="75"/>
      <c r="D569" s="74"/>
      <c r="E569" s="75"/>
      <c r="F569" s="74"/>
      <c r="G569" s="72"/>
      <c r="H569" s="76"/>
      <c r="I569" s="72"/>
      <c r="J569" s="72"/>
      <c r="K569" s="72"/>
      <c r="L569" s="77"/>
      <c r="M569" s="77"/>
      <c r="N569" s="72"/>
      <c r="O569" s="78"/>
      <c r="P569" s="78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</row>
    <row r="570" spans="1:29" ht="15.75" customHeight="1">
      <c r="A570" s="71"/>
      <c r="B570" s="72"/>
      <c r="C570" s="75"/>
      <c r="D570" s="74"/>
      <c r="E570" s="75"/>
      <c r="F570" s="74"/>
      <c r="G570" s="72"/>
      <c r="H570" s="76"/>
      <c r="I570" s="72"/>
      <c r="J570" s="72"/>
      <c r="K570" s="72"/>
      <c r="L570" s="77"/>
      <c r="M570" s="77"/>
      <c r="N570" s="72"/>
      <c r="O570" s="78"/>
      <c r="P570" s="78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</row>
    <row r="571" spans="1:29" ht="15.75" customHeight="1">
      <c r="A571" s="71"/>
      <c r="B571" s="72"/>
      <c r="C571" s="75"/>
      <c r="D571" s="74"/>
      <c r="E571" s="75"/>
      <c r="F571" s="74"/>
      <c r="G571" s="72"/>
      <c r="H571" s="76"/>
      <c r="I571" s="72"/>
      <c r="J571" s="72"/>
      <c r="K571" s="72"/>
      <c r="L571" s="77"/>
      <c r="M571" s="77"/>
      <c r="N571" s="72"/>
      <c r="O571" s="78"/>
      <c r="P571" s="78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</row>
    <row r="572" spans="1:29" ht="15.75" customHeight="1">
      <c r="A572" s="71"/>
      <c r="B572" s="72"/>
      <c r="C572" s="75"/>
      <c r="D572" s="74"/>
      <c r="E572" s="75"/>
      <c r="F572" s="74"/>
      <c r="G572" s="72"/>
      <c r="H572" s="76"/>
      <c r="I572" s="72"/>
      <c r="J572" s="72"/>
      <c r="K572" s="72"/>
      <c r="L572" s="77"/>
      <c r="M572" s="77"/>
      <c r="N572" s="72"/>
      <c r="O572" s="78"/>
      <c r="P572" s="78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</row>
    <row r="573" spans="1:29" ht="15.75" customHeight="1">
      <c r="A573" s="71"/>
      <c r="B573" s="72"/>
      <c r="C573" s="75"/>
      <c r="D573" s="74"/>
      <c r="E573" s="75"/>
      <c r="F573" s="74"/>
      <c r="G573" s="72"/>
      <c r="H573" s="76"/>
      <c r="I573" s="72"/>
      <c r="J573" s="72"/>
      <c r="K573" s="72"/>
      <c r="L573" s="77"/>
      <c r="M573" s="77"/>
      <c r="N573" s="72"/>
      <c r="O573" s="78"/>
      <c r="P573" s="78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</row>
    <row r="574" spans="1:29" ht="15.75" customHeight="1">
      <c r="A574" s="71"/>
      <c r="B574" s="72"/>
      <c r="C574" s="75"/>
      <c r="D574" s="74"/>
      <c r="E574" s="75"/>
      <c r="F574" s="74"/>
      <c r="G574" s="72"/>
      <c r="H574" s="76"/>
      <c r="I574" s="72"/>
      <c r="J574" s="72"/>
      <c r="K574" s="72"/>
      <c r="L574" s="77"/>
      <c r="M574" s="77"/>
      <c r="N574" s="72"/>
      <c r="O574" s="78"/>
      <c r="P574" s="78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</row>
    <row r="575" spans="1:29" ht="15.75" customHeight="1">
      <c r="A575" s="71"/>
      <c r="B575" s="72"/>
      <c r="C575" s="75"/>
      <c r="D575" s="74"/>
      <c r="E575" s="75"/>
      <c r="F575" s="74"/>
      <c r="G575" s="72"/>
      <c r="H575" s="76"/>
      <c r="I575" s="72"/>
      <c r="J575" s="72"/>
      <c r="K575" s="72"/>
      <c r="L575" s="77"/>
      <c r="M575" s="77"/>
      <c r="N575" s="72"/>
      <c r="O575" s="78"/>
      <c r="P575" s="78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</row>
    <row r="576" spans="1:29" ht="15.75" customHeight="1">
      <c r="A576" s="71"/>
      <c r="B576" s="72"/>
      <c r="C576" s="75"/>
      <c r="D576" s="74"/>
      <c r="E576" s="75"/>
      <c r="F576" s="74"/>
      <c r="G576" s="72"/>
      <c r="H576" s="76"/>
      <c r="I576" s="72"/>
      <c r="J576" s="72"/>
      <c r="K576" s="72"/>
      <c r="L576" s="77"/>
      <c r="M576" s="77"/>
      <c r="N576" s="72"/>
      <c r="O576" s="78"/>
      <c r="P576" s="78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</row>
    <row r="577" spans="1:29" ht="15.75" customHeight="1">
      <c r="A577" s="71"/>
      <c r="B577" s="72"/>
      <c r="C577" s="75"/>
      <c r="D577" s="74"/>
      <c r="E577" s="75"/>
      <c r="F577" s="74"/>
      <c r="G577" s="72"/>
      <c r="H577" s="76"/>
      <c r="I577" s="72"/>
      <c r="J577" s="72"/>
      <c r="K577" s="72"/>
      <c r="L577" s="77"/>
      <c r="M577" s="77"/>
      <c r="N577" s="72"/>
      <c r="O577" s="78"/>
      <c r="P577" s="78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</row>
    <row r="578" spans="1:29" ht="15.75" customHeight="1">
      <c r="A578" s="71"/>
      <c r="B578" s="72"/>
      <c r="C578" s="75"/>
      <c r="D578" s="74"/>
      <c r="E578" s="75"/>
      <c r="F578" s="74"/>
      <c r="G578" s="72"/>
      <c r="H578" s="76"/>
      <c r="I578" s="72"/>
      <c r="J578" s="72"/>
      <c r="K578" s="72"/>
      <c r="L578" s="77"/>
      <c r="M578" s="77"/>
      <c r="N578" s="72"/>
      <c r="O578" s="78"/>
      <c r="P578" s="78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</row>
    <row r="579" spans="1:29" ht="15.75" customHeight="1">
      <c r="A579" s="71"/>
      <c r="B579" s="72"/>
      <c r="C579" s="75"/>
      <c r="D579" s="74"/>
      <c r="E579" s="75"/>
      <c r="F579" s="74"/>
      <c r="G579" s="72"/>
      <c r="H579" s="76"/>
      <c r="I579" s="72"/>
      <c r="J579" s="72"/>
      <c r="K579" s="72"/>
      <c r="L579" s="77"/>
      <c r="M579" s="77"/>
      <c r="N579" s="72"/>
      <c r="O579" s="78"/>
      <c r="P579" s="78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</row>
    <row r="580" spans="1:29" ht="15.75" customHeight="1">
      <c r="A580" s="71"/>
      <c r="B580" s="72"/>
      <c r="C580" s="75"/>
      <c r="D580" s="74"/>
      <c r="E580" s="75"/>
      <c r="F580" s="74"/>
      <c r="G580" s="72"/>
      <c r="H580" s="76"/>
      <c r="I580" s="72"/>
      <c r="J580" s="72"/>
      <c r="K580" s="72"/>
      <c r="L580" s="77"/>
      <c r="M580" s="77"/>
      <c r="N580" s="72"/>
      <c r="O580" s="78"/>
      <c r="P580" s="78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</row>
    <row r="581" spans="1:29" ht="15.75" customHeight="1">
      <c r="A581" s="71"/>
      <c r="B581" s="72"/>
      <c r="C581" s="75"/>
      <c r="D581" s="74"/>
      <c r="E581" s="75"/>
      <c r="F581" s="74"/>
      <c r="G581" s="72"/>
      <c r="H581" s="76"/>
      <c r="I581" s="72"/>
      <c r="J581" s="72"/>
      <c r="K581" s="72"/>
      <c r="L581" s="77"/>
      <c r="M581" s="77"/>
      <c r="N581" s="72"/>
      <c r="O581" s="78"/>
      <c r="P581" s="78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</row>
    <row r="582" spans="1:29" ht="15.75" customHeight="1">
      <c r="A582" s="71"/>
      <c r="B582" s="72"/>
      <c r="C582" s="75"/>
      <c r="D582" s="74"/>
      <c r="E582" s="75"/>
      <c r="F582" s="74"/>
      <c r="G582" s="72"/>
      <c r="H582" s="76"/>
      <c r="I582" s="72"/>
      <c r="J582" s="72"/>
      <c r="K582" s="72"/>
      <c r="L582" s="77"/>
      <c r="M582" s="77"/>
      <c r="N582" s="72"/>
      <c r="O582" s="78"/>
      <c r="P582" s="78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</row>
    <row r="583" spans="1:29" ht="15.75" customHeight="1">
      <c r="A583" s="71"/>
      <c r="B583" s="72"/>
      <c r="C583" s="75"/>
      <c r="D583" s="74"/>
      <c r="E583" s="75"/>
      <c r="F583" s="74"/>
      <c r="G583" s="72"/>
      <c r="H583" s="76"/>
      <c r="I583" s="72"/>
      <c r="J583" s="72"/>
      <c r="K583" s="72"/>
      <c r="L583" s="77"/>
      <c r="M583" s="77"/>
      <c r="N583" s="72"/>
      <c r="O583" s="78"/>
      <c r="P583" s="78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</row>
    <row r="584" spans="1:29" ht="15.75" customHeight="1">
      <c r="A584" s="71"/>
      <c r="B584" s="72"/>
      <c r="C584" s="75"/>
      <c r="D584" s="74"/>
      <c r="E584" s="75"/>
      <c r="F584" s="74"/>
      <c r="G584" s="72"/>
      <c r="H584" s="76"/>
      <c r="I584" s="72"/>
      <c r="J584" s="72"/>
      <c r="K584" s="72"/>
      <c r="L584" s="77"/>
      <c r="M584" s="77"/>
      <c r="N584" s="72"/>
      <c r="O584" s="78"/>
      <c r="P584" s="78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</row>
    <row r="585" spans="1:29" ht="15.75" customHeight="1">
      <c r="A585" s="71"/>
      <c r="B585" s="72"/>
      <c r="C585" s="75"/>
      <c r="D585" s="74"/>
      <c r="E585" s="75"/>
      <c r="F585" s="74"/>
      <c r="G585" s="72"/>
      <c r="H585" s="76"/>
      <c r="I585" s="72"/>
      <c r="J585" s="72"/>
      <c r="K585" s="72"/>
      <c r="L585" s="77"/>
      <c r="M585" s="77"/>
      <c r="N585" s="72"/>
      <c r="O585" s="78"/>
      <c r="P585" s="78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</row>
    <row r="586" spans="1:29" ht="15.75" customHeight="1">
      <c r="A586" s="71"/>
      <c r="B586" s="72"/>
      <c r="C586" s="75"/>
      <c r="D586" s="74"/>
      <c r="E586" s="75"/>
      <c r="F586" s="74"/>
      <c r="G586" s="72"/>
      <c r="H586" s="76"/>
      <c r="I586" s="72"/>
      <c r="J586" s="72"/>
      <c r="K586" s="72"/>
      <c r="L586" s="77"/>
      <c r="M586" s="77"/>
      <c r="N586" s="72"/>
      <c r="O586" s="78"/>
      <c r="P586" s="78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</row>
    <row r="587" spans="1:29" ht="15.75" customHeight="1">
      <c r="A587" s="71"/>
      <c r="B587" s="72"/>
      <c r="C587" s="75"/>
      <c r="D587" s="74"/>
      <c r="E587" s="75"/>
      <c r="F587" s="74"/>
      <c r="G587" s="72"/>
      <c r="H587" s="76"/>
      <c r="I587" s="72"/>
      <c r="J587" s="72"/>
      <c r="K587" s="72"/>
      <c r="L587" s="77"/>
      <c r="M587" s="77"/>
      <c r="N587" s="72"/>
      <c r="O587" s="78"/>
      <c r="P587" s="78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</row>
    <row r="588" spans="1:29" ht="15.75" customHeight="1">
      <c r="A588" s="71"/>
      <c r="B588" s="72"/>
      <c r="C588" s="75"/>
      <c r="D588" s="74"/>
      <c r="E588" s="75"/>
      <c r="F588" s="74"/>
      <c r="G588" s="72"/>
      <c r="H588" s="76"/>
      <c r="I588" s="72"/>
      <c r="J588" s="72"/>
      <c r="K588" s="72"/>
      <c r="L588" s="77"/>
      <c r="M588" s="77"/>
      <c r="N588" s="72"/>
      <c r="O588" s="78"/>
      <c r="P588" s="78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</row>
    <row r="589" spans="1:29" ht="15.75" customHeight="1">
      <c r="A589" s="71"/>
      <c r="B589" s="72"/>
      <c r="C589" s="75"/>
      <c r="D589" s="74"/>
      <c r="E589" s="75"/>
      <c r="F589" s="74"/>
      <c r="G589" s="72"/>
      <c r="H589" s="76"/>
      <c r="I589" s="72"/>
      <c r="J589" s="72"/>
      <c r="K589" s="72"/>
      <c r="L589" s="77"/>
      <c r="M589" s="77"/>
      <c r="N589" s="72"/>
      <c r="O589" s="78"/>
      <c r="P589" s="78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</row>
    <row r="590" spans="1:29" ht="15.75" customHeight="1">
      <c r="A590" s="71"/>
      <c r="B590" s="72"/>
      <c r="C590" s="75"/>
      <c r="D590" s="74"/>
      <c r="E590" s="75"/>
      <c r="F590" s="74"/>
      <c r="G590" s="72"/>
      <c r="H590" s="76"/>
      <c r="I590" s="72"/>
      <c r="J590" s="72"/>
      <c r="K590" s="72"/>
      <c r="L590" s="77"/>
      <c r="M590" s="77"/>
      <c r="N590" s="72"/>
      <c r="O590" s="78"/>
      <c r="P590" s="78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</row>
    <row r="591" spans="1:29" ht="15.75" customHeight="1">
      <c r="A591" s="71"/>
      <c r="B591" s="72"/>
      <c r="C591" s="75"/>
      <c r="D591" s="74"/>
      <c r="E591" s="75"/>
      <c r="F591" s="74"/>
      <c r="G591" s="72"/>
      <c r="H591" s="76"/>
      <c r="I591" s="72"/>
      <c r="J591" s="72"/>
      <c r="K591" s="72"/>
      <c r="L591" s="77"/>
      <c r="M591" s="77"/>
      <c r="N591" s="72"/>
      <c r="O591" s="78"/>
      <c r="P591" s="78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</row>
    <row r="592" spans="1:29" ht="15.75" customHeight="1">
      <c r="A592" s="71"/>
      <c r="B592" s="72"/>
      <c r="C592" s="75"/>
      <c r="D592" s="74"/>
      <c r="E592" s="75"/>
      <c r="F592" s="74"/>
      <c r="G592" s="72"/>
      <c r="H592" s="76"/>
      <c r="I592" s="72"/>
      <c r="J592" s="72"/>
      <c r="K592" s="72"/>
      <c r="L592" s="77"/>
      <c r="M592" s="77"/>
      <c r="N592" s="72"/>
      <c r="O592" s="78"/>
      <c r="P592" s="78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</row>
    <row r="593" spans="1:29" ht="15.75" customHeight="1">
      <c r="A593" s="71"/>
      <c r="B593" s="72"/>
      <c r="C593" s="75"/>
      <c r="D593" s="74"/>
      <c r="E593" s="75"/>
      <c r="F593" s="74"/>
      <c r="G593" s="72"/>
      <c r="H593" s="76"/>
      <c r="I593" s="72"/>
      <c r="J593" s="72"/>
      <c r="K593" s="72"/>
      <c r="L593" s="77"/>
      <c r="M593" s="77"/>
      <c r="N593" s="72"/>
      <c r="O593" s="78"/>
      <c r="P593" s="78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</row>
    <row r="594" spans="1:29" ht="15.75" customHeight="1">
      <c r="A594" s="71"/>
      <c r="B594" s="72"/>
      <c r="C594" s="75"/>
      <c r="D594" s="74"/>
      <c r="E594" s="75"/>
      <c r="F594" s="74"/>
      <c r="G594" s="72"/>
      <c r="H594" s="76"/>
      <c r="I594" s="72"/>
      <c r="J594" s="72"/>
      <c r="K594" s="72"/>
      <c r="L594" s="77"/>
      <c r="M594" s="77"/>
      <c r="N594" s="72"/>
      <c r="O594" s="78"/>
      <c r="P594" s="78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</row>
    <row r="595" spans="1:29" ht="15.75" customHeight="1">
      <c r="A595" s="71"/>
      <c r="B595" s="72"/>
      <c r="C595" s="75"/>
      <c r="D595" s="74"/>
      <c r="E595" s="75"/>
      <c r="F595" s="74"/>
      <c r="G595" s="72"/>
      <c r="H595" s="76"/>
      <c r="I595" s="72"/>
      <c r="J595" s="72"/>
      <c r="K595" s="72"/>
      <c r="L595" s="77"/>
      <c r="M595" s="77"/>
      <c r="N595" s="72"/>
      <c r="O595" s="78"/>
      <c r="P595" s="78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</row>
    <row r="596" spans="1:29" ht="15.75" customHeight="1">
      <c r="A596" s="71"/>
      <c r="B596" s="72"/>
      <c r="C596" s="75"/>
      <c r="D596" s="74"/>
      <c r="E596" s="75"/>
      <c r="F596" s="74"/>
      <c r="G596" s="72"/>
      <c r="H596" s="76"/>
      <c r="I596" s="72"/>
      <c r="J596" s="72"/>
      <c r="K596" s="72"/>
      <c r="L596" s="77"/>
      <c r="M596" s="77"/>
      <c r="N596" s="72"/>
      <c r="O596" s="78"/>
      <c r="P596" s="78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</row>
    <row r="597" spans="1:29" ht="15.75" customHeight="1">
      <c r="A597" s="71"/>
      <c r="B597" s="72"/>
      <c r="C597" s="75"/>
      <c r="D597" s="74"/>
      <c r="E597" s="75"/>
      <c r="F597" s="74"/>
      <c r="G597" s="72"/>
      <c r="H597" s="76"/>
      <c r="I597" s="72"/>
      <c r="J597" s="72"/>
      <c r="K597" s="72"/>
      <c r="L597" s="77"/>
      <c r="M597" s="77"/>
      <c r="N597" s="72"/>
      <c r="O597" s="78"/>
      <c r="P597" s="78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</row>
    <row r="598" spans="1:29" ht="15.75" customHeight="1">
      <c r="A598" s="71"/>
      <c r="B598" s="72"/>
      <c r="C598" s="75"/>
      <c r="D598" s="74"/>
      <c r="E598" s="75"/>
      <c r="F598" s="74"/>
      <c r="G598" s="72"/>
      <c r="H598" s="76"/>
      <c r="I598" s="72"/>
      <c r="J598" s="72"/>
      <c r="K598" s="72"/>
      <c r="L598" s="77"/>
      <c r="M598" s="77"/>
      <c r="N598" s="72"/>
      <c r="O598" s="78"/>
      <c r="P598" s="78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</row>
    <row r="599" spans="1:29" ht="15.75" customHeight="1">
      <c r="A599" s="71"/>
      <c r="B599" s="72"/>
      <c r="C599" s="75"/>
      <c r="D599" s="74"/>
      <c r="E599" s="75"/>
      <c r="F599" s="74"/>
      <c r="G599" s="72"/>
      <c r="H599" s="76"/>
      <c r="I599" s="72"/>
      <c r="J599" s="72"/>
      <c r="K599" s="72"/>
      <c r="L599" s="77"/>
      <c r="M599" s="77"/>
      <c r="N599" s="72"/>
      <c r="O599" s="78"/>
      <c r="P599" s="78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</row>
    <row r="600" spans="1:29" ht="15.75" customHeight="1">
      <c r="A600" s="71"/>
      <c r="B600" s="72"/>
      <c r="C600" s="75"/>
      <c r="D600" s="74"/>
      <c r="E600" s="75"/>
      <c r="F600" s="74"/>
      <c r="G600" s="72"/>
      <c r="H600" s="76"/>
      <c r="I600" s="72"/>
      <c r="J600" s="72"/>
      <c r="K600" s="72"/>
      <c r="L600" s="77"/>
      <c r="M600" s="77"/>
      <c r="N600" s="72"/>
      <c r="O600" s="78"/>
      <c r="P600" s="78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</row>
    <row r="601" spans="1:29" ht="15.75" customHeight="1">
      <c r="A601" s="71"/>
      <c r="B601" s="72"/>
      <c r="C601" s="75"/>
      <c r="D601" s="74"/>
      <c r="E601" s="75"/>
      <c r="F601" s="74"/>
      <c r="G601" s="72"/>
      <c r="H601" s="76"/>
      <c r="I601" s="72"/>
      <c r="J601" s="72"/>
      <c r="K601" s="72"/>
      <c r="L601" s="77"/>
      <c r="M601" s="77"/>
      <c r="N601" s="72"/>
      <c r="O601" s="78"/>
      <c r="P601" s="78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</row>
    <row r="602" spans="1:29" ht="15.75" customHeight="1">
      <c r="A602" s="71"/>
      <c r="B602" s="72"/>
      <c r="C602" s="75"/>
      <c r="D602" s="74"/>
      <c r="E602" s="75"/>
      <c r="F602" s="74"/>
      <c r="G602" s="72"/>
      <c r="H602" s="76"/>
      <c r="I602" s="72"/>
      <c r="J602" s="72"/>
      <c r="K602" s="72"/>
      <c r="L602" s="77"/>
      <c r="M602" s="77"/>
      <c r="N602" s="72"/>
      <c r="O602" s="78"/>
      <c r="P602" s="78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</row>
    <row r="603" spans="1:29" ht="15.75" customHeight="1">
      <c r="A603" s="71"/>
      <c r="B603" s="72"/>
      <c r="C603" s="75"/>
      <c r="D603" s="74"/>
      <c r="E603" s="75"/>
      <c r="F603" s="74"/>
      <c r="G603" s="72"/>
      <c r="H603" s="76"/>
      <c r="I603" s="72"/>
      <c r="J603" s="72"/>
      <c r="K603" s="72"/>
      <c r="L603" s="77"/>
      <c r="M603" s="77"/>
      <c r="N603" s="72"/>
      <c r="O603" s="78"/>
      <c r="P603" s="78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</row>
    <row r="604" spans="1:29" ht="15.75" customHeight="1">
      <c r="A604" s="71"/>
      <c r="B604" s="72"/>
      <c r="C604" s="75"/>
      <c r="D604" s="74"/>
      <c r="E604" s="75"/>
      <c r="F604" s="74"/>
      <c r="G604" s="72"/>
      <c r="H604" s="76"/>
      <c r="I604" s="72"/>
      <c r="J604" s="72"/>
      <c r="K604" s="72"/>
      <c r="L604" s="77"/>
      <c r="M604" s="77"/>
      <c r="N604" s="72"/>
      <c r="O604" s="78"/>
      <c r="P604" s="78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</row>
    <row r="605" spans="1:29" ht="15.75" customHeight="1">
      <c r="A605" s="71"/>
      <c r="B605" s="72"/>
      <c r="C605" s="75"/>
      <c r="D605" s="74"/>
      <c r="E605" s="75"/>
      <c r="F605" s="74"/>
      <c r="G605" s="72"/>
      <c r="H605" s="76"/>
      <c r="I605" s="72"/>
      <c r="J605" s="72"/>
      <c r="K605" s="72"/>
      <c r="L605" s="77"/>
      <c r="M605" s="77"/>
      <c r="N605" s="72"/>
      <c r="O605" s="78"/>
      <c r="P605" s="78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</row>
    <row r="606" spans="1:29" ht="15.75" customHeight="1">
      <c r="A606" s="71"/>
      <c r="B606" s="72"/>
      <c r="C606" s="75"/>
      <c r="D606" s="74"/>
      <c r="E606" s="75"/>
      <c r="F606" s="74"/>
      <c r="G606" s="72"/>
      <c r="H606" s="76"/>
      <c r="I606" s="72"/>
      <c r="J606" s="72"/>
      <c r="K606" s="72"/>
      <c r="L606" s="77"/>
      <c r="M606" s="77"/>
      <c r="N606" s="72"/>
      <c r="O606" s="78"/>
      <c r="P606" s="78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</row>
    <row r="607" spans="1:29" ht="15.75" customHeight="1">
      <c r="A607" s="71"/>
      <c r="B607" s="72"/>
      <c r="C607" s="75"/>
      <c r="D607" s="74"/>
      <c r="E607" s="75"/>
      <c r="F607" s="74"/>
      <c r="G607" s="72"/>
      <c r="H607" s="76"/>
      <c r="I607" s="72"/>
      <c r="J607" s="72"/>
      <c r="K607" s="72"/>
      <c r="L607" s="77"/>
      <c r="M607" s="77"/>
      <c r="N607" s="72"/>
      <c r="O607" s="78"/>
      <c r="P607" s="78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</row>
    <row r="608" spans="1:29" ht="15.75" customHeight="1">
      <c r="A608" s="71"/>
      <c r="B608" s="72"/>
      <c r="C608" s="75"/>
      <c r="D608" s="74"/>
      <c r="E608" s="75"/>
      <c r="F608" s="74"/>
      <c r="G608" s="72"/>
      <c r="H608" s="76"/>
      <c r="I608" s="72"/>
      <c r="J608" s="72"/>
      <c r="K608" s="72"/>
      <c r="L608" s="77"/>
      <c r="M608" s="77"/>
      <c r="N608" s="72"/>
      <c r="O608" s="78"/>
      <c r="P608" s="78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</row>
    <row r="609" spans="1:29" ht="15.75" customHeight="1">
      <c r="A609" s="71"/>
      <c r="B609" s="72"/>
      <c r="C609" s="75"/>
      <c r="D609" s="74"/>
      <c r="E609" s="75"/>
      <c r="F609" s="74"/>
      <c r="G609" s="72"/>
      <c r="H609" s="76"/>
      <c r="I609" s="72"/>
      <c r="J609" s="72"/>
      <c r="K609" s="72"/>
      <c r="L609" s="77"/>
      <c r="M609" s="77"/>
      <c r="N609" s="72"/>
      <c r="O609" s="78"/>
      <c r="P609" s="78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</row>
    <row r="610" spans="1:29" ht="15.75" customHeight="1">
      <c r="A610" s="71"/>
      <c r="B610" s="72"/>
      <c r="C610" s="75"/>
      <c r="D610" s="74"/>
      <c r="E610" s="75"/>
      <c r="F610" s="74"/>
      <c r="G610" s="72"/>
      <c r="H610" s="76"/>
      <c r="I610" s="72"/>
      <c r="J610" s="72"/>
      <c r="K610" s="72"/>
      <c r="L610" s="77"/>
      <c r="M610" s="77"/>
      <c r="N610" s="72"/>
      <c r="O610" s="78"/>
      <c r="P610" s="78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</row>
    <row r="611" spans="1:29" ht="15.75" customHeight="1">
      <c r="A611" s="71"/>
      <c r="B611" s="72"/>
      <c r="C611" s="75"/>
      <c r="D611" s="74"/>
      <c r="E611" s="75"/>
      <c r="F611" s="74"/>
      <c r="G611" s="72"/>
      <c r="H611" s="76"/>
      <c r="I611" s="72"/>
      <c r="J611" s="72"/>
      <c r="K611" s="72"/>
      <c r="L611" s="77"/>
      <c r="M611" s="77"/>
      <c r="N611" s="72"/>
      <c r="O611" s="78"/>
      <c r="P611" s="78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</row>
    <row r="612" spans="1:29" ht="15.75" customHeight="1">
      <c r="A612" s="71"/>
      <c r="B612" s="72"/>
      <c r="C612" s="75"/>
      <c r="D612" s="74"/>
      <c r="E612" s="75"/>
      <c r="F612" s="74"/>
      <c r="G612" s="72"/>
      <c r="H612" s="76"/>
      <c r="I612" s="72"/>
      <c r="J612" s="72"/>
      <c r="K612" s="72"/>
      <c r="L612" s="77"/>
      <c r="M612" s="77"/>
      <c r="N612" s="72"/>
      <c r="O612" s="78"/>
      <c r="P612" s="78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</row>
    <row r="613" spans="1:29" ht="15.75" customHeight="1">
      <c r="A613" s="71"/>
      <c r="B613" s="72"/>
      <c r="C613" s="75"/>
      <c r="D613" s="74"/>
      <c r="E613" s="75"/>
      <c r="F613" s="74"/>
      <c r="G613" s="72"/>
      <c r="H613" s="76"/>
      <c r="I613" s="72"/>
      <c r="J613" s="72"/>
      <c r="K613" s="72"/>
      <c r="L613" s="77"/>
      <c r="M613" s="77"/>
      <c r="N613" s="72"/>
      <c r="O613" s="78"/>
      <c r="P613" s="78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</row>
    <row r="614" spans="1:29" ht="15.75" customHeight="1">
      <c r="A614" s="71"/>
      <c r="B614" s="72"/>
      <c r="C614" s="75"/>
      <c r="D614" s="74"/>
      <c r="E614" s="75"/>
      <c r="F614" s="74"/>
      <c r="G614" s="72"/>
      <c r="H614" s="76"/>
      <c r="I614" s="72"/>
      <c r="J614" s="72"/>
      <c r="K614" s="72"/>
      <c r="L614" s="77"/>
      <c r="M614" s="77"/>
      <c r="N614" s="72"/>
      <c r="O614" s="78"/>
      <c r="P614" s="78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</row>
    <row r="615" spans="1:29" ht="15.75" customHeight="1">
      <c r="A615" s="71"/>
      <c r="B615" s="72"/>
      <c r="C615" s="75"/>
      <c r="D615" s="74"/>
      <c r="E615" s="75"/>
      <c r="F615" s="74"/>
      <c r="G615" s="72"/>
      <c r="H615" s="76"/>
      <c r="I615" s="72"/>
      <c r="J615" s="72"/>
      <c r="K615" s="72"/>
      <c r="L615" s="77"/>
      <c r="M615" s="77"/>
      <c r="N615" s="72"/>
      <c r="O615" s="78"/>
      <c r="P615" s="78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</row>
    <row r="616" spans="1:29" ht="15.75" customHeight="1">
      <c r="A616" s="71"/>
      <c r="B616" s="72"/>
      <c r="C616" s="75"/>
      <c r="D616" s="74"/>
      <c r="E616" s="75"/>
      <c r="F616" s="74"/>
      <c r="G616" s="72"/>
      <c r="H616" s="76"/>
      <c r="I616" s="72"/>
      <c r="J616" s="72"/>
      <c r="K616" s="72"/>
      <c r="L616" s="77"/>
      <c r="M616" s="77"/>
      <c r="N616" s="72"/>
      <c r="O616" s="78"/>
      <c r="P616" s="78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</row>
    <row r="617" spans="1:29" ht="15.75" customHeight="1">
      <c r="A617" s="71"/>
      <c r="B617" s="72"/>
      <c r="C617" s="75"/>
      <c r="D617" s="74"/>
      <c r="E617" s="75"/>
      <c r="F617" s="74"/>
      <c r="G617" s="72"/>
      <c r="H617" s="76"/>
      <c r="I617" s="72"/>
      <c r="J617" s="72"/>
      <c r="K617" s="72"/>
      <c r="L617" s="77"/>
      <c r="M617" s="77"/>
      <c r="N617" s="72"/>
      <c r="O617" s="78"/>
      <c r="P617" s="78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</row>
    <row r="618" spans="1:29" ht="15.75" customHeight="1">
      <c r="A618" s="71"/>
      <c r="B618" s="72"/>
      <c r="C618" s="75"/>
      <c r="D618" s="74"/>
      <c r="E618" s="75"/>
      <c r="F618" s="74"/>
      <c r="G618" s="72"/>
      <c r="H618" s="76"/>
      <c r="I618" s="72"/>
      <c r="J618" s="72"/>
      <c r="K618" s="72"/>
      <c r="L618" s="77"/>
      <c r="M618" s="77"/>
      <c r="N618" s="72"/>
      <c r="O618" s="78"/>
      <c r="P618" s="78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</row>
    <row r="619" spans="1:29" ht="15.75" customHeight="1">
      <c r="A619" s="71"/>
      <c r="B619" s="72"/>
      <c r="C619" s="75"/>
      <c r="D619" s="74"/>
      <c r="E619" s="75"/>
      <c r="F619" s="74"/>
      <c r="G619" s="72"/>
      <c r="H619" s="76"/>
      <c r="I619" s="72"/>
      <c r="J619" s="72"/>
      <c r="K619" s="72"/>
      <c r="L619" s="77"/>
      <c r="M619" s="77"/>
      <c r="N619" s="72"/>
      <c r="O619" s="78"/>
      <c r="P619" s="78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</row>
    <row r="620" spans="1:29" ht="15.75" customHeight="1">
      <c r="A620" s="71"/>
      <c r="B620" s="72"/>
      <c r="C620" s="75"/>
      <c r="D620" s="74"/>
      <c r="E620" s="75"/>
      <c r="F620" s="74"/>
      <c r="G620" s="72"/>
      <c r="H620" s="76"/>
      <c r="I620" s="72"/>
      <c r="J620" s="72"/>
      <c r="K620" s="72"/>
      <c r="L620" s="77"/>
      <c r="M620" s="77"/>
      <c r="N620" s="72"/>
      <c r="O620" s="78"/>
      <c r="P620" s="78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</row>
    <row r="621" spans="1:29" ht="15.75" customHeight="1">
      <c r="A621" s="71"/>
      <c r="B621" s="72"/>
      <c r="C621" s="75"/>
      <c r="D621" s="74"/>
      <c r="E621" s="75"/>
      <c r="F621" s="74"/>
      <c r="G621" s="72"/>
      <c r="H621" s="76"/>
      <c r="I621" s="72"/>
      <c r="J621" s="72"/>
      <c r="K621" s="72"/>
      <c r="L621" s="77"/>
      <c r="M621" s="77"/>
      <c r="N621" s="72"/>
      <c r="O621" s="78"/>
      <c r="P621" s="78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</row>
    <row r="622" spans="1:29" ht="15.75" customHeight="1">
      <c r="A622" s="71"/>
      <c r="B622" s="72"/>
      <c r="C622" s="75"/>
      <c r="D622" s="74"/>
      <c r="E622" s="75"/>
      <c r="F622" s="74"/>
      <c r="G622" s="72"/>
      <c r="H622" s="76"/>
      <c r="I622" s="72"/>
      <c r="J622" s="72"/>
      <c r="K622" s="72"/>
      <c r="L622" s="77"/>
      <c r="M622" s="77"/>
      <c r="N622" s="72"/>
      <c r="O622" s="78"/>
      <c r="P622" s="78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</row>
    <row r="623" spans="1:29" ht="15.75" customHeight="1">
      <c r="A623" s="71"/>
      <c r="B623" s="72"/>
      <c r="C623" s="75"/>
      <c r="D623" s="74"/>
      <c r="E623" s="75"/>
      <c r="F623" s="74"/>
      <c r="G623" s="72"/>
      <c r="H623" s="76"/>
      <c r="I623" s="72"/>
      <c r="J623" s="72"/>
      <c r="K623" s="72"/>
      <c r="L623" s="77"/>
      <c r="M623" s="77"/>
      <c r="N623" s="72"/>
      <c r="O623" s="78"/>
      <c r="P623" s="78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</row>
    <row r="624" spans="1:29" ht="15.75" customHeight="1">
      <c r="A624" s="71"/>
      <c r="B624" s="72"/>
      <c r="C624" s="75"/>
      <c r="D624" s="74"/>
      <c r="E624" s="75"/>
      <c r="F624" s="74"/>
      <c r="G624" s="72"/>
      <c r="H624" s="76"/>
      <c r="I624" s="72"/>
      <c r="J624" s="72"/>
      <c r="K624" s="72"/>
      <c r="L624" s="77"/>
      <c r="M624" s="77"/>
      <c r="N624" s="72"/>
      <c r="O624" s="78"/>
      <c r="P624" s="78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</row>
    <row r="625" spans="1:29" ht="15.75" customHeight="1">
      <c r="A625" s="71"/>
      <c r="B625" s="72"/>
      <c r="C625" s="75"/>
      <c r="D625" s="74"/>
      <c r="E625" s="75"/>
      <c r="F625" s="74"/>
      <c r="G625" s="72"/>
      <c r="H625" s="76"/>
      <c r="I625" s="72"/>
      <c r="J625" s="72"/>
      <c r="K625" s="72"/>
      <c r="L625" s="77"/>
      <c r="M625" s="77"/>
      <c r="N625" s="72"/>
      <c r="O625" s="78"/>
      <c r="P625" s="78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</row>
    <row r="626" spans="1:29" ht="15.75" customHeight="1">
      <c r="A626" s="71"/>
      <c r="B626" s="72"/>
      <c r="C626" s="75"/>
      <c r="D626" s="74"/>
      <c r="E626" s="75"/>
      <c r="F626" s="74"/>
      <c r="G626" s="72"/>
      <c r="H626" s="76"/>
      <c r="I626" s="72"/>
      <c r="J626" s="72"/>
      <c r="K626" s="72"/>
      <c r="L626" s="77"/>
      <c r="M626" s="77"/>
      <c r="N626" s="72"/>
      <c r="O626" s="78"/>
      <c r="P626" s="78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</row>
    <row r="627" spans="1:29" ht="15.75" customHeight="1">
      <c r="A627" s="71"/>
      <c r="B627" s="72"/>
      <c r="C627" s="75"/>
      <c r="D627" s="74"/>
      <c r="E627" s="75"/>
      <c r="F627" s="74"/>
      <c r="G627" s="72"/>
      <c r="H627" s="76"/>
      <c r="I627" s="72"/>
      <c r="J627" s="72"/>
      <c r="K627" s="72"/>
      <c r="L627" s="77"/>
      <c r="M627" s="77"/>
      <c r="N627" s="72"/>
      <c r="O627" s="78"/>
      <c r="P627" s="78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</row>
    <row r="628" spans="1:29" ht="15.75" customHeight="1">
      <c r="A628" s="71"/>
      <c r="B628" s="72"/>
      <c r="C628" s="75"/>
      <c r="D628" s="74"/>
      <c r="E628" s="75"/>
      <c r="F628" s="74"/>
      <c r="G628" s="72"/>
      <c r="H628" s="76"/>
      <c r="I628" s="72"/>
      <c r="J628" s="72"/>
      <c r="K628" s="72"/>
      <c r="L628" s="77"/>
      <c r="M628" s="77"/>
      <c r="N628" s="72"/>
      <c r="O628" s="78"/>
      <c r="P628" s="78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</row>
    <row r="629" spans="1:29" ht="15.75" customHeight="1">
      <c r="A629" s="71"/>
      <c r="B629" s="72"/>
      <c r="C629" s="75"/>
      <c r="D629" s="74"/>
      <c r="E629" s="75"/>
      <c r="F629" s="74"/>
      <c r="G629" s="72"/>
      <c r="H629" s="76"/>
      <c r="I629" s="72"/>
      <c r="J629" s="72"/>
      <c r="K629" s="72"/>
      <c r="L629" s="77"/>
      <c r="M629" s="77"/>
      <c r="N629" s="72"/>
      <c r="O629" s="78"/>
      <c r="P629" s="78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</row>
    <row r="630" spans="1:29" ht="15.75" customHeight="1">
      <c r="A630" s="71"/>
      <c r="B630" s="72"/>
      <c r="C630" s="75"/>
      <c r="D630" s="74"/>
      <c r="E630" s="75"/>
      <c r="F630" s="74"/>
      <c r="G630" s="72"/>
      <c r="H630" s="76"/>
      <c r="I630" s="72"/>
      <c r="J630" s="72"/>
      <c r="K630" s="72"/>
      <c r="L630" s="77"/>
      <c r="M630" s="77"/>
      <c r="N630" s="72"/>
      <c r="O630" s="78"/>
      <c r="P630" s="78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</row>
    <row r="631" spans="1:29" ht="15.75" customHeight="1">
      <c r="A631" s="71"/>
      <c r="B631" s="72"/>
      <c r="C631" s="75"/>
      <c r="D631" s="74"/>
      <c r="E631" s="75"/>
      <c r="F631" s="74"/>
      <c r="G631" s="72"/>
      <c r="H631" s="76"/>
      <c r="I631" s="72"/>
      <c r="J631" s="72"/>
      <c r="K631" s="72"/>
      <c r="L631" s="77"/>
      <c r="M631" s="77"/>
      <c r="N631" s="72"/>
      <c r="O631" s="78"/>
      <c r="P631" s="78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</row>
    <row r="632" spans="1:29" ht="15.75" customHeight="1">
      <c r="A632" s="71"/>
      <c r="B632" s="72"/>
      <c r="C632" s="75"/>
      <c r="D632" s="74"/>
      <c r="E632" s="75"/>
      <c r="F632" s="74"/>
      <c r="G632" s="72"/>
      <c r="H632" s="76"/>
      <c r="I632" s="72"/>
      <c r="J632" s="72"/>
      <c r="K632" s="72"/>
      <c r="L632" s="77"/>
      <c r="M632" s="77"/>
      <c r="N632" s="72"/>
      <c r="O632" s="78"/>
      <c r="P632" s="78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</row>
    <row r="633" spans="1:29" ht="15.75" customHeight="1">
      <c r="A633" s="71"/>
      <c r="B633" s="72"/>
      <c r="C633" s="75"/>
      <c r="D633" s="74"/>
      <c r="E633" s="75"/>
      <c r="F633" s="74"/>
      <c r="G633" s="72"/>
      <c r="H633" s="76"/>
      <c r="I633" s="72"/>
      <c r="J633" s="72"/>
      <c r="K633" s="72"/>
      <c r="L633" s="77"/>
      <c r="M633" s="77"/>
      <c r="N633" s="72"/>
      <c r="O633" s="78"/>
      <c r="P633" s="78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</row>
    <row r="634" spans="1:29" ht="15.75" customHeight="1">
      <c r="A634" s="71"/>
      <c r="B634" s="72"/>
      <c r="C634" s="75"/>
      <c r="D634" s="74"/>
      <c r="E634" s="75"/>
      <c r="F634" s="74"/>
      <c r="G634" s="72"/>
      <c r="H634" s="76"/>
      <c r="I634" s="72"/>
      <c r="J634" s="72"/>
      <c r="K634" s="72"/>
      <c r="L634" s="77"/>
      <c r="M634" s="77"/>
      <c r="N634" s="72"/>
      <c r="O634" s="78"/>
      <c r="P634" s="78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</row>
    <row r="635" spans="1:29" ht="15.75" customHeight="1">
      <c r="A635" s="71"/>
      <c r="B635" s="72"/>
      <c r="C635" s="75"/>
      <c r="D635" s="74"/>
      <c r="E635" s="75"/>
      <c r="F635" s="74"/>
      <c r="G635" s="72"/>
      <c r="H635" s="76"/>
      <c r="I635" s="72"/>
      <c r="J635" s="72"/>
      <c r="K635" s="72"/>
      <c r="L635" s="77"/>
      <c r="M635" s="77"/>
      <c r="N635" s="72"/>
      <c r="O635" s="78"/>
      <c r="P635" s="78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</row>
    <row r="636" spans="1:29" ht="15.75" customHeight="1">
      <c r="A636" s="71"/>
      <c r="B636" s="72"/>
      <c r="C636" s="75"/>
      <c r="D636" s="74"/>
      <c r="E636" s="75"/>
      <c r="F636" s="74"/>
      <c r="G636" s="72"/>
      <c r="H636" s="76"/>
      <c r="I636" s="72"/>
      <c r="J636" s="72"/>
      <c r="K636" s="72"/>
      <c r="L636" s="77"/>
      <c r="M636" s="77"/>
      <c r="N636" s="72"/>
      <c r="O636" s="78"/>
      <c r="P636" s="78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</row>
    <row r="637" spans="1:29" ht="15.75" customHeight="1">
      <c r="A637" s="71"/>
      <c r="B637" s="72"/>
      <c r="C637" s="75"/>
      <c r="D637" s="74"/>
      <c r="E637" s="75"/>
      <c r="F637" s="74"/>
      <c r="G637" s="72"/>
      <c r="H637" s="76"/>
      <c r="I637" s="72"/>
      <c r="J637" s="72"/>
      <c r="K637" s="72"/>
      <c r="L637" s="77"/>
      <c r="M637" s="77"/>
      <c r="N637" s="72"/>
      <c r="O637" s="78"/>
      <c r="P637" s="78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</row>
    <row r="638" spans="1:29" ht="15.75" customHeight="1">
      <c r="A638" s="71"/>
      <c r="B638" s="72"/>
      <c r="C638" s="75"/>
      <c r="D638" s="74"/>
      <c r="E638" s="75"/>
      <c r="F638" s="74"/>
      <c r="G638" s="72"/>
      <c r="H638" s="76"/>
      <c r="I638" s="72"/>
      <c r="J638" s="72"/>
      <c r="K638" s="72"/>
      <c r="L638" s="77"/>
      <c r="M638" s="77"/>
      <c r="N638" s="72"/>
      <c r="O638" s="78"/>
      <c r="P638" s="78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</row>
    <row r="639" spans="1:29" ht="15.75" customHeight="1">
      <c r="A639" s="71"/>
      <c r="B639" s="72"/>
      <c r="C639" s="75"/>
      <c r="D639" s="74"/>
      <c r="E639" s="75"/>
      <c r="F639" s="74"/>
      <c r="G639" s="72"/>
      <c r="H639" s="76"/>
      <c r="I639" s="72"/>
      <c r="J639" s="72"/>
      <c r="K639" s="72"/>
      <c r="L639" s="77"/>
      <c r="M639" s="77"/>
      <c r="N639" s="72"/>
      <c r="O639" s="78"/>
      <c r="P639" s="78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</row>
    <row r="640" spans="1:29" ht="15.75" customHeight="1">
      <c r="A640" s="71"/>
      <c r="B640" s="72"/>
      <c r="C640" s="75"/>
      <c r="D640" s="74"/>
      <c r="E640" s="75"/>
      <c r="F640" s="74"/>
      <c r="G640" s="72"/>
      <c r="H640" s="76"/>
      <c r="I640" s="72"/>
      <c r="J640" s="72"/>
      <c r="K640" s="72"/>
      <c r="L640" s="77"/>
      <c r="M640" s="77"/>
      <c r="N640" s="72"/>
      <c r="O640" s="78"/>
      <c r="P640" s="78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</row>
    <row r="641" spans="1:29" ht="15.75" customHeight="1">
      <c r="A641" s="71"/>
      <c r="B641" s="72"/>
      <c r="C641" s="75"/>
      <c r="D641" s="74"/>
      <c r="E641" s="75"/>
      <c r="F641" s="74"/>
      <c r="G641" s="72"/>
      <c r="H641" s="76"/>
      <c r="I641" s="72"/>
      <c r="J641" s="72"/>
      <c r="K641" s="72"/>
      <c r="L641" s="77"/>
      <c r="M641" s="77"/>
      <c r="N641" s="72"/>
      <c r="O641" s="78"/>
      <c r="P641" s="78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</row>
    <row r="642" spans="1:29" ht="15.75" customHeight="1">
      <c r="A642" s="71"/>
      <c r="B642" s="72"/>
      <c r="C642" s="75"/>
      <c r="D642" s="74"/>
      <c r="E642" s="75"/>
      <c r="F642" s="74"/>
      <c r="G642" s="72"/>
      <c r="H642" s="76"/>
      <c r="I642" s="72"/>
      <c r="J642" s="72"/>
      <c r="K642" s="72"/>
      <c r="L642" s="77"/>
      <c r="M642" s="77"/>
      <c r="N642" s="72"/>
      <c r="O642" s="78"/>
      <c r="P642" s="78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</row>
    <row r="643" spans="1:29" ht="15.75" customHeight="1">
      <c r="A643" s="71"/>
      <c r="B643" s="72"/>
      <c r="C643" s="75"/>
      <c r="D643" s="74"/>
      <c r="E643" s="75"/>
      <c r="F643" s="74"/>
      <c r="G643" s="72"/>
      <c r="H643" s="76"/>
      <c r="I643" s="72"/>
      <c r="J643" s="72"/>
      <c r="K643" s="72"/>
      <c r="L643" s="77"/>
      <c r="M643" s="77"/>
      <c r="N643" s="72"/>
      <c r="O643" s="78"/>
      <c r="P643" s="78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</row>
    <row r="644" spans="1:29" ht="15.75" customHeight="1">
      <c r="A644" s="71"/>
      <c r="B644" s="72"/>
      <c r="C644" s="75"/>
      <c r="D644" s="74"/>
      <c r="E644" s="75"/>
      <c r="F644" s="74"/>
      <c r="G644" s="72"/>
      <c r="H644" s="76"/>
      <c r="I644" s="72"/>
      <c r="J644" s="72"/>
      <c r="K644" s="72"/>
      <c r="L644" s="77"/>
      <c r="M644" s="77"/>
      <c r="N644" s="72"/>
      <c r="O644" s="78"/>
      <c r="P644" s="78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</row>
    <row r="645" spans="1:29" ht="15.75" customHeight="1">
      <c r="A645" s="71"/>
      <c r="B645" s="72"/>
      <c r="C645" s="75"/>
      <c r="D645" s="74"/>
      <c r="E645" s="75"/>
      <c r="F645" s="74"/>
      <c r="G645" s="72"/>
      <c r="H645" s="76"/>
      <c r="I645" s="72"/>
      <c r="J645" s="72"/>
      <c r="K645" s="72"/>
      <c r="L645" s="77"/>
      <c r="M645" s="77"/>
      <c r="N645" s="72"/>
      <c r="O645" s="78"/>
      <c r="P645" s="78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</row>
    <row r="646" spans="1:29" ht="15.75" customHeight="1">
      <c r="A646" s="71"/>
      <c r="B646" s="72"/>
      <c r="C646" s="75"/>
      <c r="D646" s="74"/>
      <c r="E646" s="75"/>
      <c r="F646" s="74"/>
      <c r="G646" s="72"/>
      <c r="H646" s="76"/>
      <c r="I646" s="72"/>
      <c r="J646" s="72"/>
      <c r="K646" s="72"/>
      <c r="L646" s="77"/>
      <c r="M646" s="77"/>
      <c r="N646" s="72"/>
      <c r="O646" s="78"/>
      <c r="P646" s="78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</row>
    <row r="647" spans="1:29" ht="15.75" customHeight="1">
      <c r="A647" s="71"/>
      <c r="B647" s="72"/>
      <c r="C647" s="75"/>
      <c r="D647" s="74"/>
      <c r="E647" s="75"/>
      <c r="F647" s="74"/>
      <c r="G647" s="72"/>
      <c r="H647" s="76"/>
      <c r="I647" s="72"/>
      <c r="J647" s="72"/>
      <c r="K647" s="72"/>
      <c r="L647" s="77"/>
      <c r="M647" s="77"/>
      <c r="N647" s="72"/>
      <c r="O647" s="78"/>
      <c r="P647" s="78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</row>
    <row r="648" spans="1:29" ht="15.75" customHeight="1">
      <c r="A648" s="71"/>
      <c r="B648" s="72"/>
      <c r="C648" s="75"/>
      <c r="D648" s="74"/>
      <c r="E648" s="75"/>
      <c r="F648" s="74"/>
      <c r="G648" s="72"/>
      <c r="H648" s="76"/>
      <c r="I648" s="72"/>
      <c r="J648" s="72"/>
      <c r="K648" s="72"/>
      <c r="L648" s="77"/>
      <c r="M648" s="77"/>
      <c r="N648" s="72"/>
      <c r="O648" s="78"/>
      <c r="P648" s="78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</row>
    <row r="649" spans="1:29" ht="15.75" customHeight="1">
      <c r="A649" s="71"/>
      <c r="B649" s="72"/>
      <c r="C649" s="75"/>
      <c r="D649" s="74"/>
      <c r="E649" s="75"/>
      <c r="F649" s="74"/>
      <c r="G649" s="72"/>
      <c r="H649" s="76"/>
      <c r="I649" s="72"/>
      <c r="J649" s="72"/>
      <c r="K649" s="72"/>
      <c r="L649" s="77"/>
      <c r="M649" s="77"/>
      <c r="N649" s="72"/>
      <c r="O649" s="78"/>
      <c r="P649" s="78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</row>
    <row r="650" spans="1:29" ht="15.75" customHeight="1">
      <c r="A650" s="71"/>
      <c r="B650" s="72"/>
      <c r="C650" s="75"/>
      <c r="D650" s="74"/>
      <c r="E650" s="75"/>
      <c r="F650" s="74"/>
      <c r="G650" s="72"/>
      <c r="H650" s="76"/>
      <c r="I650" s="72"/>
      <c r="J650" s="72"/>
      <c r="K650" s="72"/>
      <c r="L650" s="77"/>
      <c r="M650" s="77"/>
      <c r="N650" s="72"/>
      <c r="O650" s="78"/>
      <c r="P650" s="78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</row>
    <row r="651" spans="1:29" ht="15.75" customHeight="1">
      <c r="A651" s="71"/>
      <c r="B651" s="72"/>
      <c r="C651" s="75"/>
      <c r="D651" s="74"/>
      <c r="E651" s="75"/>
      <c r="F651" s="74"/>
      <c r="G651" s="72"/>
      <c r="H651" s="76"/>
      <c r="I651" s="72"/>
      <c r="J651" s="72"/>
      <c r="K651" s="72"/>
      <c r="L651" s="77"/>
      <c r="M651" s="77"/>
      <c r="N651" s="72"/>
      <c r="O651" s="78"/>
      <c r="P651" s="78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</row>
    <row r="652" spans="1:29" ht="15.75" customHeight="1">
      <c r="A652" s="71"/>
      <c r="B652" s="72"/>
      <c r="C652" s="75"/>
      <c r="D652" s="74"/>
      <c r="E652" s="75"/>
      <c r="F652" s="74"/>
      <c r="G652" s="72"/>
      <c r="H652" s="76"/>
      <c r="I652" s="72"/>
      <c r="J652" s="72"/>
      <c r="K652" s="72"/>
      <c r="L652" s="77"/>
      <c r="M652" s="77"/>
      <c r="N652" s="72"/>
      <c r="O652" s="78"/>
      <c r="P652" s="78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</row>
    <row r="653" spans="1:29" ht="15.75" customHeight="1">
      <c r="A653" s="71"/>
      <c r="B653" s="72"/>
      <c r="C653" s="75"/>
      <c r="D653" s="74"/>
      <c r="E653" s="75"/>
      <c r="F653" s="74"/>
      <c r="G653" s="72"/>
      <c r="H653" s="76"/>
      <c r="I653" s="72"/>
      <c r="J653" s="72"/>
      <c r="K653" s="72"/>
      <c r="L653" s="77"/>
      <c r="M653" s="77"/>
      <c r="N653" s="72"/>
      <c r="O653" s="78"/>
      <c r="P653" s="78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</row>
    <row r="654" spans="1:29" ht="15.75" customHeight="1">
      <c r="A654" s="71"/>
      <c r="B654" s="72"/>
      <c r="C654" s="75"/>
      <c r="D654" s="74"/>
      <c r="E654" s="75"/>
      <c r="F654" s="74"/>
      <c r="G654" s="72"/>
      <c r="H654" s="76"/>
      <c r="I654" s="72"/>
      <c r="J654" s="72"/>
      <c r="K654" s="72"/>
      <c r="L654" s="77"/>
      <c r="M654" s="77"/>
      <c r="N654" s="72"/>
      <c r="O654" s="78"/>
      <c r="P654" s="78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</row>
    <row r="655" spans="1:29" ht="15.75" customHeight="1">
      <c r="A655" s="71"/>
      <c r="B655" s="72"/>
      <c r="C655" s="75"/>
      <c r="D655" s="74"/>
      <c r="E655" s="75"/>
      <c r="F655" s="74"/>
      <c r="G655" s="72"/>
      <c r="H655" s="76"/>
      <c r="I655" s="72"/>
      <c r="J655" s="72"/>
      <c r="K655" s="72"/>
      <c r="L655" s="77"/>
      <c r="M655" s="77"/>
      <c r="N655" s="72"/>
      <c r="O655" s="78"/>
      <c r="P655" s="78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</row>
    <row r="656" spans="1:29" ht="15.75" customHeight="1">
      <c r="A656" s="71"/>
      <c r="B656" s="72"/>
      <c r="C656" s="75"/>
      <c r="D656" s="74"/>
      <c r="E656" s="75"/>
      <c r="F656" s="74"/>
      <c r="G656" s="72"/>
      <c r="H656" s="76"/>
      <c r="I656" s="72"/>
      <c r="J656" s="72"/>
      <c r="K656" s="72"/>
      <c r="L656" s="77"/>
      <c r="M656" s="77"/>
      <c r="N656" s="72"/>
      <c r="O656" s="78"/>
      <c r="P656" s="78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</row>
    <row r="657" spans="1:29" ht="15.75" customHeight="1">
      <c r="A657" s="71"/>
      <c r="B657" s="72"/>
      <c r="C657" s="75"/>
      <c r="D657" s="74"/>
      <c r="E657" s="75"/>
      <c r="F657" s="74"/>
      <c r="G657" s="72"/>
      <c r="H657" s="76"/>
      <c r="I657" s="72"/>
      <c r="J657" s="72"/>
      <c r="K657" s="72"/>
      <c r="L657" s="77"/>
      <c r="M657" s="77"/>
      <c r="N657" s="72"/>
      <c r="O657" s="78"/>
      <c r="P657" s="78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</row>
    <row r="658" spans="1:29" ht="15.75" customHeight="1">
      <c r="A658" s="71"/>
      <c r="B658" s="72"/>
      <c r="C658" s="75"/>
      <c r="D658" s="74"/>
      <c r="E658" s="75"/>
      <c r="F658" s="74"/>
      <c r="G658" s="72"/>
      <c r="H658" s="76"/>
      <c r="I658" s="72"/>
      <c r="J658" s="72"/>
      <c r="K658" s="72"/>
      <c r="L658" s="77"/>
      <c r="M658" s="77"/>
      <c r="N658" s="72"/>
      <c r="O658" s="78"/>
      <c r="P658" s="78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</row>
    <row r="659" spans="1:29" ht="15.75" customHeight="1">
      <c r="A659" s="71"/>
      <c r="B659" s="72"/>
      <c r="C659" s="75"/>
      <c r="D659" s="74"/>
      <c r="E659" s="75"/>
      <c r="F659" s="74"/>
      <c r="G659" s="72"/>
      <c r="H659" s="76"/>
      <c r="I659" s="72"/>
      <c r="J659" s="72"/>
      <c r="K659" s="72"/>
      <c r="L659" s="77"/>
      <c r="M659" s="77"/>
      <c r="N659" s="72"/>
      <c r="O659" s="78"/>
      <c r="P659" s="78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</row>
    <row r="660" spans="1:29" ht="15.75" customHeight="1">
      <c r="A660" s="71"/>
      <c r="B660" s="72"/>
      <c r="C660" s="75"/>
      <c r="D660" s="74"/>
      <c r="E660" s="75"/>
      <c r="F660" s="74"/>
      <c r="G660" s="72"/>
      <c r="H660" s="76"/>
      <c r="I660" s="72"/>
      <c r="J660" s="72"/>
      <c r="K660" s="72"/>
      <c r="L660" s="77"/>
      <c r="M660" s="77"/>
      <c r="N660" s="72"/>
      <c r="O660" s="78"/>
      <c r="P660" s="78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</row>
    <row r="661" spans="1:29" ht="15.75" customHeight="1">
      <c r="A661" s="71"/>
      <c r="B661" s="72"/>
      <c r="C661" s="75"/>
      <c r="D661" s="74"/>
      <c r="E661" s="75"/>
      <c r="F661" s="74"/>
      <c r="G661" s="72"/>
      <c r="H661" s="76"/>
      <c r="I661" s="72"/>
      <c r="J661" s="72"/>
      <c r="K661" s="72"/>
      <c r="L661" s="77"/>
      <c r="M661" s="77"/>
      <c r="N661" s="72"/>
      <c r="O661" s="78"/>
      <c r="P661" s="78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</row>
    <row r="662" spans="1:29" ht="15.75" customHeight="1">
      <c r="A662" s="71"/>
      <c r="B662" s="72"/>
      <c r="C662" s="75"/>
      <c r="D662" s="74"/>
      <c r="E662" s="75"/>
      <c r="F662" s="74"/>
      <c r="G662" s="72"/>
      <c r="H662" s="76"/>
      <c r="I662" s="72"/>
      <c r="J662" s="72"/>
      <c r="K662" s="72"/>
      <c r="L662" s="77"/>
      <c r="M662" s="77"/>
      <c r="N662" s="72"/>
      <c r="O662" s="78"/>
      <c r="P662" s="78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</row>
    <row r="663" spans="1:29" ht="15.75" customHeight="1">
      <c r="A663" s="71"/>
      <c r="B663" s="72"/>
      <c r="C663" s="75"/>
      <c r="D663" s="74"/>
      <c r="E663" s="75"/>
      <c r="F663" s="74"/>
      <c r="G663" s="72"/>
      <c r="H663" s="76"/>
      <c r="I663" s="72"/>
      <c r="J663" s="72"/>
      <c r="K663" s="72"/>
      <c r="L663" s="77"/>
      <c r="M663" s="77"/>
      <c r="N663" s="72"/>
      <c r="O663" s="78"/>
      <c r="P663" s="78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</row>
    <row r="664" spans="1:29" ht="15.75" customHeight="1">
      <c r="A664" s="71"/>
      <c r="B664" s="72"/>
      <c r="C664" s="75"/>
      <c r="D664" s="74"/>
      <c r="E664" s="75"/>
      <c r="F664" s="74"/>
      <c r="G664" s="72"/>
      <c r="H664" s="76"/>
      <c r="I664" s="72"/>
      <c r="J664" s="72"/>
      <c r="K664" s="72"/>
      <c r="L664" s="77"/>
      <c r="M664" s="77"/>
      <c r="N664" s="72"/>
      <c r="O664" s="78"/>
      <c r="P664" s="78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</row>
    <row r="665" spans="1:29" ht="15.75" customHeight="1">
      <c r="A665" s="71"/>
      <c r="B665" s="72"/>
      <c r="C665" s="75"/>
      <c r="D665" s="74"/>
      <c r="E665" s="75"/>
      <c r="F665" s="74"/>
      <c r="G665" s="72"/>
      <c r="H665" s="76"/>
      <c r="I665" s="72"/>
      <c r="J665" s="72"/>
      <c r="K665" s="72"/>
      <c r="L665" s="77"/>
      <c r="M665" s="77"/>
      <c r="N665" s="72"/>
      <c r="O665" s="78"/>
      <c r="P665" s="78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</row>
    <row r="666" spans="1:29" ht="15.75" customHeight="1">
      <c r="A666" s="71"/>
      <c r="B666" s="72"/>
      <c r="C666" s="75"/>
      <c r="D666" s="74"/>
      <c r="E666" s="75"/>
      <c r="F666" s="74"/>
      <c r="G666" s="72"/>
      <c r="H666" s="76"/>
      <c r="I666" s="72"/>
      <c r="J666" s="72"/>
      <c r="K666" s="72"/>
      <c r="L666" s="77"/>
      <c r="M666" s="77"/>
      <c r="N666" s="72"/>
      <c r="O666" s="78"/>
      <c r="P666" s="78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</row>
    <row r="667" spans="1:29" ht="15.75" customHeight="1">
      <c r="A667" s="71"/>
      <c r="B667" s="72"/>
      <c r="C667" s="75"/>
      <c r="D667" s="74"/>
      <c r="E667" s="75"/>
      <c r="F667" s="74"/>
      <c r="G667" s="72"/>
      <c r="H667" s="76"/>
      <c r="I667" s="72"/>
      <c r="J667" s="72"/>
      <c r="K667" s="72"/>
      <c r="L667" s="77"/>
      <c r="M667" s="77"/>
      <c r="N667" s="72"/>
      <c r="O667" s="78"/>
      <c r="P667" s="78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</row>
    <row r="668" spans="1:29" ht="15.75" customHeight="1">
      <c r="A668" s="71"/>
      <c r="B668" s="72"/>
      <c r="C668" s="75"/>
      <c r="D668" s="74"/>
      <c r="E668" s="75"/>
      <c r="F668" s="74"/>
      <c r="G668" s="72"/>
      <c r="H668" s="76"/>
      <c r="I668" s="72"/>
      <c r="J668" s="72"/>
      <c r="K668" s="72"/>
      <c r="L668" s="77"/>
      <c r="M668" s="77"/>
      <c r="N668" s="72"/>
      <c r="O668" s="78"/>
      <c r="P668" s="78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</row>
    <row r="669" spans="1:29" ht="15.75" customHeight="1">
      <c r="A669" s="71"/>
      <c r="B669" s="72"/>
      <c r="C669" s="75"/>
      <c r="D669" s="74"/>
      <c r="E669" s="75"/>
      <c r="F669" s="74"/>
      <c r="G669" s="72"/>
      <c r="H669" s="76"/>
      <c r="I669" s="72"/>
      <c r="J669" s="72"/>
      <c r="K669" s="72"/>
      <c r="L669" s="77"/>
      <c r="M669" s="77"/>
      <c r="N669" s="72"/>
      <c r="O669" s="78"/>
      <c r="P669" s="78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</row>
    <row r="670" spans="1:29" ht="15.75" customHeight="1">
      <c r="A670" s="71"/>
      <c r="B670" s="72"/>
      <c r="C670" s="75"/>
      <c r="D670" s="74"/>
      <c r="E670" s="75"/>
      <c r="F670" s="74"/>
      <c r="G670" s="72"/>
      <c r="H670" s="76"/>
      <c r="I670" s="72"/>
      <c r="J670" s="72"/>
      <c r="K670" s="72"/>
      <c r="L670" s="77"/>
      <c r="M670" s="77"/>
      <c r="N670" s="72"/>
      <c r="O670" s="78"/>
      <c r="P670" s="78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</row>
    <row r="671" spans="1:29" ht="15.75" customHeight="1">
      <c r="A671" s="71"/>
      <c r="B671" s="72"/>
      <c r="C671" s="75"/>
      <c r="D671" s="74"/>
      <c r="E671" s="75"/>
      <c r="F671" s="74"/>
      <c r="G671" s="72"/>
      <c r="H671" s="76"/>
      <c r="I671" s="72"/>
      <c r="J671" s="72"/>
      <c r="K671" s="72"/>
      <c r="L671" s="77"/>
      <c r="M671" s="77"/>
      <c r="N671" s="72"/>
      <c r="O671" s="78"/>
      <c r="P671" s="78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</row>
    <row r="672" spans="1:29" ht="15.75" customHeight="1">
      <c r="A672" s="71"/>
      <c r="B672" s="72"/>
      <c r="C672" s="75"/>
      <c r="D672" s="74"/>
      <c r="E672" s="75"/>
      <c r="F672" s="74"/>
      <c r="G672" s="72"/>
      <c r="H672" s="76"/>
      <c r="I672" s="72"/>
      <c r="J672" s="72"/>
      <c r="K672" s="72"/>
      <c r="L672" s="77"/>
      <c r="M672" s="77"/>
      <c r="N672" s="72"/>
      <c r="O672" s="78"/>
      <c r="P672" s="78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</row>
    <row r="673" spans="1:29" ht="15.75" customHeight="1">
      <c r="A673" s="71"/>
      <c r="B673" s="72"/>
      <c r="C673" s="75"/>
      <c r="D673" s="74"/>
      <c r="E673" s="75"/>
      <c r="F673" s="74"/>
      <c r="G673" s="72"/>
      <c r="H673" s="76"/>
      <c r="I673" s="72"/>
      <c r="J673" s="72"/>
      <c r="K673" s="72"/>
      <c r="L673" s="77"/>
      <c r="M673" s="77"/>
      <c r="N673" s="72"/>
      <c r="O673" s="78"/>
      <c r="P673" s="78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</row>
    <row r="674" spans="1:29" ht="15.75" customHeight="1">
      <c r="A674" s="71"/>
      <c r="B674" s="72"/>
      <c r="C674" s="75"/>
      <c r="D674" s="74"/>
      <c r="E674" s="75"/>
      <c r="F674" s="74"/>
      <c r="G674" s="72"/>
      <c r="H674" s="76"/>
      <c r="I674" s="72"/>
      <c r="J674" s="72"/>
      <c r="K674" s="72"/>
      <c r="L674" s="77"/>
      <c r="M674" s="77"/>
      <c r="N674" s="72"/>
      <c r="O674" s="78"/>
      <c r="P674" s="78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</row>
    <row r="675" spans="1:29" ht="15.75" customHeight="1">
      <c r="A675" s="71"/>
      <c r="B675" s="72"/>
      <c r="C675" s="75"/>
      <c r="D675" s="74"/>
      <c r="E675" s="75"/>
      <c r="F675" s="74"/>
      <c r="G675" s="72"/>
      <c r="H675" s="76"/>
      <c r="I675" s="72"/>
      <c r="J675" s="72"/>
      <c r="K675" s="72"/>
      <c r="L675" s="77"/>
      <c r="M675" s="77"/>
      <c r="N675" s="72"/>
      <c r="O675" s="78"/>
      <c r="P675" s="78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</row>
    <row r="676" spans="1:29" ht="15.75" customHeight="1">
      <c r="A676" s="71"/>
      <c r="B676" s="72"/>
      <c r="C676" s="75"/>
      <c r="D676" s="74"/>
      <c r="E676" s="75"/>
      <c r="F676" s="74"/>
      <c r="G676" s="72"/>
      <c r="H676" s="76"/>
      <c r="I676" s="72"/>
      <c r="J676" s="72"/>
      <c r="K676" s="72"/>
      <c r="L676" s="77"/>
      <c r="M676" s="77"/>
      <c r="N676" s="72"/>
      <c r="O676" s="78"/>
      <c r="P676" s="78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</row>
    <row r="677" spans="1:29" ht="15.75" customHeight="1">
      <c r="A677" s="71"/>
      <c r="B677" s="72"/>
      <c r="C677" s="75"/>
      <c r="D677" s="74"/>
      <c r="E677" s="75"/>
      <c r="F677" s="74"/>
      <c r="G677" s="72"/>
      <c r="H677" s="76"/>
      <c r="I677" s="72"/>
      <c r="J677" s="72"/>
      <c r="K677" s="72"/>
      <c r="L677" s="77"/>
      <c r="M677" s="77"/>
      <c r="N677" s="72"/>
      <c r="O677" s="78"/>
      <c r="P677" s="78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</row>
    <row r="678" spans="1:29" ht="15.75" customHeight="1">
      <c r="A678" s="71"/>
      <c r="B678" s="72"/>
      <c r="C678" s="75"/>
      <c r="D678" s="74"/>
      <c r="E678" s="75"/>
      <c r="F678" s="74"/>
      <c r="G678" s="72"/>
      <c r="H678" s="76"/>
      <c r="I678" s="72"/>
      <c r="J678" s="72"/>
      <c r="K678" s="72"/>
      <c r="L678" s="77"/>
      <c r="M678" s="77"/>
      <c r="N678" s="72"/>
      <c r="O678" s="78"/>
      <c r="P678" s="78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</row>
    <row r="679" spans="1:29" ht="15.75" customHeight="1">
      <c r="A679" s="71"/>
      <c r="B679" s="72"/>
      <c r="C679" s="75"/>
      <c r="D679" s="74"/>
      <c r="E679" s="75"/>
      <c r="F679" s="74"/>
      <c r="G679" s="72"/>
      <c r="H679" s="76"/>
      <c r="I679" s="72"/>
      <c r="J679" s="72"/>
      <c r="K679" s="72"/>
      <c r="L679" s="77"/>
      <c r="M679" s="77"/>
      <c r="N679" s="72"/>
      <c r="O679" s="78"/>
      <c r="P679" s="78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</row>
    <row r="680" spans="1:29" ht="15.75" customHeight="1">
      <c r="A680" s="71"/>
      <c r="B680" s="72"/>
      <c r="C680" s="75"/>
      <c r="D680" s="74"/>
      <c r="E680" s="75"/>
      <c r="F680" s="74"/>
      <c r="G680" s="72"/>
      <c r="H680" s="76"/>
      <c r="I680" s="72"/>
      <c r="J680" s="72"/>
      <c r="K680" s="72"/>
      <c r="L680" s="77"/>
      <c r="M680" s="77"/>
      <c r="N680" s="72"/>
      <c r="O680" s="78"/>
      <c r="P680" s="78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</row>
    <row r="681" spans="1:29" ht="15.75" customHeight="1">
      <c r="A681" s="71"/>
      <c r="B681" s="72"/>
      <c r="C681" s="75"/>
      <c r="D681" s="74"/>
      <c r="E681" s="75"/>
      <c r="F681" s="74"/>
      <c r="G681" s="72"/>
      <c r="H681" s="76"/>
      <c r="I681" s="72"/>
      <c r="J681" s="72"/>
      <c r="K681" s="72"/>
      <c r="L681" s="77"/>
      <c r="M681" s="77"/>
      <c r="N681" s="72"/>
      <c r="O681" s="78"/>
      <c r="P681" s="78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</row>
    <row r="682" spans="1:29" ht="15.75" customHeight="1">
      <c r="A682" s="71"/>
      <c r="B682" s="72"/>
      <c r="C682" s="75"/>
      <c r="D682" s="74"/>
      <c r="E682" s="75"/>
      <c r="F682" s="74"/>
      <c r="G682" s="72"/>
      <c r="H682" s="76"/>
      <c r="I682" s="72"/>
      <c r="J682" s="72"/>
      <c r="K682" s="72"/>
      <c r="L682" s="77"/>
      <c r="M682" s="77"/>
      <c r="N682" s="72"/>
      <c r="O682" s="78"/>
      <c r="P682" s="78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</row>
    <row r="683" spans="1:29" ht="15.75" customHeight="1">
      <c r="A683" s="71"/>
      <c r="B683" s="72"/>
      <c r="C683" s="75"/>
      <c r="D683" s="74"/>
      <c r="E683" s="75"/>
      <c r="F683" s="74"/>
      <c r="G683" s="72"/>
      <c r="H683" s="76"/>
      <c r="I683" s="72"/>
      <c r="J683" s="72"/>
      <c r="K683" s="72"/>
      <c r="L683" s="77"/>
      <c r="M683" s="77"/>
      <c r="N683" s="72"/>
      <c r="O683" s="78"/>
      <c r="P683" s="78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</row>
    <row r="684" spans="1:29" ht="15.75" customHeight="1">
      <c r="A684" s="71"/>
      <c r="B684" s="72"/>
      <c r="C684" s="75"/>
      <c r="D684" s="74"/>
      <c r="E684" s="75"/>
      <c r="F684" s="74"/>
      <c r="G684" s="72"/>
      <c r="H684" s="76"/>
      <c r="I684" s="72"/>
      <c r="J684" s="72"/>
      <c r="K684" s="72"/>
      <c r="L684" s="77"/>
      <c r="M684" s="77"/>
      <c r="N684" s="72"/>
      <c r="O684" s="78"/>
      <c r="P684" s="78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</row>
    <row r="685" spans="1:29" ht="15.75" customHeight="1">
      <c r="A685" s="71"/>
      <c r="B685" s="72"/>
      <c r="C685" s="75"/>
      <c r="D685" s="74"/>
      <c r="E685" s="75"/>
      <c r="F685" s="74"/>
      <c r="G685" s="72"/>
      <c r="H685" s="76"/>
      <c r="I685" s="72"/>
      <c r="J685" s="72"/>
      <c r="K685" s="72"/>
      <c r="L685" s="77"/>
      <c r="M685" s="77"/>
      <c r="N685" s="72"/>
      <c r="O685" s="78"/>
      <c r="P685" s="78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</row>
    <row r="686" spans="1:29" ht="15.75" customHeight="1">
      <c r="A686" s="71"/>
      <c r="B686" s="72"/>
      <c r="C686" s="75"/>
      <c r="D686" s="74"/>
      <c r="E686" s="75"/>
      <c r="F686" s="74"/>
      <c r="G686" s="72"/>
      <c r="H686" s="76"/>
      <c r="I686" s="72"/>
      <c r="J686" s="72"/>
      <c r="K686" s="72"/>
      <c r="L686" s="77"/>
      <c r="M686" s="77"/>
      <c r="N686" s="72"/>
      <c r="O686" s="78"/>
      <c r="P686" s="78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</row>
    <row r="687" spans="1:29" ht="15.75" customHeight="1">
      <c r="A687" s="71"/>
      <c r="B687" s="72"/>
      <c r="C687" s="75"/>
      <c r="D687" s="74"/>
      <c r="E687" s="75"/>
      <c r="F687" s="74"/>
      <c r="G687" s="72"/>
      <c r="H687" s="76"/>
      <c r="I687" s="72"/>
      <c r="J687" s="72"/>
      <c r="K687" s="72"/>
      <c r="L687" s="77"/>
      <c r="M687" s="77"/>
      <c r="N687" s="72"/>
      <c r="O687" s="78"/>
      <c r="P687" s="78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</row>
    <row r="688" spans="1:29" ht="15.75" customHeight="1">
      <c r="A688" s="71"/>
      <c r="B688" s="72"/>
      <c r="C688" s="75"/>
      <c r="D688" s="74"/>
      <c r="E688" s="75"/>
      <c r="F688" s="74"/>
      <c r="G688" s="72"/>
      <c r="H688" s="76"/>
      <c r="I688" s="72"/>
      <c r="J688" s="72"/>
      <c r="K688" s="72"/>
      <c r="L688" s="77"/>
      <c r="M688" s="77"/>
      <c r="N688" s="72"/>
      <c r="O688" s="78"/>
      <c r="P688" s="78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</row>
    <row r="689" spans="1:29" ht="15.75" customHeight="1">
      <c r="A689" s="71"/>
      <c r="B689" s="72"/>
      <c r="C689" s="75"/>
      <c r="D689" s="74"/>
      <c r="E689" s="75"/>
      <c r="F689" s="74"/>
      <c r="G689" s="72"/>
      <c r="H689" s="76"/>
      <c r="I689" s="72"/>
      <c r="J689" s="72"/>
      <c r="K689" s="72"/>
      <c r="L689" s="77"/>
      <c r="M689" s="77"/>
      <c r="N689" s="72"/>
      <c r="O689" s="78"/>
      <c r="P689" s="78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</row>
    <row r="690" spans="1:29" ht="15.75" customHeight="1">
      <c r="A690" s="71"/>
      <c r="B690" s="72"/>
      <c r="C690" s="75"/>
      <c r="D690" s="74"/>
      <c r="E690" s="75"/>
      <c r="F690" s="74"/>
      <c r="G690" s="72"/>
      <c r="H690" s="76"/>
      <c r="I690" s="72"/>
      <c r="J690" s="72"/>
      <c r="K690" s="72"/>
      <c r="L690" s="77"/>
      <c r="M690" s="77"/>
      <c r="N690" s="72"/>
      <c r="O690" s="78"/>
      <c r="P690" s="78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</row>
    <row r="691" spans="1:29" ht="15.75" customHeight="1">
      <c r="A691" s="71"/>
      <c r="B691" s="72"/>
      <c r="C691" s="75"/>
      <c r="D691" s="74"/>
      <c r="E691" s="75"/>
      <c r="F691" s="74"/>
      <c r="G691" s="72"/>
      <c r="H691" s="76"/>
      <c r="I691" s="72"/>
      <c r="J691" s="72"/>
      <c r="K691" s="72"/>
      <c r="L691" s="77"/>
      <c r="M691" s="77"/>
      <c r="N691" s="72"/>
      <c r="O691" s="78"/>
      <c r="P691" s="78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</row>
    <row r="692" spans="1:29" ht="15.75" customHeight="1">
      <c r="A692" s="71"/>
      <c r="B692" s="72"/>
      <c r="C692" s="75"/>
      <c r="D692" s="74"/>
      <c r="E692" s="75"/>
      <c r="F692" s="74"/>
      <c r="G692" s="72"/>
      <c r="H692" s="76"/>
      <c r="I692" s="72"/>
      <c r="J692" s="72"/>
      <c r="K692" s="72"/>
      <c r="L692" s="77"/>
      <c r="M692" s="77"/>
      <c r="N692" s="72"/>
      <c r="O692" s="78"/>
      <c r="P692" s="78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</row>
    <row r="693" spans="1:29" ht="15.75" customHeight="1">
      <c r="A693" s="71"/>
      <c r="B693" s="72"/>
      <c r="C693" s="75"/>
      <c r="D693" s="74"/>
      <c r="E693" s="75"/>
      <c r="F693" s="74"/>
      <c r="G693" s="72"/>
      <c r="H693" s="76"/>
      <c r="I693" s="72"/>
      <c r="J693" s="72"/>
      <c r="K693" s="72"/>
      <c r="L693" s="77"/>
      <c r="M693" s="77"/>
      <c r="N693" s="72"/>
      <c r="O693" s="78"/>
      <c r="P693" s="78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</row>
    <row r="694" spans="1:29" ht="15.75" customHeight="1">
      <c r="A694" s="71"/>
      <c r="B694" s="72"/>
      <c r="C694" s="75"/>
      <c r="D694" s="74"/>
      <c r="E694" s="75"/>
      <c r="F694" s="74"/>
      <c r="G694" s="72"/>
      <c r="H694" s="76"/>
      <c r="I694" s="72"/>
      <c r="J694" s="72"/>
      <c r="K694" s="72"/>
      <c r="L694" s="77"/>
      <c r="M694" s="77"/>
      <c r="N694" s="72"/>
      <c r="O694" s="78"/>
      <c r="P694" s="78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</row>
    <row r="695" spans="1:29" ht="15.75" customHeight="1">
      <c r="A695" s="71"/>
      <c r="B695" s="72"/>
      <c r="C695" s="75"/>
      <c r="D695" s="74"/>
      <c r="E695" s="75"/>
      <c r="F695" s="74"/>
      <c r="G695" s="72"/>
      <c r="H695" s="76"/>
      <c r="I695" s="72"/>
      <c r="J695" s="72"/>
      <c r="K695" s="72"/>
      <c r="L695" s="77"/>
      <c r="M695" s="77"/>
      <c r="N695" s="72"/>
      <c r="O695" s="78"/>
      <c r="P695" s="78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</row>
    <row r="696" spans="1:29" ht="15.75" customHeight="1">
      <c r="A696" s="71"/>
      <c r="B696" s="72"/>
      <c r="C696" s="75"/>
      <c r="D696" s="74"/>
      <c r="E696" s="75"/>
      <c r="F696" s="74"/>
      <c r="G696" s="72"/>
      <c r="H696" s="76"/>
      <c r="I696" s="72"/>
      <c r="J696" s="72"/>
      <c r="K696" s="72"/>
      <c r="L696" s="77"/>
      <c r="M696" s="77"/>
      <c r="N696" s="72"/>
      <c r="O696" s="78"/>
      <c r="P696" s="78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</row>
    <row r="697" spans="1:29" ht="15.75" customHeight="1">
      <c r="A697" s="71"/>
      <c r="B697" s="72"/>
      <c r="C697" s="75"/>
      <c r="D697" s="74"/>
      <c r="E697" s="75"/>
      <c r="F697" s="74"/>
      <c r="G697" s="72"/>
      <c r="H697" s="76"/>
      <c r="I697" s="72"/>
      <c r="J697" s="72"/>
      <c r="K697" s="72"/>
      <c r="L697" s="77"/>
      <c r="M697" s="77"/>
      <c r="N697" s="72"/>
      <c r="O697" s="78"/>
      <c r="P697" s="78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</row>
    <row r="698" spans="1:29" ht="15.75" customHeight="1">
      <c r="A698" s="71"/>
      <c r="B698" s="72"/>
      <c r="C698" s="75"/>
      <c r="D698" s="74"/>
      <c r="E698" s="75"/>
      <c r="F698" s="74"/>
      <c r="G698" s="72"/>
      <c r="H698" s="76"/>
      <c r="I698" s="72"/>
      <c r="J698" s="72"/>
      <c r="K698" s="72"/>
      <c r="L698" s="77"/>
      <c r="M698" s="77"/>
      <c r="N698" s="72"/>
      <c r="O698" s="78"/>
      <c r="P698" s="78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</row>
    <row r="699" spans="1:29" ht="15.75" customHeight="1">
      <c r="A699" s="71"/>
      <c r="B699" s="72"/>
      <c r="C699" s="75"/>
      <c r="D699" s="74"/>
      <c r="E699" s="75"/>
      <c r="F699" s="74"/>
      <c r="G699" s="72"/>
      <c r="H699" s="76"/>
      <c r="I699" s="72"/>
      <c r="J699" s="72"/>
      <c r="K699" s="72"/>
      <c r="L699" s="77"/>
      <c r="M699" s="77"/>
      <c r="N699" s="72"/>
      <c r="O699" s="78"/>
      <c r="P699" s="78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</row>
    <row r="700" spans="1:29" ht="15.75" customHeight="1">
      <c r="A700" s="71"/>
      <c r="B700" s="72"/>
      <c r="C700" s="75"/>
      <c r="D700" s="74"/>
      <c r="E700" s="75"/>
      <c r="F700" s="74"/>
      <c r="G700" s="72"/>
      <c r="H700" s="76"/>
      <c r="I700" s="72"/>
      <c r="J700" s="72"/>
      <c r="K700" s="72"/>
      <c r="L700" s="77"/>
      <c r="M700" s="77"/>
      <c r="N700" s="72"/>
      <c r="O700" s="78"/>
      <c r="P700" s="78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</row>
    <row r="701" spans="1:29" ht="15.75" customHeight="1">
      <c r="A701" s="71"/>
      <c r="B701" s="72"/>
      <c r="C701" s="75"/>
      <c r="D701" s="74"/>
      <c r="E701" s="75"/>
      <c r="F701" s="74"/>
      <c r="G701" s="72"/>
      <c r="H701" s="76"/>
      <c r="I701" s="72"/>
      <c r="J701" s="72"/>
      <c r="K701" s="72"/>
      <c r="L701" s="77"/>
      <c r="M701" s="77"/>
      <c r="N701" s="72"/>
      <c r="O701" s="78"/>
      <c r="P701" s="78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</row>
    <row r="702" spans="1:29" ht="15.75" customHeight="1">
      <c r="A702" s="71"/>
      <c r="B702" s="72"/>
      <c r="C702" s="75"/>
      <c r="D702" s="74"/>
      <c r="E702" s="75"/>
      <c r="F702" s="74"/>
      <c r="G702" s="72"/>
      <c r="H702" s="76"/>
      <c r="I702" s="72"/>
      <c r="J702" s="72"/>
      <c r="K702" s="72"/>
      <c r="L702" s="77"/>
      <c r="M702" s="77"/>
      <c r="N702" s="72"/>
      <c r="O702" s="78"/>
      <c r="P702" s="78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</row>
    <row r="703" spans="1:29" ht="15.75" customHeight="1">
      <c r="A703" s="71"/>
      <c r="B703" s="72"/>
      <c r="C703" s="75"/>
      <c r="D703" s="74"/>
      <c r="E703" s="75"/>
      <c r="F703" s="74"/>
      <c r="G703" s="72"/>
      <c r="H703" s="76"/>
      <c r="I703" s="72"/>
      <c r="J703" s="72"/>
      <c r="K703" s="72"/>
      <c r="L703" s="77"/>
      <c r="M703" s="77"/>
      <c r="N703" s="72"/>
      <c r="O703" s="78"/>
      <c r="P703" s="78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</row>
    <row r="704" spans="1:29" ht="15.75" customHeight="1">
      <c r="A704" s="71"/>
      <c r="B704" s="72"/>
      <c r="C704" s="75"/>
      <c r="D704" s="74"/>
      <c r="E704" s="75"/>
      <c r="F704" s="74"/>
      <c r="G704" s="72"/>
      <c r="H704" s="76"/>
      <c r="I704" s="72"/>
      <c r="J704" s="72"/>
      <c r="K704" s="72"/>
      <c r="L704" s="77"/>
      <c r="M704" s="77"/>
      <c r="N704" s="72"/>
      <c r="O704" s="78"/>
      <c r="P704" s="78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</row>
    <row r="705" spans="1:29" ht="15.75" customHeight="1">
      <c r="A705" s="71"/>
      <c r="B705" s="72"/>
      <c r="C705" s="75"/>
      <c r="D705" s="74"/>
      <c r="E705" s="75"/>
      <c r="F705" s="74"/>
      <c r="G705" s="72"/>
      <c r="H705" s="76"/>
      <c r="I705" s="72"/>
      <c r="J705" s="72"/>
      <c r="K705" s="72"/>
      <c r="L705" s="77"/>
      <c r="M705" s="77"/>
      <c r="N705" s="72"/>
      <c r="O705" s="78"/>
      <c r="P705" s="78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</row>
    <row r="706" spans="1:29" ht="15.75" customHeight="1">
      <c r="A706" s="71"/>
      <c r="B706" s="72"/>
      <c r="C706" s="75"/>
      <c r="D706" s="74"/>
      <c r="E706" s="75"/>
      <c r="F706" s="74"/>
      <c r="G706" s="72"/>
      <c r="H706" s="76"/>
      <c r="I706" s="72"/>
      <c r="J706" s="72"/>
      <c r="K706" s="72"/>
      <c r="L706" s="77"/>
      <c r="M706" s="77"/>
      <c r="N706" s="72"/>
      <c r="O706" s="78"/>
      <c r="P706" s="78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</row>
    <row r="707" spans="1:29" ht="15.75" customHeight="1">
      <c r="A707" s="71"/>
      <c r="B707" s="72"/>
      <c r="C707" s="75"/>
      <c r="D707" s="74"/>
      <c r="E707" s="75"/>
      <c r="F707" s="74"/>
      <c r="G707" s="72"/>
      <c r="H707" s="76"/>
      <c r="I707" s="72"/>
      <c r="J707" s="72"/>
      <c r="K707" s="72"/>
      <c r="L707" s="77"/>
      <c r="M707" s="77"/>
      <c r="N707" s="72"/>
      <c r="O707" s="78"/>
      <c r="P707" s="78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</row>
    <row r="708" spans="1:29" ht="15.75" customHeight="1">
      <c r="A708" s="71"/>
      <c r="B708" s="72"/>
      <c r="C708" s="75"/>
      <c r="D708" s="74"/>
      <c r="E708" s="75"/>
      <c r="F708" s="74"/>
      <c r="G708" s="72"/>
      <c r="H708" s="76"/>
      <c r="I708" s="72"/>
      <c r="J708" s="72"/>
      <c r="K708" s="72"/>
      <c r="L708" s="77"/>
      <c r="M708" s="77"/>
      <c r="N708" s="72"/>
      <c r="O708" s="78"/>
      <c r="P708" s="78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</row>
    <row r="709" spans="1:29" ht="15.75" customHeight="1">
      <c r="A709" s="71"/>
      <c r="B709" s="72"/>
      <c r="C709" s="75"/>
      <c r="D709" s="74"/>
      <c r="E709" s="75"/>
      <c r="F709" s="74"/>
      <c r="G709" s="72"/>
      <c r="H709" s="76"/>
      <c r="I709" s="72"/>
      <c r="J709" s="72"/>
      <c r="K709" s="72"/>
      <c r="L709" s="77"/>
      <c r="M709" s="77"/>
      <c r="N709" s="72"/>
      <c r="O709" s="78"/>
      <c r="P709" s="78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</row>
    <row r="710" spans="1:29" ht="15.75" customHeight="1">
      <c r="A710" s="71"/>
      <c r="B710" s="72"/>
      <c r="C710" s="75"/>
      <c r="D710" s="74"/>
      <c r="E710" s="75"/>
      <c r="F710" s="74"/>
      <c r="G710" s="72"/>
      <c r="H710" s="76"/>
      <c r="I710" s="72"/>
      <c r="J710" s="72"/>
      <c r="K710" s="72"/>
      <c r="L710" s="77"/>
      <c r="M710" s="77"/>
      <c r="N710" s="72"/>
      <c r="O710" s="78"/>
      <c r="P710" s="78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</row>
    <row r="711" spans="1:29" ht="15.75" customHeight="1">
      <c r="A711" s="71"/>
      <c r="B711" s="72"/>
      <c r="C711" s="75"/>
      <c r="D711" s="74"/>
      <c r="E711" s="75"/>
      <c r="F711" s="74"/>
      <c r="G711" s="72"/>
      <c r="H711" s="76"/>
      <c r="I711" s="72"/>
      <c r="J711" s="72"/>
      <c r="K711" s="72"/>
      <c r="L711" s="77"/>
      <c r="M711" s="77"/>
      <c r="N711" s="72"/>
      <c r="O711" s="78"/>
      <c r="P711" s="78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</row>
    <row r="712" spans="1:29" ht="15.75" customHeight="1">
      <c r="A712" s="71"/>
      <c r="B712" s="72"/>
      <c r="C712" s="75"/>
      <c r="D712" s="74"/>
      <c r="E712" s="75"/>
      <c r="F712" s="74"/>
      <c r="G712" s="72"/>
      <c r="H712" s="76"/>
      <c r="I712" s="72"/>
      <c r="J712" s="72"/>
      <c r="K712" s="72"/>
      <c r="L712" s="77"/>
      <c r="M712" s="77"/>
      <c r="N712" s="72"/>
      <c r="O712" s="78"/>
      <c r="P712" s="78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</row>
    <row r="713" spans="1:29" ht="15.75" customHeight="1">
      <c r="A713" s="71"/>
      <c r="B713" s="72"/>
      <c r="C713" s="75"/>
      <c r="D713" s="74"/>
      <c r="E713" s="75"/>
      <c r="F713" s="74"/>
      <c r="G713" s="72"/>
      <c r="H713" s="76"/>
      <c r="I713" s="72"/>
      <c r="J713" s="72"/>
      <c r="K713" s="72"/>
      <c r="L713" s="77"/>
      <c r="M713" s="77"/>
      <c r="N713" s="72"/>
      <c r="O713" s="78"/>
      <c r="P713" s="78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</row>
    <row r="714" spans="1:29" ht="15.75" customHeight="1">
      <c r="A714" s="71"/>
      <c r="B714" s="72"/>
      <c r="C714" s="75"/>
      <c r="D714" s="74"/>
      <c r="E714" s="75"/>
      <c r="F714" s="74"/>
      <c r="G714" s="72"/>
      <c r="H714" s="76"/>
      <c r="I714" s="72"/>
      <c r="J714" s="72"/>
      <c r="K714" s="72"/>
      <c r="L714" s="77"/>
      <c r="M714" s="77"/>
      <c r="N714" s="72"/>
      <c r="O714" s="78"/>
      <c r="P714" s="78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</row>
    <row r="715" spans="1:29" ht="15.75" customHeight="1">
      <c r="A715" s="71"/>
      <c r="B715" s="72"/>
      <c r="C715" s="75"/>
      <c r="D715" s="74"/>
      <c r="E715" s="75"/>
      <c r="F715" s="74"/>
      <c r="G715" s="72"/>
      <c r="H715" s="76"/>
      <c r="I715" s="72"/>
      <c r="J715" s="72"/>
      <c r="K715" s="72"/>
      <c r="L715" s="77"/>
      <c r="M715" s="77"/>
      <c r="N715" s="72"/>
      <c r="O715" s="78"/>
      <c r="P715" s="78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</row>
    <row r="716" spans="1:29" ht="15.75" customHeight="1">
      <c r="A716" s="71"/>
      <c r="B716" s="72"/>
      <c r="C716" s="75"/>
      <c r="D716" s="74"/>
      <c r="E716" s="75"/>
      <c r="F716" s="74"/>
      <c r="G716" s="72"/>
      <c r="H716" s="76"/>
      <c r="I716" s="72"/>
      <c r="J716" s="72"/>
      <c r="K716" s="72"/>
      <c r="L716" s="77"/>
      <c r="M716" s="77"/>
      <c r="N716" s="72"/>
      <c r="O716" s="78"/>
      <c r="P716" s="78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</row>
    <row r="717" spans="1:29" ht="15.75" customHeight="1">
      <c r="A717" s="71"/>
      <c r="B717" s="72"/>
      <c r="C717" s="75"/>
      <c r="D717" s="74"/>
      <c r="E717" s="75"/>
      <c r="F717" s="74"/>
      <c r="G717" s="72"/>
      <c r="H717" s="76"/>
      <c r="I717" s="72"/>
      <c r="J717" s="72"/>
      <c r="K717" s="72"/>
      <c r="L717" s="77"/>
      <c r="M717" s="77"/>
      <c r="N717" s="72"/>
      <c r="O717" s="78"/>
      <c r="P717" s="78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</row>
    <row r="718" spans="1:29" ht="15.75" customHeight="1">
      <c r="A718" s="71"/>
      <c r="B718" s="72"/>
      <c r="C718" s="75"/>
      <c r="D718" s="74"/>
      <c r="E718" s="75"/>
      <c r="F718" s="74"/>
      <c r="G718" s="72"/>
      <c r="H718" s="76"/>
      <c r="I718" s="72"/>
      <c r="J718" s="72"/>
      <c r="K718" s="72"/>
      <c r="L718" s="77"/>
      <c r="M718" s="77"/>
      <c r="N718" s="72"/>
      <c r="O718" s="78"/>
      <c r="P718" s="78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</row>
    <row r="719" spans="1:29" ht="15.75" customHeight="1">
      <c r="A719" s="71"/>
      <c r="B719" s="72"/>
      <c r="C719" s="75"/>
      <c r="D719" s="74"/>
      <c r="E719" s="75"/>
      <c r="F719" s="74"/>
      <c r="G719" s="72"/>
      <c r="H719" s="76"/>
      <c r="I719" s="72"/>
      <c r="J719" s="72"/>
      <c r="K719" s="72"/>
      <c r="L719" s="77"/>
      <c r="M719" s="77"/>
      <c r="N719" s="72"/>
      <c r="O719" s="78"/>
      <c r="P719" s="78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</row>
    <row r="720" spans="1:29" ht="15.75" customHeight="1">
      <c r="A720" s="71"/>
      <c r="B720" s="72"/>
      <c r="C720" s="75"/>
      <c r="D720" s="74"/>
      <c r="E720" s="75"/>
      <c r="F720" s="74"/>
      <c r="G720" s="72"/>
      <c r="H720" s="76"/>
      <c r="I720" s="72"/>
      <c r="J720" s="72"/>
      <c r="K720" s="72"/>
      <c r="L720" s="77"/>
      <c r="M720" s="77"/>
      <c r="N720" s="72"/>
      <c r="O720" s="78"/>
      <c r="P720" s="78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</row>
    <row r="721" spans="1:29" ht="15.75" customHeight="1">
      <c r="A721" s="71"/>
      <c r="B721" s="72"/>
      <c r="C721" s="75"/>
      <c r="D721" s="74"/>
      <c r="E721" s="75"/>
      <c r="F721" s="74"/>
      <c r="G721" s="72"/>
      <c r="H721" s="76"/>
      <c r="I721" s="72"/>
      <c r="J721" s="72"/>
      <c r="K721" s="72"/>
      <c r="L721" s="77"/>
      <c r="M721" s="77"/>
      <c r="N721" s="72"/>
      <c r="O721" s="78"/>
      <c r="P721" s="78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</row>
    <row r="722" spans="1:29" ht="15.75" customHeight="1">
      <c r="A722" s="71"/>
      <c r="B722" s="72"/>
      <c r="C722" s="75"/>
      <c r="D722" s="74"/>
      <c r="E722" s="75"/>
      <c r="F722" s="74"/>
      <c r="G722" s="72"/>
      <c r="H722" s="76"/>
      <c r="I722" s="72"/>
      <c r="J722" s="72"/>
      <c r="K722" s="72"/>
      <c r="L722" s="77"/>
      <c r="M722" s="77"/>
      <c r="N722" s="72"/>
      <c r="O722" s="78"/>
      <c r="P722" s="78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</row>
    <row r="723" spans="1:29" ht="15.75" customHeight="1">
      <c r="A723" s="71"/>
      <c r="B723" s="72"/>
      <c r="C723" s="75"/>
      <c r="D723" s="74"/>
      <c r="E723" s="75"/>
      <c r="F723" s="74"/>
      <c r="G723" s="72"/>
      <c r="H723" s="76"/>
      <c r="I723" s="72"/>
      <c r="J723" s="72"/>
      <c r="K723" s="72"/>
      <c r="L723" s="77"/>
      <c r="M723" s="77"/>
      <c r="N723" s="72"/>
      <c r="O723" s="78"/>
      <c r="P723" s="78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</row>
    <row r="724" spans="1:29" ht="15.75" customHeight="1">
      <c r="A724" s="71"/>
      <c r="B724" s="72"/>
      <c r="C724" s="75"/>
      <c r="D724" s="74"/>
      <c r="E724" s="75"/>
      <c r="F724" s="74"/>
      <c r="G724" s="72"/>
      <c r="H724" s="76"/>
      <c r="I724" s="72"/>
      <c r="J724" s="72"/>
      <c r="K724" s="72"/>
      <c r="L724" s="77"/>
      <c r="M724" s="77"/>
      <c r="N724" s="72"/>
      <c r="O724" s="78"/>
      <c r="P724" s="78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</row>
    <row r="725" spans="1:29" ht="15.75" customHeight="1">
      <c r="A725" s="71"/>
      <c r="B725" s="72"/>
      <c r="C725" s="75"/>
      <c r="D725" s="74"/>
      <c r="E725" s="75"/>
      <c r="F725" s="74"/>
      <c r="G725" s="72"/>
      <c r="H725" s="76"/>
      <c r="I725" s="72"/>
      <c r="J725" s="72"/>
      <c r="K725" s="72"/>
      <c r="L725" s="77"/>
      <c r="M725" s="77"/>
      <c r="N725" s="72"/>
      <c r="O725" s="78"/>
      <c r="P725" s="78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</row>
    <row r="726" spans="1:29" ht="15.75" customHeight="1">
      <c r="A726" s="71"/>
      <c r="B726" s="72"/>
      <c r="C726" s="75"/>
      <c r="D726" s="74"/>
      <c r="E726" s="75"/>
      <c r="F726" s="74"/>
      <c r="G726" s="72"/>
      <c r="H726" s="76"/>
      <c r="I726" s="72"/>
      <c r="J726" s="72"/>
      <c r="K726" s="72"/>
      <c r="L726" s="77"/>
      <c r="M726" s="77"/>
      <c r="N726" s="72"/>
      <c r="O726" s="78"/>
      <c r="P726" s="78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</row>
    <row r="727" spans="1:29" ht="15.75" customHeight="1">
      <c r="A727" s="71"/>
      <c r="B727" s="72"/>
      <c r="C727" s="75"/>
      <c r="D727" s="74"/>
      <c r="E727" s="75"/>
      <c r="F727" s="74"/>
      <c r="G727" s="72"/>
      <c r="H727" s="76"/>
      <c r="I727" s="72"/>
      <c r="J727" s="72"/>
      <c r="K727" s="72"/>
      <c r="L727" s="77"/>
      <c r="M727" s="77"/>
      <c r="N727" s="72"/>
      <c r="O727" s="78"/>
      <c r="P727" s="78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</row>
    <row r="728" spans="1:29" ht="15.75" customHeight="1">
      <c r="A728" s="71"/>
      <c r="B728" s="72"/>
      <c r="C728" s="75"/>
      <c r="D728" s="74"/>
      <c r="E728" s="75"/>
      <c r="F728" s="74"/>
      <c r="G728" s="72"/>
      <c r="H728" s="76"/>
      <c r="I728" s="72"/>
      <c r="J728" s="72"/>
      <c r="K728" s="72"/>
      <c r="L728" s="77"/>
      <c r="M728" s="77"/>
      <c r="N728" s="72"/>
      <c r="O728" s="78"/>
      <c r="P728" s="78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</row>
    <row r="729" spans="1:29" ht="15.75" customHeight="1">
      <c r="A729" s="71"/>
      <c r="B729" s="72"/>
      <c r="C729" s="75"/>
      <c r="D729" s="74"/>
      <c r="E729" s="75"/>
      <c r="F729" s="74"/>
      <c r="G729" s="72"/>
      <c r="H729" s="76"/>
      <c r="I729" s="72"/>
      <c r="J729" s="72"/>
      <c r="K729" s="72"/>
      <c r="L729" s="77"/>
      <c r="M729" s="77"/>
      <c r="N729" s="72"/>
      <c r="O729" s="78"/>
      <c r="P729" s="78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</row>
    <row r="730" spans="1:29" ht="15.75" customHeight="1">
      <c r="A730" s="71"/>
      <c r="B730" s="72"/>
      <c r="C730" s="75"/>
      <c r="D730" s="74"/>
      <c r="E730" s="75"/>
      <c r="F730" s="74"/>
      <c r="G730" s="72"/>
      <c r="H730" s="76"/>
      <c r="I730" s="72"/>
      <c r="J730" s="72"/>
      <c r="K730" s="72"/>
      <c r="L730" s="77"/>
      <c r="M730" s="77"/>
      <c r="N730" s="72"/>
      <c r="O730" s="78"/>
      <c r="P730" s="78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</row>
    <row r="731" spans="1:29" ht="15.75" customHeight="1">
      <c r="A731" s="71"/>
      <c r="B731" s="72"/>
      <c r="C731" s="75"/>
      <c r="D731" s="74"/>
      <c r="E731" s="75"/>
      <c r="F731" s="74"/>
      <c r="G731" s="72"/>
      <c r="H731" s="76"/>
      <c r="I731" s="72"/>
      <c r="J731" s="72"/>
      <c r="K731" s="72"/>
      <c r="L731" s="77"/>
      <c r="M731" s="77"/>
      <c r="N731" s="72"/>
      <c r="O731" s="78"/>
      <c r="P731" s="78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</row>
    <row r="732" spans="1:29" ht="15.75" customHeight="1">
      <c r="A732" s="71"/>
      <c r="B732" s="72"/>
      <c r="C732" s="75"/>
      <c r="D732" s="74"/>
      <c r="E732" s="75"/>
      <c r="F732" s="74"/>
      <c r="G732" s="72"/>
      <c r="H732" s="76"/>
      <c r="I732" s="72"/>
      <c r="J732" s="72"/>
      <c r="K732" s="72"/>
      <c r="L732" s="77"/>
      <c r="M732" s="77"/>
      <c r="N732" s="72"/>
      <c r="O732" s="78"/>
      <c r="P732" s="78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</row>
    <row r="733" spans="1:29" ht="15.75" customHeight="1">
      <c r="A733" s="71"/>
      <c r="B733" s="72"/>
      <c r="C733" s="75"/>
      <c r="D733" s="74"/>
      <c r="E733" s="75"/>
      <c r="F733" s="74"/>
      <c r="G733" s="72"/>
      <c r="H733" s="76"/>
      <c r="I733" s="72"/>
      <c r="J733" s="72"/>
      <c r="K733" s="72"/>
      <c r="L733" s="77"/>
      <c r="M733" s="77"/>
      <c r="N733" s="72"/>
      <c r="O733" s="78"/>
      <c r="P733" s="78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</row>
    <row r="734" spans="1:29" ht="15.75" customHeight="1">
      <c r="A734" s="71"/>
      <c r="B734" s="72"/>
      <c r="C734" s="75"/>
      <c r="D734" s="74"/>
      <c r="E734" s="75"/>
      <c r="F734" s="74"/>
      <c r="G734" s="72"/>
      <c r="H734" s="76"/>
      <c r="I734" s="72"/>
      <c r="J734" s="72"/>
      <c r="K734" s="72"/>
      <c r="L734" s="77"/>
      <c r="M734" s="77"/>
      <c r="N734" s="72"/>
      <c r="O734" s="78"/>
      <c r="P734" s="78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</row>
    <row r="735" spans="1:29" ht="15.75" customHeight="1">
      <c r="A735" s="71"/>
      <c r="B735" s="72"/>
      <c r="C735" s="75"/>
      <c r="D735" s="74"/>
      <c r="E735" s="75"/>
      <c r="F735" s="74"/>
      <c r="G735" s="72"/>
      <c r="H735" s="76"/>
      <c r="I735" s="72"/>
      <c r="J735" s="72"/>
      <c r="K735" s="72"/>
      <c r="L735" s="77"/>
      <c r="M735" s="77"/>
      <c r="N735" s="72"/>
      <c r="O735" s="78"/>
      <c r="P735" s="78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</row>
    <row r="736" spans="1:29" ht="15.75" customHeight="1">
      <c r="A736" s="71"/>
      <c r="B736" s="72"/>
      <c r="C736" s="75"/>
      <c r="D736" s="74"/>
      <c r="E736" s="75"/>
      <c r="F736" s="74"/>
      <c r="G736" s="72"/>
      <c r="H736" s="76"/>
      <c r="I736" s="72"/>
      <c r="J736" s="72"/>
      <c r="K736" s="72"/>
      <c r="L736" s="77"/>
      <c r="M736" s="77"/>
      <c r="N736" s="72"/>
      <c r="O736" s="78"/>
      <c r="P736" s="78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</row>
    <row r="737" spans="1:29" ht="15.75" customHeight="1">
      <c r="A737" s="71"/>
      <c r="B737" s="72"/>
      <c r="C737" s="75"/>
      <c r="D737" s="74"/>
      <c r="E737" s="75"/>
      <c r="F737" s="74"/>
      <c r="G737" s="72"/>
      <c r="H737" s="76"/>
      <c r="I737" s="72"/>
      <c r="J737" s="72"/>
      <c r="K737" s="72"/>
      <c r="L737" s="77"/>
      <c r="M737" s="77"/>
      <c r="N737" s="72"/>
      <c r="O737" s="78"/>
      <c r="P737" s="78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</row>
    <row r="738" spans="1:29" ht="15.75" customHeight="1">
      <c r="A738" s="71"/>
      <c r="B738" s="72"/>
      <c r="C738" s="75"/>
      <c r="D738" s="74"/>
      <c r="E738" s="75"/>
      <c r="F738" s="74"/>
      <c r="G738" s="72"/>
      <c r="H738" s="76"/>
      <c r="I738" s="72"/>
      <c r="J738" s="72"/>
      <c r="K738" s="72"/>
      <c r="L738" s="77"/>
      <c r="M738" s="77"/>
      <c r="N738" s="72"/>
      <c r="O738" s="78"/>
      <c r="P738" s="78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</row>
    <row r="739" spans="1:29" ht="15.75" customHeight="1">
      <c r="A739" s="71"/>
      <c r="B739" s="72"/>
      <c r="C739" s="75"/>
      <c r="D739" s="74"/>
      <c r="E739" s="75"/>
      <c r="F739" s="74"/>
      <c r="G739" s="72"/>
      <c r="H739" s="76"/>
      <c r="I739" s="72"/>
      <c r="J739" s="72"/>
      <c r="K739" s="72"/>
      <c r="L739" s="77"/>
      <c r="M739" s="77"/>
      <c r="N739" s="72"/>
      <c r="O739" s="78"/>
      <c r="P739" s="78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</row>
    <row r="740" spans="1:29" ht="15.75" customHeight="1">
      <c r="A740" s="71"/>
      <c r="B740" s="72"/>
      <c r="C740" s="75"/>
      <c r="D740" s="74"/>
      <c r="E740" s="75"/>
      <c r="F740" s="74"/>
      <c r="G740" s="72"/>
      <c r="H740" s="76"/>
      <c r="I740" s="72"/>
      <c r="J740" s="72"/>
      <c r="K740" s="72"/>
      <c r="L740" s="77"/>
      <c r="M740" s="77"/>
      <c r="N740" s="72"/>
      <c r="O740" s="78"/>
      <c r="P740" s="78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</row>
    <row r="741" spans="1:29" ht="15.75" customHeight="1">
      <c r="A741" s="71"/>
      <c r="B741" s="72"/>
      <c r="C741" s="75"/>
      <c r="D741" s="74"/>
      <c r="E741" s="75"/>
      <c r="F741" s="74"/>
      <c r="G741" s="72"/>
      <c r="H741" s="76"/>
      <c r="I741" s="72"/>
      <c r="J741" s="72"/>
      <c r="K741" s="72"/>
      <c r="L741" s="77"/>
      <c r="M741" s="77"/>
      <c r="N741" s="72"/>
      <c r="O741" s="78"/>
      <c r="P741" s="78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</row>
    <row r="742" spans="1:29" ht="15.75" customHeight="1">
      <c r="A742" s="71"/>
      <c r="B742" s="72"/>
      <c r="C742" s="75"/>
      <c r="D742" s="74"/>
      <c r="E742" s="75"/>
      <c r="F742" s="74"/>
      <c r="G742" s="72"/>
      <c r="H742" s="76"/>
      <c r="I742" s="72"/>
      <c r="J742" s="72"/>
      <c r="K742" s="72"/>
      <c r="L742" s="77"/>
      <c r="M742" s="77"/>
      <c r="N742" s="72"/>
      <c r="O742" s="78"/>
      <c r="P742" s="78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</row>
    <row r="743" spans="1:29" ht="15.75" customHeight="1">
      <c r="A743" s="71"/>
      <c r="B743" s="72"/>
      <c r="C743" s="75"/>
      <c r="D743" s="74"/>
      <c r="E743" s="75"/>
      <c r="F743" s="74"/>
      <c r="G743" s="72"/>
      <c r="H743" s="76"/>
      <c r="I743" s="72"/>
      <c r="J743" s="72"/>
      <c r="K743" s="72"/>
      <c r="L743" s="77"/>
      <c r="M743" s="77"/>
      <c r="N743" s="72"/>
      <c r="O743" s="78"/>
      <c r="P743" s="78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</row>
    <row r="744" spans="1:29" ht="15.75" customHeight="1">
      <c r="A744" s="71"/>
      <c r="B744" s="72"/>
      <c r="C744" s="75"/>
      <c r="D744" s="74"/>
      <c r="E744" s="75"/>
      <c r="F744" s="74"/>
      <c r="G744" s="72"/>
      <c r="H744" s="76"/>
      <c r="I744" s="72"/>
      <c r="J744" s="72"/>
      <c r="K744" s="72"/>
      <c r="L744" s="77"/>
      <c r="M744" s="77"/>
      <c r="N744" s="72"/>
      <c r="O744" s="78"/>
      <c r="P744" s="78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</row>
    <row r="745" spans="1:29" ht="15.75" customHeight="1">
      <c r="A745" s="71"/>
      <c r="B745" s="72"/>
      <c r="C745" s="75"/>
      <c r="D745" s="74"/>
      <c r="E745" s="75"/>
      <c r="F745" s="74"/>
      <c r="G745" s="72"/>
      <c r="H745" s="76"/>
      <c r="I745" s="72"/>
      <c r="J745" s="72"/>
      <c r="K745" s="72"/>
      <c r="L745" s="77"/>
      <c r="M745" s="77"/>
      <c r="N745" s="72"/>
      <c r="O745" s="78"/>
      <c r="P745" s="78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</row>
    <row r="746" spans="1:29" ht="15.75" customHeight="1">
      <c r="A746" s="71"/>
      <c r="B746" s="72"/>
      <c r="C746" s="75"/>
      <c r="D746" s="74"/>
      <c r="E746" s="75"/>
      <c r="F746" s="74"/>
      <c r="G746" s="72"/>
      <c r="H746" s="76"/>
      <c r="I746" s="72"/>
      <c r="J746" s="72"/>
      <c r="K746" s="72"/>
      <c r="L746" s="77"/>
      <c r="M746" s="77"/>
      <c r="N746" s="72"/>
      <c r="O746" s="78"/>
      <c r="P746" s="78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</row>
    <row r="747" spans="1:29" ht="15.75" customHeight="1">
      <c r="A747" s="71"/>
      <c r="B747" s="72"/>
      <c r="C747" s="75"/>
      <c r="D747" s="74"/>
      <c r="E747" s="75"/>
      <c r="F747" s="74"/>
      <c r="G747" s="72"/>
      <c r="H747" s="76"/>
      <c r="I747" s="72"/>
      <c r="J747" s="72"/>
      <c r="K747" s="72"/>
      <c r="L747" s="77"/>
      <c r="M747" s="77"/>
      <c r="N747" s="72"/>
      <c r="O747" s="78"/>
      <c r="P747" s="78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</row>
    <row r="748" spans="1:29" ht="15.75" customHeight="1">
      <c r="A748" s="71"/>
      <c r="B748" s="72"/>
      <c r="C748" s="75"/>
      <c r="D748" s="74"/>
      <c r="E748" s="75"/>
      <c r="F748" s="74"/>
      <c r="G748" s="72"/>
      <c r="H748" s="76"/>
      <c r="I748" s="72"/>
      <c r="J748" s="72"/>
      <c r="K748" s="72"/>
      <c r="L748" s="77"/>
      <c r="M748" s="77"/>
      <c r="N748" s="72"/>
      <c r="O748" s="78"/>
      <c r="P748" s="78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</row>
    <row r="749" spans="1:29" ht="15.75" customHeight="1">
      <c r="A749" s="71"/>
      <c r="B749" s="72"/>
      <c r="C749" s="75"/>
      <c r="D749" s="74"/>
      <c r="E749" s="75"/>
      <c r="F749" s="74"/>
      <c r="G749" s="72"/>
      <c r="H749" s="76"/>
      <c r="I749" s="72"/>
      <c r="J749" s="72"/>
      <c r="K749" s="72"/>
      <c r="L749" s="77"/>
      <c r="M749" s="77"/>
      <c r="N749" s="72"/>
      <c r="O749" s="78"/>
      <c r="P749" s="78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</row>
    <row r="750" spans="1:29" ht="15.75" customHeight="1">
      <c r="A750" s="71"/>
      <c r="B750" s="72"/>
      <c r="C750" s="75"/>
      <c r="D750" s="74"/>
      <c r="E750" s="75"/>
      <c r="F750" s="74"/>
      <c r="G750" s="72"/>
      <c r="H750" s="76"/>
      <c r="I750" s="72"/>
      <c r="J750" s="72"/>
      <c r="K750" s="72"/>
      <c r="L750" s="77"/>
      <c r="M750" s="77"/>
      <c r="N750" s="72"/>
      <c r="O750" s="78"/>
      <c r="P750" s="78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</row>
    <row r="751" spans="1:29" ht="15.75" customHeight="1">
      <c r="A751" s="71"/>
      <c r="B751" s="72"/>
      <c r="C751" s="75"/>
      <c r="D751" s="74"/>
      <c r="E751" s="75"/>
      <c r="F751" s="74"/>
      <c r="G751" s="72"/>
      <c r="H751" s="76"/>
      <c r="I751" s="72"/>
      <c r="J751" s="72"/>
      <c r="K751" s="72"/>
      <c r="L751" s="77"/>
      <c r="M751" s="77"/>
      <c r="N751" s="72"/>
      <c r="O751" s="78"/>
      <c r="P751" s="78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</row>
    <row r="752" spans="1:29" ht="15.75" customHeight="1">
      <c r="A752" s="71"/>
      <c r="B752" s="72"/>
      <c r="C752" s="75"/>
      <c r="D752" s="74"/>
      <c r="E752" s="75"/>
      <c r="F752" s="74"/>
      <c r="G752" s="72"/>
      <c r="H752" s="76"/>
      <c r="I752" s="72"/>
      <c r="J752" s="72"/>
      <c r="K752" s="72"/>
      <c r="L752" s="77"/>
      <c r="M752" s="77"/>
      <c r="N752" s="72"/>
      <c r="O752" s="78"/>
      <c r="P752" s="78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</row>
    <row r="753" spans="1:29" ht="15.75" customHeight="1">
      <c r="A753" s="71"/>
      <c r="B753" s="72"/>
      <c r="C753" s="75"/>
      <c r="D753" s="74"/>
      <c r="E753" s="75"/>
      <c r="F753" s="74"/>
      <c r="G753" s="72"/>
      <c r="H753" s="76"/>
      <c r="I753" s="72"/>
      <c r="J753" s="72"/>
      <c r="K753" s="72"/>
      <c r="L753" s="77"/>
      <c r="M753" s="77"/>
      <c r="N753" s="72"/>
      <c r="O753" s="78"/>
      <c r="P753" s="78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</row>
    <row r="754" spans="1:29" ht="15.75" customHeight="1">
      <c r="A754" s="71"/>
      <c r="B754" s="72"/>
      <c r="C754" s="75"/>
      <c r="D754" s="74"/>
      <c r="E754" s="75"/>
      <c r="F754" s="74"/>
      <c r="G754" s="72"/>
      <c r="H754" s="76"/>
      <c r="I754" s="72"/>
      <c r="J754" s="72"/>
      <c r="K754" s="72"/>
      <c r="L754" s="77"/>
      <c r="M754" s="77"/>
      <c r="N754" s="72"/>
      <c r="O754" s="78"/>
      <c r="P754" s="78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</row>
    <row r="755" spans="1:29" ht="15.75" customHeight="1">
      <c r="A755" s="71"/>
      <c r="B755" s="72"/>
      <c r="C755" s="75"/>
      <c r="D755" s="74"/>
      <c r="E755" s="75"/>
      <c r="F755" s="74"/>
      <c r="G755" s="72"/>
      <c r="H755" s="76"/>
      <c r="I755" s="72"/>
      <c r="J755" s="72"/>
      <c r="K755" s="72"/>
      <c r="L755" s="77"/>
      <c r="M755" s="77"/>
      <c r="N755" s="72"/>
      <c r="O755" s="78"/>
      <c r="P755" s="78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</row>
    <row r="756" spans="1:29" ht="15.75" customHeight="1">
      <c r="A756" s="71"/>
      <c r="B756" s="72"/>
      <c r="C756" s="75"/>
      <c r="D756" s="74"/>
      <c r="E756" s="75"/>
      <c r="F756" s="74"/>
      <c r="G756" s="72"/>
      <c r="H756" s="76"/>
      <c r="I756" s="72"/>
      <c r="J756" s="72"/>
      <c r="K756" s="72"/>
      <c r="L756" s="77"/>
      <c r="M756" s="77"/>
      <c r="N756" s="72"/>
      <c r="O756" s="78"/>
      <c r="P756" s="78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</row>
    <row r="757" spans="1:29" ht="15.75" customHeight="1">
      <c r="A757" s="71"/>
      <c r="B757" s="72"/>
      <c r="C757" s="75"/>
      <c r="D757" s="74"/>
      <c r="E757" s="75"/>
      <c r="F757" s="74"/>
      <c r="G757" s="72"/>
      <c r="H757" s="76"/>
      <c r="I757" s="72"/>
      <c r="J757" s="72"/>
      <c r="K757" s="72"/>
      <c r="L757" s="77"/>
      <c r="M757" s="77"/>
      <c r="N757" s="72"/>
      <c r="O757" s="78"/>
      <c r="P757" s="78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</row>
    <row r="758" spans="1:29" ht="15.75" customHeight="1">
      <c r="A758" s="71"/>
      <c r="B758" s="72"/>
      <c r="C758" s="75"/>
      <c r="D758" s="74"/>
      <c r="E758" s="75"/>
      <c r="F758" s="74"/>
      <c r="G758" s="72"/>
      <c r="H758" s="76"/>
      <c r="I758" s="72"/>
      <c r="J758" s="72"/>
      <c r="K758" s="72"/>
      <c r="L758" s="77"/>
      <c r="M758" s="77"/>
      <c r="N758" s="72"/>
      <c r="O758" s="78"/>
      <c r="P758" s="78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</row>
    <row r="759" spans="1:29" ht="15.75" customHeight="1">
      <c r="A759" s="71"/>
      <c r="B759" s="72"/>
      <c r="C759" s="75"/>
      <c r="D759" s="74"/>
      <c r="E759" s="75"/>
      <c r="F759" s="74"/>
      <c r="G759" s="72"/>
      <c r="H759" s="76"/>
      <c r="I759" s="72"/>
      <c r="J759" s="72"/>
      <c r="K759" s="72"/>
      <c r="L759" s="77"/>
      <c r="M759" s="77"/>
      <c r="N759" s="72"/>
      <c r="O759" s="78"/>
      <c r="P759" s="78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</row>
    <row r="760" spans="1:29" ht="15.75" customHeight="1">
      <c r="A760" s="71"/>
      <c r="B760" s="72"/>
      <c r="C760" s="75"/>
      <c r="D760" s="74"/>
      <c r="E760" s="75"/>
      <c r="F760" s="74"/>
      <c r="G760" s="72"/>
      <c r="H760" s="76"/>
      <c r="I760" s="72"/>
      <c r="J760" s="72"/>
      <c r="K760" s="72"/>
      <c r="L760" s="77"/>
      <c r="M760" s="77"/>
      <c r="N760" s="72"/>
      <c r="O760" s="78"/>
      <c r="P760" s="78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</row>
    <row r="761" spans="1:29" ht="15.75" customHeight="1">
      <c r="A761" s="71"/>
      <c r="B761" s="72"/>
      <c r="C761" s="75"/>
      <c r="D761" s="74"/>
      <c r="E761" s="75"/>
      <c r="F761" s="74"/>
      <c r="G761" s="72"/>
      <c r="H761" s="76"/>
      <c r="I761" s="72"/>
      <c r="J761" s="72"/>
      <c r="K761" s="72"/>
      <c r="L761" s="77"/>
      <c r="M761" s="77"/>
      <c r="N761" s="72"/>
      <c r="O761" s="78"/>
      <c r="P761" s="78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</row>
    <row r="762" spans="1:29" ht="15.75" customHeight="1">
      <c r="A762" s="71"/>
      <c r="B762" s="72"/>
      <c r="C762" s="75"/>
      <c r="D762" s="74"/>
      <c r="E762" s="75"/>
      <c r="F762" s="74"/>
      <c r="G762" s="72"/>
      <c r="H762" s="76"/>
      <c r="I762" s="72"/>
      <c r="J762" s="72"/>
      <c r="K762" s="72"/>
      <c r="L762" s="77"/>
      <c r="M762" s="77"/>
      <c r="N762" s="72"/>
      <c r="O762" s="78"/>
      <c r="P762" s="78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</row>
    <row r="763" spans="1:29" ht="15.75" customHeight="1">
      <c r="A763" s="71"/>
      <c r="B763" s="72"/>
      <c r="C763" s="75"/>
      <c r="D763" s="74"/>
      <c r="E763" s="75"/>
      <c r="F763" s="74"/>
      <c r="G763" s="72"/>
      <c r="H763" s="76"/>
      <c r="I763" s="72"/>
      <c r="J763" s="72"/>
      <c r="K763" s="72"/>
      <c r="L763" s="77"/>
      <c r="M763" s="77"/>
      <c r="N763" s="72"/>
      <c r="O763" s="78"/>
      <c r="P763" s="78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</row>
    <row r="764" spans="1:29" ht="15.75" customHeight="1">
      <c r="A764" s="71"/>
      <c r="B764" s="72"/>
      <c r="C764" s="75"/>
      <c r="D764" s="74"/>
      <c r="E764" s="75"/>
      <c r="F764" s="74"/>
      <c r="G764" s="72"/>
      <c r="H764" s="76"/>
      <c r="I764" s="72"/>
      <c r="J764" s="72"/>
      <c r="K764" s="72"/>
      <c r="L764" s="77"/>
      <c r="M764" s="77"/>
      <c r="N764" s="72"/>
      <c r="O764" s="78"/>
      <c r="P764" s="78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</row>
    <row r="765" spans="1:29" ht="15.75" customHeight="1">
      <c r="A765" s="71"/>
      <c r="B765" s="72"/>
      <c r="C765" s="75"/>
      <c r="D765" s="74"/>
      <c r="E765" s="75"/>
      <c r="F765" s="74"/>
      <c r="G765" s="72"/>
      <c r="H765" s="76"/>
      <c r="I765" s="72"/>
      <c r="J765" s="72"/>
      <c r="K765" s="72"/>
      <c r="L765" s="77"/>
      <c r="M765" s="77"/>
      <c r="N765" s="72"/>
      <c r="O765" s="78"/>
      <c r="P765" s="78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</row>
    <row r="766" spans="1:29" ht="15.75" customHeight="1">
      <c r="A766" s="71"/>
      <c r="B766" s="72"/>
      <c r="C766" s="75"/>
      <c r="D766" s="74"/>
      <c r="E766" s="75"/>
      <c r="F766" s="74"/>
      <c r="G766" s="72"/>
      <c r="H766" s="76"/>
      <c r="I766" s="72"/>
      <c r="J766" s="72"/>
      <c r="K766" s="72"/>
      <c r="L766" s="77"/>
      <c r="M766" s="77"/>
      <c r="N766" s="72"/>
      <c r="O766" s="78"/>
      <c r="P766" s="78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</row>
    <row r="767" spans="1:29" ht="15.75" customHeight="1">
      <c r="A767" s="71"/>
      <c r="B767" s="72"/>
      <c r="C767" s="75"/>
      <c r="D767" s="74"/>
      <c r="E767" s="75"/>
      <c r="F767" s="74"/>
      <c r="G767" s="72"/>
      <c r="H767" s="76"/>
      <c r="I767" s="72"/>
      <c r="J767" s="72"/>
      <c r="K767" s="72"/>
      <c r="L767" s="77"/>
      <c r="M767" s="77"/>
      <c r="N767" s="72"/>
      <c r="O767" s="78"/>
      <c r="P767" s="78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</row>
    <row r="768" spans="1:29" ht="15.75" customHeight="1">
      <c r="A768" s="71"/>
      <c r="B768" s="72"/>
      <c r="C768" s="75"/>
      <c r="D768" s="74"/>
      <c r="E768" s="75"/>
      <c r="F768" s="74"/>
      <c r="G768" s="72"/>
      <c r="H768" s="76"/>
      <c r="I768" s="72"/>
      <c r="J768" s="72"/>
      <c r="K768" s="72"/>
      <c r="L768" s="77"/>
      <c r="M768" s="77"/>
      <c r="N768" s="72"/>
      <c r="O768" s="78"/>
      <c r="P768" s="78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</row>
    <row r="769" spans="1:29" ht="15.75" customHeight="1">
      <c r="A769" s="71"/>
      <c r="B769" s="72"/>
      <c r="C769" s="75"/>
      <c r="D769" s="74"/>
      <c r="E769" s="75"/>
      <c r="F769" s="74"/>
      <c r="G769" s="72"/>
      <c r="H769" s="76"/>
      <c r="I769" s="72"/>
      <c r="J769" s="72"/>
      <c r="K769" s="72"/>
      <c r="L769" s="77"/>
      <c r="M769" s="77"/>
      <c r="N769" s="72"/>
      <c r="O769" s="78"/>
      <c r="P769" s="78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</row>
    <row r="770" spans="1:29" ht="15.75" customHeight="1">
      <c r="A770" s="71"/>
      <c r="B770" s="72"/>
      <c r="C770" s="75"/>
      <c r="D770" s="74"/>
      <c r="E770" s="75"/>
      <c r="F770" s="74"/>
      <c r="G770" s="72"/>
      <c r="H770" s="76"/>
      <c r="I770" s="72"/>
      <c r="J770" s="72"/>
      <c r="K770" s="72"/>
      <c r="L770" s="77"/>
      <c r="M770" s="77"/>
      <c r="N770" s="72"/>
      <c r="O770" s="78"/>
      <c r="P770" s="78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</row>
    <row r="771" spans="1:29" ht="15.75" customHeight="1">
      <c r="A771" s="71"/>
      <c r="B771" s="72"/>
      <c r="C771" s="75"/>
      <c r="D771" s="74"/>
      <c r="E771" s="75"/>
      <c r="F771" s="74"/>
      <c r="G771" s="72"/>
      <c r="H771" s="76"/>
      <c r="I771" s="72"/>
      <c r="J771" s="72"/>
      <c r="K771" s="72"/>
      <c r="L771" s="77"/>
      <c r="M771" s="77"/>
      <c r="N771" s="72"/>
      <c r="O771" s="78"/>
      <c r="P771" s="78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</row>
    <row r="772" spans="1:29" ht="15.75" customHeight="1">
      <c r="A772" s="71"/>
      <c r="B772" s="72"/>
      <c r="C772" s="75"/>
      <c r="D772" s="74"/>
      <c r="E772" s="75"/>
      <c r="F772" s="74"/>
      <c r="G772" s="72"/>
      <c r="H772" s="76"/>
      <c r="I772" s="72"/>
      <c r="J772" s="72"/>
      <c r="K772" s="72"/>
      <c r="L772" s="77"/>
      <c r="M772" s="77"/>
      <c r="N772" s="72"/>
      <c r="O772" s="78"/>
      <c r="P772" s="78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</row>
    <row r="773" spans="1:29" ht="15.75" customHeight="1">
      <c r="A773" s="71"/>
      <c r="B773" s="72"/>
      <c r="C773" s="75"/>
      <c r="D773" s="74"/>
      <c r="E773" s="75"/>
      <c r="F773" s="74"/>
      <c r="G773" s="72"/>
      <c r="H773" s="76"/>
      <c r="I773" s="72"/>
      <c r="J773" s="72"/>
      <c r="K773" s="72"/>
      <c r="L773" s="77"/>
      <c r="M773" s="77"/>
      <c r="N773" s="72"/>
      <c r="O773" s="78"/>
      <c r="P773" s="78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</row>
    <row r="774" spans="1:29" ht="15.75" customHeight="1">
      <c r="A774" s="71"/>
      <c r="B774" s="72"/>
      <c r="C774" s="75"/>
      <c r="D774" s="74"/>
      <c r="E774" s="75"/>
      <c r="F774" s="74"/>
      <c r="G774" s="72"/>
      <c r="H774" s="76"/>
      <c r="I774" s="72"/>
      <c r="J774" s="72"/>
      <c r="K774" s="72"/>
      <c r="L774" s="77"/>
      <c r="M774" s="77"/>
      <c r="N774" s="72"/>
      <c r="O774" s="78"/>
      <c r="P774" s="78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</row>
    <row r="775" spans="1:29" ht="15.75" customHeight="1">
      <c r="A775" s="71"/>
      <c r="B775" s="72"/>
      <c r="C775" s="75"/>
      <c r="D775" s="74"/>
      <c r="E775" s="75"/>
      <c r="F775" s="74"/>
      <c r="G775" s="72"/>
      <c r="H775" s="76"/>
      <c r="I775" s="72"/>
      <c r="J775" s="72"/>
      <c r="K775" s="72"/>
      <c r="L775" s="77"/>
      <c r="M775" s="77"/>
      <c r="N775" s="72"/>
      <c r="O775" s="78"/>
      <c r="P775" s="78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</row>
    <row r="776" spans="1:29" ht="15.75" customHeight="1">
      <c r="A776" s="71"/>
      <c r="B776" s="72"/>
      <c r="C776" s="75"/>
      <c r="D776" s="74"/>
      <c r="E776" s="75"/>
      <c r="F776" s="74"/>
      <c r="G776" s="72"/>
      <c r="H776" s="76"/>
      <c r="I776" s="72"/>
      <c r="J776" s="72"/>
      <c r="K776" s="72"/>
      <c r="L776" s="77"/>
      <c r="M776" s="77"/>
      <c r="N776" s="72"/>
      <c r="O776" s="78"/>
      <c r="P776" s="78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</row>
    <row r="777" spans="1:29" ht="15.75" customHeight="1">
      <c r="A777" s="71"/>
      <c r="B777" s="72"/>
      <c r="C777" s="75"/>
      <c r="D777" s="74"/>
      <c r="E777" s="75"/>
      <c r="F777" s="74"/>
      <c r="G777" s="72"/>
      <c r="H777" s="76"/>
      <c r="I777" s="72"/>
      <c r="J777" s="72"/>
      <c r="K777" s="72"/>
      <c r="L777" s="77"/>
      <c r="M777" s="77"/>
      <c r="N777" s="72"/>
      <c r="O777" s="78"/>
      <c r="P777" s="78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</row>
    <row r="778" spans="1:29" ht="15.75" customHeight="1">
      <c r="A778" s="71"/>
      <c r="B778" s="72"/>
      <c r="C778" s="75"/>
      <c r="D778" s="74"/>
      <c r="E778" s="75"/>
      <c r="F778" s="74"/>
      <c r="G778" s="72"/>
      <c r="H778" s="76"/>
      <c r="I778" s="72"/>
      <c r="J778" s="72"/>
      <c r="K778" s="72"/>
      <c r="L778" s="77"/>
      <c r="M778" s="77"/>
      <c r="N778" s="72"/>
      <c r="O778" s="78"/>
      <c r="P778" s="78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</row>
    <row r="779" spans="1:29" ht="15.75" customHeight="1">
      <c r="A779" s="71"/>
      <c r="B779" s="72"/>
      <c r="C779" s="75"/>
      <c r="D779" s="74"/>
      <c r="E779" s="75"/>
      <c r="F779" s="74"/>
      <c r="G779" s="72"/>
      <c r="H779" s="76"/>
      <c r="I779" s="72"/>
      <c r="J779" s="72"/>
      <c r="K779" s="72"/>
      <c r="L779" s="77"/>
      <c r="M779" s="77"/>
      <c r="N779" s="72"/>
      <c r="O779" s="78"/>
      <c r="P779" s="78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</row>
    <row r="780" spans="1:29" ht="15.75" customHeight="1">
      <c r="A780" s="71"/>
      <c r="B780" s="72"/>
      <c r="C780" s="75"/>
      <c r="D780" s="74"/>
      <c r="E780" s="75"/>
      <c r="F780" s="74"/>
      <c r="G780" s="72"/>
      <c r="H780" s="76"/>
      <c r="I780" s="72"/>
      <c r="J780" s="72"/>
      <c r="K780" s="72"/>
      <c r="L780" s="77"/>
      <c r="M780" s="77"/>
      <c r="N780" s="72"/>
      <c r="O780" s="78"/>
      <c r="P780" s="78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</row>
    <row r="781" spans="1:29" ht="15.75" customHeight="1">
      <c r="A781" s="71"/>
      <c r="B781" s="72"/>
      <c r="C781" s="75"/>
      <c r="D781" s="74"/>
      <c r="E781" s="75"/>
      <c r="F781" s="74"/>
      <c r="G781" s="72"/>
      <c r="H781" s="76"/>
      <c r="I781" s="72"/>
      <c r="J781" s="72"/>
      <c r="K781" s="72"/>
      <c r="L781" s="77"/>
      <c r="M781" s="77"/>
      <c r="N781" s="72"/>
      <c r="O781" s="78"/>
      <c r="P781" s="78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</row>
    <row r="782" spans="1:29" ht="15.75" customHeight="1">
      <c r="A782" s="71"/>
      <c r="B782" s="72"/>
      <c r="C782" s="75"/>
      <c r="D782" s="74"/>
      <c r="E782" s="75"/>
      <c r="F782" s="74"/>
      <c r="G782" s="72"/>
      <c r="H782" s="76"/>
      <c r="I782" s="72"/>
      <c r="J782" s="72"/>
      <c r="K782" s="72"/>
      <c r="L782" s="77"/>
      <c r="M782" s="77"/>
      <c r="N782" s="72"/>
      <c r="O782" s="78"/>
      <c r="P782" s="78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</row>
    <row r="783" spans="1:29" ht="15.75" customHeight="1">
      <c r="A783" s="71"/>
      <c r="B783" s="72"/>
      <c r="C783" s="75"/>
      <c r="D783" s="74"/>
      <c r="E783" s="75"/>
      <c r="F783" s="74"/>
      <c r="G783" s="72"/>
      <c r="H783" s="76"/>
      <c r="I783" s="72"/>
      <c r="J783" s="72"/>
      <c r="K783" s="72"/>
      <c r="L783" s="77"/>
      <c r="M783" s="77"/>
      <c r="N783" s="72"/>
      <c r="O783" s="78"/>
      <c r="P783" s="78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</row>
    <row r="784" spans="1:29" ht="15.75" customHeight="1">
      <c r="A784" s="71"/>
      <c r="B784" s="72"/>
      <c r="C784" s="75"/>
      <c r="D784" s="74"/>
      <c r="E784" s="75"/>
      <c r="F784" s="74"/>
      <c r="G784" s="72"/>
      <c r="H784" s="76"/>
      <c r="I784" s="72"/>
      <c r="J784" s="72"/>
      <c r="K784" s="72"/>
      <c r="L784" s="77"/>
      <c r="M784" s="77"/>
      <c r="N784" s="72"/>
      <c r="O784" s="78"/>
      <c r="P784" s="78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</row>
    <row r="785" spans="1:29" ht="15.75" customHeight="1">
      <c r="A785" s="71"/>
      <c r="B785" s="72"/>
      <c r="C785" s="75"/>
      <c r="D785" s="74"/>
      <c r="E785" s="75"/>
      <c r="F785" s="74"/>
      <c r="G785" s="72"/>
      <c r="H785" s="76"/>
      <c r="I785" s="72"/>
      <c r="J785" s="72"/>
      <c r="K785" s="72"/>
      <c r="L785" s="77"/>
      <c r="M785" s="77"/>
      <c r="N785" s="72"/>
      <c r="O785" s="78"/>
      <c r="P785" s="78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</row>
    <row r="786" spans="1:29" ht="15.75" customHeight="1">
      <c r="A786" s="71"/>
      <c r="B786" s="72"/>
      <c r="C786" s="75"/>
      <c r="D786" s="74"/>
      <c r="E786" s="75"/>
      <c r="F786" s="74"/>
      <c r="G786" s="72"/>
      <c r="H786" s="76"/>
      <c r="I786" s="72"/>
      <c r="J786" s="72"/>
      <c r="K786" s="72"/>
      <c r="L786" s="77"/>
      <c r="M786" s="77"/>
      <c r="N786" s="72"/>
      <c r="O786" s="78"/>
      <c r="P786" s="78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</row>
    <row r="787" spans="1:29" ht="15.75" customHeight="1">
      <c r="A787" s="71"/>
      <c r="B787" s="72"/>
      <c r="C787" s="75"/>
      <c r="D787" s="74"/>
      <c r="E787" s="75"/>
      <c r="F787" s="74"/>
      <c r="G787" s="72"/>
      <c r="H787" s="76"/>
      <c r="I787" s="72"/>
      <c r="J787" s="72"/>
      <c r="K787" s="72"/>
      <c r="L787" s="77"/>
      <c r="M787" s="77"/>
      <c r="N787" s="72"/>
      <c r="O787" s="78"/>
      <c r="P787" s="78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</row>
    <row r="788" spans="1:29" ht="15.75" customHeight="1">
      <c r="A788" s="71"/>
      <c r="B788" s="72"/>
      <c r="C788" s="75"/>
      <c r="D788" s="74"/>
      <c r="E788" s="75"/>
      <c r="F788" s="74"/>
      <c r="G788" s="72"/>
      <c r="H788" s="76"/>
      <c r="I788" s="72"/>
      <c r="J788" s="72"/>
      <c r="K788" s="72"/>
      <c r="L788" s="77"/>
      <c r="M788" s="77"/>
      <c r="N788" s="72"/>
      <c r="O788" s="78"/>
      <c r="P788" s="78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</row>
    <row r="789" spans="1:29" ht="15.75" customHeight="1">
      <c r="A789" s="71"/>
      <c r="B789" s="72"/>
      <c r="C789" s="75"/>
      <c r="D789" s="74"/>
      <c r="E789" s="75"/>
      <c r="F789" s="74"/>
      <c r="G789" s="72"/>
      <c r="H789" s="76"/>
      <c r="I789" s="72"/>
      <c r="J789" s="72"/>
      <c r="K789" s="72"/>
      <c r="L789" s="77"/>
      <c r="M789" s="77"/>
      <c r="N789" s="72"/>
      <c r="O789" s="78"/>
      <c r="P789" s="78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</row>
    <row r="790" spans="1:29" ht="15.75" customHeight="1">
      <c r="A790" s="71"/>
      <c r="B790" s="72"/>
      <c r="C790" s="75"/>
      <c r="D790" s="74"/>
      <c r="E790" s="75"/>
      <c r="F790" s="74"/>
      <c r="G790" s="72"/>
      <c r="H790" s="76"/>
      <c r="I790" s="72"/>
      <c r="J790" s="72"/>
      <c r="K790" s="72"/>
      <c r="L790" s="77"/>
      <c r="M790" s="77"/>
      <c r="N790" s="72"/>
      <c r="O790" s="78"/>
      <c r="P790" s="78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</row>
    <row r="791" spans="1:29" ht="15.75" customHeight="1">
      <c r="A791" s="71"/>
      <c r="B791" s="72"/>
      <c r="C791" s="75"/>
      <c r="D791" s="74"/>
      <c r="E791" s="75"/>
      <c r="F791" s="74"/>
      <c r="G791" s="72"/>
      <c r="H791" s="76"/>
      <c r="I791" s="72"/>
      <c r="J791" s="72"/>
      <c r="K791" s="72"/>
      <c r="L791" s="77"/>
      <c r="M791" s="77"/>
      <c r="N791" s="72"/>
      <c r="O791" s="78"/>
      <c r="P791" s="78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</row>
    <row r="792" spans="1:29" ht="15.75" customHeight="1">
      <c r="A792" s="71"/>
      <c r="B792" s="72"/>
      <c r="C792" s="75"/>
      <c r="D792" s="74"/>
      <c r="E792" s="75"/>
      <c r="F792" s="74"/>
      <c r="G792" s="72"/>
      <c r="H792" s="76"/>
      <c r="I792" s="72"/>
      <c r="J792" s="72"/>
      <c r="K792" s="72"/>
      <c r="L792" s="77"/>
      <c r="M792" s="77"/>
      <c r="N792" s="72"/>
      <c r="O792" s="78"/>
      <c r="P792" s="78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</row>
    <row r="793" spans="1:29" ht="15.75" customHeight="1">
      <c r="A793" s="71"/>
      <c r="B793" s="72"/>
      <c r="C793" s="75"/>
      <c r="D793" s="74"/>
      <c r="E793" s="75"/>
      <c r="F793" s="74"/>
      <c r="G793" s="72"/>
      <c r="H793" s="76"/>
      <c r="I793" s="72"/>
      <c r="J793" s="72"/>
      <c r="K793" s="72"/>
      <c r="L793" s="77"/>
      <c r="M793" s="77"/>
      <c r="N793" s="72"/>
      <c r="O793" s="78"/>
      <c r="P793" s="78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</row>
    <row r="794" spans="1:29" ht="15.75" customHeight="1">
      <c r="A794" s="71"/>
      <c r="B794" s="72"/>
      <c r="C794" s="75"/>
      <c r="D794" s="74"/>
      <c r="E794" s="75"/>
      <c r="F794" s="74"/>
      <c r="G794" s="72"/>
      <c r="H794" s="76"/>
      <c r="I794" s="72"/>
      <c r="J794" s="72"/>
      <c r="K794" s="72"/>
      <c r="L794" s="77"/>
      <c r="M794" s="77"/>
      <c r="N794" s="72"/>
      <c r="O794" s="78"/>
      <c r="P794" s="78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</row>
    <row r="795" spans="1:29" ht="15.75" customHeight="1">
      <c r="A795" s="71"/>
      <c r="B795" s="72"/>
      <c r="C795" s="75"/>
      <c r="D795" s="74"/>
      <c r="E795" s="75"/>
      <c r="F795" s="74"/>
      <c r="G795" s="72"/>
      <c r="H795" s="76"/>
      <c r="I795" s="72"/>
      <c r="J795" s="72"/>
      <c r="K795" s="72"/>
      <c r="L795" s="77"/>
      <c r="M795" s="77"/>
      <c r="N795" s="72"/>
      <c r="O795" s="78"/>
      <c r="P795" s="78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</row>
    <row r="796" spans="1:29" ht="15.75" customHeight="1">
      <c r="A796" s="71"/>
      <c r="B796" s="72"/>
      <c r="C796" s="75"/>
      <c r="D796" s="74"/>
      <c r="E796" s="75"/>
      <c r="F796" s="74"/>
      <c r="G796" s="72"/>
      <c r="H796" s="76"/>
      <c r="I796" s="72"/>
      <c r="J796" s="72"/>
      <c r="K796" s="72"/>
      <c r="L796" s="77"/>
      <c r="M796" s="77"/>
      <c r="N796" s="72"/>
      <c r="O796" s="78"/>
      <c r="P796" s="78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</row>
    <row r="797" spans="1:29" ht="15.75" customHeight="1">
      <c r="A797" s="71"/>
      <c r="B797" s="72"/>
      <c r="C797" s="75"/>
      <c r="D797" s="74"/>
      <c r="E797" s="75"/>
      <c r="F797" s="74"/>
      <c r="G797" s="72"/>
      <c r="H797" s="76"/>
      <c r="I797" s="72"/>
      <c r="J797" s="72"/>
      <c r="K797" s="72"/>
      <c r="L797" s="77"/>
      <c r="M797" s="77"/>
      <c r="N797" s="72"/>
      <c r="O797" s="78"/>
      <c r="P797" s="78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</row>
    <row r="798" spans="1:29" ht="15.75" customHeight="1">
      <c r="A798" s="71"/>
      <c r="B798" s="72"/>
      <c r="C798" s="75"/>
      <c r="D798" s="74"/>
      <c r="E798" s="75"/>
      <c r="F798" s="74"/>
      <c r="G798" s="72"/>
      <c r="H798" s="76"/>
      <c r="I798" s="72"/>
      <c r="J798" s="72"/>
      <c r="K798" s="72"/>
      <c r="L798" s="77"/>
      <c r="M798" s="77"/>
      <c r="N798" s="72"/>
      <c r="O798" s="78"/>
      <c r="P798" s="78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</row>
    <row r="799" spans="1:29" ht="15.75" customHeight="1">
      <c r="A799" s="71"/>
      <c r="B799" s="72"/>
      <c r="C799" s="75"/>
      <c r="D799" s="74"/>
      <c r="E799" s="75"/>
      <c r="F799" s="74"/>
      <c r="G799" s="72"/>
      <c r="H799" s="76"/>
      <c r="I799" s="72"/>
      <c r="J799" s="72"/>
      <c r="K799" s="72"/>
      <c r="L799" s="77"/>
      <c r="M799" s="77"/>
      <c r="N799" s="72"/>
      <c r="O799" s="78"/>
      <c r="P799" s="78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</row>
    <row r="800" spans="1:29" ht="15.75" customHeight="1">
      <c r="A800" s="71"/>
      <c r="B800" s="72"/>
      <c r="C800" s="75"/>
      <c r="D800" s="74"/>
      <c r="E800" s="75"/>
      <c r="F800" s="74"/>
      <c r="G800" s="72"/>
      <c r="H800" s="76"/>
      <c r="I800" s="72"/>
      <c r="J800" s="72"/>
      <c r="K800" s="72"/>
      <c r="L800" s="77"/>
      <c r="M800" s="77"/>
      <c r="N800" s="72"/>
      <c r="O800" s="78"/>
      <c r="P800" s="78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</row>
    <row r="801" spans="1:29" ht="15.75" customHeight="1">
      <c r="A801" s="71"/>
      <c r="B801" s="72"/>
      <c r="C801" s="75"/>
      <c r="D801" s="74"/>
      <c r="E801" s="75"/>
      <c r="F801" s="74"/>
      <c r="G801" s="72"/>
      <c r="H801" s="76"/>
      <c r="I801" s="72"/>
      <c r="J801" s="72"/>
      <c r="K801" s="72"/>
      <c r="L801" s="77"/>
      <c r="M801" s="77"/>
      <c r="N801" s="72"/>
      <c r="O801" s="78"/>
      <c r="P801" s="78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</row>
    <row r="802" spans="1:29" ht="15.75" customHeight="1">
      <c r="A802" s="71"/>
      <c r="B802" s="72"/>
      <c r="C802" s="75"/>
      <c r="D802" s="74"/>
      <c r="E802" s="75"/>
      <c r="F802" s="74"/>
      <c r="G802" s="72"/>
      <c r="H802" s="76"/>
      <c r="I802" s="72"/>
      <c r="J802" s="72"/>
      <c r="K802" s="72"/>
      <c r="L802" s="77"/>
      <c r="M802" s="77"/>
      <c r="N802" s="72"/>
      <c r="O802" s="78"/>
      <c r="P802" s="78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</row>
    <row r="803" spans="1:29" ht="15.75" customHeight="1">
      <c r="A803" s="71"/>
      <c r="B803" s="72"/>
      <c r="C803" s="75"/>
      <c r="D803" s="74"/>
      <c r="E803" s="75"/>
      <c r="F803" s="74"/>
      <c r="G803" s="72"/>
      <c r="H803" s="76"/>
      <c r="I803" s="72"/>
      <c r="J803" s="72"/>
      <c r="K803" s="72"/>
      <c r="L803" s="77"/>
      <c r="M803" s="77"/>
      <c r="N803" s="72"/>
      <c r="O803" s="78"/>
      <c r="P803" s="78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</row>
    <row r="804" spans="1:29" ht="15.75" customHeight="1">
      <c r="A804" s="71"/>
      <c r="B804" s="72"/>
      <c r="C804" s="75"/>
      <c r="D804" s="74"/>
      <c r="E804" s="75"/>
      <c r="F804" s="74"/>
      <c r="G804" s="72"/>
      <c r="H804" s="76"/>
      <c r="I804" s="72"/>
      <c r="J804" s="72"/>
      <c r="K804" s="72"/>
      <c r="L804" s="77"/>
      <c r="M804" s="77"/>
      <c r="N804" s="72"/>
      <c r="O804" s="78"/>
      <c r="P804" s="78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</row>
    <row r="805" spans="1:29" ht="15.75" customHeight="1">
      <c r="A805" s="71"/>
      <c r="B805" s="72"/>
      <c r="C805" s="75"/>
      <c r="D805" s="74"/>
      <c r="E805" s="75"/>
      <c r="F805" s="74"/>
      <c r="G805" s="72"/>
      <c r="H805" s="76"/>
      <c r="I805" s="72"/>
      <c r="J805" s="72"/>
      <c r="K805" s="72"/>
      <c r="L805" s="77"/>
      <c r="M805" s="77"/>
      <c r="N805" s="72"/>
      <c r="O805" s="78"/>
      <c r="P805" s="78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</row>
    <row r="806" spans="1:29" ht="15.75" customHeight="1">
      <c r="A806" s="71"/>
      <c r="B806" s="72"/>
      <c r="C806" s="75"/>
      <c r="D806" s="74"/>
      <c r="E806" s="75"/>
      <c r="F806" s="74"/>
      <c r="G806" s="72"/>
      <c r="H806" s="76"/>
      <c r="I806" s="72"/>
      <c r="J806" s="72"/>
      <c r="K806" s="72"/>
      <c r="L806" s="77"/>
      <c r="M806" s="77"/>
      <c r="N806" s="72"/>
      <c r="O806" s="78"/>
      <c r="P806" s="78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</row>
    <row r="807" spans="1:29" ht="15.75" customHeight="1">
      <c r="A807" s="71"/>
      <c r="B807" s="72"/>
      <c r="C807" s="75"/>
      <c r="D807" s="74"/>
      <c r="E807" s="75"/>
      <c r="F807" s="74"/>
      <c r="G807" s="72"/>
      <c r="H807" s="76"/>
      <c r="I807" s="72"/>
      <c r="J807" s="72"/>
      <c r="K807" s="72"/>
      <c r="L807" s="77"/>
      <c r="M807" s="77"/>
      <c r="N807" s="72"/>
      <c r="O807" s="78"/>
      <c r="P807" s="78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</row>
    <row r="808" spans="1:29" ht="15.75" customHeight="1">
      <c r="A808" s="71"/>
      <c r="B808" s="72"/>
      <c r="C808" s="75"/>
      <c r="D808" s="74"/>
      <c r="E808" s="75"/>
      <c r="F808" s="74"/>
      <c r="G808" s="72"/>
      <c r="H808" s="76"/>
      <c r="I808" s="72"/>
      <c r="J808" s="72"/>
      <c r="K808" s="72"/>
      <c r="L808" s="77"/>
      <c r="M808" s="77"/>
      <c r="N808" s="72"/>
      <c r="O808" s="78"/>
      <c r="P808" s="78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</row>
    <row r="809" spans="1:29" ht="15.75" customHeight="1">
      <c r="A809" s="71"/>
      <c r="B809" s="72"/>
      <c r="C809" s="75"/>
      <c r="D809" s="74"/>
      <c r="E809" s="75"/>
      <c r="F809" s="74"/>
      <c r="G809" s="72"/>
      <c r="H809" s="76"/>
      <c r="I809" s="72"/>
      <c r="J809" s="72"/>
      <c r="K809" s="72"/>
      <c r="L809" s="77"/>
      <c r="M809" s="77"/>
      <c r="N809" s="72"/>
      <c r="O809" s="78"/>
      <c r="P809" s="78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</row>
    <row r="810" spans="1:29" ht="15.75" customHeight="1">
      <c r="A810" s="71"/>
      <c r="B810" s="72"/>
      <c r="C810" s="75"/>
      <c r="D810" s="74"/>
      <c r="E810" s="75"/>
      <c r="F810" s="74"/>
      <c r="G810" s="72"/>
      <c r="H810" s="76"/>
      <c r="I810" s="72"/>
      <c r="J810" s="72"/>
      <c r="K810" s="72"/>
      <c r="L810" s="77"/>
      <c r="M810" s="77"/>
      <c r="N810" s="72"/>
      <c r="O810" s="78"/>
      <c r="P810" s="78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</row>
    <row r="811" spans="1:29" ht="15.75" customHeight="1">
      <c r="A811" s="71"/>
      <c r="B811" s="72"/>
      <c r="C811" s="75"/>
      <c r="D811" s="74"/>
      <c r="E811" s="75"/>
      <c r="F811" s="74"/>
      <c r="G811" s="72"/>
      <c r="H811" s="76"/>
      <c r="I811" s="72"/>
      <c r="J811" s="72"/>
      <c r="K811" s="72"/>
      <c r="L811" s="77"/>
      <c r="M811" s="77"/>
      <c r="N811" s="72"/>
      <c r="O811" s="78"/>
      <c r="P811" s="78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</row>
    <row r="812" spans="1:29" ht="15.75" customHeight="1">
      <c r="A812" s="71"/>
      <c r="B812" s="72"/>
      <c r="C812" s="75"/>
      <c r="D812" s="74"/>
      <c r="E812" s="75"/>
      <c r="F812" s="74"/>
      <c r="G812" s="72"/>
      <c r="H812" s="76"/>
      <c r="I812" s="72"/>
      <c r="J812" s="72"/>
      <c r="K812" s="72"/>
      <c r="L812" s="77"/>
      <c r="M812" s="77"/>
      <c r="N812" s="72"/>
      <c r="O812" s="78"/>
      <c r="P812" s="78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</row>
    <row r="813" spans="1:29" ht="15.75" customHeight="1">
      <c r="A813" s="71"/>
      <c r="B813" s="72"/>
      <c r="C813" s="75"/>
      <c r="D813" s="74"/>
      <c r="E813" s="75"/>
      <c r="F813" s="74"/>
      <c r="G813" s="72"/>
      <c r="H813" s="76"/>
      <c r="I813" s="72"/>
      <c r="J813" s="72"/>
      <c r="K813" s="72"/>
      <c r="L813" s="77"/>
      <c r="M813" s="77"/>
      <c r="N813" s="72"/>
      <c r="O813" s="78"/>
      <c r="P813" s="78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</row>
    <row r="814" spans="1:29" ht="15.75" customHeight="1">
      <c r="A814" s="71"/>
      <c r="B814" s="72"/>
      <c r="C814" s="75"/>
      <c r="D814" s="74"/>
      <c r="E814" s="75"/>
      <c r="F814" s="74"/>
      <c r="G814" s="72"/>
      <c r="H814" s="76"/>
      <c r="I814" s="72"/>
      <c r="J814" s="72"/>
      <c r="K814" s="72"/>
      <c r="L814" s="77"/>
      <c r="M814" s="77"/>
      <c r="N814" s="72"/>
      <c r="O814" s="78"/>
      <c r="P814" s="78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</row>
    <row r="815" spans="1:29" ht="15.75" customHeight="1">
      <c r="A815" s="71"/>
      <c r="B815" s="72"/>
      <c r="C815" s="75"/>
      <c r="D815" s="74"/>
      <c r="E815" s="75"/>
      <c r="F815" s="74"/>
      <c r="G815" s="72"/>
      <c r="H815" s="76"/>
      <c r="I815" s="72"/>
      <c r="J815" s="72"/>
      <c r="K815" s="72"/>
      <c r="L815" s="77"/>
      <c r="M815" s="77"/>
      <c r="N815" s="72"/>
      <c r="O815" s="78"/>
      <c r="P815" s="78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</row>
    <row r="816" spans="1:29" ht="15.75" customHeight="1">
      <c r="A816" s="71"/>
      <c r="B816" s="72"/>
      <c r="C816" s="75"/>
      <c r="D816" s="74"/>
      <c r="E816" s="75"/>
      <c r="F816" s="74"/>
      <c r="G816" s="72"/>
      <c r="H816" s="76"/>
      <c r="I816" s="72"/>
      <c r="J816" s="72"/>
      <c r="K816" s="72"/>
      <c r="L816" s="77"/>
      <c r="M816" s="77"/>
      <c r="N816" s="72"/>
      <c r="O816" s="78"/>
      <c r="P816" s="78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</row>
    <row r="817" spans="1:29" ht="15.75" customHeight="1">
      <c r="A817" s="71"/>
      <c r="B817" s="72"/>
      <c r="C817" s="75"/>
      <c r="D817" s="74"/>
      <c r="E817" s="75"/>
      <c r="F817" s="74"/>
      <c r="G817" s="72"/>
      <c r="H817" s="76"/>
      <c r="I817" s="72"/>
      <c r="J817" s="72"/>
      <c r="K817" s="72"/>
      <c r="L817" s="77"/>
      <c r="M817" s="77"/>
      <c r="N817" s="72"/>
      <c r="O817" s="78"/>
      <c r="P817" s="78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</row>
    <row r="818" spans="1:29" ht="15.75" customHeight="1">
      <c r="A818" s="71"/>
      <c r="B818" s="72"/>
      <c r="C818" s="75"/>
      <c r="D818" s="74"/>
      <c r="E818" s="75"/>
      <c r="F818" s="74"/>
      <c r="G818" s="72"/>
      <c r="H818" s="76"/>
      <c r="I818" s="72"/>
      <c r="J818" s="72"/>
      <c r="K818" s="72"/>
      <c r="L818" s="77"/>
      <c r="M818" s="77"/>
      <c r="N818" s="72"/>
      <c r="O818" s="78"/>
      <c r="P818" s="78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</row>
    <row r="819" spans="1:29" ht="15.75" customHeight="1">
      <c r="A819" s="71"/>
      <c r="B819" s="72"/>
      <c r="C819" s="75"/>
      <c r="D819" s="74"/>
      <c r="E819" s="75"/>
      <c r="F819" s="74"/>
      <c r="G819" s="72"/>
      <c r="H819" s="76"/>
      <c r="I819" s="72"/>
      <c r="J819" s="72"/>
      <c r="K819" s="72"/>
      <c r="L819" s="77"/>
      <c r="M819" s="77"/>
      <c r="N819" s="72"/>
      <c r="O819" s="78"/>
      <c r="P819" s="78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</row>
    <row r="820" spans="1:29" ht="15.75" customHeight="1">
      <c r="A820" s="71"/>
      <c r="B820" s="72"/>
      <c r="C820" s="75"/>
      <c r="D820" s="74"/>
      <c r="E820" s="75"/>
      <c r="F820" s="74"/>
      <c r="G820" s="72"/>
      <c r="H820" s="76"/>
      <c r="I820" s="72"/>
      <c r="J820" s="72"/>
      <c r="K820" s="72"/>
      <c r="L820" s="77"/>
      <c r="M820" s="77"/>
      <c r="N820" s="72"/>
      <c r="O820" s="78"/>
      <c r="P820" s="78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</row>
    <row r="821" spans="1:29" ht="15.75" customHeight="1">
      <c r="A821" s="71"/>
      <c r="B821" s="72"/>
      <c r="C821" s="75"/>
      <c r="D821" s="74"/>
      <c r="E821" s="75"/>
      <c r="F821" s="74"/>
      <c r="G821" s="72"/>
      <c r="H821" s="76"/>
      <c r="I821" s="72"/>
      <c r="J821" s="72"/>
      <c r="K821" s="72"/>
      <c r="L821" s="77"/>
      <c r="M821" s="77"/>
      <c r="N821" s="72"/>
      <c r="O821" s="78"/>
      <c r="P821" s="78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</row>
    <row r="822" spans="1:29" ht="15.75" customHeight="1">
      <c r="A822" s="71"/>
      <c r="B822" s="72"/>
      <c r="C822" s="75"/>
      <c r="D822" s="74"/>
      <c r="E822" s="75"/>
      <c r="F822" s="74"/>
      <c r="G822" s="72"/>
      <c r="H822" s="76"/>
      <c r="I822" s="72"/>
      <c r="J822" s="72"/>
      <c r="K822" s="72"/>
      <c r="L822" s="77"/>
      <c r="M822" s="77"/>
      <c r="N822" s="72"/>
      <c r="O822" s="78"/>
      <c r="P822" s="78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</row>
    <row r="823" spans="1:29" ht="15.75" customHeight="1">
      <c r="A823" s="71"/>
      <c r="B823" s="72"/>
      <c r="C823" s="75"/>
      <c r="D823" s="74"/>
      <c r="E823" s="75"/>
      <c r="F823" s="74"/>
      <c r="G823" s="72"/>
      <c r="H823" s="76"/>
      <c r="I823" s="72"/>
      <c r="J823" s="72"/>
      <c r="K823" s="72"/>
      <c r="L823" s="77"/>
      <c r="M823" s="77"/>
      <c r="N823" s="72"/>
      <c r="O823" s="78"/>
      <c r="P823" s="78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</row>
    <row r="824" spans="1:29" ht="15.75" customHeight="1">
      <c r="A824" s="71"/>
      <c r="B824" s="72"/>
      <c r="C824" s="75"/>
      <c r="D824" s="74"/>
      <c r="E824" s="75"/>
      <c r="F824" s="74"/>
      <c r="G824" s="72"/>
      <c r="H824" s="76"/>
      <c r="I824" s="72"/>
      <c r="J824" s="72"/>
      <c r="K824" s="72"/>
      <c r="L824" s="77"/>
      <c r="M824" s="77"/>
      <c r="N824" s="72"/>
      <c r="O824" s="78"/>
      <c r="P824" s="78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</row>
    <row r="825" spans="1:29" ht="15.75" customHeight="1">
      <c r="A825" s="71"/>
      <c r="B825" s="72"/>
      <c r="C825" s="75"/>
      <c r="D825" s="74"/>
      <c r="E825" s="75"/>
      <c r="F825" s="74"/>
      <c r="G825" s="72"/>
      <c r="H825" s="76"/>
      <c r="I825" s="72"/>
      <c r="J825" s="72"/>
      <c r="K825" s="72"/>
      <c r="L825" s="77"/>
      <c r="M825" s="77"/>
      <c r="N825" s="72"/>
      <c r="O825" s="78"/>
      <c r="P825" s="78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</row>
    <row r="826" spans="1:29" ht="15.75" customHeight="1">
      <c r="A826" s="71"/>
      <c r="B826" s="72"/>
      <c r="C826" s="75"/>
      <c r="D826" s="74"/>
      <c r="E826" s="75"/>
      <c r="F826" s="74"/>
      <c r="G826" s="72"/>
      <c r="H826" s="76"/>
      <c r="I826" s="72"/>
      <c r="J826" s="72"/>
      <c r="K826" s="72"/>
      <c r="L826" s="77"/>
      <c r="M826" s="77"/>
      <c r="N826" s="72"/>
      <c r="O826" s="78"/>
      <c r="P826" s="78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</row>
    <row r="827" spans="1:29" ht="15.75" customHeight="1">
      <c r="A827" s="71"/>
      <c r="B827" s="72"/>
      <c r="C827" s="75"/>
      <c r="D827" s="74"/>
      <c r="E827" s="75"/>
      <c r="F827" s="74"/>
      <c r="G827" s="72"/>
      <c r="H827" s="76"/>
      <c r="I827" s="72"/>
      <c r="J827" s="72"/>
      <c r="K827" s="72"/>
      <c r="L827" s="77"/>
      <c r="M827" s="77"/>
      <c r="N827" s="72"/>
      <c r="O827" s="78"/>
      <c r="P827" s="78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</row>
    <row r="828" spans="1:29" ht="15.75" customHeight="1">
      <c r="A828" s="71"/>
      <c r="B828" s="72"/>
      <c r="C828" s="75"/>
      <c r="D828" s="74"/>
      <c r="E828" s="75"/>
      <c r="F828" s="74"/>
      <c r="G828" s="72"/>
      <c r="H828" s="76"/>
      <c r="I828" s="72"/>
      <c r="J828" s="72"/>
      <c r="K828" s="72"/>
      <c r="L828" s="77"/>
      <c r="M828" s="77"/>
      <c r="N828" s="72"/>
      <c r="O828" s="78"/>
      <c r="P828" s="78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</row>
    <row r="829" spans="1:29" ht="15.75" customHeight="1">
      <c r="A829" s="71"/>
      <c r="B829" s="72"/>
      <c r="C829" s="75"/>
      <c r="D829" s="74"/>
      <c r="E829" s="75"/>
      <c r="F829" s="74"/>
      <c r="G829" s="72"/>
      <c r="H829" s="76"/>
      <c r="I829" s="72"/>
      <c r="J829" s="72"/>
      <c r="K829" s="72"/>
      <c r="L829" s="77"/>
      <c r="M829" s="77"/>
      <c r="N829" s="72"/>
      <c r="O829" s="78"/>
      <c r="P829" s="78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</row>
    <row r="830" spans="1:29" ht="15.75" customHeight="1">
      <c r="A830" s="71"/>
      <c r="B830" s="72"/>
      <c r="C830" s="75"/>
      <c r="D830" s="74"/>
      <c r="E830" s="75"/>
      <c r="F830" s="74"/>
      <c r="G830" s="72"/>
      <c r="H830" s="76"/>
      <c r="I830" s="72"/>
      <c r="J830" s="72"/>
      <c r="K830" s="72"/>
      <c r="L830" s="77"/>
      <c r="M830" s="77"/>
      <c r="N830" s="72"/>
      <c r="O830" s="78"/>
      <c r="P830" s="78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</row>
    <row r="831" spans="1:29" ht="15.75" customHeight="1">
      <c r="A831" s="71"/>
      <c r="B831" s="72"/>
      <c r="C831" s="75"/>
      <c r="D831" s="74"/>
      <c r="E831" s="75"/>
      <c r="F831" s="74"/>
      <c r="G831" s="72"/>
      <c r="H831" s="76"/>
      <c r="I831" s="72"/>
      <c r="J831" s="72"/>
      <c r="K831" s="72"/>
      <c r="L831" s="77"/>
      <c r="M831" s="77"/>
      <c r="N831" s="72"/>
      <c r="O831" s="78"/>
      <c r="P831" s="78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</row>
    <row r="832" spans="1:29" ht="15.75" customHeight="1">
      <c r="A832" s="71"/>
      <c r="B832" s="72"/>
      <c r="C832" s="75"/>
      <c r="D832" s="74"/>
      <c r="E832" s="75"/>
      <c r="F832" s="74"/>
      <c r="G832" s="72"/>
      <c r="H832" s="76"/>
      <c r="I832" s="72"/>
      <c r="J832" s="72"/>
      <c r="K832" s="72"/>
      <c r="L832" s="77"/>
      <c r="M832" s="77"/>
      <c r="N832" s="72"/>
      <c r="O832" s="78"/>
      <c r="P832" s="78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</row>
    <row r="833" spans="1:29" ht="15.75" customHeight="1">
      <c r="A833" s="71"/>
      <c r="B833" s="72"/>
      <c r="C833" s="75"/>
      <c r="D833" s="74"/>
      <c r="E833" s="75"/>
      <c r="F833" s="74"/>
      <c r="G833" s="72"/>
      <c r="H833" s="76"/>
      <c r="I833" s="72"/>
      <c r="J833" s="72"/>
      <c r="K833" s="72"/>
      <c r="L833" s="77"/>
      <c r="M833" s="77"/>
      <c r="N833" s="72"/>
      <c r="O833" s="78"/>
      <c r="P833" s="78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</row>
    <row r="834" spans="1:29" ht="15.75" customHeight="1">
      <c r="A834" s="71"/>
      <c r="B834" s="72"/>
      <c r="C834" s="75"/>
      <c r="D834" s="74"/>
      <c r="E834" s="75"/>
      <c r="F834" s="74"/>
      <c r="G834" s="72"/>
      <c r="H834" s="76"/>
      <c r="I834" s="72"/>
      <c r="J834" s="72"/>
      <c r="K834" s="72"/>
      <c r="L834" s="77"/>
      <c r="M834" s="77"/>
      <c r="N834" s="72"/>
      <c r="O834" s="78"/>
      <c r="P834" s="78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</row>
    <row r="835" spans="1:29" ht="15.75" customHeight="1">
      <c r="A835" s="71"/>
      <c r="B835" s="72"/>
      <c r="C835" s="75"/>
      <c r="D835" s="74"/>
      <c r="E835" s="75"/>
      <c r="F835" s="74"/>
      <c r="G835" s="72"/>
      <c r="H835" s="76"/>
      <c r="I835" s="72"/>
      <c r="J835" s="72"/>
      <c r="K835" s="72"/>
      <c r="L835" s="77"/>
      <c r="M835" s="77"/>
      <c r="N835" s="72"/>
      <c r="O835" s="78"/>
      <c r="P835" s="78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</row>
    <row r="836" spans="1:29" ht="15.75" customHeight="1">
      <c r="A836" s="71"/>
      <c r="B836" s="72"/>
      <c r="C836" s="75"/>
      <c r="D836" s="74"/>
      <c r="E836" s="75"/>
      <c r="F836" s="74"/>
      <c r="G836" s="72"/>
      <c r="H836" s="76"/>
      <c r="I836" s="72"/>
      <c r="J836" s="72"/>
      <c r="K836" s="72"/>
      <c r="L836" s="77"/>
      <c r="M836" s="77"/>
      <c r="N836" s="72"/>
      <c r="O836" s="78"/>
      <c r="P836" s="78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</row>
    <row r="837" spans="1:29" ht="15.75" customHeight="1">
      <c r="A837" s="71"/>
      <c r="B837" s="72"/>
      <c r="C837" s="75"/>
      <c r="D837" s="74"/>
      <c r="E837" s="75"/>
      <c r="F837" s="74"/>
      <c r="G837" s="72"/>
      <c r="H837" s="76"/>
      <c r="I837" s="72"/>
      <c r="J837" s="72"/>
      <c r="K837" s="72"/>
      <c r="L837" s="77"/>
      <c r="M837" s="77"/>
      <c r="N837" s="72"/>
      <c r="O837" s="78"/>
      <c r="P837" s="78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</row>
    <row r="838" spans="1:29" ht="15.75" customHeight="1">
      <c r="A838" s="71"/>
      <c r="B838" s="72"/>
      <c r="C838" s="75"/>
      <c r="D838" s="74"/>
      <c r="E838" s="75"/>
      <c r="F838" s="74"/>
      <c r="G838" s="72"/>
      <c r="H838" s="76"/>
      <c r="I838" s="72"/>
      <c r="J838" s="72"/>
      <c r="K838" s="72"/>
      <c r="L838" s="77"/>
      <c r="M838" s="77"/>
      <c r="N838" s="72"/>
      <c r="O838" s="78"/>
      <c r="P838" s="78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</row>
    <row r="839" spans="1:29" ht="15.75" customHeight="1">
      <c r="A839" s="71"/>
      <c r="B839" s="72"/>
      <c r="C839" s="75"/>
      <c r="D839" s="74"/>
      <c r="E839" s="75"/>
      <c r="F839" s="74"/>
      <c r="G839" s="72"/>
      <c r="H839" s="76"/>
      <c r="I839" s="72"/>
      <c r="J839" s="72"/>
      <c r="K839" s="72"/>
      <c r="L839" s="77"/>
      <c r="M839" s="77"/>
      <c r="N839" s="72"/>
      <c r="O839" s="78"/>
      <c r="P839" s="78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</row>
    <row r="840" spans="1:29" ht="15.75" customHeight="1">
      <c r="A840" s="71"/>
      <c r="B840" s="72"/>
      <c r="C840" s="75"/>
      <c r="D840" s="74"/>
      <c r="E840" s="75"/>
      <c r="F840" s="74"/>
      <c r="G840" s="72"/>
      <c r="H840" s="76"/>
      <c r="I840" s="72"/>
      <c r="J840" s="72"/>
      <c r="K840" s="72"/>
      <c r="L840" s="77"/>
      <c r="M840" s="77"/>
      <c r="N840" s="72"/>
      <c r="O840" s="78"/>
      <c r="P840" s="78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</row>
    <row r="841" spans="1:29" ht="15.75" customHeight="1">
      <c r="A841" s="71"/>
      <c r="B841" s="72"/>
      <c r="C841" s="75"/>
      <c r="D841" s="74"/>
      <c r="E841" s="75"/>
      <c r="F841" s="74"/>
      <c r="G841" s="72"/>
      <c r="H841" s="76"/>
      <c r="I841" s="72"/>
      <c r="J841" s="72"/>
      <c r="K841" s="72"/>
      <c r="L841" s="77"/>
      <c r="M841" s="77"/>
      <c r="N841" s="72"/>
      <c r="O841" s="78"/>
      <c r="P841" s="78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</row>
    <row r="842" spans="1:29" ht="15.75" customHeight="1">
      <c r="A842" s="71"/>
      <c r="B842" s="72"/>
      <c r="C842" s="75"/>
      <c r="D842" s="74"/>
      <c r="E842" s="75"/>
      <c r="F842" s="74"/>
      <c r="G842" s="72"/>
      <c r="H842" s="76"/>
      <c r="I842" s="72"/>
      <c r="J842" s="72"/>
      <c r="K842" s="72"/>
      <c r="L842" s="77"/>
      <c r="M842" s="77"/>
      <c r="N842" s="72"/>
      <c r="O842" s="78"/>
      <c r="P842" s="78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</row>
    <row r="843" spans="1:29" ht="15.75" customHeight="1">
      <c r="A843" s="71"/>
      <c r="B843" s="72"/>
      <c r="C843" s="75"/>
      <c r="D843" s="74"/>
      <c r="E843" s="75"/>
      <c r="F843" s="74"/>
      <c r="G843" s="72"/>
      <c r="H843" s="76"/>
      <c r="I843" s="72"/>
      <c r="J843" s="72"/>
      <c r="K843" s="72"/>
      <c r="L843" s="77"/>
      <c r="M843" s="77"/>
      <c r="N843" s="72"/>
      <c r="O843" s="78"/>
      <c r="P843" s="78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</row>
    <row r="844" spans="1:29" ht="15.75" customHeight="1">
      <c r="A844" s="71"/>
      <c r="B844" s="72"/>
      <c r="C844" s="75"/>
      <c r="D844" s="74"/>
      <c r="E844" s="75"/>
      <c r="F844" s="74"/>
      <c r="G844" s="72"/>
      <c r="H844" s="76"/>
      <c r="I844" s="72"/>
      <c r="J844" s="72"/>
      <c r="K844" s="72"/>
      <c r="L844" s="77"/>
      <c r="M844" s="77"/>
      <c r="N844" s="72"/>
      <c r="O844" s="78"/>
      <c r="P844" s="78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</row>
    <row r="845" spans="1:29" ht="15.75" customHeight="1">
      <c r="A845" s="71"/>
      <c r="B845" s="72"/>
      <c r="C845" s="75"/>
      <c r="D845" s="74"/>
      <c r="E845" s="75"/>
      <c r="F845" s="74"/>
      <c r="G845" s="72"/>
      <c r="H845" s="76"/>
      <c r="I845" s="72"/>
      <c r="J845" s="72"/>
      <c r="K845" s="72"/>
      <c r="L845" s="77"/>
      <c r="M845" s="77"/>
      <c r="N845" s="72"/>
      <c r="O845" s="78"/>
      <c r="P845" s="78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</row>
    <row r="846" spans="1:29" ht="15.75" customHeight="1">
      <c r="A846" s="71"/>
      <c r="B846" s="72"/>
      <c r="C846" s="75"/>
      <c r="D846" s="74"/>
      <c r="E846" s="75"/>
      <c r="F846" s="74"/>
      <c r="G846" s="72"/>
      <c r="H846" s="76"/>
      <c r="I846" s="72"/>
      <c r="J846" s="72"/>
      <c r="K846" s="72"/>
      <c r="L846" s="77"/>
      <c r="M846" s="77"/>
      <c r="N846" s="72"/>
      <c r="O846" s="78"/>
      <c r="P846" s="78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</row>
    <row r="847" spans="1:29" ht="15.75" customHeight="1">
      <c r="A847" s="71"/>
      <c r="B847" s="72"/>
      <c r="C847" s="75"/>
      <c r="D847" s="74"/>
      <c r="E847" s="75"/>
      <c r="F847" s="74"/>
      <c r="G847" s="72"/>
      <c r="H847" s="76"/>
      <c r="I847" s="72"/>
      <c r="J847" s="72"/>
      <c r="K847" s="72"/>
      <c r="L847" s="77"/>
      <c r="M847" s="77"/>
      <c r="N847" s="72"/>
      <c r="O847" s="78"/>
      <c r="P847" s="78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</row>
    <row r="848" spans="1:29" ht="15.75" customHeight="1">
      <c r="A848" s="71"/>
      <c r="B848" s="72"/>
      <c r="C848" s="75"/>
      <c r="D848" s="74"/>
      <c r="E848" s="75"/>
      <c r="F848" s="74"/>
      <c r="G848" s="72"/>
      <c r="H848" s="76"/>
      <c r="I848" s="72"/>
      <c r="J848" s="72"/>
      <c r="K848" s="72"/>
      <c r="L848" s="77"/>
      <c r="M848" s="77"/>
      <c r="N848" s="72"/>
      <c r="O848" s="78"/>
      <c r="P848" s="78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</row>
    <row r="849" spans="1:29" ht="15.75" customHeight="1">
      <c r="A849" s="71"/>
      <c r="B849" s="72"/>
      <c r="C849" s="75"/>
      <c r="D849" s="74"/>
      <c r="E849" s="75"/>
      <c r="F849" s="74"/>
      <c r="G849" s="72"/>
      <c r="H849" s="76"/>
      <c r="I849" s="72"/>
      <c r="J849" s="72"/>
      <c r="K849" s="72"/>
      <c r="L849" s="77"/>
      <c r="M849" s="77"/>
      <c r="N849" s="72"/>
      <c r="O849" s="78"/>
      <c r="P849" s="78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</row>
    <row r="850" spans="1:29" ht="15.75" customHeight="1">
      <c r="A850" s="71"/>
      <c r="B850" s="72"/>
      <c r="C850" s="75"/>
      <c r="D850" s="74"/>
      <c r="E850" s="75"/>
      <c r="F850" s="74"/>
      <c r="G850" s="72"/>
      <c r="H850" s="76"/>
      <c r="I850" s="72"/>
      <c r="J850" s="72"/>
      <c r="K850" s="72"/>
      <c r="L850" s="77"/>
      <c r="M850" s="77"/>
      <c r="N850" s="72"/>
      <c r="O850" s="78"/>
      <c r="P850" s="78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</row>
    <row r="851" spans="1:29" ht="15.75" customHeight="1">
      <c r="A851" s="71"/>
      <c r="B851" s="72"/>
      <c r="C851" s="75"/>
      <c r="D851" s="74"/>
      <c r="E851" s="75"/>
      <c r="F851" s="74"/>
      <c r="G851" s="72"/>
      <c r="H851" s="76"/>
      <c r="I851" s="72"/>
      <c r="J851" s="72"/>
      <c r="K851" s="72"/>
      <c r="L851" s="77"/>
      <c r="M851" s="77"/>
      <c r="N851" s="72"/>
      <c r="O851" s="78"/>
      <c r="P851" s="78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</row>
    <row r="852" spans="1:29" ht="15.75" customHeight="1">
      <c r="A852" s="71"/>
      <c r="B852" s="72"/>
      <c r="C852" s="75"/>
      <c r="D852" s="74"/>
      <c r="E852" s="75"/>
      <c r="F852" s="74"/>
      <c r="G852" s="72"/>
      <c r="H852" s="76"/>
      <c r="I852" s="72"/>
      <c r="J852" s="72"/>
      <c r="K852" s="72"/>
      <c r="L852" s="77"/>
      <c r="M852" s="77"/>
      <c r="N852" s="72"/>
      <c r="O852" s="78"/>
      <c r="P852" s="78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</row>
    <row r="853" spans="1:29" ht="15.75" customHeight="1">
      <c r="A853" s="71"/>
      <c r="B853" s="72"/>
      <c r="C853" s="75"/>
      <c r="D853" s="74"/>
      <c r="E853" s="75"/>
      <c r="F853" s="74"/>
      <c r="G853" s="72"/>
      <c r="H853" s="76"/>
      <c r="I853" s="72"/>
      <c r="J853" s="72"/>
      <c r="K853" s="72"/>
      <c r="L853" s="77"/>
      <c r="M853" s="77"/>
      <c r="N853" s="72"/>
      <c r="O853" s="78"/>
      <c r="P853" s="78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</row>
    <row r="854" spans="1:29" ht="15.75" customHeight="1">
      <c r="A854" s="71"/>
      <c r="B854" s="72"/>
      <c r="C854" s="75"/>
      <c r="D854" s="74"/>
      <c r="E854" s="75"/>
      <c r="F854" s="74"/>
      <c r="G854" s="72"/>
      <c r="H854" s="76"/>
      <c r="I854" s="72"/>
      <c r="J854" s="72"/>
      <c r="K854" s="72"/>
      <c r="L854" s="77"/>
      <c r="M854" s="77"/>
      <c r="N854" s="72"/>
      <c r="O854" s="78"/>
      <c r="P854" s="78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</row>
    <row r="855" spans="1:29" ht="15.75" customHeight="1">
      <c r="A855" s="71"/>
      <c r="B855" s="72"/>
      <c r="C855" s="75"/>
      <c r="D855" s="74"/>
      <c r="E855" s="75"/>
      <c r="F855" s="74"/>
      <c r="G855" s="72"/>
      <c r="H855" s="76"/>
      <c r="I855" s="72"/>
      <c r="J855" s="72"/>
      <c r="K855" s="72"/>
      <c r="L855" s="77"/>
      <c r="M855" s="77"/>
      <c r="N855" s="72"/>
      <c r="O855" s="78"/>
      <c r="P855" s="78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</row>
    <row r="856" spans="1:29" ht="15.75" customHeight="1">
      <c r="A856" s="71"/>
      <c r="B856" s="72"/>
      <c r="C856" s="75"/>
      <c r="D856" s="74"/>
      <c r="E856" s="75"/>
      <c r="F856" s="74"/>
      <c r="G856" s="72"/>
      <c r="H856" s="76"/>
      <c r="I856" s="72"/>
      <c r="J856" s="72"/>
      <c r="K856" s="72"/>
      <c r="L856" s="77"/>
      <c r="M856" s="77"/>
      <c r="N856" s="72"/>
      <c r="O856" s="78"/>
      <c r="P856" s="78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</row>
    <row r="857" spans="1:29" ht="15.75" customHeight="1">
      <c r="A857" s="71"/>
      <c r="B857" s="72"/>
      <c r="C857" s="75"/>
      <c r="D857" s="74"/>
      <c r="E857" s="75"/>
      <c r="F857" s="74"/>
      <c r="G857" s="72"/>
      <c r="H857" s="76"/>
      <c r="I857" s="72"/>
      <c r="J857" s="72"/>
      <c r="K857" s="72"/>
      <c r="L857" s="77"/>
      <c r="M857" s="77"/>
      <c r="N857" s="72"/>
      <c r="O857" s="78"/>
      <c r="P857" s="78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</row>
    <row r="858" spans="1:29" ht="15.75" customHeight="1">
      <c r="A858" s="71"/>
      <c r="B858" s="72"/>
      <c r="C858" s="75"/>
      <c r="D858" s="74"/>
      <c r="E858" s="75"/>
      <c r="F858" s="74"/>
      <c r="G858" s="72"/>
      <c r="H858" s="76"/>
      <c r="I858" s="72"/>
      <c r="J858" s="72"/>
      <c r="K858" s="72"/>
      <c r="L858" s="77"/>
      <c r="M858" s="77"/>
      <c r="N858" s="72"/>
      <c r="O858" s="78"/>
      <c r="P858" s="78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</row>
    <row r="859" spans="1:29" ht="15.75" customHeight="1">
      <c r="A859" s="71"/>
      <c r="B859" s="72"/>
      <c r="C859" s="75"/>
      <c r="D859" s="74"/>
      <c r="E859" s="75"/>
      <c r="F859" s="74"/>
      <c r="G859" s="72"/>
      <c r="H859" s="76"/>
      <c r="I859" s="72"/>
      <c r="J859" s="72"/>
      <c r="K859" s="72"/>
      <c r="L859" s="77"/>
      <c r="M859" s="77"/>
      <c r="N859" s="72"/>
      <c r="O859" s="78"/>
      <c r="P859" s="78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</row>
    <row r="860" spans="1:29" ht="15.75" customHeight="1">
      <c r="A860" s="71"/>
      <c r="B860" s="72"/>
      <c r="C860" s="75"/>
      <c r="D860" s="74"/>
      <c r="E860" s="75"/>
      <c r="F860" s="74"/>
      <c r="G860" s="72"/>
      <c r="H860" s="76"/>
      <c r="I860" s="72"/>
      <c r="J860" s="72"/>
      <c r="K860" s="72"/>
      <c r="L860" s="77"/>
      <c r="M860" s="77"/>
      <c r="N860" s="72"/>
      <c r="O860" s="78"/>
      <c r="P860" s="78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</row>
    <row r="861" spans="1:29" ht="15.75" customHeight="1">
      <c r="A861" s="71"/>
      <c r="B861" s="72"/>
      <c r="C861" s="75"/>
      <c r="D861" s="74"/>
      <c r="E861" s="75"/>
      <c r="F861" s="74"/>
      <c r="G861" s="72"/>
      <c r="H861" s="76"/>
      <c r="I861" s="72"/>
      <c r="J861" s="72"/>
      <c r="K861" s="72"/>
      <c r="L861" s="77"/>
      <c r="M861" s="77"/>
      <c r="N861" s="72"/>
      <c r="O861" s="78"/>
      <c r="P861" s="78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</row>
    <row r="862" spans="1:29" ht="15.75" customHeight="1">
      <c r="A862" s="71"/>
      <c r="B862" s="72"/>
      <c r="C862" s="75"/>
      <c r="D862" s="74"/>
      <c r="E862" s="75"/>
      <c r="F862" s="74"/>
      <c r="G862" s="72"/>
      <c r="H862" s="76"/>
      <c r="I862" s="72"/>
      <c r="J862" s="72"/>
      <c r="K862" s="72"/>
      <c r="L862" s="77"/>
      <c r="M862" s="77"/>
      <c r="N862" s="72"/>
      <c r="O862" s="78"/>
      <c r="P862" s="78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</row>
    <row r="863" spans="1:29" ht="15.75" customHeight="1">
      <c r="A863" s="71"/>
      <c r="B863" s="72"/>
      <c r="C863" s="75"/>
      <c r="D863" s="74"/>
      <c r="E863" s="75"/>
      <c r="F863" s="74"/>
      <c r="G863" s="72"/>
      <c r="H863" s="76"/>
      <c r="I863" s="72"/>
      <c r="J863" s="72"/>
      <c r="K863" s="72"/>
      <c r="L863" s="77"/>
      <c r="M863" s="77"/>
      <c r="N863" s="72"/>
      <c r="O863" s="78"/>
      <c r="P863" s="78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</row>
    <row r="864" spans="1:29" ht="15.75" customHeight="1">
      <c r="A864" s="71"/>
      <c r="B864" s="72"/>
      <c r="C864" s="75"/>
      <c r="D864" s="74"/>
      <c r="E864" s="75"/>
      <c r="F864" s="74"/>
      <c r="G864" s="72"/>
      <c r="H864" s="76"/>
      <c r="I864" s="72"/>
      <c r="J864" s="72"/>
      <c r="K864" s="72"/>
      <c r="L864" s="77"/>
      <c r="M864" s="77"/>
      <c r="N864" s="72"/>
      <c r="O864" s="78"/>
      <c r="P864" s="78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</row>
    <row r="865" spans="1:29" ht="15.75" customHeight="1">
      <c r="A865" s="71"/>
      <c r="B865" s="72"/>
      <c r="C865" s="75"/>
      <c r="D865" s="74"/>
      <c r="E865" s="75"/>
      <c r="F865" s="74"/>
      <c r="G865" s="72"/>
      <c r="H865" s="76"/>
      <c r="I865" s="72"/>
      <c r="J865" s="72"/>
      <c r="K865" s="72"/>
      <c r="L865" s="77"/>
      <c r="M865" s="77"/>
      <c r="N865" s="72"/>
      <c r="O865" s="78"/>
      <c r="P865" s="78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</row>
    <row r="866" spans="1:29" ht="15.75" customHeight="1">
      <c r="A866" s="71"/>
      <c r="B866" s="72"/>
      <c r="C866" s="75"/>
      <c r="D866" s="74"/>
      <c r="E866" s="75"/>
      <c r="F866" s="74"/>
      <c r="G866" s="72"/>
      <c r="H866" s="76"/>
      <c r="I866" s="72"/>
      <c r="J866" s="72"/>
      <c r="K866" s="72"/>
      <c r="L866" s="77"/>
      <c r="M866" s="77"/>
      <c r="N866" s="72"/>
      <c r="O866" s="78"/>
      <c r="P866" s="78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</row>
    <row r="867" spans="1:29" ht="15.75" customHeight="1">
      <c r="A867" s="71"/>
      <c r="B867" s="72"/>
      <c r="C867" s="75"/>
      <c r="D867" s="74"/>
      <c r="E867" s="75"/>
      <c r="F867" s="74"/>
      <c r="G867" s="72"/>
      <c r="H867" s="76"/>
      <c r="I867" s="72"/>
      <c r="J867" s="72"/>
      <c r="K867" s="72"/>
      <c r="L867" s="77"/>
      <c r="M867" s="77"/>
      <c r="N867" s="72"/>
      <c r="O867" s="78"/>
      <c r="P867" s="78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</row>
    <row r="868" spans="1:29" ht="15.75" customHeight="1">
      <c r="A868" s="71"/>
      <c r="B868" s="72"/>
      <c r="C868" s="75"/>
      <c r="D868" s="74"/>
      <c r="E868" s="75"/>
      <c r="F868" s="74"/>
      <c r="G868" s="72"/>
      <c r="H868" s="76"/>
      <c r="I868" s="72"/>
      <c r="J868" s="72"/>
      <c r="K868" s="72"/>
      <c r="L868" s="77"/>
      <c r="M868" s="77"/>
      <c r="N868" s="72"/>
      <c r="O868" s="78"/>
      <c r="P868" s="78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</row>
    <row r="869" spans="1:29" ht="15.75" customHeight="1">
      <c r="A869" s="71"/>
      <c r="B869" s="72"/>
      <c r="C869" s="75"/>
      <c r="D869" s="74"/>
      <c r="E869" s="75"/>
      <c r="F869" s="74"/>
      <c r="G869" s="72"/>
      <c r="H869" s="76"/>
      <c r="I869" s="72"/>
      <c r="J869" s="72"/>
      <c r="K869" s="72"/>
      <c r="L869" s="77"/>
      <c r="M869" s="77"/>
      <c r="N869" s="72"/>
      <c r="O869" s="78"/>
      <c r="P869" s="78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</row>
    <row r="870" spans="1:29" ht="15.75" customHeight="1">
      <c r="A870" s="71"/>
      <c r="B870" s="72"/>
      <c r="C870" s="75"/>
      <c r="D870" s="74"/>
      <c r="E870" s="75"/>
      <c r="F870" s="74"/>
      <c r="G870" s="72"/>
      <c r="H870" s="76"/>
      <c r="I870" s="72"/>
      <c r="J870" s="72"/>
      <c r="K870" s="72"/>
      <c r="L870" s="77"/>
      <c r="M870" s="77"/>
      <c r="N870" s="72"/>
      <c r="O870" s="78"/>
      <c r="P870" s="78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</row>
    <row r="871" spans="1:29" ht="15.75" customHeight="1">
      <c r="A871" s="71"/>
      <c r="B871" s="72"/>
      <c r="C871" s="75"/>
      <c r="D871" s="74"/>
      <c r="E871" s="75"/>
      <c r="F871" s="74"/>
      <c r="G871" s="72"/>
      <c r="H871" s="76"/>
      <c r="I871" s="72"/>
      <c r="J871" s="72"/>
      <c r="K871" s="72"/>
      <c r="L871" s="77"/>
      <c r="M871" s="77"/>
      <c r="N871" s="72"/>
      <c r="O871" s="78"/>
      <c r="P871" s="78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</row>
    <row r="872" spans="1:29" ht="15.75" customHeight="1">
      <c r="A872" s="71"/>
      <c r="B872" s="72"/>
      <c r="C872" s="75"/>
      <c r="D872" s="74"/>
      <c r="E872" s="75"/>
      <c r="F872" s="74"/>
      <c r="G872" s="72"/>
      <c r="H872" s="76"/>
      <c r="I872" s="72"/>
      <c r="J872" s="72"/>
      <c r="K872" s="72"/>
      <c r="L872" s="77"/>
      <c r="M872" s="77"/>
      <c r="N872" s="72"/>
      <c r="O872" s="78"/>
      <c r="P872" s="78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</row>
    <row r="873" spans="1:29" ht="15.75" customHeight="1">
      <c r="A873" s="71"/>
      <c r="B873" s="72"/>
      <c r="C873" s="75"/>
      <c r="D873" s="74"/>
      <c r="E873" s="75"/>
      <c r="F873" s="74"/>
      <c r="G873" s="72"/>
      <c r="H873" s="76"/>
      <c r="I873" s="72"/>
      <c r="J873" s="72"/>
      <c r="K873" s="72"/>
      <c r="L873" s="77"/>
      <c r="M873" s="77"/>
      <c r="N873" s="72"/>
      <c r="O873" s="78"/>
      <c r="P873" s="78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</row>
    <row r="874" spans="1:29" ht="15.75" customHeight="1">
      <c r="A874" s="71"/>
      <c r="B874" s="72"/>
      <c r="C874" s="75"/>
      <c r="D874" s="74"/>
      <c r="E874" s="75"/>
      <c r="F874" s="74"/>
      <c r="G874" s="72"/>
      <c r="H874" s="76"/>
      <c r="I874" s="72"/>
      <c r="J874" s="72"/>
      <c r="K874" s="72"/>
      <c r="L874" s="77"/>
      <c r="M874" s="77"/>
      <c r="N874" s="72"/>
      <c r="O874" s="78"/>
      <c r="P874" s="78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</row>
    <row r="875" spans="1:29" ht="15.75" customHeight="1">
      <c r="A875" s="71"/>
      <c r="B875" s="72"/>
      <c r="C875" s="75"/>
      <c r="D875" s="74"/>
      <c r="E875" s="75"/>
      <c r="F875" s="74"/>
      <c r="G875" s="72"/>
      <c r="H875" s="76"/>
      <c r="I875" s="72"/>
      <c r="J875" s="72"/>
      <c r="K875" s="72"/>
      <c r="L875" s="77"/>
      <c r="M875" s="77"/>
      <c r="N875" s="72"/>
      <c r="O875" s="78"/>
      <c r="P875" s="78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</row>
    <row r="876" spans="1:29" ht="15.75" customHeight="1">
      <c r="A876" s="71"/>
      <c r="B876" s="72"/>
      <c r="C876" s="75"/>
      <c r="D876" s="74"/>
      <c r="E876" s="75"/>
      <c r="F876" s="74"/>
      <c r="G876" s="72"/>
      <c r="H876" s="76"/>
      <c r="I876" s="72"/>
      <c r="J876" s="72"/>
      <c r="K876" s="72"/>
      <c r="L876" s="77"/>
      <c r="M876" s="77"/>
      <c r="N876" s="72"/>
      <c r="O876" s="78"/>
      <c r="P876" s="78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</row>
    <row r="877" spans="1:29" ht="15.75" customHeight="1">
      <c r="A877" s="71"/>
      <c r="B877" s="72"/>
      <c r="C877" s="75"/>
      <c r="D877" s="74"/>
      <c r="E877" s="75"/>
      <c r="F877" s="74"/>
      <c r="G877" s="72"/>
      <c r="H877" s="76"/>
      <c r="I877" s="72"/>
      <c r="J877" s="72"/>
      <c r="K877" s="72"/>
      <c r="L877" s="77"/>
      <c r="M877" s="77"/>
      <c r="N877" s="72"/>
      <c r="O877" s="78"/>
      <c r="P877" s="78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</row>
    <row r="878" spans="1:29" ht="15.75" customHeight="1">
      <c r="A878" s="71"/>
      <c r="B878" s="72"/>
      <c r="C878" s="75"/>
      <c r="D878" s="74"/>
      <c r="E878" s="75"/>
      <c r="F878" s="74"/>
      <c r="G878" s="72"/>
      <c r="H878" s="76"/>
      <c r="I878" s="72"/>
      <c r="J878" s="72"/>
      <c r="K878" s="72"/>
      <c r="L878" s="77"/>
      <c r="M878" s="77"/>
      <c r="N878" s="72"/>
      <c r="O878" s="78"/>
      <c r="P878" s="78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</row>
    <row r="879" spans="1:29" ht="15.75" customHeight="1">
      <c r="A879" s="71"/>
      <c r="B879" s="72"/>
      <c r="C879" s="75"/>
      <c r="D879" s="74"/>
      <c r="E879" s="75"/>
      <c r="F879" s="74"/>
      <c r="G879" s="72"/>
      <c r="H879" s="76"/>
      <c r="I879" s="72"/>
      <c r="J879" s="72"/>
      <c r="K879" s="72"/>
      <c r="L879" s="77"/>
      <c r="M879" s="77"/>
      <c r="N879" s="72"/>
      <c r="O879" s="78"/>
      <c r="P879" s="78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</row>
    <row r="880" spans="1:29" ht="15.75" customHeight="1">
      <c r="A880" s="71"/>
      <c r="B880" s="72"/>
      <c r="C880" s="75"/>
      <c r="D880" s="74"/>
      <c r="E880" s="75"/>
      <c r="F880" s="74"/>
      <c r="G880" s="72"/>
      <c r="H880" s="76"/>
      <c r="I880" s="72"/>
      <c r="J880" s="72"/>
      <c r="K880" s="72"/>
      <c r="L880" s="77"/>
      <c r="M880" s="77"/>
      <c r="N880" s="72"/>
      <c r="O880" s="78"/>
      <c r="P880" s="78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</row>
    <row r="881" spans="1:29" ht="15.75" customHeight="1">
      <c r="A881" s="71"/>
      <c r="B881" s="72"/>
      <c r="C881" s="75"/>
      <c r="D881" s="74"/>
      <c r="E881" s="75"/>
      <c r="F881" s="74"/>
      <c r="G881" s="72"/>
      <c r="H881" s="76"/>
      <c r="I881" s="72"/>
      <c r="J881" s="72"/>
      <c r="K881" s="72"/>
      <c r="L881" s="77"/>
      <c r="M881" s="77"/>
      <c r="N881" s="72"/>
      <c r="O881" s="78"/>
      <c r="P881" s="78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</row>
    <row r="882" spans="1:29" ht="15.75" customHeight="1">
      <c r="A882" s="71"/>
      <c r="B882" s="72"/>
      <c r="C882" s="75"/>
      <c r="D882" s="74"/>
      <c r="E882" s="75"/>
      <c r="F882" s="74"/>
      <c r="G882" s="72"/>
      <c r="H882" s="76"/>
      <c r="I882" s="72"/>
      <c r="J882" s="72"/>
      <c r="K882" s="72"/>
      <c r="L882" s="77"/>
      <c r="M882" s="77"/>
      <c r="N882" s="72"/>
      <c r="O882" s="78"/>
      <c r="P882" s="78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</row>
    <row r="883" spans="1:29" ht="15.75" customHeight="1">
      <c r="A883" s="71"/>
      <c r="B883" s="72"/>
      <c r="C883" s="75"/>
      <c r="D883" s="74"/>
      <c r="E883" s="75"/>
      <c r="F883" s="74"/>
      <c r="G883" s="72"/>
      <c r="H883" s="76"/>
      <c r="I883" s="72"/>
      <c r="J883" s="72"/>
      <c r="K883" s="72"/>
      <c r="L883" s="77"/>
      <c r="M883" s="77"/>
      <c r="N883" s="72"/>
      <c r="O883" s="78"/>
      <c r="P883" s="78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</row>
    <row r="884" spans="1:29" ht="15.75" customHeight="1">
      <c r="A884" s="71"/>
      <c r="B884" s="72"/>
      <c r="C884" s="75"/>
      <c r="D884" s="74"/>
      <c r="E884" s="75"/>
      <c r="F884" s="74"/>
      <c r="G884" s="72"/>
      <c r="H884" s="76"/>
      <c r="I884" s="72"/>
      <c r="J884" s="72"/>
      <c r="K884" s="72"/>
      <c r="L884" s="77"/>
      <c r="M884" s="77"/>
      <c r="N884" s="72"/>
      <c r="O884" s="78"/>
      <c r="P884" s="78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</row>
    <row r="885" spans="1:29" ht="15.75" customHeight="1">
      <c r="A885" s="71"/>
      <c r="B885" s="72"/>
      <c r="C885" s="75"/>
      <c r="D885" s="74"/>
      <c r="E885" s="75"/>
      <c r="F885" s="74"/>
      <c r="G885" s="72"/>
      <c r="H885" s="76"/>
      <c r="I885" s="72"/>
      <c r="J885" s="72"/>
      <c r="K885" s="72"/>
      <c r="L885" s="77"/>
      <c r="M885" s="77"/>
      <c r="N885" s="72"/>
      <c r="O885" s="78"/>
      <c r="P885" s="78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</row>
    <row r="886" spans="1:29" ht="15.75" customHeight="1">
      <c r="A886" s="71"/>
      <c r="B886" s="72"/>
      <c r="C886" s="75"/>
      <c r="D886" s="74"/>
      <c r="E886" s="75"/>
      <c r="F886" s="74"/>
      <c r="G886" s="72"/>
      <c r="H886" s="76"/>
      <c r="I886" s="72"/>
      <c r="J886" s="72"/>
      <c r="K886" s="72"/>
      <c r="L886" s="77"/>
      <c r="M886" s="77"/>
      <c r="N886" s="72"/>
      <c r="O886" s="78"/>
      <c r="P886" s="78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</row>
    <row r="887" spans="1:29" ht="15.75" customHeight="1">
      <c r="A887" s="71"/>
      <c r="B887" s="72"/>
      <c r="C887" s="75"/>
      <c r="D887" s="74"/>
      <c r="E887" s="75"/>
      <c r="F887" s="74"/>
      <c r="G887" s="72"/>
      <c r="H887" s="76"/>
      <c r="I887" s="72"/>
      <c r="J887" s="72"/>
      <c r="K887" s="72"/>
      <c r="L887" s="77"/>
      <c r="M887" s="77"/>
      <c r="N887" s="72"/>
      <c r="O887" s="78"/>
      <c r="P887" s="78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</row>
    <row r="888" spans="1:29" ht="15.75" customHeight="1">
      <c r="A888" s="71"/>
      <c r="B888" s="72"/>
      <c r="C888" s="75"/>
      <c r="D888" s="74"/>
      <c r="E888" s="75"/>
      <c r="F888" s="74"/>
      <c r="G888" s="72"/>
      <c r="H888" s="76"/>
      <c r="I888" s="72"/>
      <c r="J888" s="72"/>
      <c r="K888" s="72"/>
      <c r="L888" s="77"/>
      <c r="M888" s="77"/>
      <c r="N888" s="72"/>
      <c r="O888" s="78"/>
      <c r="P888" s="78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</row>
    <row r="889" spans="1:29" ht="15.75" customHeight="1">
      <c r="A889" s="71"/>
      <c r="B889" s="72"/>
      <c r="C889" s="75"/>
      <c r="D889" s="74"/>
      <c r="E889" s="75"/>
      <c r="F889" s="74"/>
      <c r="G889" s="72"/>
      <c r="H889" s="76"/>
      <c r="I889" s="72"/>
      <c r="J889" s="72"/>
      <c r="K889" s="72"/>
      <c r="L889" s="77"/>
      <c r="M889" s="77"/>
      <c r="N889" s="72"/>
      <c r="O889" s="78"/>
      <c r="P889" s="78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</row>
    <row r="890" spans="1:29" ht="15.75" customHeight="1">
      <c r="A890" s="71"/>
      <c r="B890" s="72"/>
      <c r="C890" s="75"/>
      <c r="D890" s="74"/>
      <c r="E890" s="75"/>
      <c r="F890" s="74"/>
      <c r="G890" s="72"/>
      <c r="H890" s="76"/>
      <c r="I890" s="72"/>
      <c r="J890" s="72"/>
      <c r="K890" s="72"/>
      <c r="L890" s="77"/>
      <c r="M890" s="77"/>
      <c r="N890" s="72"/>
      <c r="O890" s="78"/>
      <c r="P890" s="78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</row>
    <row r="891" spans="1:29" ht="15.75" customHeight="1">
      <c r="A891" s="71"/>
      <c r="B891" s="72"/>
      <c r="C891" s="75"/>
      <c r="D891" s="74"/>
      <c r="E891" s="75"/>
      <c r="F891" s="74"/>
      <c r="G891" s="72"/>
      <c r="H891" s="76"/>
      <c r="I891" s="72"/>
      <c r="J891" s="72"/>
      <c r="K891" s="72"/>
      <c r="L891" s="77"/>
      <c r="M891" s="77"/>
      <c r="N891" s="72"/>
      <c r="O891" s="78"/>
      <c r="P891" s="78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</row>
    <row r="892" spans="1:29" ht="15.75" customHeight="1">
      <c r="A892" s="71"/>
      <c r="B892" s="72"/>
      <c r="C892" s="75"/>
      <c r="D892" s="74"/>
      <c r="E892" s="75"/>
      <c r="F892" s="74"/>
      <c r="G892" s="72"/>
      <c r="H892" s="76"/>
      <c r="I892" s="72"/>
      <c r="J892" s="72"/>
      <c r="K892" s="72"/>
      <c r="L892" s="77"/>
      <c r="M892" s="77"/>
      <c r="N892" s="72"/>
      <c r="O892" s="78"/>
      <c r="P892" s="78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</row>
    <row r="893" spans="1:29" ht="15.75" customHeight="1">
      <c r="A893" s="71"/>
      <c r="B893" s="72"/>
      <c r="C893" s="75"/>
      <c r="D893" s="74"/>
      <c r="E893" s="75"/>
      <c r="F893" s="74"/>
      <c r="G893" s="72"/>
      <c r="H893" s="76"/>
      <c r="I893" s="72"/>
      <c r="J893" s="72"/>
      <c r="K893" s="72"/>
      <c r="L893" s="77"/>
      <c r="M893" s="77"/>
      <c r="N893" s="72"/>
      <c r="O893" s="78"/>
      <c r="P893" s="78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</row>
    <row r="894" spans="1:29" ht="15.75" customHeight="1">
      <c r="A894" s="71"/>
      <c r="B894" s="72"/>
      <c r="C894" s="75"/>
      <c r="D894" s="74"/>
      <c r="E894" s="75"/>
      <c r="F894" s="74"/>
      <c r="G894" s="72"/>
      <c r="H894" s="76"/>
      <c r="I894" s="72"/>
      <c r="J894" s="72"/>
      <c r="K894" s="72"/>
      <c r="L894" s="77"/>
      <c r="M894" s="77"/>
      <c r="N894" s="72"/>
      <c r="O894" s="78"/>
      <c r="P894" s="78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</row>
    <row r="895" spans="1:29" ht="15.75" customHeight="1">
      <c r="A895" s="71"/>
      <c r="B895" s="72"/>
      <c r="C895" s="75"/>
      <c r="D895" s="74"/>
      <c r="E895" s="75"/>
      <c r="F895" s="74"/>
      <c r="G895" s="72"/>
      <c r="H895" s="76"/>
      <c r="I895" s="72"/>
      <c r="J895" s="72"/>
      <c r="K895" s="72"/>
      <c r="L895" s="77"/>
      <c r="M895" s="77"/>
      <c r="N895" s="72"/>
      <c r="O895" s="78"/>
      <c r="P895" s="78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</row>
    <row r="896" spans="1:29" ht="15.75" customHeight="1">
      <c r="A896" s="71"/>
      <c r="B896" s="72"/>
      <c r="C896" s="75"/>
      <c r="D896" s="74"/>
      <c r="E896" s="75"/>
      <c r="F896" s="74"/>
      <c r="G896" s="72"/>
      <c r="H896" s="76"/>
      <c r="I896" s="72"/>
      <c r="J896" s="72"/>
      <c r="K896" s="72"/>
      <c r="L896" s="77"/>
      <c r="M896" s="77"/>
      <c r="N896" s="72"/>
      <c r="O896" s="78"/>
      <c r="P896" s="78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</row>
    <row r="897" spans="1:29" ht="15.75" customHeight="1">
      <c r="A897" s="71"/>
      <c r="B897" s="72"/>
      <c r="C897" s="75"/>
      <c r="D897" s="74"/>
      <c r="E897" s="75"/>
      <c r="F897" s="74"/>
      <c r="G897" s="72"/>
      <c r="H897" s="76"/>
      <c r="I897" s="72"/>
      <c r="J897" s="72"/>
      <c r="K897" s="72"/>
      <c r="L897" s="77"/>
      <c r="M897" s="77"/>
      <c r="N897" s="72"/>
      <c r="O897" s="78"/>
      <c r="P897" s="78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</row>
    <row r="898" spans="1:29" ht="15.75" customHeight="1">
      <c r="A898" s="71"/>
      <c r="B898" s="72"/>
      <c r="C898" s="75"/>
      <c r="D898" s="74"/>
      <c r="E898" s="75"/>
      <c r="F898" s="74"/>
      <c r="G898" s="72"/>
      <c r="H898" s="76"/>
      <c r="I898" s="72"/>
      <c r="J898" s="72"/>
      <c r="K898" s="72"/>
      <c r="L898" s="77"/>
      <c r="M898" s="77"/>
      <c r="N898" s="72"/>
      <c r="O898" s="78"/>
      <c r="P898" s="78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</row>
    <row r="899" spans="1:29" ht="15.75" customHeight="1">
      <c r="A899" s="71"/>
      <c r="B899" s="72"/>
      <c r="C899" s="75"/>
      <c r="D899" s="74"/>
      <c r="E899" s="75"/>
      <c r="F899" s="74"/>
      <c r="G899" s="72"/>
      <c r="H899" s="76"/>
      <c r="I899" s="72"/>
      <c r="J899" s="72"/>
      <c r="K899" s="72"/>
      <c r="L899" s="77"/>
      <c r="M899" s="77"/>
      <c r="N899" s="72"/>
      <c r="O899" s="78"/>
      <c r="P899" s="78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</row>
    <row r="900" spans="1:29" ht="15.75" customHeight="1">
      <c r="A900" s="71"/>
      <c r="B900" s="72"/>
      <c r="C900" s="75"/>
      <c r="D900" s="74"/>
      <c r="E900" s="75"/>
      <c r="F900" s="74"/>
      <c r="G900" s="72"/>
      <c r="H900" s="76"/>
      <c r="I900" s="72"/>
      <c r="J900" s="72"/>
      <c r="K900" s="72"/>
      <c r="L900" s="77"/>
      <c r="M900" s="77"/>
      <c r="N900" s="72"/>
      <c r="O900" s="78"/>
      <c r="P900" s="78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</row>
    <row r="901" spans="1:29" ht="15.75" customHeight="1">
      <c r="A901" s="71"/>
      <c r="B901" s="72"/>
      <c r="C901" s="75"/>
      <c r="D901" s="74"/>
      <c r="E901" s="75"/>
      <c r="F901" s="74"/>
      <c r="G901" s="72"/>
      <c r="H901" s="76"/>
      <c r="I901" s="72"/>
      <c r="J901" s="72"/>
      <c r="K901" s="72"/>
      <c r="L901" s="77"/>
      <c r="M901" s="77"/>
      <c r="N901" s="72"/>
      <c r="O901" s="78"/>
      <c r="P901" s="78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</row>
    <row r="902" spans="1:29" ht="15.75" customHeight="1">
      <c r="A902" s="71"/>
      <c r="B902" s="72"/>
      <c r="C902" s="75"/>
      <c r="D902" s="74"/>
      <c r="E902" s="75"/>
      <c r="F902" s="74"/>
      <c r="G902" s="72"/>
      <c r="H902" s="76"/>
      <c r="I902" s="72"/>
      <c r="J902" s="72"/>
      <c r="K902" s="72"/>
      <c r="L902" s="77"/>
      <c r="M902" s="77"/>
      <c r="N902" s="72"/>
      <c r="O902" s="78"/>
      <c r="P902" s="78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</row>
    <row r="903" spans="1:29" ht="15.75" customHeight="1">
      <c r="A903" s="71"/>
      <c r="B903" s="72"/>
      <c r="C903" s="75"/>
      <c r="D903" s="74"/>
      <c r="E903" s="75"/>
      <c r="F903" s="74"/>
      <c r="G903" s="72"/>
      <c r="H903" s="76"/>
      <c r="I903" s="72"/>
      <c r="J903" s="72"/>
      <c r="K903" s="72"/>
      <c r="L903" s="77"/>
      <c r="M903" s="77"/>
      <c r="N903" s="72"/>
      <c r="O903" s="78"/>
      <c r="P903" s="78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</row>
    <row r="904" spans="1:29" ht="15.75" customHeight="1">
      <c r="A904" s="71"/>
      <c r="B904" s="72"/>
      <c r="C904" s="75"/>
      <c r="D904" s="74"/>
      <c r="E904" s="75"/>
      <c r="F904" s="74"/>
      <c r="G904" s="72"/>
      <c r="H904" s="76"/>
      <c r="I904" s="72"/>
      <c r="J904" s="72"/>
      <c r="K904" s="72"/>
      <c r="L904" s="77"/>
      <c r="M904" s="77"/>
      <c r="N904" s="72"/>
      <c r="O904" s="78"/>
      <c r="P904" s="78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</row>
    <row r="905" spans="1:29" ht="15.75" customHeight="1">
      <c r="A905" s="71"/>
      <c r="B905" s="72"/>
      <c r="C905" s="75"/>
      <c r="D905" s="74"/>
      <c r="E905" s="75"/>
      <c r="F905" s="74"/>
      <c r="G905" s="72"/>
      <c r="H905" s="76"/>
      <c r="I905" s="72"/>
      <c r="J905" s="72"/>
      <c r="K905" s="72"/>
      <c r="L905" s="77"/>
      <c r="M905" s="77"/>
      <c r="N905" s="72"/>
      <c r="O905" s="78"/>
      <c r="P905" s="78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</row>
    <row r="906" spans="1:29" ht="15.75" customHeight="1">
      <c r="A906" s="71"/>
      <c r="B906" s="72"/>
      <c r="C906" s="75"/>
      <c r="D906" s="74"/>
      <c r="E906" s="75"/>
      <c r="F906" s="74"/>
      <c r="G906" s="72"/>
      <c r="H906" s="76"/>
      <c r="I906" s="72"/>
      <c r="J906" s="72"/>
      <c r="K906" s="72"/>
      <c r="L906" s="77"/>
      <c r="M906" s="77"/>
      <c r="N906" s="72"/>
      <c r="O906" s="78"/>
      <c r="P906" s="78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</row>
    <row r="907" spans="1:29" ht="15.75" customHeight="1">
      <c r="A907" s="71"/>
      <c r="B907" s="72"/>
      <c r="C907" s="75"/>
      <c r="D907" s="74"/>
      <c r="E907" s="75"/>
      <c r="F907" s="74"/>
      <c r="G907" s="72"/>
      <c r="H907" s="76"/>
      <c r="I907" s="72"/>
      <c r="J907" s="72"/>
      <c r="K907" s="72"/>
      <c r="L907" s="77"/>
      <c r="M907" s="77"/>
      <c r="N907" s="72"/>
      <c r="O907" s="78"/>
      <c r="P907" s="78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</row>
    <row r="908" spans="1:29" ht="15.75" customHeight="1">
      <c r="A908" s="71"/>
      <c r="B908" s="72"/>
      <c r="C908" s="75"/>
      <c r="D908" s="74"/>
      <c r="E908" s="75"/>
      <c r="F908" s="74"/>
      <c r="G908" s="72"/>
      <c r="H908" s="76"/>
      <c r="I908" s="72"/>
      <c r="J908" s="72"/>
      <c r="K908" s="72"/>
      <c r="L908" s="77"/>
      <c r="M908" s="77"/>
      <c r="N908" s="72"/>
      <c r="O908" s="78"/>
      <c r="P908" s="78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</row>
    <row r="909" spans="1:29" ht="15.75" customHeight="1">
      <c r="A909" s="71"/>
      <c r="B909" s="72"/>
      <c r="C909" s="75"/>
      <c r="D909" s="74"/>
      <c r="E909" s="75"/>
      <c r="F909" s="74"/>
      <c r="G909" s="72"/>
      <c r="H909" s="76"/>
      <c r="I909" s="72"/>
      <c r="J909" s="72"/>
      <c r="K909" s="72"/>
      <c r="L909" s="77"/>
      <c r="M909" s="77"/>
      <c r="N909" s="72"/>
      <c r="O909" s="78"/>
      <c r="P909" s="78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</row>
    <row r="910" spans="1:29" ht="15.75" customHeight="1">
      <c r="A910" s="71"/>
      <c r="B910" s="72"/>
      <c r="C910" s="75"/>
      <c r="D910" s="74"/>
      <c r="E910" s="75"/>
      <c r="F910" s="74"/>
      <c r="G910" s="72"/>
      <c r="H910" s="76"/>
      <c r="I910" s="72"/>
      <c r="J910" s="72"/>
      <c r="K910" s="72"/>
      <c r="L910" s="77"/>
      <c r="M910" s="77"/>
      <c r="N910" s="72"/>
      <c r="O910" s="78"/>
      <c r="P910" s="78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</row>
    <row r="911" spans="1:29" ht="15.75" customHeight="1">
      <c r="A911" s="71"/>
      <c r="B911" s="72"/>
      <c r="C911" s="75"/>
      <c r="D911" s="74"/>
      <c r="E911" s="75"/>
      <c r="F911" s="74"/>
      <c r="G911" s="72"/>
      <c r="H911" s="76"/>
      <c r="I911" s="72"/>
      <c r="J911" s="72"/>
      <c r="K911" s="72"/>
      <c r="L911" s="77"/>
      <c r="M911" s="77"/>
      <c r="N911" s="72"/>
      <c r="O911" s="78"/>
      <c r="P911" s="78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</row>
    <row r="912" spans="1:29" ht="15.75" customHeight="1">
      <c r="A912" s="71"/>
      <c r="B912" s="72"/>
      <c r="C912" s="75"/>
      <c r="D912" s="74"/>
      <c r="E912" s="75"/>
      <c r="F912" s="74"/>
      <c r="G912" s="72"/>
      <c r="H912" s="76"/>
      <c r="I912" s="72"/>
      <c r="J912" s="72"/>
      <c r="K912" s="72"/>
      <c r="L912" s="77"/>
      <c r="M912" s="77"/>
      <c r="N912" s="72"/>
      <c r="O912" s="78"/>
      <c r="P912" s="78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</row>
    <row r="913" spans="1:29" ht="15.75" customHeight="1">
      <c r="A913" s="71"/>
      <c r="B913" s="72"/>
      <c r="C913" s="75"/>
      <c r="D913" s="74"/>
      <c r="E913" s="75"/>
      <c r="F913" s="74"/>
      <c r="G913" s="72"/>
      <c r="H913" s="76"/>
      <c r="I913" s="72"/>
      <c r="J913" s="72"/>
      <c r="K913" s="72"/>
      <c r="L913" s="77"/>
      <c r="M913" s="77"/>
      <c r="N913" s="72"/>
      <c r="O913" s="78"/>
      <c r="P913" s="78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</row>
    <row r="914" spans="1:29" ht="15.75" customHeight="1">
      <c r="A914" s="71"/>
      <c r="B914" s="72"/>
      <c r="C914" s="75"/>
      <c r="D914" s="74"/>
      <c r="E914" s="75"/>
      <c r="F914" s="74"/>
      <c r="G914" s="72"/>
      <c r="H914" s="76"/>
      <c r="I914" s="72"/>
      <c r="J914" s="72"/>
      <c r="K914" s="72"/>
      <c r="L914" s="77"/>
      <c r="M914" s="77"/>
      <c r="N914" s="72"/>
      <c r="O914" s="78"/>
      <c r="P914" s="78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</row>
    <row r="915" spans="1:29" ht="15.75" customHeight="1">
      <c r="A915" s="71"/>
      <c r="B915" s="72"/>
      <c r="C915" s="75"/>
      <c r="D915" s="74"/>
      <c r="E915" s="75"/>
      <c r="F915" s="74"/>
      <c r="G915" s="72"/>
      <c r="H915" s="76"/>
      <c r="I915" s="72"/>
      <c r="J915" s="72"/>
      <c r="K915" s="72"/>
      <c r="L915" s="77"/>
      <c r="M915" s="77"/>
      <c r="N915" s="72"/>
      <c r="O915" s="78"/>
      <c r="P915" s="78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</row>
    <row r="916" spans="1:29" ht="15.75" customHeight="1">
      <c r="A916" s="71"/>
      <c r="B916" s="72"/>
      <c r="C916" s="75"/>
      <c r="D916" s="74"/>
      <c r="E916" s="75"/>
      <c r="F916" s="74"/>
      <c r="G916" s="72"/>
      <c r="H916" s="76"/>
      <c r="I916" s="72"/>
      <c r="J916" s="72"/>
      <c r="K916" s="72"/>
      <c r="L916" s="77"/>
      <c r="M916" s="77"/>
      <c r="N916" s="72"/>
      <c r="O916" s="78"/>
      <c r="P916" s="78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</row>
    <row r="917" spans="1:29" ht="15.75" customHeight="1">
      <c r="A917" s="71"/>
      <c r="B917" s="72"/>
      <c r="C917" s="75"/>
      <c r="D917" s="74"/>
      <c r="E917" s="75"/>
      <c r="F917" s="74"/>
      <c r="G917" s="72"/>
      <c r="H917" s="76"/>
      <c r="I917" s="72"/>
      <c r="J917" s="72"/>
      <c r="K917" s="72"/>
      <c r="L917" s="77"/>
      <c r="M917" s="77"/>
      <c r="N917" s="72"/>
      <c r="O917" s="78"/>
      <c r="P917" s="78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</row>
    <row r="918" spans="1:29" ht="15.75" customHeight="1">
      <c r="A918" s="71"/>
      <c r="B918" s="72"/>
      <c r="C918" s="75"/>
      <c r="D918" s="74"/>
      <c r="E918" s="75"/>
      <c r="F918" s="74"/>
      <c r="G918" s="72"/>
      <c r="H918" s="76"/>
      <c r="I918" s="72"/>
      <c r="J918" s="72"/>
      <c r="K918" s="72"/>
      <c r="L918" s="77"/>
      <c r="M918" s="77"/>
      <c r="N918" s="72"/>
      <c r="O918" s="78"/>
      <c r="P918" s="78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</row>
    <row r="919" spans="1:29" ht="15.75" customHeight="1">
      <c r="A919" s="71"/>
      <c r="B919" s="72"/>
      <c r="C919" s="75"/>
      <c r="D919" s="74"/>
      <c r="E919" s="75"/>
      <c r="F919" s="74"/>
      <c r="G919" s="72"/>
      <c r="H919" s="76"/>
      <c r="I919" s="72"/>
      <c r="J919" s="72"/>
      <c r="K919" s="72"/>
      <c r="L919" s="77"/>
      <c r="M919" s="77"/>
      <c r="N919" s="72"/>
      <c r="O919" s="78"/>
      <c r="P919" s="78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</row>
    <row r="920" spans="1:29" ht="15.75" customHeight="1">
      <c r="A920" s="71"/>
      <c r="B920" s="72"/>
      <c r="C920" s="75"/>
      <c r="D920" s="74"/>
      <c r="E920" s="75"/>
      <c r="F920" s="74"/>
      <c r="G920" s="72"/>
      <c r="H920" s="76"/>
      <c r="I920" s="72"/>
      <c r="J920" s="72"/>
      <c r="K920" s="72"/>
      <c r="L920" s="77"/>
      <c r="M920" s="77"/>
      <c r="N920" s="72"/>
      <c r="O920" s="78"/>
      <c r="P920" s="78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</row>
    <row r="921" spans="1:29" ht="15.75" customHeight="1">
      <c r="A921" s="71"/>
      <c r="B921" s="72"/>
      <c r="C921" s="75"/>
      <c r="D921" s="74"/>
      <c r="E921" s="75"/>
      <c r="F921" s="74"/>
      <c r="G921" s="72"/>
      <c r="H921" s="76"/>
      <c r="I921" s="72"/>
      <c r="J921" s="72"/>
      <c r="K921" s="72"/>
      <c r="L921" s="77"/>
      <c r="M921" s="77"/>
      <c r="N921" s="72"/>
      <c r="O921" s="78"/>
      <c r="P921" s="78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</row>
    <row r="922" spans="1:29" ht="15.75" customHeight="1">
      <c r="A922" s="71"/>
      <c r="B922" s="72"/>
      <c r="C922" s="75"/>
      <c r="D922" s="74"/>
      <c r="E922" s="75"/>
      <c r="F922" s="74"/>
      <c r="G922" s="72"/>
      <c r="H922" s="76"/>
      <c r="I922" s="72"/>
      <c r="J922" s="72"/>
      <c r="K922" s="72"/>
      <c r="L922" s="77"/>
      <c r="M922" s="77"/>
      <c r="N922" s="72"/>
      <c r="O922" s="78"/>
      <c r="P922" s="78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</row>
    <row r="923" spans="1:29" ht="15.75" customHeight="1">
      <c r="A923" s="71"/>
      <c r="B923" s="72"/>
      <c r="C923" s="75"/>
      <c r="D923" s="74"/>
      <c r="E923" s="75"/>
      <c r="F923" s="74"/>
      <c r="G923" s="72"/>
      <c r="H923" s="76"/>
      <c r="I923" s="72"/>
      <c r="J923" s="72"/>
      <c r="K923" s="72"/>
      <c r="L923" s="77"/>
      <c r="M923" s="77"/>
      <c r="N923" s="72"/>
      <c r="O923" s="78"/>
      <c r="P923" s="78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</row>
    <row r="924" spans="1:29" ht="15.75" customHeight="1">
      <c r="A924" s="71"/>
      <c r="B924" s="72"/>
      <c r="C924" s="75"/>
      <c r="D924" s="74"/>
      <c r="E924" s="75"/>
      <c r="F924" s="74"/>
      <c r="G924" s="72"/>
      <c r="H924" s="76"/>
      <c r="I924" s="72"/>
      <c r="J924" s="72"/>
      <c r="K924" s="72"/>
      <c r="L924" s="77"/>
      <c r="M924" s="77"/>
      <c r="N924" s="72"/>
      <c r="O924" s="78"/>
      <c r="P924" s="78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</row>
    <row r="925" spans="1:29" ht="15.75" customHeight="1">
      <c r="A925" s="71"/>
      <c r="B925" s="72"/>
      <c r="C925" s="75"/>
      <c r="D925" s="74"/>
      <c r="E925" s="75"/>
      <c r="F925" s="74"/>
      <c r="G925" s="72"/>
      <c r="H925" s="76"/>
      <c r="I925" s="72"/>
      <c r="J925" s="72"/>
      <c r="K925" s="72"/>
      <c r="L925" s="77"/>
      <c r="M925" s="77"/>
      <c r="N925" s="72"/>
      <c r="O925" s="78"/>
      <c r="P925" s="78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</row>
    <row r="926" spans="1:29" ht="15.75" customHeight="1">
      <c r="A926" s="71"/>
      <c r="B926" s="72"/>
      <c r="C926" s="75"/>
      <c r="D926" s="74"/>
      <c r="E926" s="75"/>
      <c r="F926" s="74"/>
      <c r="G926" s="72"/>
      <c r="H926" s="76"/>
      <c r="I926" s="72"/>
      <c r="J926" s="72"/>
      <c r="K926" s="72"/>
      <c r="L926" s="77"/>
      <c r="M926" s="77"/>
      <c r="N926" s="72"/>
      <c r="O926" s="78"/>
      <c r="P926" s="78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</row>
    <row r="927" spans="1:29" ht="15.75" customHeight="1">
      <c r="A927" s="71"/>
      <c r="B927" s="72"/>
      <c r="C927" s="75"/>
      <c r="D927" s="74"/>
      <c r="E927" s="75"/>
      <c r="F927" s="74"/>
      <c r="G927" s="72"/>
      <c r="H927" s="76"/>
      <c r="I927" s="72"/>
      <c r="J927" s="72"/>
      <c r="K927" s="72"/>
      <c r="L927" s="77"/>
      <c r="M927" s="77"/>
      <c r="N927" s="72"/>
      <c r="O927" s="78"/>
      <c r="P927" s="78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</row>
    <row r="928" spans="1:29" ht="15.75" customHeight="1">
      <c r="A928" s="71"/>
      <c r="B928" s="72"/>
      <c r="C928" s="75"/>
      <c r="D928" s="74"/>
      <c r="E928" s="75"/>
      <c r="F928" s="74"/>
      <c r="G928" s="72"/>
      <c r="H928" s="76"/>
      <c r="I928" s="72"/>
      <c r="J928" s="72"/>
      <c r="K928" s="72"/>
      <c r="L928" s="77"/>
      <c r="M928" s="77"/>
      <c r="N928" s="72"/>
      <c r="O928" s="78"/>
      <c r="P928" s="78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</row>
    <row r="929" spans="1:29" ht="15.75" customHeight="1">
      <c r="A929" s="71"/>
      <c r="B929" s="72"/>
      <c r="C929" s="75"/>
      <c r="D929" s="74"/>
      <c r="E929" s="75"/>
      <c r="F929" s="74"/>
      <c r="G929" s="72"/>
      <c r="H929" s="76"/>
      <c r="I929" s="72"/>
      <c r="J929" s="72"/>
      <c r="K929" s="72"/>
      <c r="L929" s="77"/>
      <c r="M929" s="77"/>
      <c r="N929" s="72"/>
      <c r="O929" s="78"/>
      <c r="P929" s="78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</row>
    <row r="930" spans="1:29" ht="15.75" customHeight="1">
      <c r="A930" s="71"/>
      <c r="B930" s="72"/>
      <c r="C930" s="75"/>
      <c r="D930" s="74"/>
      <c r="E930" s="75"/>
      <c r="F930" s="74"/>
      <c r="G930" s="72"/>
      <c r="H930" s="76"/>
      <c r="I930" s="72"/>
      <c r="J930" s="72"/>
      <c r="K930" s="72"/>
      <c r="L930" s="77"/>
      <c r="M930" s="77"/>
      <c r="N930" s="72"/>
      <c r="O930" s="78"/>
      <c r="P930" s="78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</row>
    <row r="931" spans="1:29" ht="15.75" customHeight="1">
      <c r="A931" s="71"/>
      <c r="B931" s="72"/>
      <c r="C931" s="75"/>
      <c r="D931" s="74"/>
      <c r="E931" s="75"/>
      <c r="F931" s="74"/>
      <c r="G931" s="72"/>
      <c r="H931" s="76"/>
      <c r="I931" s="72"/>
      <c r="J931" s="72"/>
      <c r="K931" s="72"/>
      <c r="L931" s="77"/>
      <c r="M931" s="77"/>
      <c r="N931" s="72"/>
      <c r="O931" s="78"/>
      <c r="P931" s="78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</row>
    <row r="932" spans="1:29" ht="15.75" customHeight="1">
      <c r="A932" s="71"/>
      <c r="B932" s="72"/>
      <c r="C932" s="75"/>
      <c r="D932" s="74"/>
      <c r="E932" s="75"/>
      <c r="F932" s="74"/>
      <c r="G932" s="72"/>
      <c r="H932" s="76"/>
      <c r="I932" s="72"/>
      <c r="J932" s="72"/>
      <c r="K932" s="72"/>
      <c r="L932" s="77"/>
      <c r="M932" s="77"/>
      <c r="N932" s="72"/>
      <c r="O932" s="78"/>
      <c r="P932" s="78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</row>
    <row r="933" spans="1:29" ht="15.75" customHeight="1">
      <c r="A933" s="71"/>
      <c r="B933" s="72"/>
      <c r="C933" s="75"/>
      <c r="D933" s="74"/>
      <c r="E933" s="75"/>
      <c r="F933" s="74"/>
      <c r="G933" s="72"/>
      <c r="H933" s="76"/>
      <c r="I933" s="72"/>
      <c r="J933" s="72"/>
      <c r="K933" s="72"/>
      <c r="L933" s="77"/>
      <c r="M933" s="77"/>
      <c r="N933" s="72"/>
      <c r="O933" s="78"/>
      <c r="P933" s="78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</row>
    <row r="934" spans="1:29" ht="15.75" customHeight="1">
      <c r="A934" s="71"/>
      <c r="B934" s="72"/>
      <c r="C934" s="75"/>
      <c r="D934" s="74"/>
      <c r="E934" s="75"/>
      <c r="F934" s="74"/>
      <c r="G934" s="72"/>
      <c r="H934" s="76"/>
      <c r="I934" s="72"/>
      <c r="J934" s="72"/>
      <c r="K934" s="72"/>
      <c r="L934" s="77"/>
      <c r="M934" s="77"/>
      <c r="N934" s="72"/>
      <c r="O934" s="78"/>
      <c r="P934" s="78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</row>
    <row r="935" spans="1:29" ht="15.75" customHeight="1">
      <c r="A935" s="71"/>
      <c r="B935" s="72"/>
      <c r="C935" s="75"/>
      <c r="D935" s="74"/>
      <c r="E935" s="75"/>
      <c r="F935" s="74"/>
      <c r="G935" s="72"/>
      <c r="H935" s="76"/>
      <c r="I935" s="72"/>
      <c r="J935" s="72"/>
      <c r="K935" s="72"/>
      <c r="L935" s="77"/>
      <c r="M935" s="77"/>
      <c r="N935" s="72"/>
      <c r="O935" s="78"/>
      <c r="P935" s="78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</row>
    <row r="936" spans="1:29" ht="15.75" customHeight="1">
      <c r="A936" s="71"/>
      <c r="B936" s="72"/>
      <c r="C936" s="75"/>
      <c r="D936" s="74"/>
      <c r="E936" s="75"/>
      <c r="F936" s="74"/>
      <c r="G936" s="72"/>
      <c r="H936" s="76"/>
      <c r="I936" s="72"/>
      <c r="J936" s="72"/>
      <c r="K936" s="72"/>
      <c r="L936" s="77"/>
      <c r="M936" s="77"/>
      <c r="N936" s="72"/>
      <c r="O936" s="78"/>
      <c r="P936" s="78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</row>
    <row r="937" spans="1:29" ht="15.75" customHeight="1">
      <c r="A937" s="71"/>
      <c r="B937" s="72"/>
      <c r="C937" s="75"/>
      <c r="D937" s="74"/>
      <c r="E937" s="75"/>
      <c r="F937" s="74"/>
      <c r="G937" s="72"/>
      <c r="H937" s="76"/>
      <c r="I937" s="72"/>
      <c r="J937" s="72"/>
      <c r="K937" s="72"/>
      <c r="L937" s="77"/>
      <c r="M937" s="77"/>
      <c r="N937" s="72"/>
      <c r="O937" s="78"/>
      <c r="P937" s="78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</row>
    <row r="938" spans="1:29" ht="15.75" customHeight="1">
      <c r="A938" s="71"/>
      <c r="B938" s="72"/>
      <c r="C938" s="75"/>
      <c r="D938" s="74"/>
      <c r="E938" s="75"/>
      <c r="F938" s="74"/>
      <c r="G938" s="72"/>
      <c r="H938" s="76"/>
      <c r="I938" s="72"/>
      <c r="J938" s="72"/>
      <c r="K938" s="72"/>
      <c r="L938" s="77"/>
      <c r="M938" s="77"/>
      <c r="N938" s="72"/>
      <c r="O938" s="78"/>
      <c r="P938" s="78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</row>
    <row r="939" spans="1:29" ht="15.75" customHeight="1">
      <c r="A939" s="71"/>
      <c r="B939" s="72"/>
      <c r="C939" s="75"/>
      <c r="D939" s="74"/>
      <c r="E939" s="75"/>
      <c r="F939" s="74"/>
      <c r="G939" s="72"/>
      <c r="H939" s="76"/>
      <c r="I939" s="72"/>
      <c r="J939" s="72"/>
      <c r="K939" s="72"/>
      <c r="L939" s="77"/>
      <c r="M939" s="77"/>
      <c r="N939" s="72"/>
      <c r="O939" s="78"/>
      <c r="P939" s="78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</row>
    <row r="940" spans="1:29" ht="15.75" customHeight="1">
      <c r="A940" s="71"/>
      <c r="B940" s="72"/>
      <c r="C940" s="75"/>
      <c r="D940" s="74"/>
      <c r="E940" s="75"/>
      <c r="F940" s="74"/>
      <c r="G940" s="72"/>
      <c r="H940" s="76"/>
      <c r="I940" s="72"/>
      <c r="J940" s="72"/>
      <c r="K940" s="72"/>
      <c r="L940" s="77"/>
      <c r="M940" s="77"/>
      <c r="N940" s="72"/>
      <c r="O940" s="78"/>
      <c r="P940" s="78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</row>
    <row r="941" spans="1:29" ht="15.75" customHeight="1">
      <c r="A941" s="71"/>
      <c r="B941" s="72"/>
      <c r="C941" s="75"/>
      <c r="D941" s="74"/>
      <c r="E941" s="75"/>
      <c r="F941" s="74"/>
      <c r="G941" s="72"/>
      <c r="H941" s="76"/>
      <c r="I941" s="72"/>
      <c r="J941" s="72"/>
      <c r="K941" s="72"/>
      <c r="L941" s="77"/>
      <c r="M941" s="77"/>
      <c r="N941" s="72"/>
      <c r="O941" s="78"/>
      <c r="P941" s="78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</row>
    <row r="942" spans="1:29" ht="15.75" customHeight="1">
      <c r="A942" s="71"/>
      <c r="B942" s="72"/>
      <c r="C942" s="75"/>
      <c r="D942" s="74"/>
      <c r="E942" s="75"/>
      <c r="F942" s="74"/>
      <c r="G942" s="72"/>
      <c r="H942" s="76"/>
      <c r="I942" s="72"/>
      <c r="J942" s="72"/>
      <c r="K942" s="72"/>
      <c r="L942" s="77"/>
      <c r="M942" s="77"/>
      <c r="N942" s="72"/>
      <c r="O942" s="78"/>
      <c r="P942" s="78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</row>
    <row r="943" spans="1:29" ht="15.75" customHeight="1">
      <c r="A943" s="71"/>
      <c r="B943" s="72"/>
      <c r="C943" s="75"/>
      <c r="D943" s="74"/>
      <c r="E943" s="75"/>
      <c r="F943" s="74"/>
      <c r="G943" s="72"/>
      <c r="H943" s="76"/>
      <c r="I943" s="72"/>
      <c r="J943" s="72"/>
      <c r="K943" s="72"/>
      <c r="L943" s="77"/>
      <c r="M943" s="77"/>
      <c r="N943" s="72"/>
      <c r="O943" s="78"/>
      <c r="P943" s="78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</row>
    <row r="944" spans="1:29" ht="15.75" customHeight="1">
      <c r="A944" s="71"/>
      <c r="B944" s="72"/>
      <c r="C944" s="75"/>
      <c r="D944" s="74"/>
      <c r="E944" s="75"/>
      <c r="F944" s="74"/>
      <c r="G944" s="72"/>
      <c r="H944" s="76"/>
      <c r="I944" s="72"/>
      <c r="J944" s="72"/>
      <c r="K944" s="72"/>
      <c r="L944" s="77"/>
      <c r="M944" s="77"/>
      <c r="N944" s="72"/>
      <c r="O944" s="78"/>
      <c r="P944" s="78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</row>
    <row r="945" spans="1:29" ht="15.75" customHeight="1">
      <c r="A945" s="71"/>
      <c r="B945" s="72"/>
      <c r="C945" s="75"/>
      <c r="D945" s="74"/>
      <c r="E945" s="75"/>
      <c r="F945" s="74"/>
      <c r="G945" s="72"/>
      <c r="H945" s="76"/>
      <c r="I945" s="72"/>
      <c r="J945" s="72"/>
      <c r="K945" s="72"/>
      <c r="L945" s="77"/>
      <c r="M945" s="77"/>
      <c r="N945" s="72"/>
      <c r="O945" s="78"/>
      <c r="P945" s="78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</row>
    <row r="946" spans="1:29" ht="15.75" customHeight="1">
      <c r="A946" s="71"/>
      <c r="B946" s="72"/>
      <c r="C946" s="75"/>
      <c r="D946" s="74"/>
      <c r="E946" s="75"/>
      <c r="F946" s="74"/>
      <c r="G946" s="72"/>
      <c r="H946" s="76"/>
      <c r="I946" s="72"/>
      <c r="J946" s="72"/>
      <c r="K946" s="72"/>
      <c r="L946" s="77"/>
      <c r="M946" s="77"/>
      <c r="N946" s="72"/>
      <c r="O946" s="78"/>
      <c r="P946" s="78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</row>
    <row r="947" spans="1:29" ht="15.75" customHeight="1">
      <c r="A947" s="71"/>
      <c r="B947" s="72"/>
      <c r="C947" s="75"/>
      <c r="D947" s="74"/>
      <c r="E947" s="75"/>
      <c r="F947" s="74"/>
      <c r="G947" s="72"/>
      <c r="H947" s="76"/>
      <c r="I947" s="72"/>
      <c r="J947" s="72"/>
      <c r="K947" s="72"/>
      <c r="L947" s="77"/>
      <c r="M947" s="77"/>
      <c r="N947" s="72"/>
      <c r="O947" s="78"/>
      <c r="P947" s="78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</row>
    <row r="948" spans="1:29" ht="15.75" customHeight="1">
      <c r="A948" s="71"/>
      <c r="B948" s="72"/>
      <c r="C948" s="75"/>
      <c r="D948" s="74"/>
      <c r="E948" s="75"/>
      <c r="F948" s="74"/>
      <c r="G948" s="72"/>
      <c r="H948" s="76"/>
      <c r="I948" s="72"/>
      <c r="J948" s="72"/>
      <c r="K948" s="72"/>
      <c r="L948" s="77"/>
      <c r="M948" s="77"/>
      <c r="N948" s="72"/>
      <c r="O948" s="78"/>
      <c r="P948" s="78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</row>
    <row r="949" spans="1:29" ht="15.75" customHeight="1">
      <c r="A949" s="71"/>
      <c r="B949" s="72"/>
      <c r="C949" s="75"/>
      <c r="D949" s="74"/>
      <c r="E949" s="75"/>
      <c r="F949" s="74"/>
      <c r="G949" s="72"/>
      <c r="H949" s="76"/>
      <c r="I949" s="72"/>
      <c r="J949" s="72"/>
      <c r="K949" s="72"/>
      <c r="L949" s="77"/>
      <c r="M949" s="77"/>
      <c r="N949" s="72"/>
      <c r="O949" s="78"/>
      <c r="P949" s="78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</row>
    <row r="950" spans="1:29" ht="15.75" customHeight="1">
      <c r="A950" s="71"/>
      <c r="B950" s="72"/>
      <c r="C950" s="75"/>
      <c r="D950" s="74"/>
      <c r="E950" s="75"/>
      <c r="F950" s="74"/>
      <c r="G950" s="72"/>
      <c r="H950" s="76"/>
      <c r="I950" s="72"/>
      <c r="J950" s="72"/>
      <c r="K950" s="72"/>
      <c r="L950" s="77"/>
      <c r="M950" s="77"/>
      <c r="N950" s="72"/>
      <c r="O950" s="78"/>
      <c r="P950" s="78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</row>
    <row r="951" spans="1:29" ht="15.75" customHeight="1">
      <c r="A951" s="71"/>
      <c r="B951" s="72"/>
      <c r="C951" s="75"/>
      <c r="D951" s="74"/>
      <c r="E951" s="75"/>
      <c r="F951" s="74"/>
      <c r="G951" s="72"/>
      <c r="H951" s="76"/>
      <c r="I951" s="72"/>
      <c r="J951" s="72"/>
      <c r="K951" s="72"/>
      <c r="L951" s="77"/>
      <c r="M951" s="77"/>
      <c r="N951" s="72"/>
      <c r="O951" s="78"/>
      <c r="P951" s="78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</row>
    <row r="952" spans="1:29" ht="15.75" customHeight="1">
      <c r="A952" s="71"/>
      <c r="B952" s="72"/>
      <c r="C952" s="75"/>
      <c r="D952" s="74"/>
      <c r="E952" s="75"/>
      <c r="F952" s="74"/>
      <c r="G952" s="72"/>
      <c r="H952" s="76"/>
      <c r="I952" s="72"/>
      <c r="J952" s="72"/>
      <c r="K952" s="72"/>
      <c r="L952" s="77"/>
      <c r="M952" s="77"/>
      <c r="N952" s="72"/>
      <c r="O952" s="78"/>
      <c r="P952" s="78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</row>
    <row r="953" spans="1:29" ht="15.75" customHeight="1">
      <c r="A953" s="71"/>
      <c r="B953" s="72"/>
      <c r="C953" s="75"/>
      <c r="D953" s="74"/>
      <c r="E953" s="75"/>
      <c r="F953" s="74"/>
      <c r="G953" s="72"/>
      <c r="H953" s="76"/>
      <c r="I953" s="72"/>
      <c r="J953" s="72"/>
      <c r="K953" s="72"/>
      <c r="L953" s="77"/>
      <c r="M953" s="77"/>
      <c r="N953" s="72"/>
      <c r="O953" s="78"/>
      <c r="P953" s="78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</row>
    <row r="954" spans="1:29" ht="15.75" customHeight="1">
      <c r="A954" s="71"/>
      <c r="B954" s="72"/>
      <c r="C954" s="75"/>
      <c r="D954" s="74"/>
      <c r="E954" s="75"/>
      <c r="F954" s="74"/>
      <c r="G954" s="72"/>
      <c r="H954" s="76"/>
      <c r="I954" s="72"/>
      <c r="J954" s="72"/>
      <c r="K954" s="72"/>
      <c r="L954" s="77"/>
      <c r="M954" s="77"/>
      <c r="N954" s="72"/>
      <c r="O954" s="78"/>
      <c r="P954" s="78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</row>
    <row r="955" spans="1:29" ht="15.75" customHeight="1">
      <c r="A955" s="71"/>
      <c r="B955" s="72"/>
      <c r="C955" s="75"/>
      <c r="D955" s="74"/>
      <c r="E955" s="75"/>
      <c r="F955" s="74"/>
      <c r="G955" s="72"/>
      <c r="H955" s="76"/>
      <c r="I955" s="72"/>
      <c r="J955" s="72"/>
      <c r="K955" s="72"/>
      <c r="L955" s="77"/>
      <c r="M955" s="77"/>
      <c r="N955" s="72"/>
      <c r="O955" s="78"/>
      <c r="P955" s="78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</row>
    <row r="956" spans="1:29" ht="15.75" customHeight="1">
      <c r="A956" s="71"/>
      <c r="B956" s="72"/>
      <c r="C956" s="75"/>
      <c r="D956" s="74"/>
      <c r="E956" s="75"/>
      <c r="F956" s="74"/>
      <c r="G956" s="72"/>
      <c r="H956" s="76"/>
      <c r="I956" s="72"/>
      <c r="J956" s="72"/>
      <c r="K956" s="72"/>
      <c r="L956" s="77"/>
      <c r="M956" s="77"/>
      <c r="N956" s="72"/>
      <c r="O956" s="78"/>
      <c r="P956" s="78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</row>
    <row r="957" spans="1:29" ht="15.75" customHeight="1">
      <c r="A957" s="71"/>
      <c r="B957" s="72"/>
      <c r="C957" s="75"/>
      <c r="D957" s="74"/>
      <c r="E957" s="75"/>
      <c r="F957" s="74"/>
      <c r="G957" s="72"/>
      <c r="H957" s="76"/>
      <c r="I957" s="72"/>
      <c r="J957" s="72"/>
      <c r="K957" s="72"/>
      <c r="L957" s="77"/>
      <c r="M957" s="77"/>
      <c r="N957" s="72"/>
      <c r="O957" s="78"/>
      <c r="P957" s="78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</row>
    <row r="958" spans="1:29" ht="15.75" customHeight="1">
      <c r="A958" s="71"/>
      <c r="B958" s="72"/>
      <c r="C958" s="75"/>
      <c r="D958" s="74"/>
      <c r="E958" s="75"/>
      <c r="F958" s="74"/>
      <c r="G958" s="72"/>
      <c r="H958" s="76"/>
      <c r="I958" s="72"/>
      <c r="J958" s="72"/>
      <c r="K958" s="72"/>
      <c r="L958" s="77"/>
      <c r="M958" s="77"/>
      <c r="N958" s="72"/>
      <c r="O958" s="78"/>
      <c r="P958" s="78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</row>
    <row r="959" spans="1:29" ht="15.75" customHeight="1">
      <c r="A959" s="71"/>
      <c r="B959" s="72"/>
      <c r="C959" s="75"/>
      <c r="D959" s="74"/>
      <c r="E959" s="75"/>
      <c r="F959" s="74"/>
      <c r="G959" s="72"/>
      <c r="H959" s="76"/>
      <c r="I959" s="72"/>
      <c r="J959" s="72"/>
      <c r="K959" s="72"/>
      <c r="L959" s="77"/>
      <c r="M959" s="77"/>
      <c r="N959" s="72"/>
      <c r="O959" s="78"/>
      <c r="P959" s="78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</row>
    <row r="960" spans="1:29" ht="15.75" customHeight="1">
      <c r="A960" s="71"/>
      <c r="B960" s="72"/>
      <c r="C960" s="75"/>
      <c r="D960" s="74"/>
      <c r="E960" s="75"/>
      <c r="F960" s="74"/>
      <c r="G960" s="72"/>
      <c r="H960" s="76"/>
      <c r="I960" s="72"/>
      <c r="J960" s="72"/>
      <c r="K960" s="72"/>
      <c r="L960" s="77"/>
      <c r="M960" s="77"/>
      <c r="N960" s="72"/>
      <c r="O960" s="78"/>
      <c r="P960" s="78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</row>
    <row r="961" spans="1:29" ht="15.75" customHeight="1">
      <c r="A961" s="71"/>
      <c r="B961" s="72"/>
      <c r="C961" s="75"/>
      <c r="D961" s="74"/>
      <c r="E961" s="75"/>
      <c r="F961" s="74"/>
      <c r="G961" s="72"/>
      <c r="H961" s="76"/>
      <c r="I961" s="72"/>
      <c r="J961" s="72"/>
      <c r="K961" s="72"/>
      <c r="L961" s="77"/>
      <c r="M961" s="77"/>
      <c r="N961" s="72"/>
      <c r="O961" s="78"/>
      <c r="P961" s="78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</row>
    <row r="962" spans="1:29" ht="15.75" customHeight="1">
      <c r="A962" s="71"/>
      <c r="B962" s="72"/>
      <c r="C962" s="75"/>
      <c r="D962" s="74"/>
      <c r="E962" s="75"/>
      <c r="F962" s="74"/>
      <c r="G962" s="72"/>
      <c r="H962" s="76"/>
      <c r="I962" s="72"/>
      <c r="J962" s="72"/>
      <c r="K962" s="72"/>
      <c r="L962" s="77"/>
      <c r="M962" s="77"/>
      <c r="N962" s="72"/>
      <c r="O962" s="78"/>
      <c r="P962" s="78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</row>
    <row r="963" spans="1:29" ht="15.75" customHeight="1">
      <c r="A963" s="71"/>
      <c r="B963" s="72"/>
      <c r="C963" s="75"/>
      <c r="D963" s="74"/>
      <c r="E963" s="75"/>
      <c r="F963" s="74"/>
      <c r="G963" s="72"/>
      <c r="H963" s="76"/>
      <c r="I963" s="72"/>
      <c r="J963" s="72"/>
      <c r="K963" s="72"/>
      <c r="L963" s="77"/>
      <c r="M963" s="77"/>
      <c r="N963" s="72"/>
      <c r="O963" s="78"/>
      <c r="P963" s="78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</row>
    <row r="964" spans="1:29" ht="15.75" customHeight="1">
      <c r="A964" s="71"/>
      <c r="B964" s="72"/>
      <c r="C964" s="75"/>
      <c r="D964" s="74"/>
      <c r="E964" s="75"/>
      <c r="F964" s="74"/>
      <c r="G964" s="72"/>
      <c r="H964" s="76"/>
      <c r="I964" s="72"/>
      <c r="J964" s="72"/>
      <c r="K964" s="72"/>
      <c r="L964" s="77"/>
      <c r="M964" s="77"/>
      <c r="N964" s="72"/>
      <c r="O964" s="78"/>
      <c r="P964" s="78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</row>
    <row r="965" spans="1:29" ht="15.75" customHeight="1">
      <c r="A965" s="71"/>
      <c r="B965" s="72"/>
      <c r="C965" s="75"/>
      <c r="D965" s="74"/>
      <c r="E965" s="75"/>
      <c r="F965" s="74"/>
      <c r="G965" s="72"/>
      <c r="H965" s="76"/>
      <c r="I965" s="72"/>
      <c r="J965" s="72"/>
      <c r="K965" s="72"/>
      <c r="L965" s="77"/>
      <c r="M965" s="77"/>
      <c r="N965" s="72"/>
      <c r="O965" s="78"/>
      <c r="P965" s="78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</row>
    <row r="966" spans="1:29" ht="15.75" customHeight="1">
      <c r="A966" s="71"/>
      <c r="B966" s="72"/>
      <c r="C966" s="75"/>
      <c r="D966" s="74"/>
      <c r="E966" s="75"/>
      <c r="F966" s="74"/>
      <c r="G966" s="72"/>
      <c r="H966" s="76"/>
      <c r="I966" s="72"/>
      <c r="J966" s="72"/>
      <c r="K966" s="72"/>
      <c r="L966" s="77"/>
      <c r="M966" s="77"/>
      <c r="N966" s="72"/>
      <c r="O966" s="78"/>
      <c r="P966" s="78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</row>
    <row r="967" spans="1:29" ht="15.75" customHeight="1">
      <c r="A967" s="71"/>
      <c r="B967" s="72"/>
      <c r="C967" s="75"/>
      <c r="D967" s="74"/>
      <c r="E967" s="75"/>
      <c r="F967" s="74"/>
      <c r="G967" s="72"/>
      <c r="H967" s="76"/>
      <c r="I967" s="72"/>
      <c r="J967" s="72"/>
      <c r="K967" s="72"/>
      <c r="L967" s="77"/>
      <c r="M967" s="77"/>
      <c r="N967" s="72"/>
      <c r="O967" s="78"/>
      <c r="P967" s="78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</row>
    <row r="968" spans="1:29" ht="15.75" customHeight="1">
      <c r="A968" s="71"/>
      <c r="B968" s="72"/>
      <c r="C968" s="75"/>
      <c r="D968" s="74"/>
      <c r="E968" s="75"/>
      <c r="F968" s="74"/>
      <c r="G968" s="72"/>
      <c r="H968" s="76"/>
      <c r="I968" s="72"/>
      <c r="J968" s="72"/>
      <c r="K968" s="72"/>
      <c r="L968" s="77"/>
      <c r="M968" s="77"/>
      <c r="N968" s="72"/>
      <c r="O968" s="78"/>
      <c r="P968" s="78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</row>
    <row r="969" spans="1:29" ht="15.75" customHeight="1">
      <c r="A969" s="71"/>
      <c r="B969" s="72"/>
      <c r="C969" s="75"/>
      <c r="D969" s="74"/>
      <c r="E969" s="75"/>
      <c r="F969" s="74"/>
      <c r="G969" s="72"/>
      <c r="H969" s="76"/>
      <c r="I969" s="72"/>
      <c r="J969" s="72"/>
      <c r="K969" s="72"/>
      <c r="L969" s="77"/>
      <c r="M969" s="77"/>
      <c r="N969" s="72"/>
      <c r="O969" s="78"/>
      <c r="P969" s="78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</row>
    <row r="970" spans="1:29" ht="15.75" customHeight="1">
      <c r="A970" s="71"/>
      <c r="B970" s="72"/>
      <c r="C970" s="75"/>
      <c r="D970" s="74"/>
      <c r="E970" s="75"/>
      <c r="F970" s="74"/>
      <c r="G970" s="72"/>
      <c r="H970" s="76"/>
      <c r="I970" s="72"/>
      <c r="J970" s="72"/>
      <c r="K970" s="72"/>
      <c r="L970" s="77"/>
      <c r="M970" s="77"/>
      <c r="N970" s="72"/>
      <c r="O970" s="78"/>
      <c r="P970" s="78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</row>
    <row r="971" spans="1:29" ht="15.75" customHeight="1">
      <c r="A971" s="71"/>
      <c r="B971" s="72"/>
      <c r="C971" s="75"/>
      <c r="D971" s="74"/>
      <c r="E971" s="75"/>
      <c r="F971" s="74"/>
      <c r="G971" s="72"/>
      <c r="H971" s="76"/>
      <c r="I971" s="72"/>
      <c r="J971" s="72"/>
      <c r="K971" s="72"/>
      <c r="L971" s="77"/>
      <c r="M971" s="77"/>
      <c r="N971" s="72"/>
      <c r="O971" s="78"/>
      <c r="P971" s="78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</row>
    <row r="972" spans="1:29" ht="15.75" customHeight="1">
      <c r="A972" s="71"/>
      <c r="B972" s="72"/>
      <c r="C972" s="75"/>
      <c r="D972" s="74"/>
      <c r="E972" s="75"/>
      <c r="F972" s="74"/>
      <c r="G972" s="72"/>
      <c r="H972" s="76"/>
      <c r="I972" s="72"/>
      <c r="J972" s="72"/>
      <c r="K972" s="72"/>
      <c r="L972" s="77"/>
      <c r="M972" s="77"/>
      <c r="N972" s="72"/>
      <c r="O972" s="78"/>
      <c r="P972" s="78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</row>
    <row r="973" spans="1:29" ht="15.75" customHeight="1">
      <c r="A973" s="71"/>
      <c r="B973" s="72"/>
      <c r="C973" s="75"/>
      <c r="D973" s="74"/>
      <c r="E973" s="75"/>
      <c r="F973" s="74"/>
      <c r="G973" s="72"/>
      <c r="H973" s="76"/>
      <c r="I973" s="72"/>
      <c r="J973" s="72"/>
      <c r="K973" s="72"/>
      <c r="L973" s="77"/>
      <c r="M973" s="77"/>
      <c r="N973" s="72"/>
      <c r="O973" s="78"/>
      <c r="P973" s="78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</row>
    <row r="974" spans="1:29" ht="15.75" customHeight="1">
      <c r="A974" s="71"/>
      <c r="B974" s="72"/>
      <c r="C974" s="75"/>
      <c r="D974" s="74"/>
      <c r="E974" s="75"/>
      <c r="F974" s="74"/>
      <c r="G974" s="72"/>
      <c r="H974" s="76"/>
      <c r="I974" s="72"/>
      <c r="J974" s="72"/>
      <c r="K974" s="72"/>
      <c r="L974" s="77"/>
      <c r="M974" s="77"/>
      <c r="N974" s="72"/>
      <c r="O974" s="78"/>
      <c r="P974" s="78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</row>
    <row r="975" spans="1:29" ht="15.75" customHeight="1">
      <c r="A975" s="71"/>
      <c r="B975" s="72"/>
      <c r="C975" s="75"/>
      <c r="D975" s="74"/>
      <c r="E975" s="75"/>
      <c r="F975" s="74"/>
      <c r="G975" s="72"/>
      <c r="H975" s="76"/>
      <c r="I975" s="72"/>
      <c r="J975" s="72"/>
      <c r="K975" s="72"/>
      <c r="L975" s="77"/>
      <c r="M975" s="77"/>
      <c r="N975" s="72"/>
      <c r="O975" s="78"/>
      <c r="P975" s="78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</row>
    <row r="976" spans="1:29" ht="15.75" customHeight="1">
      <c r="A976" s="71"/>
      <c r="B976" s="72"/>
      <c r="C976" s="75"/>
      <c r="D976" s="74"/>
      <c r="E976" s="75"/>
      <c r="F976" s="74"/>
      <c r="G976" s="72"/>
      <c r="H976" s="76"/>
      <c r="I976" s="72"/>
      <c r="J976" s="72"/>
      <c r="K976" s="72"/>
      <c r="L976" s="77"/>
      <c r="M976" s="77"/>
      <c r="N976" s="72"/>
      <c r="O976" s="78"/>
      <c r="P976" s="78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</row>
    <row r="977" spans="1:29" ht="15.75" customHeight="1">
      <c r="A977" s="71"/>
      <c r="B977" s="72"/>
      <c r="C977" s="75"/>
      <c r="D977" s="74"/>
      <c r="E977" s="75"/>
      <c r="F977" s="74"/>
      <c r="G977" s="72"/>
      <c r="H977" s="76"/>
      <c r="I977" s="72"/>
      <c r="J977" s="72"/>
      <c r="K977" s="72"/>
      <c r="L977" s="77"/>
      <c r="M977" s="77"/>
      <c r="N977" s="72"/>
      <c r="O977" s="78"/>
      <c r="P977" s="78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</row>
    <row r="978" spans="1:29" ht="15.75" customHeight="1">
      <c r="A978" s="71"/>
      <c r="B978" s="72"/>
      <c r="C978" s="75"/>
      <c r="D978" s="74"/>
      <c r="E978" s="75"/>
      <c r="F978" s="74"/>
      <c r="G978" s="72"/>
      <c r="H978" s="76"/>
      <c r="I978" s="72"/>
      <c r="J978" s="72"/>
      <c r="K978" s="72"/>
      <c r="L978" s="77"/>
      <c r="M978" s="77"/>
      <c r="N978" s="72"/>
      <c r="O978" s="78"/>
      <c r="P978" s="78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</row>
    <row r="979" spans="1:29" ht="15.75" customHeight="1">
      <c r="A979" s="71"/>
      <c r="B979" s="72"/>
      <c r="C979" s="75"/>
      <c r="D979" s="74"/>
      <c r="E979" s="75"/>
      <c r="F979" s="74"/>
      <c r="G979" s="72"/>
      <c r="H979" s="76"/>
      <c r="I979" s="72"/>
      <c r="J979" s="72"/>
      <c r="K979" s="72"/>
      <c r="L979" s="77"/>
      <c r="M979" s="77"/>
      <c r="N979" s="72"/>
      <c r="O979" s="78"/>
      <c r="P979" s="78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</row>
    <row r="980" spans="1:29" ht="15.75" customHeight="1">
      <c r="A980" s="71"/>
      <c r="B980" s="72"/>
      <c r="C980" s="75"/>
      <c r="D980" s="74"/>
      <c r="E980" s="75"/>
      <c r="F980" s="74"/>
      <c r="G980" s="72"/>
      <c r="H980" s="76"/>
      <c r="I980" s="72"/>
      <c r="J980" s="72"/>
      <c r="K980" s="72"/>
      <c r="L980" s="77"/>
      <c r="M980" s="77"/>
      <c r="N980" s="72"/>
      <c r="O980" s="78"/>
      <c r="P980" s="78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</row>
    <row r="981" spans="1:29" ht="15.75" customHeight="1">
      <c r="A981" s="71"/>
      <c r="B981" s="72"/>
      <c r="C981" s="75"/>
      <c r="D981" s="74"/>
      <c r="E981" s="75"/>
      <c r="F981" s="74"/>
      <c r="G981" s="72"/>
      <c r="H981" s="76"/>
      <c r="I981" s="72"/>
      <c r="J981" s="72"/>
      <c r="K981" s="72"/>
      <c r="L981" s="77"/>
      <c r="M981" s="77"/>
      <c r="N981" s="72"/>
      <c r="O981" s="78"/>
      <c r="P981" s="78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</row>
    <row r="982" spans="1:29" ht="15.75" customHeight="1">
      <c r="A982" s="71"/>
      <c r="B982" s="72"/>
      <c r="C982" s="75"/>
      <c r="D982" s="74"/>
      <c r="E982" s="75"/>
      <c r="F982" s="74"/>
      <c r="G982" s="72"/>
      <c r="H982" s="76"/>
      <c r="I982" s="72"/>
      <c r="J982" s="72"/>
      <c r="K982" s="72"/>
      <c r="L982" s="77"/>
      <c r="M982" s="77"/>
      <c r="N982" s="72"/>
      <c r="O982" s="78"/>
      <c r="P982" s="78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</row>
    <row r="983" spans="1:29" ht="15.75" customHeight="1">
      <c r="A983" s="71"/>
      <c r="B983" s="72"/>
      <c r="C983" s="75"/>
      <c r="D983" s="74"/>
      <c r="E983" s="75"/>
      <c r="F983" s="74"/>
      <c r="G983" s="72"/>
      <c r="H983" s="76"/>
      <c r="I983" s="72"/>
      <c r="J983" s="72"/>
      <c r="K983" s="72"/>
      <c r="L983" s="77"/>
      <c r="M983" s="77"/>
      <c r="N983" s="72"/>
      <c r="O983" s="78"/>
      <c r="P983" s="78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</row>
    <row r="984" spans="1:29" ht="15.75" customHeight="1">
      <c r="A984" s="71"/>
      <c r="B984" s="72"/>
      <c r="C984" s="75"/>
      <c r="D984" s="74"/>
      <c r="E984" s="75"/>
      <c r="F984" s="74"/>
      <c r="G984" s="72"/>
      <c r="H984" s="76"/>
      <c r="I984" s="72"/>
      <c r="J984" s="72"/>
      <c r="K984" s="72"/>
      <c r="L984" s="77"/>
      <c r="M984" s="77"/>
      <c r="N984" s="72"/>
      <c r="O984" s="78"/>
      <c r="P984" s="78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</row>
    <row r="985" spans="1:29" ht="15.75" customHeight="1">
      <c r="A985" s="71"/>
      <c r="B985" s="72"/>
      <c r="C985" s="75"/>
      <c r="D985" s="74"/>
      <c r="E985" s="75"/>
      <c r="F985" s="74"/>
      <c r="G985" s="72"/>
      <c r="H985" s="76"/>
      <c r="I985" s="72"/>
      <c r="J985" s="72"/>
      <c r="K985" s="72"/>
      <c r="L985" s="77"/>
      <c r="M985" s="77"/>
      <c r="N985" s="72"/>
      <c r="O985" s="78"/>
      <c r="P985" s="78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</row>
    <row r="986" spans="1:29" ht="15.75" customHeight="1">
      <c r="A986" s="71"/>
      <c r="B986" s="72"/>
      <c r="C986" s="75"/>
      <c r="D986" s="74"/>
      <c r="E986" s="75"/>
      <c r="F986" s="74"/>
      <c r="G986" s="72"/>
      <c r="H986" s="76"/>
      <c r="I986" s="72"/>
      <c r="J986" s="72"/>
      <c r="K986" s="72"/>
      <c r="L986" s="77"/>
      <c r="M986" s="77"/>
      <c r="N986" s="72"/>
      <c r="O986" s="78"/>
      <c r="P986" s="78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</row>
    <row r="987" spans="1:29" ht="15.75" customHeight="1">
      <c r="A987" s="71"/>
      <c r="B987" s="72"/>
      <c r="C987" s="75"/>
      <c r="D987" s="74"/>
      <c r="E987" s="75"/>
      <c r="F987" s="74"/>
      <c r="G987" s="72"/>
      <c r="H987" s="76"/>
      <c r="I987" s="72"/>
      <c r="J987" s="72"/>
      <c r="K987" s="72"/>
      <c r="L987" s="77"/>
      <c r="M987" s="77"/>
      <c r="N987" s="72"/>
      <c r="O987" s="78"/>
      <c r="P987" s="78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</row>
    <row r="988" spans="1:29" ht="15.75" customHeight="1">
      <c r="A988" s="71"/>
      <c r="B988" s="72"/>
      <c r="C988" s="75"/>
      <c r="D988" s="74"/>
      <c r="E988" s="75"/>
      <c r="F988" s="74"/>
      <c r="G988" s="72"/>
      <c r="H988" s="76"/>
      <c r="I988" s="72"/>
      <c r="J988" s="72"/>
      <c r="K988" s="72"/>
      <c r="L988" s="77"/>
      <c r="M988" s="77"/>
      <c r="N988" s="72"/>
      <c r="O988" s="78"/>
      <c r="P988" s="78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</row>
    <row r="989" spans="1:29" ht="15.75" customHeight="1">
      <c r="A989" s="71"/>
      <c r="B989" s="72"/>
      <c r="C989" s="75"/>
      <c r="D989" s="74"/>
      <c r="E989" s="75"/>
      <c r="F989" s="74"/>
      <c r="G989" s="72"/>
      <c r="H989" s="76"/>
      <c r="I989" s="72"/>
      <c r="J989" s="72"/>
      <c r="K989" s="72"/>
      <c r="L989" s="77"/>
      <c r="M989" s="77"/>
      <c r="N989" s="72"/>
      <c r="O989" s="78"/>
      <c r="P989" s="78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</row>
    <row r="990" spans="1:29" ht="15.75" customHeight="1">
      <c r="A990" s="71"/>
      <c r="B990" s="72"/>
      <c r="C990" s="75"/>
      <c r="D990" s="74"/>
      <c r="E990" s="75"/>
      <c r="F990" s="74"/>
      <c r="G990" s="72"/>
      <c r="H990" s="76"/>
      <c r="I990" s="72"/>
      <c r="J990" s="72"/>
      <c r="K990" s="72"/>
      <c r="L990" s="77"/>
      <c r="M990" s="77"/>
      <c r="N990" s="72"/>
      <c r="O990" s="78"/>
      <c r="P990" s="78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</row>
    <row r="991" spans="1:29" ht="15.75" customHeight="1">
      <c r="A991" s="71"/>
      <c r="B991" s="72"/>
      <c r="C991" s="75"/>
      <c r="D991" s="74"/>
      <c r="E991" s="75"/>
      <c r="F991" s="74"/>
      <c r="G991" s="72"/>
      <c r="H991" s="76"/>
      <c r="I991" s="72"/>
      <c r="J991" s="72"/>
      <c r="K991" s="72"/>
      <c r="L991" s="77"/>
      <c r="M991" s="77"/>
      <c r="N991" s="72"/>
      <c r="O991" s="78"/>
      <c r="P991" s="78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</row>
    <row r="992" spans="1:29" ht="15.75" customHeight="1">
      <c r="A992" s="71"/>
      <c r="B992" s="72"/>
      <c r="C992" s="75"/>
      <c r="D992" s="74"/>
      <c r="E992" s="75"/>
      <c r="F992" s="74"/>
      <c r="G992" s="72"/>
      <c r="H992" s="76"/>
      <c r="I992" s="72"/>
      <c r="J992" s="72"/>
      <c r="K992" s="72"/>
      <c r="L992" s="77"/>
      <c r="M992" s="77"/>
      <c r="N992" s="72"/>
      <c r="O992" s="78"/>
      <c r="P992" s="78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</row>
    <row r="993" spans="1:29" ht="15.75" customHeight="1">
      <c r="A993" s="71"/>
      <c r="B993" s="72"/>
      <c r="C993" s="75"/>
      <c r="D993" s="74"/>
      <c r="E993" s="75"/>
      <c r="F993" s="74"/>
      <c r="G993" s="72"/>
      <c r="H993" s="76"/>
      <c r="I993" s="72"/>
      <c r="J993" s="72"/>
      <c r="K993" s="72"/>
      <c r="L993" s="77"/>
      <c r="M993" s="77"/>
      <c r="N993" s="72"/>
      <c r="O993" s="78"/>
      <c r="P993" s="78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</row>
    <row r="994" spans="1:29" ht="15.75" customHeight="1">
      <c r="A994" s="71"/>
      <c r="B994" s="72"/>
      <c r="C994" s="75"/>
      <c r="D994" s="74"/>
      <c r="E994" s="75"/>
      <c r="F994" s="74"/>
      <c r="G994" s="72"/>
      <c r="H994" s="76"/>
      <c r="I994" s="72"/>
      <c r="J994" s="72"/>
      <c r="K994" s="72"/>
      <c r="L994" s="77"/>
      <c r="M994" s="77"/>
      <c r="N994" s="72"/>
      <c r="O994" s="78"/>
      <c r="P994" s="78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</row>
    <row r="995" spans="1:29" ht="15.75" customHeight="1">
      <c r="A995" s="71"/>
      <c r="B995" s="72"/>
      <c r="C995" s="75"/>
      <c r="D995" s="74"/>
      <c r="E995" s="75"/>
      <c r="F995" s="74"/>
      <c r="G995" s="72"/>
      <c r="H995" s="76"/>
      <c r="I995" s="72"/>
      <c r="J995" s="72"/>
      <c r="K995" s="72"/>
      <c r="L995" s="77"/>
      <c r="M995" s="77"/>
      <c r="N995" s="72"/>
      <c r="O995" s="78"/>
      <c r="P995" s="78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</row>
  </sheetData>
  <mergeCells count="12">
    <mergeCell ref="P57:P61"/>
    <mergeCell ref="P62:P64"/>
    <mergeCell ref="P65:P67"/>
    <mergeCell ref="P68:P70"/>
    <mergeCell ref="P71:P72"/>
    <mergeCell ref="P48:P51"/>
    <mergeCell ref="P52:P56"/>
    <mergeCell ref="P24:P32"/>
    <mergeCell ref="P33:P36"/>
    <mergeCell ref="P37:P41"/>
    <mergeCell ref="P42:P43"/>
    <mergeCell ref="P44:P47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98"/>
  <sheetViews>
    <sheetView workbookViewId="0"/>
  </sheetViews>
  <sheetFormatPr defaultColWidth="11.125" defaultRowHeight="15" customHeight="1"/>
  <cols>
    <col min="1" max="1" width="15.625" customWidth="1"/>
    <col min="2" max="3" width="10.875" customWidth="1"/>
    <col min="4" max="4" width="10.125" customWidth="1"/>
    <col min="5" max="5" width="9.5" customWidth="1"/>
    <col min="6" max="6" width="9.375" customWidth="1"/>
    <col min="7" max="7" width="12.625" customWidth="1"/>
    <col min="8" max="9" width="9.375" customWidth="1"/>
    <col min="10" max="10" width="8.375" customWidth="1"/>
    <col min="11" max="13" width="10.875" customWidth="1"/>
    <col min="14" max="15" width="12.375" customWidth="1"/>
    <col min="16" max="16" width="25.125" customWidth="1"/>
    <col min="17" max="31" width="10.5" customWidth="1"/>
  </cols>
  <sheetData>
    <row r="1" spans="1:16" ht="15.75" customHeight="1">
      <c r="A1" s="83" t="s">
        <v>0</v>
      </c>
      <c r="B1" s="3" t="s">
        <v>170</v>
      </c>
      <c r="C1" s="6" t="s">
        <v>3</v>
      </c>
      <c r="D1" s="3" t="s">
        <v>171</v>
      </c>
      <c r="E1" s="84" t="s">
        <v>172</v>
      </c>
      <c r="F1" s="6" t="s">
        <v>173</v>
      </c>
      <c r="G1" s="83" t="s">
        <v>174</v>
      </c>
      <c r="H1" s="84" t="s">
        <v>175</v>
      </c>
      <c r="I1" s="6" t="s">
        <v>176</v>
      </c>
      <c r="J1" s="6" t="s">
        <v>177</v>
      </c>
      <c r="K1" s="6" t="s">
        <v>178</v>
      </c>
      <c r="L1" s="6" t="s">
        <v>179</v>
      </c>
      <c r="M1" s="85" t="s">
        <v>180</v>
      </c>
      <c r="N1" s="6" t="s">
        <v>14</v>
      </c>
      <c r="O1" s="6" t="s">
        <v>12</v>
      </c>
      <c r="P1" s="86" t="s">
        <v>181</v>
      </c>
    </row>
    <row r="2" spans="1:16" ht="15.75" customHeight="1">
      <c r="A2" s="87" t="s">
        <v>182</v>
      </c>
      <c r="B2" s="12">
        <v>45009</v>
      </c>
      <c r="C2" s="16" t="s">
        <v>17</v>
      </c>
      <c r="D2" s="12">
        <v>45009</v>
      </c>
      <c r="E2" s="88">
        <v>0.64583333333333337</v>
      </c>
      <c r="F2" s="89">
        <v>41</v>
      </c>
      <c r="G2" s="90">
        <v>45010</v>
      </c>
      <c r="H2" s="88">
        <v>0.64583333333333337</v>
      </c>
      <c r="I2" s="89">
        <v>41</v>
      </c>
      <c r="J2" s="91">
        <v>0</v>
      </c>
      <c r="K2" s="91">
        <v>0</v>
      </c>
      <c r="L2" s="16" t="s">
        <v>183</v>
      </c>
      <c r="M2" s="92" t="str">
        <f t="shared" ref="M2:M56" si="0">IF(L2="&lt; 1","&lt; 10",IF(L2="&gt; 2419.6","&gt; 24196",L2*10))</f>
        <v>&lt; 10</v>
      </c>
      <c r="N2" s="16" t="s">
        <v>21</v>
      </c>
      <c r="O2" s="16" t="s">
        <v>20</v>
      </c>
      <c r="P2" s="261" t="s">
        <v>184</v>
      </c>
    </row>
    <row r="3" spans="1:16" ht="15.75" customHeight="1">
      <c r="A3" s="87" t="s">
        <v>185</v>
      </c>
      <c r="B3" s="12">
        <v>45010</v>
      </c>
      <c r="C3" s="16" t="s">
        <v>17</v>
      </c>
      <c r="D3" s="12">
        <v>45009</v>
      </c>
      <c r="E3" s="88">
        <v>0.64583333333333337</v>
      </c>
      <c r="F3" s="89">
        <v>41</v>
      </c>
      <c r="G3" s="90">
        <v>45010</v>
      </c>
      <c r="H3" s="88">
        <v>0.64583333333333337</v>
      </c>
      <c r="I3" s="89">
        <v>41</v>
      </c>
      <c r="J3" s="91">
        <v>0</v>
      </c>
      <c r="K3" s="91">
        <v>0</v>
      </c>
      <c r="L3" s="16" t="s">
        <v>183</v>
      </c>
      <c r="M3" s="92" t="str">
        <f t="shared" si="0"/>
        <v>&lt; 10</v>
      </c>
      <c r="N3" s="16" t="s">
        <v>21</v>
      </c>
      <c r="O3" s="16" t="s">
        <v>20</v>
      </c>
      <c r="P3" s="253"/>
    </row>
    <row r="4" spans="1:16" ht="15.75" customHeight="1">
      <c r="A4" s="87" t="s">
        <v>186</v>
      </c>
      <c r="B4" s="12">
        <v>45011</v>
      </c>
      <c r="C4" s="16" t="s">
        <v>17</v>
      </c>
      <c r="D4" s="12">
        <v>45009</v>
      </c>
      <c r="E4" s="88">
        <v>0.64583333333333337</v>
      </c>
      <c r="F4" s="89">
        <v>41</v>
      </c>
      <c r="G4" s="90">
        <v>45010</v>
      </c>
      <c r="H4" s="88">
        <v>0.64583333333333337</v>
      </c>
      <c r="I4" s="89">
        <v>41</v>
      </c>
      <c r="J4" s="91">
        <v>49</v>
      </c>
      <c r="K4" s="91">
        <v>48</v>
      </c>
      <c r="L4" s="16" t="s">
        <v>187</v>
      </c>
      <c r="M4" s="92" t="str">
        <f t="shared" si="0"/>
        <v>&gt; 24196</v>
      </c>
      <c r="N4" s="16" t="s">
        <v>21</v>
      </c>
      <c r="O4" s="16" t="s">
        <v>20</v>
      </c>
      <c r="P4" s="253"/>
    </row>
    <row r="5" spans="1:16" ht="15.75" customHeight="1">
      <c r="A5" s="19" t="s">
        <v>188</v>
      </c>
      <c r="B5" s="12">
        <v>45011</v>
      </c>
      <c r="C5" s="16" t="s">
        <v>17</v>
      </c>
      <c r="D5" s="12">
        <v>45009</v>
      </c>
      <c r="E5" s="88">
        <v>0.64583333333333337</v>
      </c>
      <c r="F5" s="89">
        <v>41</v>
      </c>
      <c r="G5" s="90">
        <v>45010</v>
      </c>
      <c r="H5" s="88">
        <v>0.64583333333333337</v>
      </c>
      <c r="I5" s="89">
        <v>41</v>
      </c>
      <c r="J5" s="91">
        <v>0</v>
      </c>
      <c r="K5" s="91">
        <v>0</v>
      </c>
      <c r="L5" s="16" t="s">
        <v>183</v>
      </c>
      <c r="M5" s="92" t="str">
        <f t="shared" si="0"/>
        <v>&lt; 10</v>
      </c>
      <c r="N5" s="16" t="s">
        <v>21</v>
      </c>
      <c r="O5" s="16" t="s">
        <v>20</v>
      </c>
      <c r="P5" s="254"/>
    </row>
    <row r="6" spans="1:16" ht="15.75" customHeight="1">
      <c r="A6" s="19" t="s">
        <v>189</v>
      </c>
      <c r="B6" s="12">
        <v>45012</v>
      </c>
      <c r="C6" s="27">
        <v>0.38472222222222224</v>
      </c>
      <c r="D6" s="12">
        <v>45012</v>
      </c>
      <c r="E6" s="88">
        <v>0.64583333333333337</v>
      </c>
      <c r="F6" s="89">
        <v>41</v>
      </c>
      <c r="G6" s="90">
        <v>45013</v>
      </c>
      <c r="H6" s="88">
        <v>0.64583333333333337</v>
      </c>
      <c r="I6" s="89">
        <v>41</v>
      </c>
      <c r="J6" s="91">
        <v>0</v>
      </c>
      <c r="K6" s="91">
        <v>0</v>
      </c>
      <c r="L6" s="16" t="s">
        <v>183</v>
      </c>
      <c r="M6" s="92" t="str">
        <f t="shared" si="0"/>
        <v>&lt; 10</v>
      </c>
      <c r="N6" s="16" t="s">
        <v>21</v>
      </c>
      <c r="O6" s="16" t="s">
        <v>20</v>
      </c>
      <c r="P6" s="16"/>
    </row>
    <row r="7" spans="1:16" ht="15.75" customHeight="1">
      <c r="A7" s="19" t="s">
        <v>190</v>
      </c>
      <c r="B7" s="12">
        <v>45012</v>
      </c>
      <c r="C7" s="27">
        <v>0.38472222222222224</v>
      </c>
      <c r="D7" s="12">
        <v>45012</v>
      </c>
      <c r="E7" s="88">
        <v>0.64583333333333337</v>
      </c>
      <c r="F7" s="89">
        <v>41</v>
      </c>
      <c r="G7" s="90">
        <v>45013</v>
      </c>
      <c r="H7" s="88">
        <v>0.64583333333333337</v>
      </c>
      <c r="I7" s="89">
        <v>41</v>
      </c>
      <c r="J7" s="91">
        <v>0</v>
      </c>
      <c r="K7" s="91">
        <v>0</v>
      </c>
      <c r="L7" s="16" t="s">
        <v>183</v>
      </c>
      <c r="M7" s="92" t="str">
        <f t="shared" si="0"/>
        <v>&lt; 10</v>
      </c>
      <c r="N7" s="16" t="s">
        <v>21</v>
      </c>
      <c r="O7" s="16" t="s">
        <v>20</v>
      </c>
      <c r="P7" s="16"/>
    </row>
    <row r="8" spans="1:16" ht="15.75" customHeight="1">
      <c r="A8" s="19" t="s">
        <v>191</v>
      </c>
      <c r="B8" s="12">
        <v>45058</v>
      </c>
      <c r="C8" s="13">
        <v>0.41666666666666669</v>
      </c>
      <c r="D8" s="12">
        <v>45058</v>
      </c>
      <c r="E8" s="88">
        <v>0.4861111111111111</v>
      </c>
      <c r="F8" s="89">
        <v>41</v>
      </c>
      <c r="G8" s="90">
        <v>45059</v>
      </c>
      <c r="H8" s="88">
        <v>0.4861111111111111</v>
      </c>
      <c r="I8" s="89">
        <v>41</v>
      </c>
      <c r="J8" s="91">
        <v>0</v>
      </c>
      <c r="K8" s="91">
        <v>0</v>
      </c>
      <c r="L8" s="16" t="s">
        <v>183</v>
      </c>
      <c r="M8" s="92" t="str">
        <f t="shared" si="0"/>
        <v>&lt; 10</v>
      </c>
      <c r="N8" s="16" t="s">
        <v>21</v>
      </c>
      <c r="O8" s="16" t="s">
        <v>192</v>
      </c>
      <c r="P8" s="93" t="s">
        <v>193</v>
      </c>
    </row>
    <row r="9" spans="1:16" ht="15.75" customHeight="1">
      <c r="A9" s="19" t="s">
        <v>194</v>
      </c>
      <c r="B9" s="12">
        <v>45064</v>
      </c>
      <c r="C9" s="13">
        <v>0.37222222222222223</v>
      </c>
      <c r="D9" s="12">
        <v>45064</v>
      </c>
      <c r="E9" s="88">
        <v>0.4826388888888889</v>
      </c>
      <c r="F9" s="89">
        <v>41</v>
      </c>
      <c r="G9" s="90">
        <v>45065</v>
      </c>
      <c r="H9" s="88">
        <v>0.4826388888888889</v>
      </c>
      <c r="I9" s="89">
        <v>41</v>
      </c>
      <c r="J9" s="91">
        <v>0</v>
      </c>
      <c r="K9" s="91">
        <v>0</v>
      </c>
      <c r="L9" s="16" t="s">
        <v>183</v>
      </c>
      <c r="M9" s="92" t="str">
        <f t="shared" si="0"/>
        <v>&lt; 10</v>
      </c>
      <c r="N9" s="16" t="s">
        <v>21</v>
      </c>
      <c r="O9" s="16" t="s">
        <v>192</v>
      </c>
      <c r="P9" s="262" t="s">
        <v>195</v>
      </c>
    </row>
    <row r="10" spans="1:16" ht="15.75" customHeight="1">
      <c r="A10" s="19" t="s">
        <v>196</v>
      </c>
      <c r="B10" s="12">
        <v>45064</v>
      </c>
      <c r="C10" s="13">
        <v>0.4201388888888889</v>
      </c>
      <c r="D10" s="12">
        <v>45064</v>
      </c>
      <c r="E10" s="88">
        <v>0.48541666666666666</v>
      </c>
      <c r="F10" s="89">
        <v>41</v>
      </c>
      <c r="G10" s="90">
        <v>45065</v>
      </c>
      <c r="H10" s="88">
        <v>0.48541666666666666</v>
      </c>
      <c r="I10" s="89">
        <v>41</v>
      </c>
      <c r="J10" s="91">
        <v>0</v>
      </c>
      <c r="K10" s="91">
        <v>0</v>
      </c>
      <c r="L10" s="16" t="s">
        <v>183</v>
      </c>
      <c r="M10" s="92" t="str">
        <f t="shared" si="0"/>
        <v>&lt; 10</v>
      </c>
      <c r="N10" s="16" t="s">
        <v>21</v>
      </c>
      <c r="O10" s="16" t="s">
        <v>192</v>
      </c>
      <c r="P10" s="253"/>
    </row>
    <row r="11" spans="1:16" ht="15.75" customHeight="1">
      <c r="A11" s="19" t="s">
        <v>197</v>
      </c>
      <c r="B11" s="12">
        <v>45064</v>
      </c>
      <c r="C11" s="13">
        <v>0.4465277777777778</v>
      </c>
      <c r="D11" s="12">
        <v>45064</v>
      </c>
      <c r="E11" s="88">
        <v>0.48888888888888887</v>
      </c>
      <c r="F11" s="89">
        <v>41</v>
      </c>
      <c r="G11" s="90">
        <v>45065</v>
      </c>
      <c r="H11" s="88">
        <v>0.48888888888888887</v>
      </c>
      <c r="I11" s="89">
        <v>41</v>
      </c>
      <c r="J11" s="91">
        <v>0</v>
      </c>
      <c r="K11" s="91">
        <v>0</v>
      </c>
      <c r="L11" s="16" t="s">
        <v>183</v>
      </c>
      <c r="M11" s="92" t="str">
        <f t="shared" si="0"/>
        <v>&lt; 10</v>
      </c>
      <c r="N11" s="16" t="s">
        <v>28</v>
      </c>
      <c r="O11" s="16" t="s">
        <v>192</v>
      </c>
      <c r="P11" s="254"/>
    </row>
    <row r="12" spans="1:16" ht="15.75" customHeight="1">
      <c r="A12" s="19" t="s">
        <v>198</v>
      </c>
      <c r="B12" s="12">
        <v>45064</v>
      </c>
      <c r="C12" s="13">
        <v>0.4465277777777778</v>
      </c>
      <c r="D12" s="12">
        <v>45064</v>
      </c>
      <c r="E12" s="88">
        <v>0.49583333333333335</v>
      </c>
      <c r="F12" s="89">
        <v>41</v>
      </c>
      <c r="G12" s="90">
        <v>45065</v>
      </c>
      <c r="H12" s="88">
        <v>0.49583333333333335</v>
      </c>
      <c r="I12" s="89">
        <v>41</v>
      </c>
      <c r="J12" s="91">
        <v>0</v>
      </c>
      <c r="K12" s="91">
        <v>0</v>
      </c>
      <c r="L12" s="16" t="s">
        <v>183</v>
      </c>
      <c r="M12" s="92" t="str">
        <f t="shared" si="0"/>
        <v>&lt; 10</v>
      </c>
      <c r="N12" s="16" t="s">
        <v>21</v>
      </c>
      <c r="O12" s="16" t="s">
        <v>192</v>
      </c>
      <c r="P12" s="94" t="s">
        <v>199</v>
      </c>
    </row>
    <row r="13" spans="1:16" ht="15.75" customHeight="1">
      <c r="A13" s="19" t="s">
        <v>200</v>
      </c>
      <c r="B13" s="12">
        <v>45065</v>
      </c>
      <c r="C13" s="13">
        <v>0.38472222222222224</v>
      </c>
      <c r="D13" s="12">
        <v>45065</v>
      </c>
      <c r="E13" s="88">
        <v>0.4909722222222222</v>
      </c>
      <c r="F13" s="89">
        <v>41</v>
      </c>
      <c r="G13" s="90">
        <v>45066</v>
      </c>
      <c r="H13" s="88">
        <v>0.5</v>
      </c>
      <c r="I13" s="89">
        <v>41</v>
      </c>
      <c r="J13" s="91">
        <v>2</v>
      </c>
      <c r="K13" s="91">
        <v>0</v>
      </c>
      <c r="L13" s="14">
        <v>2</v>
      </c>
      <c r="M13" s="92">
        <f t="shared" si="0"/>
        <v>20</v>
      </c>
      <c r="N13" s="16" t="s">
        <v>21</v>
      </c>
      <c r="O13" s="16" t="s">
        <v>192</v>
      </c>
      <c r="P13" s="262" t="s">
        <v>201</v>
      </c>
    </row>
    <row r="14" spans="1:16" ht="15.75" customHeight="1">
      <c r="A14" s="19" t="s">
        <v>202</v>
      </c>
      <c r="B14" s="12">
        <v>45065</v>
      </c>
      <c r="C14" s="13">
        <v>0.43125000000000002</v>
      </c>
      <c r="D14" s="12">
        <v>45065</v>
      </c>
      <c r="E14" s="88">
        <v>0.49166666666666664</v>
      </c>
      <c r="F14" s="89">
        <v>41</v>
      </c>
      <c r="G14" s="90">
        <v>45066</v>
      </c>
      <c r="H14" s="88">
        <v>0.50347222222222221</v>
      </c>
      <c r="I14" s="89">
        <v>41</v>
      </c>
      <c r="J14" s="91">
        <v>0</v>
      </c>
      <c r="K14" s="91">
        <v>0</v>
      </c>
      <c r="L14" s="16" t="s">
        <v>183</v>
      </c>
      <c r="M14" s="92" t="str">
        <f t="shared" si="0"/>
        <v>&lt; 10</v>
      </c>
      <c r="N14" s="16" t="s">
        <v>21</v>
      </c>
      <c r="O14" s="16" t="s">
        <v>192</v>
      </c>
      <c r="P14" s="253"/>
    </row>
    <row r="15" spans="1:16" ht="15.75" customHeight="1">
      <c r="A15" s="19" t="s">
        <v>203</v>
      </c>
      <c r="B15" s="12">
        <v>45068</v>
      </c>
      <c r="C15" s="13">
        <v>0.38194444444444442</v>
      </c>
      <c r="D15" s="12">
        <v>45068</v>
      </c>
      <c r="E15" s="88">
        <v>0.44027777777777777</v>
      </c>
      <c r="F15" s="89">
        <v>41</v>
      </c>
      <c r="G15" s="90">
        <v>45069</v>
      </c>
      <c r="H15" s="88">
        <v>0.44027777777777777</v>
      </c>
      <c r="I15" s="89">
        <v>41</v>
      </c>
      <c r="J15" s="91">
        <v>7</v>
      </c>
      <c r="K15" s="91">
        <v>0</v>
      </c>
      <c r="L15" s="14">
        <v>7.5</v>
      </c>
      <c r="M15" s="92">
        <f t="shared" si="0"/>
        <v>75</v>
      </c>
      <c r="N15" s="16" t="s">
        <v>21</v>
      </c>
      <c r="O15" s="16" t="s">
        <v>192</v>
      </c>
      <c r="P15" s="254"/>
    </row>
    <row r="16" spans="1:16" ht="15.75" customHeight="1">
      <c r="A16" s="19" t="s">
        <v>204</v>
      </c>
      <c r="B16" s="12">
        <v>45068</v>
      </c>
      <c r="C16" s="13">
        <v>0.40694444444444444</v>
      </c>
      <c r="D16" s="12">
        <v>45068</v>
      </c>
      <c r="E16" s="88">
        <v>0.43888888888888888</v>
      </c>
      <c r="F16" s="89">
        <v>41</v>
      </c>
      <c r="G16" s="90">
        <v>45069</v>
      </c>
      <c r="H16" s="88">
        <v>0.43888888888888888</v>
      </c>
      <c r="I16" s="89">
        <v>41</v>
      </c>
      <c r="J16" s="91">
        <v>30</v>
      </c>
      <c r="K16" s="91">
        <v>3</v>
      </c>
      <c r="L16" s="14">
        <v>48.7</v>
      </c>
      <c r="M16" s="92">
        <f t="shared" si="0"/>
        <v>487</v>
      </c>
      <c r="N16" s="16" t="s">
        <v>28</v>
      </c>
      <c r="O16" s="16" t="s">
        <v>192</v>
      </c>
      <c r="P16" s="94" t="s">
        <v>205</v>
      </c>
    </row>
    <row r="17" spans="1:16" ht="15.75" customHeight="1">
      <c r="A17" s="19" t="s">
        <v>206</v>
      </c>
      <c r="B17" s="12">
        <v>45068</v>
      </c>
      <c r="C17" s="13">
        <v>0.40694444444444444</v>
      </c>
      <c r="D17" s="12">
        <v>45068</v>
      </c>
      <c r="E17" s="88">
        <v>0.44166666666666665</v>
      </c>
      <c r="F17" s="89">
        <v>41</v>
      </c>
      <c r="G17" s="90">
        <v>45069</v>
      </c>
      <c r="H17" s="88">
        <v>0.44166666666666665</v>
      </c>
      <c r="I17" s="89">
        <v>41</v>
      </c>
      <c r="J17" s="91">
        <v>36</v>
      </c>
      <c r="K17" s="91">
        <v>5</v>
      </c>
      <c r="L17" s="14">
        <v>69.7</v>
      </c>
      <c r="M17" s="92">
        <f t="shared" si="0"/>
        <v>697</v>
      </c>
      <c r="N17" s="16" t="s">
        <v>21</v>
      </c>
      <c r="O17" s="16" t="s">
        <v>192</v>
      </c>
      <c r="P17" s="94" t="s">
        <v>207</v>
      </c>
    </row>
    <row r="18" spans="1:16" ht="15.75" customHeight="1">
      <c r="A18" s="19" t="s">
        <v>208</v>
      </c>
      <c r="B18" s="12">
        <v>45070</v>
      </c>
      <c r="C18" s="13">
        <v>0.35069444444444442</v>
      </c>
      <c r="D18" s="12">
        <v>45070</v>
      </c>
      <c r="E18" s="22">
        <v>0.53402777777777777</v>
      </c>
      <c r="F18" s="89">
        <v>41</v>
      </c>
      <c r="G18" s="12">
        <v>45071</v>
      </c>
      <c r="H18" s="22">
        <v>0.53402777777777777</v>
      </c>
      <c r="I18" s="89">
        <v>41</v>
      </c>
      <c r="J18" s="91">
        <v>0</v>
      </c>
      <c r="K18" s="91">
        <v>0</v>
      </c>
      <c r="L18" s="16" t="s">
        <v>183</v>
      </c>
      <c r="M18" s="92" t="str">
        <f t="shared" si="0"/>
        <v>&lt; 10</v>
      </c>
      <c r="N18" s="16" t="s">
        <v>21</v>
      </c>
      <c r="O18" s="16" t="s">
        <v>192</v>
      </c>
      <c r="P18" s="260" t="s">
        <v>209</v>
      </c>
    </row>
    <row r="19" spans="1:16" ht="15.75" customHeight="1">
      <c r="A19" s="19" t="s">
        <v>210</v>
      </c>
      <c r="B19" s="12">
        <v>45070</v>
      </c>
      <c r="C19" s="13">
        <v>0.38472222222222224</v>
      </c>
      <c r="D19" s="12">
        <v>45070</v>
      </c>
      <c r="E19" s="22">
        <v>0.53611111111111109</v>
      </c>
      <c r="F19" s="89">
        <v>41</v>
      </c>
      <c r="G19" s="12">
        <v>45071</v>
      </c>
      <c r="H19" s="22">
        <v>0.53611111111111109</v>
      </c>
      <c r="I19" s="89">
        <v>41</v>
      </c>
      <c r="J19" s="91">
        <v>0</v>
      </c>
      <c r="K19" s="91">
        <v>0</v>
      </c>
      <c r="L19" s="16" t="s">
        <v>183</v>
      </c>
      <c r="M19" s="92" t="str">
        <f t="shared" si="0"/>
        <v>&lt; 10</v>
      </c>
      <c r="N19" s="16" t="s">
        <v>21</v>
      </c>
      <c r="O19" s="16" t="s">
        <v>192</v>
      </c>
      <c r="P19" s="253"/>
    </row>
    <row r="20" spans="1:16" ht="15.75" customHeight="1">
      <c r="A20" s="19" t="s">
        <v>211</v>
      </c>
      <c r="B20" s="12">
        <v>45070</v>
      </c>
      <c r="C20" s="13">
        <v>0.40972222222222221</v>
      </c>
      <c r="D20" s="12">
        <v>45070</v>
      </c>
      <c r="E20" s="22">
        <v>0.53888888888888886</v>
      </c>
      <c r="F20" s="89">
        <v>41</v>
      </c>
      <c r="G20" s="12">
        <v>45071</v>
      </c>
      <c r="H20" s="22">
        <v>0.53888888888888886</v>
      </c>
      <c r="I20" s="89">
        <v>41</v>
      </c>
      <c r="J20" s="91">
        <v>0</v>
      </c>
      <c r="K20" s="91">
        <v>0</v>
      </c>
      <c r="L20" s="16" t="s">
        <v>183</v>
      </c>
      <c r="M20" s="92" t="str">
        <f t="shared" si="0"/>
        <v>&lt; 10</v>
      </c>
      <c r="N20" s="16" t="s">
        <v>21</v>
      </c>
      <c r="O20" s="16" t="s">
        <v>192</v>
      </c>
      <c r="P20" s="253"/>
    </row>
    <row r="21" spans="1:16" ht="15.75" customHeight="1">
      <c r="A21" s="19" t="s">
        <v>212</v>
      </c>
      <c r="B21" s="12">
        <v>45070</v>
      </c>
      <c r="C21" s="13">
        <v>0.4513888888888889</v>
      </c>
      <c r="D21" s="12">
        <v>45070</v>
      </c>
      <c r="E21" s="22">
        <v>0.54027777777777775</v>
      </c>
      <c r="F21" s="89">
        <v>41</v>
      </c>
      <c r="G21" s="12">
        <v>45071</v>
      </c>
      <c r="H21" s="22">
        <v>0.54027777777777775</v>
      </c>
      <c r="I21" s="89">
        <v>41</v>
      </c>
      <c r="J21" s="91">
        <v>1</v>
      </c>
      <c r="K21" s="91">
        <v>0</v>
      </c>
      <c r="L21" s="14">
        <v>1</v>
      </c>
      <c r="M21" s="92">
        <f t="shared" si="0"/>
        <v>10</v>
      </c>
      <c r="N21" s="16" t="s">
        <v>21</v>
      </c>
      <c r="O21" s="16" t="s">
        <v>192</v>
      </c>
      <c r="P21" s="253"/>
    </row>
    <row r="22" spans="1:16" ht="15.75" customHeight="1">
      <c r="A22" s="19" t="s">
        <v>213</v>
      </c>
      <c r="B22" s="12">
        <v>45070</v>
      </c>
      <c r="C22" s="22">
        <v>0.45833333333333331</v>
      </c>
      <c r="D22" s="12">
        <v>45070</v>
      </c>
      <c r="E22" s="22">
        <v>0.54097222222222219</v>
      </c>
      <c r="F22" s="89">
        <v>41</v>
      </c>
      <c r="G22" s="12">
        <v>45071</v>
      </c>
      <c r="H22" s="22">
        <v>0.54097222222222219</v>
      </c>
      <c r="I22" s="89">
        <v>41</v>
      </c>
      <c r="J22" s="91">
        <v>0</v>
      </c>
      <c r="K22" s="91">
        <v>0</v>
      </c>
      <c r="L22" s="16" t="s">
        <v>183</v>
      </c>
      <c r="M22" s="92" t="str">
        <f t="shared" si="0"/>
        <v>&lt; 10</v>
      </c>
      <c r="N22" s="16" t="s">
        <v>21</v>
      </c>
      <c r="O22" s="16" t="s">
        <v>192</v>
      </c>
      <c r="P22" s="253"/>
    </row>
    <row r="23" spans="1:16" ht="15.75" customHeight="1">
      <c r="A23" s="19" t="s">
        <v>214</v>
      </c>
      <c r="B23" s="12">
        <v>45070</v>
      </c>
      <c r="C23" s="22">
        <v>0.51458333333333328</v>
      </c>
      <c r="D23" s="12">
        <v>45070</v>
      </c>
      <c r="E23" s="22">
        <v>0.65625</v>
      </c>
      <c r="F23" s="89">
        <v>41</v>
      </c>
      <c r="G23" s="12">
        <v>45071</v>
      </c>
      <c r="H23" s="22">
        <v>0.65625</v>
      </c>
      <c r="I23" s="89">
        <v>41</v>
      </c>
      <c r="J23" s="91">
        <v>0</v>
      </c>
      <c r="K23" s="91">
        <v>0</v>
      </c>
      <c r="L23" s="16" t="s">
        <v>183</v>
      </c>
      <c r="M23" s="92" t="str">
        <f t="shared" si="0"/>
        <v>&lt; 10</v>
      </c>
      <c r="N23" s="16" t="s">
        <v>21</v>
      </c>
      <c r="O23" s="16" t="s">
        <v>192</v>
      </c>
      <c r="P23" s="253"/>
    </row>
    <row r="24" spans="1:16" ht="15.75" customHeight="1">
      <c r="A24" s="19" t="s">
        <v>215</v>
      </c>
      <c r="B24" s="12">
        <v>45070</v>
      </c>
      <c r="C24" s="22">
        <v>0.53680555555555554</v>
      </c>
      <c r="D24" s="12">
        <v>45070</v>
      </c>
      <c r="E24" s="22">
        <v>0.65763888888888888</v>
      </c>
      <c r="F24" s="89">
        <v>41</v>
      </c>
      <c r="G24" s="12">
        <v>45071</v>
      </c>
      <c r="H24" s="22">
        <v>0.65763888888888888</v>
      </c>
      <c r="I24" s="89">
        <v>41</v>
      </c>
      <c r="J24" s="91">
        <v>0</v>
      </c>
      <c r="K24" s="91">
        <v>0</v>
      </c>
      <c r="L24" s="16" t="s">
        <v>183</v>
      </c>
      <c r="M24" s="92" t="str">
        <f t="shared" si="0"/>
        <v>&lt; 10</v>
      </c>
      <c r="N24" s="16" t="s">
        <v>21</v>
      </c>
      <c r="O24" s="16" t="s">
        <v>192</v>
      </c>
      <c r="P24" s="253"/>
    </row>
    <row r="25" spans="1:16" ht="15.75" customHeight="1">
      <c r="A25" s="19" t="s">
        <v>216</v>
      </c>
      <c r="B25" s="12">
        <v>45070</v>
      </c>
      <c r="C25" s="22">
        <v>0.58125000000000004</v>
      </c>
      <c r="D25" s="12">
        <v>45070</v>
      </c>
      <c r="E25" s="22">
        <v>0.65763888888888888</v>
      </c>
      <c r="F25" s="89">
        <v>41</v>
      </c>
      <c r="G25" s="12">
        <v>45071</v>
      </c>
      <c r="H25" s="22">
        <v>0.65763888888888888</v>
      </c>
      <c r="I25" s="89">
        <v>41</v>
      </c>
      <c r="J25" s="91">
        <v>0</v>
      </c>
      <c r="K25" s="91">
        <v>0</v>
      </c>
      <c r="L25" s="16" t="s">
        <v>183</v>
      </c>
      <c r="M25" s="92" t="str">
        <f t="shared" si="0"/>
        <v>&lt; 10</v>
      </c>
      <c r="N25" s="16" t="s">
        <v>21</v>
      </c>
      <c r="O25" s="16" t="s">
        <v>192</v>
      </c>
      <c r="P25" s="253"/>
    </row>
    <row r="26" spans="1:16" ht="15.75" customHeight="1">
      <c r="A26" s="19" t="s">
        <v>217</v>
      </c>
      <c r="B26" s="12">
        <v>45070</v>
      </c>
      <c r="C26" s="22">
        <v>0.6020833333333333</v>
      </c>
      <c r="D26" s="12">
        <v>45070</v>
      </c>
      <c r="E26" s="22">
        <v>0.65833333333333333</v>
      </c>
      <c r="F26" s="89">
        <v>41</v>
      </c>
      <c r="G26" s="12">
        <v>45071</v>
      </c>
      <c r="H26" s="22">
        <v>0.65833333333333333</v>
      </c>
      <c r="I26" s="89">
        <v>41</v>
      </c>
      <c r="J26" s="91">
        <v>0</v>
      </c>
      <c r="K26" s="91">
        <v>0</v>
      </c>
      <c r="L26" s="16" t="s">
        <v>183</v>
      </c>
      <c r="M26" s="92" t="str">
        <f t="shared" si="0"/>
        <v>&lt; 10</v>
      </c>
      <c r="N26" s="16" t="s">
        <v>21</v>
      </c>
      <c r="O26" s="16" t="s">
        <v>192</v>
      </c>
      <c r="P26" s="254"/>
    </row>
    <row r="27" spans="1:16" ht="15.75" customHeight="1">
      <c r="A27" s="19" t="s">
        <v>218</v>
      </c>
      <c r="B27" s="12">
        <v>45071</v>
      </c>
      <c r="C27" s="22">
        <v>0.38263888888888886</v>
      </c>
      <c r="D27" s="12">
        <v>45071</v>
      </c>
      <c r="E27" s="88">
        <v>0.48402777777777778</v>
      </c>
      <c r="F27" s="89">
        <v>41</v>
      </c>
      <c r="G27" s="12">
        <v>45072</v>
      </c>
      <c r="H27" s="88">
        <v>0.48402777777777778</v>
      </c>
      <c r="I27" s="89">
        <v>41</v>
      </c>
      <c r="J27" s="91">
        <v>0</v>
      </c>
      <c r="K27" s="91">
        <v>0</v>
      </c>
      <c r="L27" s="16" t="s">
        <v>183</v>
      </c>
      <c r="M27" s="92" t="str">
        <f t="shared" si="0"/>
        <v>&lt; 10</v>
      </c>
      <c r="N27" s="16" t="s">
        <v>21</v>
      </c>
      <c r="O27" s="16" t="s">
        <v>192</v>
      </c>
      <c r="P27" s="263" t="s">
        <v>219</v>
      </c>
    </row>
    <row r="28" spans="1:16" ht="15.75" customHeight="1">
      <c r="A28" s="19" t="s">
        <v>220</v>
      </c>
      <c r="B28" s="12">
        <v>45071</v>
      </c>
      <c r="C28" s="22">
        <v>0.41875000000000001</v>
      </c>
      <c r="D28" s="12">
        <v>45071</v>
      </c>
      <c r="E28" s="88">
        <v>0.48680555555555555</v>
      </c>
      <c r="F28" s="89">
        <v>41</v>
      </c>
      <c r="G28" s="12">
        <v>45072</v>
      </c>
      <c r="H28" s="88">
        <v>0.48680555555555555</v>
      </c>
      <c r="I28" s="89">
        <v>41</v>
      </c>
      <c r="J28" s="91">
        <v>0</v>
      </c>
      <c r="K28" s="91">
        <v>0</v>
      </c>
      <c r="L28" s="16" t="s">
        <v>183</v>
      </c>
      <c r="M28" s="92" t="str">
        <f t="shared" si="0"/>
        <v>&lt; 10</v>
      </c>
      <c r="N28" s="16" t="s">
        <v>21</v>
      </c>
      <c r="O28" s="16" t="s">
        <v>192</v>
      </c>
      <c r="P28" s="253"/>
    </row>
    <row r="29" spans="1:16" ht="15.75" customHeight="1">
      <c r="A29" s="19" t="s">
        <v>221</v>
      </c>
      <c r="B29" s="12">
        <v>45071</v>
      </c>
      <c r="C29" s="22">
        <v>0.44097222222222221</v>
      </c>
      <c r="D29" s="12">
        <v>45071</v>
      </c>
      <c r="E29" s="88">
        <v>0.4909722222222222</v>
      </c>
      <c r="F29" s="89">
        <v>41</v>
      </c>
      <c r="G29" s="12">
        <v>45072</v>
      </c>
      <c r="H29" s="88">
        <v>0.4909722222222222</v>
      </c>
      <c r="I29" s="89">
        <v>41</v>
      </c>
      <c r="J29" s="91">
        <v>0</v>
      </c>
      <c r="K29" s="91">
        <v>0</v>
      </c>
      <c r="L29" s="16" t="s">
        <v>183</v>
      </c>
      <c r="M29" s="92" t="str">
        <f t="shared" si="0"/>
        <v>&lt; 10</v>
      </c>
      <c r="N29" s="16" t="s">
        <v>21</v>
      </c>
      <c r="O29" s="16" t="s">
        <v>192</v>
      </c>
      <c r="P29" s="254"/>
    </row>
    <row r="30" spans="1:16" ht="15.75" customHeight="1">
      <c r="A30" s="19" t="s">
        <v>222</v>
      </c>
      <c r="B30" s="12">
        <v>45089</v>
      </c>
      <c r="C30" s="22">
        <v>0.43958333333333333</v>
      </c>
      <c r="D30" s="12">
        <v>45089</v>
      </c>
      <c r="E30" s="88">
        <v>0.64166666666666672</v>
      </c>
      <c r="F30" s="89">
        <v>41</v>
      </c>
      <c r="G30" s="12">
        <v>45090</v>
      </c>
      <c r="H30" s="88">
        <v>0.64166666666666672</v>
      </c>
      <c r="I30" s="89">
        <v>41</v>
      </c>
      <c r="J30" s="91">
        <v>0</v>
      </c>
      <c r="K30" s="91">
        <v>0</v>
      </c>
      <c r="L30" s="16" t="s">
        <v>183</v>
      </c>
      <c r="M30" s="92" t="str">
        <f t="shared" si="0"/>
        <v>&lt; 10</v>
      </c>
      <c r="N30" s="16" t="s">
        <v>21</v>
      </c>
      <c r="O30" s="16" t="s">
        <v>192</v>
      </c>
      <c r="P30" s="264" t="s">
        <v>223</v>
      </c>
    </row>
    <row r="31" spans="1:16" ht="15.75" customHeight="1">
      <c r="A31" s="19" t="s">
        <v>224</v>
      </c>
      <c r="B31" s="12">
        <v>45089</v>
      </c>
      <c r="C31" s="22">
        <v>0.48541666666666666</v>
      </c>
      <c r="D31" s="12">
        <v>45089</v>
      </c>
      <c r="E31" s="88">
        <v>0.64444444444444449</v>
      </c>
      <c r="F31" s="89">
        <v>41</v>
      </c>
      <c r="G31" s="12">
        <v>45090</v>
      </c>
      <c r="H31" s="88">
        <v>0.64444444444444449</v>
      </c>
      <c r="I31" s="89">
        <v>41</v>
      </c>
      <c r="J31" s="91">
        <v>0</v>
      </c>
      <c r="K31" s="91">
        <v>0</v>
      </c>
      <c r="L31" s="16" t="s">
        <v>183</v>
      </c>
      <c r="M31" s="92" t="str">
        <f t="shared" si="0"/>
        <v>&lt; 10</v>
      </c>
      <c r="N31" s="16" t="s">
        <v>21</v>
      </c>
      <c r="O31" s="16" t="s">
        <v>192</v>
      </c>
      <c r="P31" s="258"/>
    </row>
    <row r="32" spans="1:16" ht="15.75" customHeight="1">
      <c r="A32" s="19" t="s">
        <v>225</v>
      </c>
      <c r="B32" s="12">
        <v>45089</v>
      </c>
      <c r="C32" s="22">
        <v>0.47152777777777777</v>
      </c>
      <c r="D32" s="12">
        <v>45089</v>
      </c>
      <c r="E32" s="88">
        <v>0.6430555555555556</v>
      </c>
      <c r="F32" s="89">
        <v>41</v>
      </c>
      <c r="G32" s="12">
        <v>45090</v>
      </c>
      <c r="H32" s="88">
        <v>0.6430555555555556</v>
      </c>
      <c r="I32" s="89">
        <v>41</v>
      </c>
      <c r="J32" s="91">
        <v>0</v>
      </c>
      <c r="K32" s="91">
        <v>0</v>
      </c>
      <c r="L32" s="16" t="s">
        <v>183</v>
      </c>
      <c r="M32" s="92" t="str">
        <f t="shared" si="0"/>
        <v>&lt; 10</v>
      </c>
      <c r="N32" s="16" t="s">
        <v>21</v>
      </c>
      <c r="O32" s="16" t="s">
        <v>192</v>
      </c>
      <c r="P32" s="258"/>
    </row>
    <row r="33" spans="1:16" ht="15.75" customHeight="1">
      <c r="A33" s="19" t="s">
        <v>226</v>
      </c>
      <c r="B33" s="12">
        <v>45089</v>
      </c>
      <c r="C33" s="22">
        <v>0.53333333333333333</v>
      </c>
      <c r="D33" s="12">
        <v>45089</v>
      </c>
      <c r="E33" s="88">
        <v>0.64722222222222225</v>
      </c>
      <c r="F33" s="89">
        <v>41</v>
      </c>
      <c r="G33" s="12">
        <v>45090</v>
      </c>
      <c r="H33" s="88">
        <v>0.64722222222222225</v>
      </c>
      <c r="I33" s="89">
        <v>41</v>
      </c>
      <c r="J33" s="91">
        <v>0</v>
      </c>
      <c r="K33" s="91">
        <v>0</v>
      </c>
      <c r="L33" s="16" t="s">
        <v>183</v>
      </c>
      <c r="M33" s="92" t="str">
        <f t="shared" si="0"/>
        <v>&lt; 10</v>
      </c>
      <c r="N33" s="16" t="s">
        <v>21</v>
      </c>
      <c r="O33" s="16" t="s">
        <v>192</v>
      </c>
      <c r="P33" s="258"/>
    </row>
    <row r="34" spans="1:16" ht="15.75" customHeight="1">
      <c r="A34" s="19" t="s">
        <v>227</v>
      </c>
      <c r="B34" s="12">
        <v>45089</v>
      </c>
      <c r="C34" s="22">
        <v>0.60833333333333328</v>
      </c>
      <c r="D34" s="12">
        <v>45089</v>
      </c>
      <c r="E34" s="88">
        <v>0.70902777777777781</v>
      </c>
      <c r="F34" s="89">
        <v>41</v>
      </c>
      <c r="G34" s="12">
        <v>45090</v>
      </c>
      <c r="H34" s="88">
        <v>0.70902777777777781</v>
      </c>
      <c r="I34" s="89">
        <v>41</v>
      </c>
      <c r="J34" s="91">
        <v>0</v>
      </c>
      <c r="K34" s="91">
        <v>0</v>
      </c>
      <c r="L34" s="16" t="s">
        <v>183</v>
      </c>
      <c r="M34" s="92" t="str">
        <f t="shared" si="0"/>
        <v>&lt; 10</v>
      </c>
      <c r="N34" s="16" t="s">
        <v>21</v>
      </c>
      <c r="O34" s="16" t="s">
        <v>192</v>
      </c>
      <c r="P34" s="258"/>
    </row>
    <row r="35" spans="1:16" ht="15.75" customHeight="1">
      <c r="A35" s="19" t="s">
        <v>228</v>
      </c>
      <c r="B35" s="12">
        <v>45089</v>
      </c>
      <c r="C35" s="22">
        <v>0.62361111111111112</v>
      </c>
      <c r="D35" s="12">
        <v>45089</v>
      </c>
      <c r="E35" s="88">
        <v>0.71388888888888891</v>
      </c>
      <c r="F35" s="89">
        <v>41</v>
      </c>
      <c r="G35" s="12">
        <v>45090</v>
      </c>
      <c r="H35" s="88">
        <v>0.71388888888888891</v>
      </c>
      <c r="I35" s="89">
        <v>41</v>
      </c>
      <c r="J35" s="91">
        <v>0</v>
      </c>
      <c r="K35" s="91">
        <v>0</v>
      </c>
      <c r="L35" s="16" t="s">
        <v>183</v>
      </c>
      <c r="M35" s="92" t="str">
        <f t="shared" si="0"/>
        <v>&lt; 10</v>
      </c>
      <c r="N35" s="16" t="s">
        <v>21</v>
      </c>
      <c r="O35" s="16" t="s">
        <v>192</v>
      </c>
      <c r="P35" s="259"/>
    </row>
    <row r="36" spans="1:16" ht="15.75" customHeight="1">
      <c r="A36" s="19" t="s">
        <v>229</v>
      </c>
      <c r="B36" s="12">
        <v>45091</v>
      </c>
      <c r="C36" s="57">
        <v>0.37083333333333335</v>
      </c>
      <c r="D36" s="12">
        <v>45091</v>
      </c>
      <c r="E36" s="88">
        <v>0.56111111111111112</v>
      </c>
      <c r="F36" s="89">
        <v>41</v>
      </c>
      <c r="G36" s="12">
        <v>45092</v>
      </c>
      <c r="H36" s="88">
        <v>0.56111111111111112</v>
      </c>
      <c r="I36" s="89">
        <v>41</v>
      </c>
      <c r="J36" s="91">
        <v>0</v>
      </c>
      <c r="K36" s="91">
        <v>0</v>
      </c>
      <c r="L36" s="16" t="s">
        <v>183</v>
      </c>
      <c r="M36" s="92" t="str">
        <f t="shared" si="0"/>
        <v>&lt; 10</v>
      </c>
      <c r="N36" s="16" t="s">
        <v>21</v>
      </c>
      <c r="O36" s="16" t="s">
        <v>192</v>
      </c>
      <c r="P36" s="260" t="s">
        <v>230</v>
      </c>
    </row>
    <row r="37" spans="1:16" ht="15.75" customHeight="1">
      <c r="A37" s="19" t="s">
        <v>231</v>
      </c>
      <c r="B37" s="12">
        <v>45091</v>
      </c>
      <c r="C37" s="57">
        <v>0.4</v>
      </c>
      <c r="D37" s="12">
        <v>45091</v>
      </c>
      <c r="E37" s="88">
        <v>0.55347222222222225</v>
      </c>
      <c r="F37" s="89">
        <v>41</v>
      </c>
      <c r="G37" s="12">
        <v>45092</v>
      </c>
      <c r="H37" s="88">
        <v>0.55347222222222225</v>
      </c>
      <c r="I37" s="89">
        <v>41</v>
      </c>
      <c r="J37" s="91">
        <v>0</v>
      </c>
      <c r="K37" s="91">
        <v>0</v>
      </c>
      <c r="L37" s="16" t="s">
        <v>183</v>
      </c>
      <c r="M37" s="92" t="str">
        <f t="shared" si="0"/>
        <v>&lt; 10</v>
      </c>
      <c r="N37" s="16" t="s">
        <v>21</v>
      </c>
      <c r="O37" s="16" t="s">
        <v>192</v>
      </c>
      <c r="P37" s="253"/>
    </row>
    <row r="38" spans="1:16" ht="15.75" customHeight="1">
      <c r="A38" s="19" t="s">
        <v>232</v>
      </c>
      <c r="B38" s="12">
        <v>45091</v>
      </c>
      <c r="C38" s="57">
        <v>0.43194444444444446</v>
      </c>
      <c r="D38" s="12">
        <v>45091</v>
      </c>
      <c r="E38" s="88">
        <v>0.55902777777777779</v>
      </c>
      <c r="F38" s="89">
        <v>41</v>
      </c>
      <c r="G38" s="12">
        <v>45092</v>
      </c>
      <c r="H38" s="88">
        <v>0.55902777777777779</v>
      </c>
      <c r="I38" s="89">
        <v>41</v>
      </c>
      <c r="J38" s="91">
        <v>0</v>
      </c>
      <c r="K38" s="91">
        <v>0</v>
      </c>
      <c r="L38" s="16" t="s">
        <v>183</v>
      </c>
      <c r="M38" s="92" t="str">
        <f t="shared" si="0"/>
        <v>&lt; 10</v>
      </c>
      <c r="N38" s="16" t="s">
        <v>21</v>
      </c>
      <c r="O38" s="16" t="s">
        <v>192</v>
      </c>
      <c r="P38" s="254"/>
    </row>
    <row r="39" spans="1:16" ht="15.75" customHeight="1">
      <c r="A39" s="19" t="s">
        <v>233</v>
      </c>
      <c r="B39" s="12">
        <v>45092</v>
      </c>
      <c r="C39" s="22">
        <v>0.93472222222222223</v>
      </c>
      <c r="D39" s="12">
        <v>45092</v>
      </c>
      <c r="E39" s="22">
        <v>0.62708333333333333</v>
      </c>
      <c r="F39" s="89">
        <v>41</v>
      </c>
      <c r="G39" s="12">
        <v>45093</v>
      </c>
      <c r="H39" s="22">
        <v>0.62708333333333333</v>
      </c>
      <c r="I39" s="89">
        <v>41</v>
      </c>
      <c r="J39" s="91">
        <v>0</v>
      </c>
      <c r="K39" s="91">
        <v>0</v>
      </c>
      <c r="L39" s="16" t="s">
        <v>183</v>
      </c>
      <c r="M39" s="92" t="str">
        <f t="shared" si="0"/>
        <v>&lt; 10</v>
      </c>
      <c r="N39" s="16" t="s">
        <v>21</v>
      </c>
      <c r="O39" s="16" t="s">
        <v>20</v>
      </c>
      <c r="P39" s="260" t="s">
        <v>234</v>
      </c>
    </row>
    <row r="40" spans="1:16" ht="15.75" customHeight="1">
      <c r="A40" s="19" t="s">
        <v>235</v>
      </c>
      <c r="B40" s="12">
        <v>45092</v>
      </c>
      <c r="C40" s="22">
        <v>0.46111111111111114</v>
      </c>
      <c r="D40" s="12">
        <v>45092</v>
      </c>
      <c r="E40" s="95">
        <v>0.62777777777777777</v>
      </c>
      <c r="F40" s="89">
        <v>41</v>
      </c>
      <c r="G40" s="12">
        <v>45093</v>
      </c>
      <c r="H40" s="95">
        <v>0.62777777777777777</v>
      </c>
      <c r="I40" s="89">
        <v>41</v>
      </c>
      <c r="J40" s="91">
        <v>0</v>
      </c>
      <c r="K40" s="91">
        <v>0</v>
      </c>
      <c r="L40" s="16" t="s">
        <v>183</v>
      </c>
      <c r="M40" s="92" t="str">
        <f t="shared" si="0"/>
        <v>&lt; 10</v>
      </c>
      <c r="N40" s="16" t="s">
        <v>21</v>
      </c>
      <c r="O40" s="16" t="s">
        <v>20</v>
      </c>
      <c r="P40" s="253"/>
    </row>
    <row r="41" spans="1:16" ht="15.75" customHeight="1">
      <c r="A41" s="19" t="s">
        <v>236</v>
      </c>
      <c r="B41" s="12">
        <v>45092</v>
      </c>
      <c r="C41" s="22">
        <v>0.48402777777777778</v>
      </c>
      <c r="D41" s="12">
        <v>45092</v>
      </c>
      <c r="E41" s="88">
        <v>0.62916666666666665</v>
      </c>
      <c r="F41" s="89">
        <v>41</v>
      </c>
      <c r="G41" s="12">
        <v>45093</v>
      </c>
      <c r="H41" s="88">
        <v>0.62916666666666665</v>
      </c>
      <c r="I41" s="89">
        <v>41</v>
      </c>
      <c r="J41" s="91">
        <v>0</v>
      </c>
      <c r="K41" s="91">
        <v>0</v>
      </c>
      <c r="L41" s="16" t="s">
        <v>183</v>
      </c>
      <c r="M41" s="92" t="str">
        <f t="shared" si="0"/>
        <v>&lt; 10</v>
      </c>
      <c r="N41" s="16" t="s">
        <v>21</v>
      </c>
      <c r="O41" s="16" t="s">
        <v>20</v>
      </c>
      <c r="P41" s="254"/>
    </row>
    <row r="42" spans="1:16" ht="15.75" customHeight="1">
      <c r="A42" s="19" t="s">
        <v>237</v>
      </c>
      <c r="B42" s="12">
        <v>45098</v>
      </c>
      <c r="C42" s="22">
        <v>0.53749999999999998</v>
      </c>
      <c r="D42" s="12">
        <v>45098</v>
      </c>
      <c r="E42" s="88">
        <v>0.74930555555555556</v>
      </c>
      <c r="F42" s="89">
        <v>41</v>
      </c>
      <c r="G42" s="12">
        <v>45099</v>
      </c>
      <c r="H42" s="88">
        <v>0.74930555555555556</v>
      </c>
      <c r="I42" s="89">
        <v>41</v>
      </c>
      <c r="J42" s="91">
        <v>0</v>
      </c>
      <c r="K42" s="91">
        <v>0</v>
      </c>
      <c r="L42" s="16" t="s">
        <v>183</v>
      </c>
      <c r="M42" s="92" t="str">
        <f t="shared" si="0"/>
        <v>&lt; 10</v>
      </c>
      <c r="N42" s="16" t="s">
        <v>21</v>
      </c>
      <c r="O42" s="16" t="s">
        <v>238</v>
      </c>
      <c r="P42" s="260" t="s">
        <v>239</v>
      </c>
    </row>
    <row r="43" spans="1:16" ht="15.75" customHeight="1">
      <c r="A43" s="19" t="s">
        <v>240</v>
      </c>
      <c r="B43" s="12">
        <v>45098</v>
      </c>
      <c r="C43" s="22">
        <v>0.57291666666666663</v>
      </c>
      <c r="D43" s="12">
        <v>45098</v>
      </c>
      <c r="E43" s="88">
        <v>0.75624999999999998</v>
      </c>
      <c r="F43" s="89">
        <v>41</v>
      </c>
      <c r="G43" s="12">
        <v>45099</v>
      </c>
      <c r="H43" s="88">
        <v>0.75624999999999998</v>
      </c>
      <c r="I43" s="89">
        <v>41</v>
      </c>
      <c r="J43" s="91">
        <v>0</v>
      </c>
      <c r="K43" s="91">
        <v>0</v>
      </c>
      <c r="L43" s="16" t="s">
        <v>183</v>
      </c>
      <c r="M43" s="92" t="str">
        <f t="shared" si="0"/>
        <v>&lt; 10</v>
      </c>
      <c r="N43" s="16" t="s">
        <v>21</v>
      </c>
      <c r="O43" s="16" t="s">
        <v>238</v>
      </c>
      <c r="P43" s="253"/>
    </row>
    <row r="44" spans="1:16" ht="15.75" customHeight="1">
      <c r="A44" s="19" t="s">
        <v>241</v>
      </c>
      <c r="B44" s="12">
        <v>45098</v>
      </c>
      <c r="C44" s="22">
        <v>0.60277777777777775</v>
      </c>
      <c r="D44" s="12">
        <v>45098</v>
      </c>
      <c r="E44" s="88">
        <v>0.75902777777777775</v>
      </c>
      <c r="F44" s="89">
        <v>41</v>
      </c>
      <c r="G44" s="12">
        <v>45099</v>
      </c>
      <c r="H44" s="88">
        <v>0.75902777777777775</v>
      </c>
      <c r="I44" s="89">
        <v>41</v>
      </c>
      <c r="J44" s="91">
        <v>0</v>
      </c>
      <c r="K44" s="91">
        <v>0</v>
      </c>
      <c r="L44" s="16" t="s">
        <v>183</v>
      </c>
      <c r="M44" s="92" t="str">
        <f t="shared" si="0"/>
        <v>&lt; 10</v>
      </c>
      <c r="N44" s="16" t="s">
        <v>21</v>
      </c>
      <c r="O44" s="16" t="s">
        <v>238</v>
      </c>
      <c r="P44" s="253"/>
    </row>
    <row r="45" spans="1:16" ht="15.75" customHeight="1">
      <c r="A45" s="19" t="s">
        <v>242</v>
      </c>
      <c r="B45" s="12">
        <v>45098</v>
      </c>
      <c r="C45" s="22">
        <v>0.64375000000000004</v>
      </c>
      <c r="D45" s="12">
        <v>45098</v>
      </c>
      <c r="E45" s="88">
        <v>0.76249999999999996</v>
      </c>
      <c r="F45" s="89">
        <v>41</v>
      </c>
      <c r="G45" s="12">
        <v>45099</v>
      </c>
      <c r="H45" s="88">
        <v>0.76249999999999996</v>
      </c>
      <c r="I45" s="89">
        <v>41</v>
      </c>
      <c r="J45" s="91">
        <v>0</v>
      </c>
      <c r="K45" s="91">
        <v>0</v>
      </c>
      <c r="L45" s="16" t="s">
        <v>183</v>
      </c>
      <c r="M45" s="92" t="str">
        <f t="shared" si="0"/>
        <v>&lt; 10</v>
      </c>
      <c r="N45" s="16" t="s">
        <v>21</v>
      </c>
      <c r="O45" s="16" t="s">
        <v>238</v>
      </c>
      <c r="P45" s="254"/>
    </row>
    <row r="46" spans="1:16" ht="15.75" customHeight="1">
      <c r="A46" s="19" t="s">
        <v>243</v>
      </c>
      <c r="B46" s="12">
        <v>45103</v>
      </c>
      <c r="C46" s="22">
        <v>0.35902777777777778</v>
      </c>
      <c r="D46" s="12">
        <v>45103</v>
      </c>
      <c r="E46" s="22">
        <v>0.60486111111111107</v>
      </c>
      <c r="F46" s="89">
        <v>40</v>
      </c>
      <c r="G46" s="12">
        <v>45104</v>
      </c>
      <c r="H46" s="22">
        <v>0.60486111111111107</v>
      </c>
      <c r="I46" s="89">
        <v>40</v>
      </c>
      <c r="J46" s="91">
        <v>0</v>
      </c>
      <c r="K46" s="91">
        <v>0</v>
      </c>
      <c r="L46" s="16" t="s">
        <v>183</v>
      </c>
      <c r="M46" s="92" t="str">
        <f t="shared" si="0"/>
        <v>&lt; 10</v>
      </c>
      <c r="N46" s="16" t="s">
        <v>21</v>
      </c>
      <c r="O46" s="16" t="s">
        <v>238</v>
      </c>
      <c r="P46" s="260" t="s">
        <v>244</v>
      </c>
    </row>
    <row r="47" spans="1:16" ht="15.75" customHeight="1">
      <c r="A47" s="19" t="s">
        <v>245</v>
      </c>
      <c r="B47" s="12">
        <v>45103</v>
      </c>
      <c r="C47" s="22">
        <v>0.4236111111111111</v>
      </c>
      <c r="D47" s="12">
        <v>45103</v>
      </c>
      <c r="E47" s="22">
        <v>0.62291666666666667</v>
      </c>
      <c r="F47" s="89">
        <v>41</v>
      </c>
      <c r="G47" s="12">
        <v>45104</v>
      </c>
      <c r="H47" s="22">
        <v>0.62291666666666667</v>
      </c>
      <c r="I47" s="89">
        <v>41</v>
      </c>
      <c r="J47" s="91">
        <v>0</v>
      </c>
      <c r="K47" s="91">
        <v>0</v>
      </c>
      <c r="L47" s="16" t="s">
        <v>183</v>
      </c>
      <c r="M47" s="92" t="str">
        <f t="shared" si="0"/>
        <v>&lt; 10</v>
      </c>
      <c r="N47" s="16" t="s">
        <v>21</v>
      </c>
      <c r="O47" s="16" t="s">
        <v>238</v>
      </c>
      <c r="P47" s="253"/>
    </row>
    <row r="48" spans="1:16" ht="15.75" customHeight="1">
      <c r="A48" s="19" t="s">
        <v>246</v>
      </c>
      <c r="B48" s="12">
        <v>45103</v>
      </c>
      <c r="C48" s="22">
        <v>0.46458333333333335</v>
      </c>
      <c r="D48" s="12">
        <v>45103</v>
      </c>
      <c r="E48" s="22">
        <v>0.61736111111111114</v>
      </c>
      <c r="F48" s="89">
        <v>41</v>
      </c>
      <c r="G48" s="12">
        <v>45104</v>
      </c>
      <c r="H48" s="22">
        <v>0.61736111111111114</v>
      </c>
      <c r="I48" s="89">
        <v>41</v>
      </c>
      <c r="J48" s="91">
        <v>0</v>
      </c>
      <c r="K48" s="91">
        <v>0</v>
      </c>
      <c r="L48" s="16" t="s">
        <v>183</v>
      </c>
      <c r="M48" s="92" t="str">
        <f t="shared" si="0"/>
        <v>&lt; 10</v>
      </c>
      <c r="N48" s="16" t="s">
        <v>21</v>
      </c>
      <c r="O48" s="16" t="s">
        <v>238</v>
      </c>
      <c r="P48" s="253"/>
    </row>
    <row r="49" spans="1:16" ht="15.75" customHeight="1">
      <c r="A49" s="19" t="s">
        <v>247</v>
      </c>
      <c r="B49" s="12">
        <v>45103</v>
      </c>
      <c r="C49" s="22">
        <v>0.49444444444444446</v>
      </c>
      <c r="D49" s="12">
        <v>45103</v>
      </c>
      <c r="E49" s="22">
        <v>0.60972222222222228</v>
      </c>
      <c r="F49" s="89">
        <v>41</v>
      </c>
      <c r="G49" s="12">
        <v>45104</v>
      </c>
      <c r="H49" s="22">
        <v>0.60972222222222228</v>
      </c>
      <c r="I49" s="89">
        <v>41</v>
      </c>
      <c r="J49" s="91">
        <v>0</v>
      </c>
      <c r="K49" s="91">
        <v>0</v>
      </c>
      <c r="L49" s="16" t="s">
        <v>183</v>
      </c>
      <c r="M49" s="92" t="str">
        <f t="shared" si="0"/>
        <v>&lt; 10</v>
      </c>
      <c r="N49" s="16" t="s">
        <v>21</v>
      </c>
      <c r="O49" s="16" t="s">
        <v>238</v>
      </c>
      <c r="P49" s="254"/>
    </row>
    <row r="50" spans="1:16" ht="15.75" customHeight="1">
      <c r="A50" s="19" t="s">
        <v>248</v>
      </c>
      <c r="B50" s="12">
        <v>45104</v>
      </c>
      <c r="C50" s="22">
        <v>0.33402777777777776</v>
      </c>
      <c r="D50" s="12">
        <v>45104</v>
      </c>
      <c r="E50" s="22">
        <v>0.54861111111111116</v>
      </c>
      <c r="F50" s="89">
        <v>41</v>
      </c>
      <c r="G50" s="12">
        <v>45105</v>
      </c>
      <c r="H50" s="22">
        <v>0.54861111111111116</v>
      </c>
      <c r="I50" s="89">
        <v>41</v>
      </c>
      <c r="J50" s="91">
        <v>0</v>
      </c>
      <c r="K50" s="91">
        <v>0</v>
      </c>
      <c r="L50" s="16" t="s">
        <v>183</v>
      </c>
      <c r="M50" s="92" t="str">
        <f t="shared" si="0"/>
        <v>&lt; 10</v>
      </c>
      <c r="N50" s="16" t="s">
        <v>21</v>
      </c>
      <c r="O50" s="16" t="s">
        <v>249</v>
      </c>
      <c r="P50" s="260" t="s">
        <v>250</v>
      </c>
    </row>
    <row r="51" spans="1:16" ht="15.75" customHeight="1">
      <c r="A51" s="19" t="s">
        <v>251</v>
      </c>
      <c r="B51" s="12">
        <v>45104</v>
      </c>
      <c r="C51" s="22">
        <v>0.38680555555555557</v>
      </c>
      <c r="D51" s="12">
        <v>45104</v>
      </c>
      <c r="E51" s="22">
        <v>0.55000000000000004</v>
      </c>
      <c r="F51" s="89">
        <v>41</v>
      </c>
      <c r="G51" s="12">
        <v>45105</v>
      </c>
      <c r="H51" s="22">
        <v>0.55000000000000004</v>
      </c>
      <c r="I51" s="89">
        <v>41</v>
      </c>
      <c r="J51" s="91">
        <v>0</v>
      </c>
      <c r="K51" s="91">
        <v>0</v>
      </c>
      <c r="L51" s="16" t="s">
        <v>183</v>
      </c>
      <c r="M51" s="92" t="str">
        <f t="shared" si="0"/>
        <v>&lt; 10</v>
      </c>
      <c r="N51" s="16" t="s">
        <v>21</v>
      </c>
      <c r="O51" s="16" t="s">
        <v>249</v>
      </c>
      <c r="P51" s="253"/>
    </row>
    <row r="52" spans="1:16" ht="15.75" customHeight="1">
      <c r="A52" s="19" t="s">
        <v>252</v>
      </c>
      <c r="B52" s="12">
        <v>45104</v>
      </c>
      <c r="C52" s="22">
        <v>0.44027777777777777</v>
      </c>
      <c r="D52" s="12">
        <v>45104</v>
      </c>
      <c r="E52" s="22">
        <v>0.55208333333333337</v>
      </c>
      <c r="F52" s="89">
        <v>41</v>
      </c>
      <c r="G52" s="12">
        <v>45105</v>
      </c>
      <c r="H52" s="22">
        <v>0.55208333333333337</v>
      </c>
      <c r="I52" s="89">
        <v>41</v>
      </c>
      <c r="J52" s="91">
        <v>0</v>
      </c>
      <c r="K52" s="91">
        <v>0</v>
      </c>
      <c r="L52" s="16" t="s">
        <v>183</v>
      </c>
      <c r="M52" s="92" t="str">
        <f t="shared" si="0"/>
        <v>&lt; 10</v>
      </c>
      <c r="N52" s="16" t="s">
        <v>21</v>
      </c>
      <c r="O52" s="16" t="s">
        <v>249</v>
      </c>
      <c r="P52" s="254"/>
    </row>
    <row r="53" spans="1:16" ht="15.75" customHeight="1">
      <c r="A53" s="19" t="s">
        <v>253</v>
      </c>
      <c r="B53" s="12">
        <v>45105</v>
      </c>
      <c r="C53" s="22">
        <v>0.35208333333333336</v>
      </c>
      <c r="D53" s="12">
        <v>45105</v>
      </c>
      <c r="E53" s="22">
        <v>0.48055555555555557</v>
      </c>
      <c r="F53" s="89">
        <v>41</v>
      </c>
      <c r="G53" s="12">
        <v>45106</v>
      </c>
      <c r="H53" s="22">
        <v>0.48055555555555557</v>
      </c>
      <c r="I53" s="89">
        <v>41</v>
      </c>
      <c r="J53" s="91">
        <v>0</v>
      </c>
      <c r="K53" s="91">
        <v>0</v>
      </c>
      <c r="L53" s="16" t="s">
        <v>183</v>
      </c>
      <c r="M53" s="92" t="str">
        <f t="shared" si="0"/>
        <v>&lt; 10</v>
      </c>
      <c r="N53" s="16" t="s">
        <v>21</v>
      </c>
      <c r="O53" s="16" t="s">
        <v>249</v>
      </c>
      <c r="P53" s="260" t="s">
        <v>254</v>
      </c>
    </row>
    <row r="54" spans="1:16" ht="15.75" customHeight="1">
      <c r="A54" s="19" t="s">
        <v>255</v>
      </c>
      <c r="B54" s="12">
        <v>45105</v>
      </c>
      <c r="C54" s="22">
        <v>0.36458333333333331</v>
      </c>
      <c r="D54" s="12">
        <v>45105</v>
      </c>
      <c r="E54" s="22">
        <v>0.47916666666666669</v>
      </c>
      <c r="F54" s="89">
        <v>41</v>
      </c>
      <c r="G54" s="12">
        <v>45106</v>
      </c>
      <c r="H54" s="22">
        <v>0.47916666666666669</v>
      </c>
      <c r="I54" s="89">
        <v>41</v>
      </c>
      <c r="J54" s="91">
        <v>0</v>
      </c>
      <c r="K54" s="91">
        <v>0</v>
      </c>
      <c r="L54" s="16" t="s">
        <v>183</v>
      </c>
      <c r="M54" s="92" t="str">
        <f t="shared" si="0"/>
        <v>&lt; 10</v>
      </c>
      <c r="N54" s="16" t="s">
        <v>21</v>
      </c>
      <c r="O54" s="16" t="s">
        <v>249</v>
      </c>
      <c r="P54" s="254"/>
    </row>
    <row r="55" spans="1:16" ht="15.75" customHeight="1">
      <c r="A55" s="19" t="s">
        <v>256</v>
      </c>
      <c r="B55" s="12">
        <v>45106</v>
      </c>
      <c r="C55" s="22">
        <v>0.34027777777777779</v>
      </c>
      <c r="D55" s="12">
        <v>45106</v>
      </c>
      <c r="E55" s="22">
        <v>0.44791666666666669</v>
      </c>
      <c r="F55" s="89">
        <v>41</v>
      </c>
      <c r="G55" s="12">
        <v>45107</v>
      </c>
      <c r="H55" s="22">
        <v>0.44791666666666669</v>
      </c>
      <c r="I55" s="89">
        <v>41</v>
      </c>
      <c r="J55" s="91">
        <v>0</v>
      </c>
      <c r="K55" s="91">
        <v>0</v>
      </c>
      <c r="L55" s="16" t="s">
        <v>183</v>
      </c>
      <c r="M55" s="92" t="str">
        <f t="shared" si="0"/>
        <v>&lt; 10</v>
      </c>
      <c r="N55" s="16" t="s">
        <v>21</v>
      </c>
      <c r="O55" s="16" t="s">
        <v>249</v>
      </c>
      <c r="P55" s="260" t="s">
        <v>257</v>
      </c>
    </row>
    <row r="56" spans="1:16" ht="15.75" customHeight="1">
      <c r="A56" s="19" t="s">
        <v>258</v>
      </c>
      <c r="B56" s="12">
        <v>45106</v>
      </c>
      <c r="C56" s="22">
        <v>0.32013888888888886</v>
      </c>
      <c r="D56" s="12">
        <v>45106</v>
      </c>
      <c r="E56" s="22">
        <v>0.45277777777777778</v>
      </c>
      <c r="F56" s="89">
        <v>41</v>
      </c>
      <c r="G56" s="12">
        <v>45107</v>
      </c>
      <c r="H56" s="22">
        <v>0.45277777777777778</v>
      </c>
      <c r="I56" s="89">
        <v>41</v>
      </c>
      <c r="J56" s="91">
        <v>0</v>
      </c>
      <c r="K56" s="91">
        <v>0</v>
      </c>
      <c r="L56" s="16" t="s">
        <v>183</v>
      </c>
      <c r="M56" s="92" t="str">
        <f t="shared" si="0"/>
        <v>&lt; 10</v>
      </c>
      <c r="N56" s="16" t="s">
        <v>21</v>
      </c>
      <c r="O56" s="16" t="s">
        <v>249</v>
      </c>
      <c r="P56" s="254"/>
    </row>
    <row r="57" spans="1:16" ht="15.75" customHeight="1">
      <c r="A57" s="96"/>
      <c r="B57" s="75"/>
      <c r="C57" s="77"/>
      <c r="D57" s="75"/>
      <c r="E57" s="97"/>
      <c r="F57" s="77"/>
      <c r="G57" s="75"/>
      <c r="H57" s="97"/>
      <c r="I57" s="77"/>
      <c r="J57" s="77"/>
      <c r="K57" s="77"/>
      <c r="L57" s="77"/>
      <c r="M57" s="98"/>
      <c r="N57" s="77"/>
      <c r="O57" s="77"/>
      <c r="P57" s="77"/>
    </row>
    <row r="58" spans="1:16" ht="15.75" customHeight="1">
      <c r="A58" s="96"/>
      <c r="B58" s="75"/>
      <c r="C58" s="77"/>
      <c r="D58" s="75"/>
      <c r="E58" s="97"/>
      <c r="F58" s="77"/>
      <c r="G58" s="75"/>
      <c r="H58" s="97"/>
      <c r="I58" s="77"/>
      <c r="J58" s="77"/>
      <c r="K58" s="77"/>
      <c r="L58" s="77"/>
      <c r="M58" s="98"/>
      <c r="N58" s="77"/>
      <c r="O58" s="77"/>
      <c r="P58" s="77"/>
    </row>
    <row r="59" spans="1:16" ht="15.75" customHeight="1">
      <c r="A59" s="96"/>
      <c r="B59" s="75"/>
      <c r="C59" s="77"/>
      <c r="D59" s="75"/>
      <c r="E59" s="97"/>
      <c r="F59" s="77"/>
      <c r="G59" s="75"/>
      <c r="H59" s="97"/>
      <c r="I59" s="77"/>
      <c r="J59" s="77"/>
      <c r="K59" s="77"/>
      <c r="L59" s="77"/>
      <c r="M59" s="98"/>
      <c r="N59" s="77"/>
      <c r="O59" s="77"/>
      <c r="P59" s="77"/>
    </row>
    <row r="60" spans="1:16" ht="15.75" customHeight="1">
      <c r="A60" s="96"/>
      <c r="B60" s="75"/>
      <c r="C60" s="77"/>
      <c r="D60" s="75"/>
      <c r="E60" s="97"/>
      <c r="F60" s="77"/>
      <c r="G60" s="75"/>
      <c r="H60" s="97"/>
      <c r="I60" s="77"/>
      <c r="J60" s="77"/>
      <c r="K60" s="77"/>
      <c r="L60" s="77"/>
      <c r="M60" s="98"/>
      <c r="N60" s="77"/>
      <c r="O60" s="77"/>
      <c r="P60" s="77"/>
    </row>
    <row r="61" spans="1:16" ht="15.75" customHeight="1">
      <c r="A61" s="96"/>
      <c r="B61" s="75"/>
      <c r="C61" s="77"/>
      <c r="D61" s="75"/>
      <c r="E61" s="97"/>
      <c r="F61" s="77"/>
      <c r="G61" s="75"/>
      <c r="H61" s="97"/>
      <c r="I61" s="77"/>
      <c r="J61" s="77"/>
      <c r="K61" s="77"/>
      <c r="L61" s="77"/>
      <c r="M61" s="98"/>
      <c r="N61" s="77"/>
      <c r="O61" s="77"/>
      <c r="P61" s="77"/>
    </row>
    <row r="62" spans="1:16" ht="15.75" customHeight="1">
      <c r="A62" s="96"/>
      <c r="B62" s="75"/>
      <c r="C62" s="77"/>
      <c r="D62" s="75"/>
      <c r="E62" s="97"/>
      <c r="F62" s="77"/>
      <c r="G62" s="75"/>
      <c r="H62" s="97"/>
      <c r="I62" s="77"/>
      <c r="J62" s="77"/>
      <c r="K62" s="77"/>
      <c r="L62" s="77"/>
      <c r="M62" s="98"/>
      <c r="N62" s="77"/>
      <c r="O62" s="77"/>
      <c r="P62" s="77"/>
    </row>
    <row r="63" spans="1:16" ht="15.75" customHeight="1">
      <c r="A63" s="96"/>
      <c r="B63" s="75"/>
      <c r="C63" s="77"/>
      <c r="D63" s="75"/>
      <c r="E63" s="97"/>
      <c r="F63" s="77"/>
      <c r="G63" s="75"/>
      <c r="H63" s="97"/>
      <c r="I63" s="77"/>
      <c r="J63" s="77"/>
      <c r="K63" s="77"/>
      <c r="L63" s="77"/>
      <c r="M63" s="98"/>
      <c r="N63" s="77"/>
      <c r="O63" s="77"/>
      <c r="P63" s="77"/>
    </row>
    <row r="64" spans="1:16" ht="15.75" customHeight="1">
      <c r="A64" s="96"/>
      <c r="B64" s="75"/>
      <c r="C64" s="77"/>
      <c r="D64" s="75"/>
      <c r="E64" s="97"/>
      <c r="F64" s="77"/>
      <c r="G64" s="75"/>
      <c r="H64" s="97"/>
      <c r="I64" s="77"/>
      <c r="J64" s="77"/>
      <c r="K64" s="77"/>
      <c r="L64" s="77"/>
      <c r="M64" s="98"/>
      <c r="N64" s="77"/>
      <c r="O64" s="77"/>
      <c r="P64" s="77"/>
    </row>
    <row r="65" spans="1:16" ht="15.75" customHeight="1">
      <c r="A65" s="96"/>
      <c r="B65" s="75"/>
      <c r="C65" s="77"/>
      <c r="D65" s="75"/>
      <c r="E65" s="97"/>
      <c r="F65" s="77"/>
      <c r="G65" s="75"/>
      <c r="H65" s="97"/>
      <c r="I65" s="77"/>
      <c r="J65" s="77"/>
      <c r="K65" s="77"/>
      <c r="L65" s="77"/>
      <c r="M65" s="98"/>
      <c r="N65" s="77"/>
      <c r="O65" s="77"/>
      <c r="P65" s="77"/>
    </row>
    <row r="66" spans="1:16" ht="15.75" customHeight="1">
      <c r="A66" s="96"/>
      <c r="B66" s="75"/>
      <c r="C66" s="77"/>
      <c r="D66" s="75"/>
      <c r="E66" s="97"/>
      <c r="F66" s="77"/>
      <c r="G66" s="75"/>
      <c r="H66" s="97"/>
      <c r="I66" s="77"/>
      <c r="J66" s="77"/>
      <c r="K66" s="77"/>
      <c r="L66" s="77"/>
      <c r="M66" s="98"/>
      <c r="N66" s="77"/>
      <c r="O66" s="77"/>
      <c r="P66" s="77"/>
    </row>
    <row r="67" spans="1:16" ht="15.75" customHeight="1">
      <c r="A67" s="96"/>
      <c r="B67" s="75"/>
      <c r="C67" s="77"/>
      <c r="D67" s="75"/>
      <c r="E67" s="97"/>
      <c r="F67" s="77"/>
      <c r="G67" s="75"/>
      <c r="H67" s="97"/>
      <c r="I67" s="77"/>
      <c r="J67" s="77"/>
      <c r="K67" s="77"/>
      <c r="L67" s="77"/>
      <c r="M67" s="98"/>
      <c r="N67" s="77"/>
      <c r="O67" s="77"/>
      <c r="P67" s="77"/>
    </row>
    <row r="68" spans="1:16" ht="15.75" customHeight="1">
      <c r="A68" s="96"/>
      <c r="B68" s="75"/>
      <c r="C68" s="77"/>
      <c r="D68" s="75"/>
      <c r="E68" s="97"/>
      <c r="F68" s="77"/>
      <c r="G68" s="75"/>
      <c r="H68" s="97"/>
      <c r="I68" s="77"/>
      <c r="J68" s="77"/>
      <c r="K68" s="77"/>
      <c r="L68" s="77"/>
      <c r="M68" s="98"/>
      <c r="N68" s="77"/>
      <c r="O68" s="77"/>
      <c r="P68" s="77"/>
    </row>
    <row r="69" spans="1:16" ht="15.75" customHeight="1">
      <c r="A69" s="96"/>
      <c r="B69" s="75"/>
      <c r="C69" s="77"/>
      <c r="D69" s="75"/>
      <c r="E69" s="97"/>
      <c r="F69" s="77"/>
      <c r="G69" s="75"/>
      <c r="H69" s="97"/>
      <c r="I69" s="77"/>
      <c r="J69" s="77"/>
      <c r="K69" s="77"/>
      <c r="L69" s="77"/>
      <c r="M69" s="98"/>
      <c r="N69" s="77"/>
      <c r="O69" s="77"/>
      <c r="P69" s="77"/>
    </row>
    <row r="70" spans="1:16" ht="15.75" customHeight="1">
      <c r="A70" s="96"/>
      <c r="B70" s="75"/>
      <c r="C70" s="77"/>
      <c r="D70" s="75"/>
      <c r="E70" s="97"/>
      <c r="F70" s="77"/>
      <c r="G70" s="75"/>
      <c r="H70" s="97"/>
      <c r="I70" s="77"/>
      <c r="J70" s="77"/>
      <c r="K70" s="77"/>
      <c r="L70" s="77"/>
      <c r="M70" s="98"/>
      <c r="N70" s="77"/>
      <c r="O70" s="77"/>
      <c r="P70" s="77"/>
    </row>
    <row r="71" spans="1:16" ht="15.75" customHeight="1">
      <c r="A71" s="96"/>
      <c r="B71" s="75"/>
      <c r="C71" s="77"/>
      <c r="D71" s="75"/>
      <c r="E71" s="97"/>
      <c r="F71" s="77"/>
      <c r="G71" s="75"/>
      <c r="H71" s="97"/>
      <c r="I71" s="77"/>
      <c r="J71" s="77"/>
      <c r="K71" s="77"/>
      <c r="L71" s="77"/>
      <c r="M71" s="98"/>
      <c r="N71" s="77"/>
      <c r="O71" s="77"/>
      <c r="P71" s="77"/>
    </row>
    <row r="72" spans="1:16" ht="15.75" customHeight="1">
      <c r="A72" s="96"/>
      <c r="B72" s="75"/>
      <c r="C72" s="77"/>
      <c r="D72" s="75"/>
      <c r="E72" s="97"/>
      <c r="F72" s="77"/>
      <c r="G72" s="75"/>
      <c r="H72" s="97"/>
      <c r="I72" s="77"/>
      <c r="J72" s="77"/>
      <c r="K72" s="77"/>
      <c r="L72" s="77"/>
      <c r="M72" s="98"/>
      <c r="N72" s="77"/>
      <c r="O72" s="77"/>
      <c r="P72" s="77"/>
    </row>
    <row r="73" spans="1:16" ht="15.75" customHeight="1">
      <c r="A73" s="96"/>
      <c r="B73" s="75"/>
      <c r="C73" s="77"/>
      <c r="D73" s="75"/>
      <c r="E73" s="97"/>
      <c r="F73" s="77"/>
      <c r="G73" s="75"/>
      <c r="H73" s="97"/>
      <c r="I73" s="77"/>
      <c r="J73" s="77"/>
      <c r="K73" s="77"/>
      <c r="L73" s="77"/>
      <c r="M73" s="98"/>
      <c r="N73" s="77"/>
      <c r="O73" s="77"/>
      <c r="P73" s="77"/>
    </row>
    <row r="74" spans="1:16" ht="15.75" customHeight="1">
      <c r="A74" s="96"/>
      <c r="B74" s="75"/>
      <c r="C74" s="77"/>
      <c r="D74" s="75"/>
      <c r="E74" s="97"/>
      <c r="F74" s="77"/>
      <c r="G74" s="75"/>
      <c r="H74" s="97"/>
      <c r="I74" s="77"/>
      <c r="J74" s="77"/>
      <c r="K74" s="77"/>
      <c r="L74" s="77"/>
      <c r="M74" s="98"/>
      <c r="N74" s="77"/>
      <c r="O74" s="77"/>
      <c r="P74" s="77"/>
    </row>
    <row r="75" spans="1:16" ht="15.75" customHeight="1">
      <c r="A75" s="96"/>
      <c r="B75" s="75"/>
      <c r="C75" s="77"/>
      <c r="D75" s="75"/>
      <c r="E75" s="97"/>
      <c r="F75" s="77"/>
      <c r="G75" s="75"/>
      <c r="H75" s="97"/>
      <c r="I75" s="77"/>
      <c r="J75" s="77"/>
      <c r="K75" s="77"/>
      <c r="L75" s="77"/>
      <c r="M75" s="98"/>
      <c r="N75" s="77"/>
      <c r="O75" s="77"/>
      <c r="P75" s="77"/>
    </row>
    <row r="76" spans="1:16" ht="15.75" customHeight="1">
      <c r="A76" s="96"/>
      <c r="B76" s="75"/>
      <c r="C76" s="77"/>
      <c r="D76" s="75"/>
      <c r="E76" s="97"/>
      <c r="F76" s="77"/>
      <c r="G76" s="75"/>
      <c r="H76" s="97"/>
      <c r="I76" s="77"/>
      <c r="J76" s="77"/>
      <c r="K76" s="77"/>
      <c r="L76" s="77"/>
      <c r="M76" s="98"/>
      <c r="N76" s="77"/>
      <c r="O76" s="77"/>
      <c r="P76" s="77"/>
    </row>
    <row r="77" spans="1:16" ht="15.75" customHeight="1">
      <c r="A77" s="96"/>
      <c r="B77" s="75"/>
      <c r="C77" s="77"/>
      <c r="D77" s="75"/>
      <c r="E77" s="97"/>
      <c r="F77" s="77"/>
      <c r="G77" s="75"/>
      <c r="H77" s="97"/>
      <c r="I77" s="77"/>
      <c r="J77" s="77"/>
      <c r="K77" s="77"/>
      <c r="L77" s="77"/>
      <c r="M77" s="98"/>
      <c r="N77" s="77"/>
      <c r="O77" s="77"/>
      <c r="P77" s="77"/>
    </row>
    <row r="78" spans="1:16" ht="15.75" customHeight="1">
      <c r="A78" s="96"/>
      <c r="B78" s="75"/>
      <c r="C78" s="77"/>
      <c r="D78" s="75"/>
      <c r="E78" s="97"/>
      <c r="F78" s="77"/>
      <c r="G78" s="75"/>
      <c r="H78" s="97"/>
      <c r="I78" s="77"/>
      <c r="J78" s="77"/>
      <c r="K78" s="77"/>
      <c r="L78" s="77"/>
      <c r="M78" s="98"/>
      <c r="N78" s="77"/>
      <c r="O78" s="77"/>
      <c r="P78" s="77"/>
    </row>
    <row r="79" spans="1:16" ht="15.75" customHeight="1">
      <c r="A79" s="96"/>
      <c r="B79" s="75"/>
      <c r="C79" s="77"/>
      <c r="D79" s="75"/>
      <c r="E79" s="97"/>
      <c r="F79" s="77"/>
      <c r="G79" s="75"/>
      <c r="H79" s="97"/>
      <c r="I79" s="77"/>
      <c r="J79" s="77"/>
      <c r="K79" s="77"/>
      <c r="L79" s="77"/>
      <c r="M79" s="98"/>
      <c r="N79" s="77"/>
      <c r="O79" s="77"/>
      <c r="P79" s="77"/>
    </row>
    <row r="80" spans="1:16" ht="15.75" customHeight="1">
      <c r="A80" s="96"/>
      <c r="B80" s="75"/>
      <c r="C80" s="77"/>
      <c r="D80" s="75"/>
      <c r="E80" s="97"/>
      <c r="F80" s="77"/>
      <c r="G80" s="75"/>
      <c r="H80" s="97"/>
      <c r="I80" s="77"/>
      <c r="J80" s="77"/>
      <c r="K80" s="77"/>
      <c r="L80" s="77"/>
      <c r="M80" s="98"/>
      <c r="N80" s="77"/>
      <c r="O80" s="77"/>
      <c r="P80" s="77"/>
    </row>
    <row r="81" spans="1:16" ht="15.75" customHeight="1">
      <c r="A81" s="96"/>
      <c r="B81" s="75"/>
      <c r="C81" s="77"/>
      <c r="D81" s="75"/>
      <c r="E81" s="97"/>
      <c r="F81" s="77"/>
      <c r="G81" s="75"/>
      <c r="H81" s="97"/>
      <c r="I81" s="77"/>
      <c r="J81" s="77"/>
      <c r="K81" s="77"/>
      <c r="L81" s="77"/>
      <c r="M81" s="98"/>
      <c r="N81" s="77"/>
      <c r="O81" s="77"/>
      <c r="P81" s="77"/>
    </row>
    <row r="82" spans="1:16" ht="15.75" customHeight="1">
      <c r="A82" s="96"/>
      <c r="B82" s="75"/>
      <c r="C82" s="77"/>
      <c r="D82" s="75"/>
      <c r="E82" s="97"/>
      <c r="F82" s="77"/>
      <c r="G82" s="75"/>
      <c r="H82" s="97"/>
      <c r="I82" s="77"/>
      <c r="J82" s="77"/>
      <c r="K82" s="77"/>
      <c r="L82" s="77"/>
      <c r="M82" s="98"/>
      <c r="N82" s="77"/>
      <c r="O82" s="77"/>
      <c r="P82" s="77"/>
    </row>
    <row r="83" spans="1:16" ht="15.75" customHeight="1">
      <c r="A83" s="96"/>
      <c r="B83" s="75"/>
      <c r="C83" s="77"/>
      <c r="D83" s="75"/>
      <c r="E83" s="97"/>
      <c r="F83" s="77"/>
      <c r="G83" s="75"/>
      <c r="H83" s="97"/>
      <c r="I83" s="77"/>
      <c r="J83" s="77"/>
      <c r="K83" s="77"/>
      <c r="L83" s="77"/>
      <c r="M83" s="98"/>
      <c r="N83" s="77"/>
      <c r="O83" s="77"/>
      <c r="P83" s="77"/>
    </row>
    <row r="84" spans="1:16" ht="15.75" customHeight="1">
      <c r="A84" s="96"/>
      <c r="B84" s="75"/>
      <c r="C84" s="77"/>
      <c r="D84" s="75"/>
      <c r="E84" s="97"/>
      <c r="F84" s="77"/>
      <c r="G84" s="75"/>
      <c r="H84" s="97"/>
      <c r="I84" s="77"/>
      <c r="J84" s="77"/>
      <c r="K84" s="77"/>
      <c r="L84" s="77"/>
      <c r="M84" s="98"/>
      <c r="N84" s="77"/>
      <c r="O84" s="77"/>
      <c r="P84" s="77"/>
    </row>
    <row r="85" spans="1:16" ht="15.75" customHeight="1">
      <c r="A85" s="96"/>
      <c r="B85" s="75"/>
      <c r="C85" s="77"/>
      <c r="D85" s="75"/>
      <c r="E85" s="97"/>
      <c r="F85" s="77"/>
      <c r="G85" s="75"/>
      <c r="H85" s="97"/>
      <c r="I85" s="77"/>
      <c r="J85" s="77"/>
      <c r="K85" s="77"/>
      <c r="L85" s="77"/>
      <c r="M85" s="98"/>
      <c r="N85" s="77"/>
      <c r="O85" s="77"/>
      <c r="P85" s="77"/>
    </row>
    <row r="86" spans="1:16" ht="15.75" customHeight="1">
      <c r="A86" s="96"/>
      <c r="B86" s="75"/>
      <c r="C86" s="77"/>
      <c r="D86" s="75"/>
      <c r="E86" s="97"/>
      <c r="F86" s="77"/>
      <c r="G86" s="75"/>
      <c r="H86" s="97"/>
      <c r="I86" s="77"/>
      <c r="J86" s="77"/>
      <c r="K86" s="77"/>
      <c r="L86" s="77"/>
      <c r="M86" s="98"/>
      <c r="N86" s="77"/>
      <c r="O86" s="77"/>
      <c r="P86" s="77"/>
    </row>
    <row r="87" spans="1:16" ht="15.75" customHeight="1">
      <c r="A87" s="96"/>
      <c r="B87" s="75"/>
      <c r="C87" s="77"/>
      <c r="D87" s="75"/>
      <c r="E87" s="97"/>
      <c r="F87" s="77"/>
      <c r="G87" s="75"/>
      <c r="H87" s="97"/>
      <c r="I87" s="77"/>
      <c r="J87" s="77"/>
      <c r="K87" s="77"/>
      <c r="L87" s="77"/>
      <c r="M87" s="98"/>
      <c r="N87" s="77"/>
      <c r="O87" s="77"/>
      <c r="P87" s="77"/>
    </row>
    <row r="88" spans="1:16" ht="15.75" customHeight="1">
      <c r="A88" s="96"/>
      <c r="B88" s="75"/>
      <c r="C88" s="77"/>
      <c r="D88" s="75"/>
      <c r="E88" s="97"/>
      <c r="F88" s="77"/>
      <c r="G88" s="75"/>
      <c r="H88" s="97"/>
      <c r="I88" s="77"/>
      <c r="J88" s="77"/>
      <c r="K88" s="77"/>
      <c r="L88" s="77"/>
      <c r="M88" s="98"/>
      <c r="N88" s="77"/>
      <c r="O88" s="77"/>
      <c r="P88" s="77"/>
    </row>
    <row r="89" spans="1:16" ht="15.75" customHeight="1">
      <c r="A89" s="96"/>
      <c r="B89" s="75"/>
      <c r="C89" s="77"/>
      <c r="D89" s="75"/>
      <c r="E89" s="97"/>
      <c r="F89" s="77"/>
      <c r="G89" s="75"/>
      <c r="H89" s="97"/>
      <c r="I89" s="77"/>
      <c r="J89" s="77"/>
      <c r="K89" s="77"/>
      <c r="L89" s="77"/>
      <c r="M89" s="98"/>
      <c r="N89" s="77"/>
      <c r="O89" s="77"/>
      <c r="P89" s="77"/>
    </row>
    <row r="90" spans="1:16" ht="15.75" customHeight="1">
      <c r="A90" s="96"/>
      <c r="B90" s="75"/>
      <c r="C90" s="77"/>
      <c r="D90" s="75"/>
      <c r="E90" s="97"/>
      <c r="F90" s="77"/>
      <c r="G90" s="75"/>
      <c r="H90" s="97"/>
      <c r="I90" s="77"/>
      <c r="J90" s="77"/>
      <c r="K90" s="77"/>
      <c r="L90" s="77"/>
      <c r="M90" s="98"/>
      <c r="N90" s="77"/>
      <c r="O90" s="77"/>
      <c r="P90" s="77"/>
    </row>
    <row r="91" spans="1:16" ht="15.75" customHeight="1">
      <c r="A91" s="96"/>
      <c r="B91" s="75"/>
      <c r="C91" s="77"/>
      <c r="D91" s="75"/>
      <c r="E91" s="97"/>
      <c r="F91" s="77"/>
      <c r="G91" s="75"/>
      <c r="H91" s="97"/>
      <c r="I91" s="77"/>
      <c r="J91" s="77"/>
      <c r="K91" s="77"/>
      <c r="L91" s="77"/>
      <c r="M91" s="98"/>
      <c r="N91" s="77"/>
      <c r="O91" s="77"/>
      <c r="P91" s="77"/>
    </row>
    <row r="92" spans="1:16" ht="15.75" customHeight="1">
      <c r="A92" s="96"/>
      <c r="B92" s="75"/>
      <c r="C92" s="77"/>
      <c r="D92" s="75"/>
      <c r="E92" s="97"/>
      <c r="F92" s="77"/>
      <c r="G92" s="75"/>
      <c r="H92" s="97"/>
      <c r="I92" s="77"/>
      <c r="J92" s="77"/>
      <c r="K92" s="77"/>
      <c r="L92" s="77"/>
      <c r="M92" s="98"/>
      <c r="N92" s="77"/>
      <c r="O92" s="77"/>
      <c r="P92" s="77"/>
    </row>
    <row r="93" spans="1:16" ht="15.75" customHeight="1">
      <c r="A93" s="96"/>
      <c r="B93" s="75"/>
      <c r="C93" s="77"/>
      <c r="D93" s="75"/>
      <c r="E93" s="97"/>
      <c r="F93" s="77"/>
      <c r="G93" s="75"/>
      <c r="H93" s="97"/>
      <c r="I93" s="77"/>
      <c r="J93" s="77"/>
      <c r="K93" s="77"/>
      <c r="L93" s="77"/>
      <c r="M93" s="98"/>
      <c r="N93" s="77"/>
      <c r="O93" s="77"/>
      <c r="P93" s="77"/>
    </row>
    <row r="94" spans="1:16" ht="15.75" customHeight="1">
      <c r="A94" s="96"/>
      <c r="B94" s="75"/>
      <c r="C94" s="77"/>
      <c r="D94" s="75"/>
      <c r="E94" s="97"/>
      <c r="F94" s="77"/>
      <c r="G94" s="75"/>
      <c r="H94" s="97"/>
      <c r="I94" s="77"/>
      <c r="J94" s="77"/>
      <c r="K94" s="77"/>
      <c r="L94" s="77"/>
      <c r="M94" s="98"/>
      <c r="N94" s="77"/>
      <c r="O94" s="77"/>
      <c r="P94" s="77"/>
    </row>
    <row r="95" spans="1:16" ht="15.75" customHeight="1">
      <c r="A95" s="96"/>
      <c r="B95" s="75"/>
      <c r="C95" s="77"/>
      <c r="D95" s="75"/>
      <c r="E95" s="97"/>
      <c r="F95" s="77"/>
      <c r="G95" s="75"/>
      <c r="H95" s="97"/>
      <c r="I95" s="77"/>
      <c r="J95" s="77"/>
      <c r="K95" s="77"/>
      <c r="L95" s="77"/>
      <c r="M95" s="98"/>
      <c r="N95" s="77"/>
      <c r="O95" s="77"/>
      <c r="P95" s="77"/>
    </row>
    <row r="96" spans="1:16" ht="15.75" customHeight="1">
      <c r="A96" s="96"/>
      <c r="B96" s="75"/>
      <c r="C96" s="77"/>
      <c r="D96" s="75"/>
      <c r="E96" s="97"/>
      <c r="F96" s="77"/>
      <c r="G96" s="75"/>
      <c r="H96" s="97"/>
      <c r="I96" s="77"/>
      <c r="J96" s="77"/>
      <c r="K96" s="77"/>
      <c r="L96" s="77"/>
      <c r="M96" s="98"/>
      <c r="N96" s="77"/>
      <c r="O96" s="77"/>
      <c r="P96" s="77"/>
    </row>
    <row r="97" spans="1:16" ht="15.75" customHeight="1">
      <c r="A97" s="96"/>
      <c r="B97" s="75"/>
      <c r="C97" s="77"/>
      <c r="D97" s="75"/>
      <c r="E97" s="97"/>
      <c r="F97" s="77"/>
      <c r="G97" s="75"/>
      <c r="H97" s="97"/>
      <c r="I97" s="77"/>
      <c r="J97" s="77"/>
      <c r="K97" s="77"/>
      <c r="L97" s="77"/>
      <c r="M97" s="98"/>
      <c r="N97" s="77"/>
      <c r="O97" s="77"/>
      <c r="P97" s="77"/>
    </row>
    <row r="98" spans="1:16" ht="15.75" customHeight="1">
      <c r="A98" s="96"/>
      <c r="B98" s="75"/>
      <c r="C98" s="77"/>
      <c r="D98" s="75"/>
      <c r="E98" s="97"/>
      <c r="F98" s="77"/>
      <c r="G98" s="75"/>
      <c r="H98" s="97"/>
      <c r="I98" s="77"/>
      <c r="J98" s="77"/>
      <c r="K98" s="77"/>
      <c r="L98" s="77"/>
      <c r="M98" s="98"/>
      <c r="N98" s="77"/>
      <c r="O98" s="77"/>
      <c r="P98" s="77"/>
    </row>
    <row r="99" spans="1:16" ht="15.75" customHeight="1">
      <c r="A99" s="96"/>
      <c r="B99" s="75"/>
      <c r="C99" s="77"/>
      <c r="D99" s="75"/>
      <c r="E99" s="97"/>
      <c r="F99" s="77"/>
      <c r="G99" s="75"/>
      <c r="H99" s="97"/>
      <c r="I99" s="77"/>
      <c r="J99" s="77"/>
      <c r="K99" s="77"/>
      <c r="L99" s="77"/>
      <c r="M99" s="98"/>
      <c r="N99" s="77"/>
      <c r="O99" s="77"/>
      <c r="P99" s="77"/>
    </row>
    <row r="100" spans="1:16" ht="15.75" customHeight="1">
      <c r="A100" s="96"/>
      <c r="B100" s="75"/>
      <c r="C100" s="77"/>
      <c r="D100" s="75"/>
      <c r="E100" s="97"/>
      <c r="F100" s="77"/>
      <c r="G100" s="75"/>
      <c r="H100" s="97"/>
      <c r="I100" s="77"/>
      <c r="J100" s="77"/>
      <c r="K100" s="77"/>
      <c r="L100" s="77"/>
      <c r="M100" s="98"/>
      <c r="N100" s="77"/>
      <c r="O100" s="77"/>
      <c r="P100" s="77"/>
    </row>
    <row r="101" spans="1:16" ht="15.75" customHeight="1">
      <c r="A101" s="96"/>
      <c r="B101" s="75"/>
      <c r="C101" s="77"/>
      <c r="D101" s="75"/>
      <c r="E101" s="97"/>
      <c r="F101" s="77"/>
      <c r="G101" s="75"/>
      <c r="H101" s="97"/>
      <c r="I101" s="77"/>
      <c r="J101" s="77"/>
      <c r="K101" s="77"/>
      <c r="L101" s="77"/>
      <c r="M101" s="98"/>
      <c r="N101" s="77"/>
      <c r="O101" s="77"/>
      <c r="P101" s="77"/>
    </row>
    <row r="102" spans="1:16" ht="15.75" customHeight="1">
      <c r="A102" s="96"/>
      <c r="B102" s="75"/>
      <c r="C102" s="77"/>
      <c r="D102" s="75"/>
      <c r="E102" s="97"/>
      <c r="F102" s="77"/>
      <c r="G102" s="75"/>
      <c r="H102" s="97"/>
      <c r="I102" s="77"/>
      <c r="J102" s="77"/>
      <c r="K102" s="77"/>
      <c r="L102" s="77"/>
      <c r="M102" s="98"/>
      <c r="N102" s="77"/>
      <c r="O102" s="77"/>
      <c r="P102" s="77"/>
    </row>
    <row r="103" spans="1:16" ht="15.75" customHeight="1">
      <c r="A103" s="96"/>
      <c r="B103" s="75"/>
      <c r="C103" s="77"/>
      <c r="D103" s="75"/>
      <c r="E103" s="97"/>
      <c r="F103" s="77"/>
      <c r="G103" s="75"/>
      <c r="H103" s="97"/>
      <c r="I103" s="77"/>
      <c r="J103" s="77"/>
      <c r="K103" s="77"/>
      <c r="L103" s="77"/>
      <c r="M103" s="98"/>
      <c r="N103" s="77"/>
      <c r="O103" s="77"/>
      <c r="P103" s="77"/>
    </row>
    <row r="104" spans="1:16" ht="15.75" customHeight="1">
      <c r="A104" s="96"/>
      <c r="B104" s="75"/>
      <c r="C104" s="77"/>
      <c r="D104" s="75"/>
      <c r="E104" s="97"/>
      <c r="F104" s="77"/>
      <c r="G104" s="75"/>
      <c r="H104" s="97"/>
      <c r="I104" s="77"/>
      <c r="J104" s="77"/>
      <c r="K104" s="77"/>
      <c r="L104" s="77"/>
      <c r="M104" s="98"/>
      <c r="N104" s="77"/>
      <c r="O104" s="77"/>
      <c r="P104" s="77"/>
    </row>
    <row r="105" spans="1:16" ht="15.75" customHeight="1">
      <c r="A105" s="96"/>
      <c r="B105" s="75"/>
      <c r="C105" s="77"/>
      <c r="D105" s="75"/>
      <c r="E105" s="97"/>
      <c r="F105" s="77"/>
      <c r="G105" s="75"/>
      <c r="H105" s="97"/>
      <c r="I105" s="77"/>
      <c r="J105" s="77"/>
      <c r="K105" s="77"/>
      <c r="L105" s="77"/>
      <c r="M105" s="98"/>
      <c r="N105" s="77"/>
      <c r="O105" s="77"/>
      <c r="P105" s="77"/>
    </row>
    <row r="106" spans="1:16" ht="15.75" customHeight="1">
      <c r="A106" s="96"/>
      <c r="B106" s="75"/>
      <c r="C106" s="77"/>
      <c r="D106" s="75"/>
      <c r="E106" s="97"/>
      <c r="F106" s="77"/>
      <c r="G106" s="75"/>
      <c r="H106" s="97"/>
      <c r="I106" s="77"/>
      <c r="J106" s="77"/>
      <c r="K106" s="77"/>
      <c r="L106" s="77"/>
      <c r="M106" s="98"/>
      <c r="N106" s="77"/>
      <c r="O106" s="77"/>
      <c r="P106" s="77"/>
    </row>
    <row r="107" spans="1:16" ht="15.75" customHeight="1">
      <c r="A107" s="96"/>
      <c r="B107" s="75"/>
      <c r="C107" s="77"/>
      <c r="D107" s="75"/>
      <c r="E107" s="97"/>
      <c r="F107" s="77"/>
      <c r="G107" s="75"/>
      <c r="H107" s="97"/>
      <c r="I107" s="77"/>
      <c r="J107" s="77"/>
      <c r="K107" s="77"/>
      <c r="L107" s="77"/>
      <c r="M107" s="98"/>
      <c r="N107" s="77"/>
      <c r="O107" s="77"/>
      <c r="P107" s="77"/>
    </row>
    <row r="108" spans="1:16" ht="15.75" customHeight="1">
      <c r="A108" s="96"/>
      <c r="B108" s="75"/>
      <c r="C108" s="77"/>
      <c r="D108" s="75"/>
      <c r="E108" s="97"/>
      <c r="F108" s="77"/>
      <c r="G108" s="75"/>
      <c r="H108" s="97"/>
      <c r="I108" s="77"/>
      <c r="J108" s="77"/>
      <c r="K108" s="77"/>
      <c r="L108" s="77"/>
      <c r="M108" s="98"/>
      <c r="N108" s="77"/>
      <c r="O108" s="77"/>
      <c r="P108" s="77"/>
    </row>
    <row r="109" spans="1:16" ht="15.75" customHeight="1">
      <c r="A109" s="96"/>
      <c r="B109" s="75"/>
      <c r="C109" s="77"/>
      <c r="D109" s="75"/>
      <c r="E109" s="97"/>
      <c r="F109" s="77"/>
      <c r="G109" s="75"/>
      <c r="H109" s="97"/>
      <c r="I109" s="77"/>
      <c r="J109" s="77"/>
      <c r="K109" s="77"/>
      <c r="L109" s="77"/>
      <c r="M109" s="98"/>
      <c r="N109" s="77"/>
      <c r="O109" s="77"/>
      <c r="P109" s="77"/>
    </row>
    <row r="110" spans="1:16" ht="15.75" customHeight="1">
      <c r="A110" s="96"/>
      <c r="B110" s="75"/>
      <c r="C110" s="77"/>
      <c r="D110" s="75"/>
      <c r="E110" s="97"/>
      <c r="F110" s="77"/>
      <c r="G110" s="75"/>
      <c r="H110" s="97"/>
      <c r="I110" s="77"/>
      <c r="J110" s="77"/>
      <c r="K110" s="77"/>
      <c r="L110" s="77"/>
      <c r="M110" s="98"/>
      <c r="N110" s="77"/>
      <c r="O110" s="77"/>
      <c r="P110" s="77"/>
    </row>
    <row r="111" spans="1:16" ht="15.75" customHeight="1">
      <c r="A111" s="96"/>
      <c r="B111" s="75"/>
      <c r="C111" s="77"/>
      <c r="D111" s="75"/>
      <c r="E111" s="97"/>
      <c r="F111" s="77"/>
      <c r="G111" s="75"/>
      <c r="H111" s="97"/>
      <c r="I111" s="77"/>
      <c r="J111" s="77"/>
      <c r="K111" s="77"/>
      <c r="L111" s="77"/>
      <c r="M111" s="98"/>
      <c r="N111" s="77"/>
      <c r="O111" s="77"/>
      <c r="P111" s="77"/>
    </row>
    <row r="112" spans="1:16" ht="15.75" customHeight="1">
      <c r="A112" s="96"/>
      <c r="B112" s="75"/>
      <c r="C112" s="77"/>
      <c r="D112" s="75"/>
      <c r="E112" s="97"/>
      <c r="F112" s="77"/>
      <c r="G112" s="75"/>
      <c r="H112" s="97"/>
      <c r="I112" s="77"/>
      <c r="J112" s="77"/>
      <c r="K112" s="77"/>
      <c r="L112" s="77"/>
      <c r="M112" s="98"/>
      <c r="N112" s="77"/>
      <c r="O112" s="77"/>
      <c r="P112" s="77"/>
    </row>
    <row r="113" spans="1:16" ht="15.75" customHeight="1">
      <c r="A113" s="96"/>
      <c r="B113" s="75"/>
      <c r="C113" s="77"/>
      <c r="D113" s="75"/>
      <c r="E113" s="97"/>
      <c r="F113" s="77"/>
      <c r="G113" s="75"/>
      <c r="H113" s="97"/>
      <c r="I113" s="77"/>
      <c r="J113" s="77"/>
      <c r="K113" s="77"/>
      <c r="L113" s="77"/>
      <c r="M113" s="98"/>
      <c r="N113" s="77"/>
      <c r="O113" s="77"/>
      <c r="P113" s="77"/>
    </row>
    <row r="114" spans="1:16" ht="15.75" customHeight="1">
      <c r="A114" s="96"/>
      <c r="B114" s="75"/>
      <c r="C114" s="77"/>
      <c r="D114" s="75"/>
      <c r="E114" s="97"/>
      <c r="F114" s="77"/>
      <c r="G114" s="75"/>
      <c r="H114" s="97"/>
      <c r="I114" s="77"/>
      <c r="J114" s="77"/>
      <c r="K114" s="77"/>
      <c r="L114" s="77"/>
      <c r="M114" s="98"/>
      <c r="N114" s="77"/>
      <c r="O114" s="77"/>
      <c r="P114" s="77"/>
    </row>
    <row r="115" spans="1:16" ht="15.75" customHeight="1">
      <c r="A115" s="96"/>
      <c r="B115" s="75"/>
      <c r="C115" s="77"/>
      <c r="D115" s="75"/>
      <c r="E115" s="97"/>
      <c r="F115" s="77"/>
      <c r="G115" s="75"/>
      <c r="H115" s="97"/>
      <c r="I115" s="77"/>
      <c r="J115" s="77"/>
      <c r="K115" s="77"/>
      <c r="L115" s="77"/>
      <c r="M115" s="98"/>
      <c r="N115" s="77"/>
      <c r="O115" s="77"/>
      <c r="P115" s="77"/>
    </row>
    <row r="116" spans="1:16" ht="15.75" customHeight="1">
      <c r="A116" s="96"/>
      <c r="B116" s="75"/>
      <c r="C116" s="77"/>
      <c r="D116" s="75"/>
      <c r="E116" s="97"/>
      <c r="F116" s="77"/>
      <c r="G116" s="75"/>
      <c r="H116" s="97"/>
      <c r="I116" s="77"/>
      <c r="J116" s="77"/>
      <c r="K116" s="77"/>
      <c r="L116" s="77"/>
      <c r="M116" s="98"/>
      <c r="N116" s="77"/>
      <c r="O116" s="77"/>
      <c r="P116" s="77"/>
    </row>
    <row r="117" spans="1:16" ht="15.75" customHeight="1">
      <c r="A117" s="96"/>
      <c r="B117" s="75"/>
      <c r="C117" s="77"/>
      <c r="D117" s="75"/>
      <c r="E117" s="97"/>
      <c r="F117" s="77"/>
      <c r="G117" s="75"/>
      <c r="H117" s="97"/>
      <c r="I117" s="77"/>
      <c r="J117" s="77"/>
      <c r="K117" s="77"/>
      <c r="L117" s="77"/>
      <c r="M117" s="98"/>
      <c r="N117" s="77"/>
      <c r="O117" s="77"/>
      <c r="P117" s="77"/>
    </row>
    <row r="118" spans="1:16" ht="15.75" customHeight="1">
      <c r="A118" s="96"/>
      <c r="B118" s="75"/>
      <c r="C118" s="77"/>
      <c r="D118" s="75"/>
      <c r="E118" s="97"/>
      <c r="F118" s="77"/>
      <c r="G118" s="75"/>
      <c r="H118" s="97"/>
      <c r="I118" s="77"/>
      <c r="J118" s="77"/>
      <c r="K118" s="77"/>
      <c r="L118" s="77"/>
      <c r="M118" s="98"/>
      <c r="N118" s="77"/>
      <c r="O118" s="77"/>
      <c r="P118" s="77"/>
    </row>
    <row r="119" spans="1:16" ht="15.75" customHeight="1">
      <c r="A119" s="96"/>
      <c r="B119" s="75"/>
      <c r="C119" s="77"/>
      <c r="D119" s="75"/>
      <c r="E119" s="97"/>
      <c r="F119" s="77"/>
      <c r="G119" s="75"/>
      <c r="H119" s="97"/>
      <c r="I119" s="77"/>
      <c r="J119" s="77"/>
      <c r="K119" s="77"/>
      <c r="L119" s="77"/>
      <c r="M119" s="98"/>
      <c r="N119" s="77"/>
      <c r="O119" s="77"/>
      <c r="P119" s="77"/>
    </row>
    <row r="120" spans="1:16" ht="15.75" customHeight="1">
      <c r="A120" s="96"/>
      <c r="B120" s="75"/>
      <c r="C120" s="77"/>
      <c r="D120" s="75"/>
      <c r="E120" s="97"/>
      <c r="F120" s="77"/>
      <c r="G120" s="75"/>
      <c r="H120" s="97"/>
      <c r="I120" s="77"/>
      <c r="J120" s="77"/>
      <c r="K120" s="77"/>
      <c r="L120" s="77"/>
      <c r="M120" s="98"/>
      <c r="N120" s="77"/>
      <c r="O120" s="77"/>
      <c r="P120" s="77"/>
    </row>
    <row r="121" spans="1:16" ht="15.75" customHeight="1">
      <c r="A121" s="96"/>
      <c r="B121" s="75"/>
      <c r="C121" s="77"/>
      <c r="D121" s="75"/>
      <c r="E121" s="97"/>
      <c r="F121" s="77"/>
      <c r="G121" s="75"/>
      <c r="H121" s="97"/>
      <c r="I121" s="77"/>
      <c r="J121" s="77"/>
      <c r="K121" s="77"/>
      <c r="L121" s="77"/>
      <c r="M121" s="98"/>
      <c r="N121" s="77"/>
      <c r="O121" s="77"/>
      <c r="P121" s="77"/>
    </row>
    <row r="122" spans="1:16" ht="15.75" customHeight="1">
      <c r="A122" s="96"/>
      <c r="B122" s="75"/>
      <c r="C122" s="77"/>
      <c r="D122" s="75"/>
      <c r="E122" s="97"/>
      <c r="F122" s="77"/>
      <c r="G122" s="75"/>
      <c r="H122" s="97"/>
      <c r="I122" s="77"/>
      <c r="J122" s="77"/>
      <c r="K122" s="77"/>
      <c r="L122" s="77"/>
      <c r="M122" s="98"/>
      <c r="N122" s="77"/>
      <c r="O122" s="77"/>
      <c r="P122" s="77"/>
    </row>
    <row r="123" spans="1:16" ht="15.75" customHeight="1">
      <c r="A123" s="96"/>
      <c r="B123" s="75"/>
      <c r="C123" s="77"/>
      <c r="D123" s="75"/>
      <c r="E123" s="97"/>
      <c r="F123" s="77"/>
      <c r="G123" s="75"/>
      <c r="H123" s="97"/>
      <c r="I123" s="77"/>
      <c r="J123" s="77"/>
      <c r="K123" s="77"/>
      <c r="L123" s="77"/>
      <c r="M123" s="98"/>
      <c r="N123" s="77"/>
      <c r="O123" s="77"/>
      <c r="P123" s="77"/>
    </row>
    <row r="124" spans="1:16" ht="15.75" customHeight="1">
      <c r="A124" s="96"/>
      <c r="B124" s="75"/>
      <c r="C124" s="77"/>
      <c r="D124" s="75"/>
      <c r="E124" s="97"/>
      <c r="F124" s="77"/>
      <c r="G124" s="75"/>
      <c r="H124" s="97"/>
      <c r="I124" s="77"/>
      <c r="J124" s="77"/>
      <c r="K124" s="77"/>
      <c r="L124" s="77"/>
      <c r="M124" s="98"/>
      <c r="N124" s="77"/>
      <c r="O124" s="77"/>
      <c r="P124" s="77"/>
    </row>
    <row r="125" spans="1:16" ht="15.75" customHeight="1">
      <c r="A125" s="96"/>
      <c r="B125" s="75"/>
      <c r="C125" s="77"/>
      <c r="D125" s="75"/>
      <c r="E125" s="97"/>
      <c r="F125" s="77"/>
      <c r="G125" s="75"/>
      <c r="H125" s="97"/>
      <c r="I125" s="77"/>
      <c r="J125" s="77"/>
      <c r="K125" s="77"/>
      <c r="L125" s="77"/>
      <c r="M125" s="98"/>
      <c r="N125" s="77"/>
      <c r="O125" s="77"/>
      <c r="P125" s="77"/>
    </row>
    <row r="126" spans="1:16" ht="15.75" customHeight="1">
      <c r="A126" s="96"/>
      <c r="B126" s="75"/>
      <c r="C126" s="77"/>
      <c r="D126" s="75"/>
      <c r="E126" s="97"/>
      <c r="F126" s="77"/>
      <c r="G126" s="75"/>
      <c r="H126" s="97"/>
      <c r="I126" s="77"/>
      <c r="J126" s="77"/>
      <c r="K126" s="77"/>
      <c r="L126" s="77"/>
      <c r="M126" s="98"/>
      <c r="N126" s="77"/>
      <c r="O126" s="77"/>
      <c r="P126" s="77"/>
    </row>
    <row r="127" spans="1:16" ht="15.75" customHeight="1">
      <c r="A127" s="96"/>
      <c r="B127" s="75"/>
      <c r="C127" s="77"/>
      <c r="D127" s="75"/>
      <c r="E127" s="97"/>
      <c r="F127" s="77"/>
      <c r="G127" s="75"/>
      <c r="H127" s="97"/>
      <c r="I127" s="77"/>
      <c r="J127" s="77"/>
      <c r="K127" s="77"/>
      <c r="L127" s="77"/>
      <c r="M127" s="98"/>
      <c r="N127" s="77"/>
      <c r="O127" s="77"/>
      <c r="P127" s="77"/>
    </row>
    <row r="128" spans="1:16" ht="15.75" customHeight="1">
      <c r="A128" s="96"/>
      <c r="B128" s="75"/>
      <c r="C128" s="77"/>
      <c r="D128" s="75"/>
      <c r="E128" s="97"/>
      <c r="F128" s="77"/>
      <c r="G128" s="75"/>
      <c r="H128" s="97"/>
      <c r="I128" s="77"/>
      <c r="J128" s="77"/>
      <c r="K128" s="77"/>
      <c r="L128" s="77"/>
      <c r="M128" s="98"/>
      <c r="N128" s="77"/>
      <c r="O128" s="77"/>
      <c r="P128" s="77"/>
    </row>
    <row r="129" spans="1:16" ht="15.75" customHeight="1">
      <c r="A129" s="96"/>
      <c r="B129" s="75"/>
      <c r="C129" s="77"/>
      <c r="D129" s="75"/>
      <c r="E129" s="97"/>
      <c r="F129" s="77"/>
      <c r="G129" s="75"/>
      <c r="H129" s="97"/>
      <c r="I129" s="77"/>
      <c r="J129" s="77"/>
      <c r="K129" s="77"/>
      <c r="L129" s="77"/>
      <c r="M129" s="98"/>
      <c r="N129" s="77"/>
      <c r="O129" s="77"/>
      <c r="P129" s="77"/>
    </row>
    <row r="130" spans="1:16" ht="15.75" customHeight="1">
      <c r="A130" s="96"/>
      <c r="B130" s="75"/>
      <c r="C130" s="77"/>
      <c r="D130" s="75"/>
      <c r="E130" s="97"/>
      <c r="F130" s="77"/>
      <c r="G130" s="75"/>
      <c r="H130" s="97"/>
      <c r="I130" s="77"/>
      <c r="J130" s="77"/>
      <c r="K130" s="77"/>
      <c r="L130" s="77"/>
      <c r="M130" s="98"/>
      <c r="N130" s="77"/>
      <c r="O130" s="77"/>
      <c r="P130" s="77"/>
    </row>
    <row r="131" spans="1:16" ht="15.75" customHeight="1">
      <c r="A131" s="96"/>
      <c r="B131" s="75"/>
      <c r="C131" s="77"/>
      <c r="D131" s="75"/>
      <c r="E131" s="97"/>
      <c r="F131" s="77"/>
      <c r="G131" s="75"/>
      <c r="H131" s="97"/>
      <c r="I131" s="77"/>
      <c r="J131" s="77"/>
      <c r="K131" s="77"/>
      <c r="L131" s="77"/>
      <c r="M131" s="98"/>
      <c r="N131" s="77"/>
      <c r="O131" s="77"/>
      <c r="P131" s="77"/>
    </row>
    <row r="132" spans="1:16" ht="15.75" customHeight="1">
      <c r="A132" s="96"/>
      <c r="B132" s="75"/>
      <c r="C132" s="77"/>
      <c r="D132" s="75"/>
      <c r="E132" s="97"/>
      <c r="F132" s="77"/>
      <c r="G132" s="75"/>
      <c r="H132" s="97"/>
      <c r="I132" s="77"/>
      <c r="J132" s="77"/>
      <c r="K132" s="77"/>
      <c r="L132" s="77"/>
      <c r="M132" s="98"/>
      <c r="N132" s="77"/>
      <c r="O132" s="77"/>
      <c r="P132" s="77"/>
    </row>
    <row r="133" spans="1:16" ht="15.75" customHeight="1">
      <c r="A133" s="96"/>
      <c r="B133" s="75"/>
      <c r="C133" s="77"/>
      <c r="D133" s="75"/>
      <c r="E133" s="97"/>
      <c r="F133" s="77"/>
      <c r="G133" s="75"/>
      <c r="H133" s="97"/>
      <c r="I133" s="77"/>
      <c r="J133" s="77"/>
      <c r="K133" s="77"/>
      <c r="L133" s="77"/>
      <c r="M133" s="98"/>
      <c r="N133" s="77"/>
      <c r="O133" s="77"/>
      <c r="P133" s="77"/>
    </row>
    <row r="134" spans="1:16" ht="15.75" customHeight="1">
      <c r="A134" s="96"/>
      <c r="B134" s="75"/>
      <c r="C134" s="77"/>
      <c r="D134" s="75"/>
      <c r="E134" s="97"/>
      <c r="F134" s="77"/>
      <c r="G134" s="75"/>
      <c r="H134" s="97"/>
      <c r="I134" s="77"/>
      <c r="J134" s="77"/>
      <c r="K134" s="77"/>
      <c r="L134" s="77"/>
      <c r="M134" s="98"/>
      <c r="N134" s="77"/>
      <c r="O134" s="77"/>
      <c r="P134" s="77"/>
    </row>
    <row r="135" spans="1:16" ht="15.75" customHeight="1">
      <c r="A135" s="96"/>
      <c r="B135" s="75"/>
      <c r="C135" s="77"/>
      <c r="D135" s="75"/>
      <c r="E135" s="97"/>
      <c r="F135" s="77"/>
      <c r="G135" s="75"/>
      <c r="H135" s="97"/>
      <c r="I135" s="77"/>
      <c r="J135" s="77"/>
      <c r="K135" s="77"/>
      <c r="L135" s="77"/>
      <c r="M135" s="98"/>
      <c r="N135" s="77"/>
      <c r="O135" s="77"/>
      <c r="P135" s="77"/>
    </row>
    <row r="136" spans="1:16" ht="15.75" customHeight="1">
      <c r="A136" s="96"/>
      <c r="B136" s="75"/>
      <c r="C136" s="77"/>
      <c r="D136" s="75"/>
      <c r="E136" s="97"/>
      <c r="F136" s="77"/>
      <c r="G136" s="75"/>
      <c r="H136" s="97"/>
      <c r="I136" s="77"/>
      <c r="J136" s="77"/>
      <c r="K136" s="77"/>
      <c r="L136" s="77"/>
      <c r="M136" s="98"/>
      <c r="N136" s="77"/>
      <c r="O136" s="77"/>
      <c r="P136" s="77"/>
    </row>
    <row r="137" spans="1:16" ht="15.75" customHeight="1">
      <c r="A137" s="96"/>
      <c r="B137" s="75"/>
      <c r="C137" s="77"/>
      <c r="D137" s="75"/>
      <c r="E137" s="97"/>
      <c r="F137" s="77"/>
      <c r="G137" s="75"/>
      <c r="H137" s="97"/>
      <c r="I137" s="77"/>
      <c r="J137" s="77"/>
      <c r="K137" s="77"/>
      <c r="L137" s="77"/>
      <c r="M137" s="98"/>
      <c r="N137" s="77"/>
      <c r="O137" s="77"/>
      <c r="P137" s="77"/>
    </row>
    <row r="138" spans="1:16" ht="15.75" customHeight="1">
      <c r="A138" s="96"/>
      <c r="B138" s="75"/>
      <c r="C138" s="77"/>
      <c r="D138" s="75"/>
      <c r="E138" s="97"/>
      <c r="F138" s="77"/>
      <c r="G138" s="75"/>
      <c r="H138" s="97"/>
      <c r="I138" s="77"/>
      <c r="J138" s="77"/>
      <c r="K138" s="77"/>
      <c r="L138" s="77"/>
      <c r="M138" s="98"/>
      <c r="N138" s="77"/>
      <c r="O138" s="77"/>
      <c r="P138" s="77"/>
    </row>
    <row r="139" spans="1:16" ht="15.75" customHeight="1">
      <c r="A139" s="96"/>
      <c r="B139" s="75"/>
      <c r="C139" s="77"/>
      <c r="D139" s="75"/>
      <c r="E139" s="97"/>
      <c r="F139" s="77"/>
      <c r="G139" s="75"/>
      <c r="H139" s="97"/>
      <c r="I139" s="77"/>
      <c r="J139" s="77"/>
      <c r="K139" s="77"/>
      <c r="L139" s="77"/>
      <c r="M139" s="98"/>
      <c r="N139" s="77"/>
      <c r="O139" s="77"/>
      <c r="P139" s="77"/>
    </row>
    <row r="140" spans="1:16" ht="15.75" customHeight="1">
      <c r="A140" s="96"/>
      <c r="B140" s="75"/>
      <c r="C140" s="77"/>
      <c r="D140" s="75"/>
      <c r="E140" s="97"/>
      <c r="F140" s="77"/>
      <c r="G140" s="75"/>
      <c r="H140" s="97"/>
      <c r="I140" s="77"/>
      <c r="J140" s="77"/>
      <c r="K140" s="77"/>
      <c r="L140" s="77"/>
      <c r="M140" s="98"/>
      <c r="N140" s="77"/>
      <c r="O140" s="77"/>
      <c r="P140" s="77"/>
    </row>
    <row r="141" spans="1:16" ht="15.75" customHeight="1">
      <c r="A141" s="96"/>
      <c r="B141" s="75"/>
      <c r="C141" s="77"/>
      <c r="D141" s="75"/>
      <c r="E141" s="97"/>
      <c r="F141" s="77"/>
      <c r="G141" s="75"/>
      <c r="H141" s="97"/>
      <c r="I141" s="77"/>
      <c r="J141" s="77"/>
      <c r="K141" s="77"/>
      <c r="L141" s="77"/>
      <c r="M141" s="98"/>
      <c r="N141" s="77"/>
      <c r="O141" s="77"/>
      <c r="P141" s="77"/>
    </row>
    <row r="142" spans="1:16" ht="15.75" customHeight="1">
      <c r="A142" s="96"/>
      <c r="B142" s="75"/>
      <c r="C142" s="77"/>
      <c r="D142" s="75"/>
      <c r="E142" s="97"/>
      <c r="F142" s="77"/>
      <c r="G142" s="75"/>
      <c r="H142" s="97"/>
      <c r="I142" s="77"/>
      <c r="J142" s="77"/>
      <c r="K142" s="77"/>
      <c r="L142" s="77"/>
      <c r="M142" s="98"/>
      <c r="N142" s="77"/>
      <c r="O142" s="77"/>
      <c r="P142" s="77"/>
    </row>
    <row r="143" spans="1:16" ht="15.75" customHeight="1">
      <c r="A143" s="96"/>
      <c r="B143" s="75"/>
      <c r="C143" s="77"/>
      <c r="D143" s="75"/>
      <c r="E143" s="97"/>
      <c r="F143" s="77"/>
      <c r="G143" s="75"/>
      <c r="H143" s="97"/>
      <c r="I143" s="77"/>
      <c r="J143" s="77"/>
      <c r="K143" s="77"/>
      <c r="L143" s="77"/>
      <c r="M143" s="98"/>
      <c r="N143" s="77"/>
      <c r="O143" s="77"/>
      <c r="P143" s="77"/>
    </row>
    <row r="144" spans="1:16" ht="15.75" customHeight="1">
      <c r="A144" s="96"/>
      <c r="B144" s="75"/>
      <c r="C144" s="77"/>
      <c r="D144" s="75"/>
      <c r="E144" s="97"/>
      <c r="F144" s="77"/>
      <c r="G144" s="75"/>
      <c r="H144" s="97"/>
      <c r="I144" s="77"/>
      <c r="J144" s="77"/>
      <c r="K144" s="77"/>
      <c r="L144" s="77"/>
      <c r="M144" s="98"/>
      <c r="N144" s="77"/>
      <c r="O144" s="77"/>
      <c r="P144" s="77"/>
    </row>
    <row r="145" spans="1:16" ht="15.75" customHeight="1">
      <c r="A145" s="96"/>
      <c r="B145" s="75"/>
      <c r="C145" s="77"/>
      <c r="D145" s="75"/>
      <c r="E145" s="97"/>
      <c r="F145" s="77"/>
      <c r="G145" s="75"/>
      <c r="H145" s="97"/>
      <c r="I145" s="77"/>
      <c r="J145" s="77"/>
      <c r="K145" s="77"/>
      <c r="L145" s="77"/>
      <c r="M145" s="98"/>
      <c r="N145" s="77"/>
      <c r="O145" s="77"/>
      <c r="P145" s="77"/>
    </row>
    <row r="146" spans="1:16" ht="15.75" customHeight="1">
      <c r="A146" s="96"/>
      <c r="B146" s="75"/>
      <c r="C146" s="77"/>
      <c r="D146" s="75"/>
      <c r="E146" s="97"/>
      <c r="F146" s="77"/>
      <c r="G146" s="75"/>
      <c r="H146" s="97"/>
      <c r="I146" s="77"/>
      <c r="J146" s="77"/>
      <c r="K146" s="77"/>
      <c r="L146" s="77"/>
      <c r="M146" s="98"/>
      <c r="N146" s="77"/>
      <c r="O146" s="77"/>
      <c r="P146" s="77"/>
    </row>
    <row r="147" spans="1:16" ht="15.75" customHeight="1">
      <c r="A147" s="96"/>
      <c r="B147" s="75"/>
      <c r="C147" s="77"/>
      <c r="D147" s="75"/>
      <c r="E147" s="97"/>
      <c r="F147" s="77"/>
      <c r="G147" s="75"/>
      <c r="H147" s="97"/>
      <c r="I147" s="77"/>
      <c r="J147" s="77"/>
      <c r="K147" s="77"/>
      <c r="L147" s="77"/>
      <c r="M147" s="98"/>
      <c r="N147" s="77"/>
      <c r="O147" s="77"/>
      <c r="P147" s="77"/>
    </row>
    <row r="148" spans="1:16" ht="15.75" customHeight="1">
      <c r="A148" s="96"/>
      <c r="B148" s="75"/>
      <c r="C148" s="77"/>
      <c r="D148" s="75"/>
      <c r="E148" s="97"/>
      <c r="F148" s="77"/>
      <c r="G148" s="75"/>
      <c r="H148" s="97"/>
      <c r="I148" s="77"/>
      <c r="J148" s="77"/>
      <c r="K148" s="77"/>
      <c r="L148" s="77"/>
      <c r="M148" s="98"/>
      <c r="N148" s="77"/>
      <c r="O148" s="77"/>
      <c r="P148" s="77"/>
    </row>
    <row r="149" spans="1:16" ht="15.75" customHeight="1">
      <c r="A149" s="96"/>
      <c r="B149" s="75"/>
      <c r="C149" s="77"/>
      <c r="D149" s="75"/>
      <c r="E149" s="97"/>
      <c r="F149" s="77"/>
      <c r="G149" s="75"/>
      <c r="H149" s="97"/>
      <c r="I149" s="77"/>
      <c r="J149" s="77"/>
      <c r="K149" s="77"/>
      <c r="L149" s="77"/>
      <c r="M149" s="98"/>
      <c r="N149" s="77"/>
      <c r="O149" s="77"/>
      <c r="P149" s="77"/>
    </row>
    <row r="150" spans="1:16" ht="15.75" customHeight="1">
      <c r="A150" s="96"/>
      <c r="B150" s="75"/>
      <c r="C150" s="77"/>
      <c r="D150" s="75"/>
      <c r="E150" s="97"/>
      <c r="F150" s="77"/>
      <c r="G150" s="75"/>
      <c r="H150" s="97"/>
      <c r="I150" s="77"/>
      <c r="J150" s="77"/>
      <c r="K150" s="77"/>
      <c r="L150" s="77"/>
      <c r="M150" s="98"/>
      <c r="N150" s="77"/>
      <c r="O150" s="77"/>
      <c r="P150" s="77"/>
    </row>
    <row r="151" spans="1:16" ht="15.75" customHeight="1">
      <c r="A151" s="96"/>
      <c r="B151" s="75"/>
      <c r="C151" s="77"/>
      <c r="D151" s="75"/>
      <c r="E151" s="97"/>
      <c r="F151" s="77"/>
      <c r="G151" s="75"/>
      <c r="H151" s="97"/>
      <c r="I151" s="77"/>
      <c r="J151" s="77"/>
      <c r="K151" s="77"/>
      <c r="L151" s="77"/>
      <c r="M151" s="98"/>
      <c r="N151" s="77"/>
      <c r="O151" s="77"/>
      <c r="P151" s="77"/>
    </row>
    <row r="152" spans="1:16" ht="15.75" customHeight="1">
      <c r="A152" s="96"/>
      <c r="B152" s="75"/>
      <c r="C152" s="77"/>
      <c r="D152" s="75"/>
      <c r="E152" s="97"/>
      <c r="F152" s="77"/>
      <c r="G152" s="75"/>
      <c r="H152" s="97"/>
      <c r="I152" s="77"/>
      <c r="J152" s="77"/>
      <c r="K152" s="77"/>
      <c r="L152" s="77"/>
      <c r="M152" s="98"/>
      <c r="N152" s="77"/>
      <c r="O152" s="77"/>
      <c r="P152" s="77"/>
    </row>
    <row r="153" spans="1:16" ht="15.75" customHeight="1">
      <c r="A153" s="96"/>
      <c r="B153" s="75"/>
      <c r="C153" s="77"/>
      <c r="D153" s="75"/>
      <c r="E153" s="97"/>
      <c r="F153" s="77"/>
      <c r="G153" s="75"/>
      <c r="H153" s="97"/>
      <c r="I153" s="77"/>
      <c r="J153" s="77"/>
      <c r="K153" s="77"/>
      <c r="L153" s="77"/>
      <c r="M153" s="98"/>
      <c r="N153" s="77"/>
      <c r="O153" s="77"/>
      <c r="P153" s="77"/>
    </row>
    <row r="154" spans="1:16" ht="15.75" customHeight="1">
      <c r="A154" s="96"/>
      <c r="B154" s="75"/>
      <c r="C154" s="77"/>
      <c r="D154" s="75"/>
      <c r="E154" s="97"/>
      <c r="F154" s="77"/>
      <c r="G154" s="75"/>
      <c r="H154" s="97"/>
      <c r="I154" s="77"/>
      <c r="J154" s="77"/>
      <c r="K154" s="77"/>
      <c r="L154" s="77"/>
      <c r="M154" s="98"/>
      <c r="N154" s="77"/>
      <c r="O154" s="77"/>
      <c r="P154" s="77"/>
    </row>
    <row r="155" spans="1:16" ht="15.75" customHeight="1">
      <c r="A155" s="96"/>
      <c r="B155" s="75"/>
      <c r="C155" s="77"/>
      <c r="D155" s="75"/>
      <c r="E155" s="97"/>
      <c r="F155" s="77"/>
      <c r="G155" s="75"/>
      <c r="H155" s="97"/>
      <c r="I155" s="77"/>
      <c r="J155" s="77"/>
      <c r="K155" s="77"/>
      <c r="L155" s="77"/>
      <c r="M155" s="98"/>
      <c r="N155" s="77"/>
      <c r="O155" s="77"/>
      <c r="P155" s="77"/>
    </row>
    <row r="156" spans="1:16" ht="15.75" customHeight="1">
      <c r="A156" s="96"/>
      <c r="B156" s="75"/>
      <c r="C156" s="77"/>
      <c r="D156" s="75"/>
      <c r="E156" s="97"/>
      <c r="F156" s="77"/>
      <c r="G156" s="75"/>
      <c r="H156" s="97"/>
      <c r="I156" s="77"/>
      <c r="J156" s="77"/>
      <c r="K156" s="77"/>
      <c r="L156" s="77"/>
      <c r="M156" s="98"/>
      <c r="N156" s="77"/>
      <c r="O156" s="77"/>
      <c r="P156" s="77"/>
    </row>
    <row r="157" spans="1:16" ht="15.75" customHeight="1">
      <c r="A157" s="96"/>
      <c r="B157" s="75"/>
      <c r="C157" s="77"/>
      <c r="D157" s="75"/>
      <c r="E157" s="97"/>
      <c r="F157" s="77"/>
      <c r="G157" s="75"/>
      <c r="H157" s="97"/>
      <c r="I157" s="77"/>
      <c r="J157" s="77"/>
      <c r="K157" s="77"/>
      <c r="L157" s="77"/>
      <c r="M157" s="98"/>
      <c r="N157" s="77"/>
      <c r="O157" s="77"/>
      <c r="P157" s="77"/>
    </row>
    <row r="158" spans="1:16" ht="15.75" customHeight="1">
      <c r="A158" s="96"/>
      <c r="B158" s="75"/>
      <c r="C158" s="77"/>
      <c r="D158" s="75"/>
      <c r="E158" s="97"/>
      <c r="F158" s="77"/>
      <c r="G158" s="75"/>
      <c r="H158" s="97"/>
      <c r="I158" s="77"/>
      <c r="J158" s="77"/>
      <c r="K158" s="77"/>
      <c r="L158" s="77"/>
      <c r="M158" s="98"/>
      <c r="N158" s="77"/>
      <c r="O158" s="77"/>
      <c r="P158" s="77"/>
    </row>
    <row r="159" spans="1:16" ht="15.75" customHeight="1">
      <c r="A159" s="96"/>
      <c r="B159" s="75"/>
      <c r="C159" s="77"/>
      <c r="D159" s="75"/>
      <c r="E159" s="97"/>
      <c r="F159" s="77"/>
      <c r="G159" s="75"/>
      <c r="H159" s="97"/>
      <c r="I159" s="77"/>
      <c r="J159" s="77"/>
      <c r="K159" s="77"/>
      <c r="L159" s="77"/>
      <c r="M159" s="98"/>
      <c r="N159" s="77"/>
      <c r="O159" s="77"/>
      <c r="P159" s="77"/>
    </row>
    <row r="160" spans="1:16" ht="15.75" customHeight="1">
      <c r="A160" s="96"/>
      <c r="B160" s="75"/>
      <c r="C160" s="77"/>
      <c r="D160" s="75"/>
      <c r="E160" s="97"/>
      <c r="F160" s="77"/>
      <c r="G160" s="75"/>
      <c r="H160" s="97"/>
      <c r="I160" s="77"/>
      <c r="J160" s="77"/>
      <c r="K160" s="77"/>
      <c r="L160" s="77"/>
      <c r="M160" s="98"/>
      <c r="N160" s="77"/>
      <c r="O160" s="77"/>
      <c r="P160" s="77"/>
    </row>
    <row r="161" spans="1:16" ht="15.75" customHeight="1">
      <c r="A161" s="96"/>
      <c r="B161" s="75"/>
      <c r="C161" s="77"/>
      <c r="D161" s="75"/>
      <c r="E161" s="97"/>
      <c r="F161" s="77"/>
      <c r="G161" s="75"/>
      <c r="H161" s="97"/>
      <c r="I161" s="77"/>
      <c r="J161" s="77"/>
      <c r="K161" s="77"/>
      <c r="L161" s="77"/>
      <c r="M161" s="98"/>
      <c r="N161" s="77"/>
      <c r="O161" s="77"/>
      <c r="P161" s="77"/>
    </row>
    <row r="162" spans="1:16" ht="15.75" customHeight="1">
      <c r="A162" s="96"/>
      <c r="B162" s="75"/>
      <c r="C162" s="77"/>
      <c r="D162" s="75"/>
      <c r="E162" s="97"/>
      <c r="F162" s="77"/>
      <c r="G162" s="75"/>
      <c r="H162" s="97"/>
      <c r="I162" s="77"/>
      <c r="J162" s="77"/>
      <c r="K162" s="77"/>
      <c r="L162" s="77"/>
      <c r="M162" s="98"/>
      <c r="N162" s="77"/>
      <c r="O162" s="77"/>
      <c r="P162" s="77"/>
    </row>
    <row r="163" spans="1:16" ht="15.75" customHeight="1">
      <c r="A163" s="96"/>
      <c r="B163" s="75"/>
      <c r="C163" s="77"/>
      <c r="D163" s="75"/>
      <c r="E163" s="97"/>
      <c r="F163" s="77"/>
      <c r="G163" s="75"/>
      <c r="H163" s="97"/>
      <c r="I163" s="77"/>
      <c r="J163" s="77"/>
      <c r="K163" s="77"/>
      <c r="L163" s="77"/>
      <c r="M163" s="98"/>
      <c r="N163" s="77"/>
      <c r="O163" s="77"/>
      <c r="P163" s="77"/>
    </row>
    <row r="164" spans="1:16" ht="15.75" customHeight="1">
      <c r="A164" s="96"/>
      <c r="B164" s="75"/>
      <c r="C164" s="77"/>
      <c r="D164" s="75"/>
      <c r="E164" s="97"/>
      <c r="F164" s="77"/>
      <c r="G164" s="75"/>
      <c r="H164" s="97"/>
      <c r="I164" s="77"/>
      <c r="J164" s="77"/>
      <c r="K164" s="77"/>
      <c r="L164" s="77"/>
      <c r="M164" s="98"/>
      <c r="N164" s="77"/>
      <c r="O164" s="77"/>
      <c r="P164" s="77"/>
    </row>
    <row r="165" spans="1:16" ht="15.75" customHeight="1">
      <c r="A165" s="96"/>
      <c r="B165" s="75"/>
      <c r="C165" s="77"/>
      <c r="D165" s="75"/>
      <c r="E165" s="97"/>
      <c r="F165" s="77"/>
      <c r="G165" s="75"/>
      <c r="H165" s="97"/>
      <c r="I165" s="77"/>
      <c r="J165" s="77"/>
      <c r="K165" s="77"/>
      <c r="L165" s="77"/>
      <c r="M165" s="98"/>
      <c r="N165" s="77"/>
      <c r="O165" s="77"/>
      <c r="P165" s="77"/>
    </row>
    <row r="166" spans="1:16" ht="15.75" customHeight="1">
      <c r="A166" s="96"/>
      <c r="B166" s="75"/>
      <c r="C166" s="77"/>
      <c r="D166" s="75"/>
      <c r="E166" s="97"/>
      <c r="F166" s="77"/>
      <c r="G166" s="75"/>
      <c r="H166" s="97"/>
      <c r="I166" s="77"/>
      <c r="J166" s="77"/>
      <c r="K166" s="77"/>
      <c r="L166" s="77"/>
      <c r="M166" s="98"/>
      <c r="N166" s="77"/>
      <c r="O166" s="77"/>
      <c r="P166" s="77"/>
    </row>
    <row r="167" spans="1:16" ht="15.75" customHeight="1">
      <c r="A167" s="96"/>
      <c r="B167" s="75"/>
      <c r="C167" s="77"/>
      <c r="D167" s="75"/>
      <c r="E167" s="97"/>
      <c r="F167" s="77"/>
      <c r="G167" s="75"/>
      <c r="H167" s="97"/>
      <c r="I167" s="77"/>
      <c r="J167" s="77"/>
      <c r="K167" s="77"/>
      <c r="L167" s="77"/>
      <c r="M167" s="98"/>
      <c r="N167" s="77"/>
      <c r="O167" s="77"/>
      <c r="P167" s="77"/>
    </row>
    <row r="168" spans="1:16" ht="15.75" customHeight="1">
      <c r="A168" s="96"/>
      <c r="B168" s="75"/>
      <c r="C168" s="77"/>
      <c r="D168" s="75"/>
      <c r="E168" s="97"/>
      <c r="F168" s="77"/>
      <c r="G168" s="75"/>
      <c r="H168" s="97"/>
      <c r="I168" s="77"/>
      <c r="J168" s="77"/>
      <c r="K168" s="77"/>
      <c r="L168" s="77"/>
      <c r="M168" s="98"/>
      <c r="N168" s="77"/>
      <c r="O168" s="77"/>
      <c r="P168" s="77"/>
    </row>
    <row r="169" spans="1:16" ht="15.75" customHeight="1">
      <c r="A169" s="96"/>
      <c r="B169" s="75"/>
      <c r="C169" s="77"/>
      <c r="D169" s="75"/>
      <c r="E169" s="97"/>
      <c r="F169" s="77"/>
      <c r="G169" s="75"/>
      <c r="H169" s="97"/>
      <c r="I169" s="77"/>
      <c r="J169" s="77"/>
      <c r="K169" s="77"/>
      <c r="L169" s="77"/>
      <c r="M169" s="98"/>
      <c r="N169" s="77"/>
      <c r="O169" s="77"/>
      <c r="P169" s="77"/>
    </row>
    <row r="170" spans="1:16" ht="15.75" customHeight="1">
      <c r="A170" s="96"/>
      <c r="B170" s="75"/>
      <c r="C170" s="77"/>
      <c r="D170" s="75"/>
      <c r="E170" s="97"/>
      <c r="F170" s="77"/>
      <c r="G170" s="75"/>
      <c r="H170" s="97"/>
      <c r="I170" s="77"/>
      <c r="J170" s="77"/>
      <c r="K170" s="77"/>
      <c r="L170" s="77"/>
      <c r="M170" s="98"/>
      <c r="N170" s="77"/>
      <c r="O170" s="77"/>
      <c r="P170" s="77"/>
    </row>
    <row r="171" spans="1:16" ht="15.75" customHeight="1">
      <c r="A171" s="96"/>
      <c r="B171" s="75"/>
      <c r="C171" s="77"/>
      <c r="D171" s="75"/>
      <c r="E171" s="97"/>
      <c r="F171" s="77"/>
      <c r="G171" s="75"/>
      <c r="H171" s="97"/>
      <c r="I171" s="77"/>
      <c r="J171" s="77"/>
      <c r="K171" s="77"/>
      <c r="L171" s="77"/>
      <c r="M171" s="98"/>
      <c r="N171" s="77"/>
      <c r="O171" s="77"/>
      <c r="P171" s="77"/>
    </row>
    <row r="172" spans="1:16" ht="15.75" customHeight="1">
      <c r="A172" s="96"/>
      <c r="B172" s="75"/>
      <c r="C172" s="77"/>
      <c r="D172" s="75"/>
      <c r="E172" s="97"/>
      <c r="F172" s="77"/>
      <c r="G172" s="75"/>
      <c r="H172" s="97"/>
      <c r="I172" s="77"/>
      <c r="J172" s="77"/>
      <c r="K172" s="77"/>
      <c r="L172" s="77"/>
      <c r="M172" s="98"/>
      <c r="N172" s="77"/>
      <c r="O172" s="77"/>
      <c r="P172" s="77"/>
    </row>
    <row r="173" spans="1:16" ht="15.75" customHeight="1">
      <c r="A173" s="96"/>
      <c r="B173" s="75"/>
      <c r="C173" s="77"/>
      <c r="D173" s="75"/>
      <c r="E173" s="97"/>
      <c r="F173" s="77"/>
      <c r="G173" s="75"/>
      <c r="H173" s="97"/>
      <c r="I173" s="77"/>
      <c r="J173" s="77"/>
      <c r="K173" s="77"/>
      <c r="L173" s="77"/>
      <c r="M173" s="98"/>
      <c r="N173" s="77"/>
      <c r="O173" s="77"/>
      <c r="P173" s="77"/>
    </row>
    <row r="174" spans="1:16" ht="15.75" customHeight="1">
      <c r="A174" s="96"/>
      <c r="B174" s="75"/>
      <c r="C174" s="77"/>
      <c r="D174" s="75"/>
      <c r="E174" s="97"/>
      <c r="F174" s="77"/>
      <c r="G174" s="75"/>
      <c r="H174" s="97"/>
      <c r="I174" s="77"/>
      <c r="J174" s="77"/>
      <c r="K174" s="77"/>
      <c r="L174" s="77"/>
      <c r="M174" s="98"/>
      <c r="N174" s="77"/>
      <c r="O174" s="77"/>
      <c r="P174" s="77"/>
    </row>
    <row r="175" spans="1:16" ht="15.75" customHeight="1">
      <c r="A175" s="96"/>
      <c r="B175" s="75"/>
      <c r="C175" s="77"/>
      <c r="D175" s="75"/>
      <c r="E175" s="97"/>
      <c r="F175" s="77"/>
      <c r="G175" s="75"/>
      <c r="H175" s="97"/>
      <c r="I175" s="77"/>
      <c r="J175" s="77"/>
      <c r="K175" s="77"/>
      <c r="L175" s="77"/>
      <c r="M175" s="98"/>
      <c r="N175" s="77"/>
      <c r="O175" s="77"/>
      <c r="P175" s="77"/>
    </row>
    <row r="176" spans="1:16" ht="15.75" customHeight="1">
      <c r="A176" s="96"/>
      <c r="B176" s="75"/>
      <c r="C176" s="77"/>
      <c r="D176" s="75"/>
      <c r="E176" s="97"/>
      <c r="F176" s="77"/>
      <c r="G176" s="75"/>
      <c r="H176" s="97"/>
      <c r="I176" s="77"/>
      <c r="J176" s="77"/>
      <c r="K176" s="77"/>
      <c r="L176" s="77"/>
      <c r="M176" s="98"/>
      <c r="N176" s="77"/>
      <c r="O176" s="77"/>
      <c r="P176" s="77"/>
    </row>
    <row r="177" spans="1:16" ht="15.75" customHeight="1">
      <c r="A177" s="96"/>
      <c r="B177" s="75"/>
      <c r="C177" s="77"/>
      <c r="D177" s="75"/>
      <c r="E177" s="97"/>
      <c r="F177" s="77"/>
      <c r="G177" s="75"/>
      <c r="H177" s="97"/>
      <c r="I177" s="77"/>
      <c r="J177" s="77"/>
      <c r="K177" s="77"/>
      <c r="L177" s="77"/>
      <c r="M177" s="98"/>
      <c r="N177" s="77"/>
      <c r="O177" s="77"/>
      <c r="P177" s="77"/>
    </row>
    <row r="178" spans="1:16" ht="15.75" customHeight="1">
      <c r="A178" s="96"/>
      <c r="B178" s="75"/>
      <c r="C178" s="77"/>
      <c r="D178" s="75"/>
      <c r="E178" s="97"/>
      <c r="F178" s="77"/>
      <c r="G178" s="75"/>
      <c r="H178" s="97"/>
      <c r="I178" s="77"/>
      <c r="J178" s="77"/>
      <c r="K178" s="77"/>
      <c r="L178" s="77"/>
      <c r="M178" s="98"/>
      <c r="N178" s="77"/>
      <c r="O178" s="77"/>
      <c r="P178" s="77"/>
    </row>
    <row r="179" spans="1:16" ht="15.75" customHeight="1">
      <c r="A179" s="96"/>
      <c r="B179" s="75"/>
      <c r="C179" s="77"/>
      <c r="D179" s="75"/>
      <c r="E179" s="97"/>
      <c r="F179" s="77"/>
      <c r="G179" s="75"/>
      <c r="H179" s="97"/>
      <c r="I179" s="77"/>
      <c r="J179" s="77"/>
      <c r="K179" s="77"/>
      <c r="L179" s="77"/>
      <c r="M179" s="98"/>
      <c r="N179" s="77"/>
      <c r="O179" s="77"/>
      <c r="P179" s="77"/>
    </row>
    <row r="180" spans="1:16" ht="15.75" customHeight="1">
      <c r="A180" s="96"/>
      <c r="B180" s="75"/>
      <c r="C180" s="77"/>
      <c r="D180" s="75"/>
      <c r="E180" s="97"/>
      <c r="F180" s="77"/>
      <c r="G180" s="75"/>
      <c r="H180" s="97"/>
      <c r="I180" s="77"/>
      <c r="J180" s="77"/>
      <c r="K180" s="77"/>
      <c r="L180" s="77"/>
      <c r="M180" s="98"/>
      <c r="N180" s="77"/>
      <c r="O180" s="77"/>
      <c r="P180" s="77"/>
    </row>
    <row r="181" spans="1:16" ht="15.75" customHeight="1">
      <c r="A181" s="96"/>
      <c r="B181" s="75"/>
      <c r="C181" s="77"/>
      <c r="D181" s="75"/>
      <c r="E181" s="97"/>
      <c r="F181" s="77"/>
      <c r="G181" s="75"/>
      <c r="H181" s="97"/>
      <c r="I181" s="77"/>
      <c r="J181" s="77"/>
      <c r="K181" s="77"/>
      <c r="L181" s="77"/>
      <c r="M181" s="98"/>
      <c r="N181" s="77"/>
      <c r="O181" s="77"/>
      <c r="P181" s="77"/>
    </row>
    <row r="182" spans="1:16" ht="15.75" customHeight="1">
      <c r="A182" s="96"/>
      <c r="B182" s="75"/>
      <c r="C182" s="77"/>
      <c r="D182" s="75"/>
      <c r="E182" s="97"/>
      <c r="F182" s="77"/>
      <c r="G182" s="75"/>
      <c r="H182" s="97"/>
      <c r="I182" s="77"/>
      <c r="J182" s="77"/>
      <c r="K182" s="77"/>
      <c r="L182" s="77"/>
      <c r="M182" s="98"/>
      <c r="N182" s="77"/>
      <c r="O182" s="77"/>
      <c r="P182" s="77"/>
    </row>
    <row r="183" spans="1:16" ht="15.75" customHeight="1">
      <c r="A183" s="96"/>
      <c r="B183" s="75"/>
      <c r="C183" s="77"/>
      <c r="D183" s="75"/>
      <c r="E183" s="97"/>
      <c r="F183" s="77"/>
      <c r="G183" s="75"/>
      <c r="H183" s="97"/>
      <c r="I183" s="77"/>
      <c r="J183" s="77"/>
      <c r="K183" s="77"/>
      <c r="L183" s="77"/>
      <c r="M183" s="98"/>
      <c r="N183" s="77"/>
      <c r="O183" s="77"/>
      <c r="P183" s="77"/>
    </row>
    <row r="184" spans="1:16" ht="15.75" customHeight="1">
      <c r="A184" s="96"/>
      <c r="B184" s="75"/>
      <c r="C184" s="77"/>
      <c r="D184" s="75"/>
      <c r="E184" s="97"/>
      <c r="F184" s="77"/>
      <c r="G184" s="75"/>
      <c r="H184" s="97"/>
      <c r="I184" s="77"/>
      <c r="J184" s="77"/>
      <c r="K184" s="77"/>
      <c r="L184" s="77"/>
      <c r="M184" s="98"/>
      <c r="N184" s="77"/>
      <c r="O184" s="77"/>
      <c r="P184" s="77"/>
    </row>
    <row r="185" spans="1:16" ht="15.75" customHeight="1">
      <c r="A185" s="96"/>
      <c r="B185" s="75"/>
      <c r="C185" s="77"/>
      <c r="D185" s="75"/>
      <c r="E185" s="97"/>
      <c r="F185" s="77"/>
      <c r="G185" s="75"/>
      <c r="H185" s="97"/>
      <c r="I185" s="77"/>
      <c r="J185" s="77"/>
      <c r="K185" s="77"/>
      <c r="L185" s="77"/>
      <c r="M185" s="98"/>
      <c r="N185" s="77"/>
      <c r="O185" s="77"/>
      <c r="P185" s="77"/>
    </row>
    <row r="186" spans="1:16" ht="15.75" customHeight="1">
      <c r="A186" s="96"/>
      <c r="B186" s="75"/>
      <c r="C186" s="77"/>
      <c r="D186" s="75"/>
      <c r="E186" s="97"/>
      <c r="F186" s="77"/>
      <c r="G186" s="75"/>
      <c r="H186" s="97"/>
      <c r="I186" s="77"/>
      <c r="J186" s="77"/>
      <c r="K186" s="77"/>
      <c r="L186" s="77"/>
      <c r="M186" s="98"/>
      <c r="N186" s="77"/>
      <c r="O186" s="77"/>
      <c r="P186" s="77"/>
    </row>
    <row r="187" spans="1:16" ht="15.75" customHeight="1">
      <c r="A187" s="96"/>
      <c r="B187" s="75"/>
      <c r="C187" s="77"/>
      <c r="D187" s="75"/>
      <c r="E187" s="97"/>
      <c r="F187" s="77"/>
      <c r="G187" s="75"/>
      <c r="H187" s="97"/>
      <c r="I187" s="77"/>
      <c r="J187" s="77"/>
      <c r="K187" s="77"/>
      <c r="L187" s="77"/>
      <c r="M187" s="98"/>
      <c r="N187" s="77"/>
      <c r="O187" s="77"/>
      <c r="P187" s="77"/>
    </row>
    <row r="188" spans="1:16" ht="15.75" customHeight="1">
      <c r="A188" s="96"/>
      <c r="B188" s="75"/>
      <c r="C188" s="77"/>
      <c r="D188" s="75"/>
      <c r="E188" s="97"/>
      <c r="F188" s="77"/>
      <c r="G188" s="75"/>
      <c r="H188" s="97"/>
      <c r="I188" s="77"/>
      <c r="J188" s="77"/>
      <c r="K188" s="77"/>
      <c r="L188" s="77"/>
      <c r="M188" s="98"/>
      <c r="N188" s="77"/>
      <c r="O188" s="77"/>
      <c r="P188" s="77"/>
    </row>
    <row r="189" spans="1:16" ht="15.75" customHeight="1">
      <c r="A189" s="96"/>
      <c r="B189" s="75"/>
      <c r="C189" s="77"/>
      <c r="D189" s="75"/>
      <c r="E189" s="97"/>
      <c r="F189" s="77"/>
      <c r="G189" s="75"/>
      <c r="H189" s="97"/>
      <c r="I189" s="77"/>
      <c r="J189" s="77"/>
      <c r="K189" s="77"/>
      <c r="L189" s="77"/>
      <c r="M189" s="98"/>
      <c r="N189" s="77"/>
      <c r="O189" s="77"/>
      <c r="P189" s="77"/>
    </row>
    <row r="190" spans="1:16" ht="15.75" customHeight="1">
      <c r="A190" s="96"/>
      <c r="B190" s="75"/>
      <c r="C190" s="77"/>
      <c r="D190" s="75"/>
      <c r="E190" s="97"/>
      <c r="F190" s="77"/>
      <c r="G190" s="75"/>
      <c r="H190" s="97"/>
      <c r="I190" s="77"/>
      <c r="J190" s="77"/>
      <c r="K190" s="77"/>
      <c r="L190" s="77"/>
      <c r="M190" s="98"/>
      <c r="N190" s="77"/>
      <c r="O190" s="77"/>
      <c r="P190" s="77"/>
    </row>
    <row r="191" spans="1:16" ht="15.75" customHeight="1">
      <c r="A191" s="96"/>
      <c r="B191" s="75"/>
      <c r="C191" s="77"/>
      <c r="D191" s="75"/>
      <c r="E191" s="97"/>
      <c r="F191" s="77"/>
      <c r="G191" s="75"/>
      <c r="H191" s="97"/>
      <c r="I191" s="77"/>
      <c r="J191" s="77"/>
      <c r="K191" s="77"/>
      <c r="L191" s="77"/>
      <c r="M191" s="98"/>
      <c r="N191" s="77"/>
      <c r="O191" s="77"/>
      <c r="P191" s="77"/>
    </row>
    <row r="192" spans="1:16" ht="15.75" customHeight="1">
      <c r="A192" s="96"/>
      <c r="B192" s="75"/>
      <c r="C192" s="77"/>
      <c r="D192" s="75"/>
      <c r="E192" s="97"/>
      <c r="F192" s="77"/>
      <c r="G192" s="75"/>
      <c r="H192" s="97"/>
      <c r="I192" s="77"/>
      <c r="J192" s="77"/>
      <c r="K192" s="77"/>
      <c r="L192" s="77"/>
      <c r="M192" s="98"/>
      <c r="N192" s="77"/>
      <c r="O192" s="77"/>
      <c r="P192" s="77"/>
    </row>
    <row r="193" spans="1:16" ht="15.75" customHeight="1">
      <c r="A193" s="96"/>
      <c r="B193" s="75"/>
      <c r="C193" s="77"/>
      <c r="D193" s="75"/>
      <c r="E193" s="97"/>
      <c r="F193" s="77"/>
      <c r="G193" s="75"/>
      <c r="H193" s="97"/>
      <c r="I193" s="77"/>
      <c r="J193" s="77"/>
      <c r="K193" s="77"/>
      <c r="L193" s="77"/>
      <c r="M193" s="98"/>
      <c r="N193" s="77"/>
      <c r="O193" s="77"/>
      <c r="P193" s="77"/>
    </row>
    <row r="194" spans="1:16" ht="15.75" customHeight="1">
      <c r="A194" s="96"/>
      <c r="B194" s="75"/>
      <c r="C194" s="77"/>
      <c r="D194" s="75"/>
      <c r="E194" s="97"/>
      <c r="F194" s="77"/>
      <c r="G194" s="75"/>
      <c r="H194" s="97"/>
      <c r="I194" s="77"/>
      <c r="J194" s="77"/>
      <c r="K194" s="77"/>
      <c r="L194" s="77"/>
      <c r="M194" s="98"/>
      <c r="N194" s="77"/>
      <c r="O194" s="77"/>
      <c r="P194" s="77"/>
    </row>
    <row r="195" spans="1:16" ht="15.75" customHeight="1">
      <c r="A195" s="96"/>
      <c r="B195" s="75"/>
      <c r="C195" s="77"/>
      <c r="D195" s="75"/>
      <c r="E195" s="97"/>
      <c r="F195" s="77"/>
      <c r="G195" s="75"/>
      <c r="H195" s="97"/>
      <c r="I195" s="77"/>
      <c r="J195" s="77"/>
      <c r="K195" s="77"/>
      <c r="L195" s="77"/>
      <c r="M195" s="98"/>
      <c r="N195" s="77"/>
      <c r="O195" s="77"/>
      <c r="P195" s="77"/>
    </row>
    <row r="196" spans="1:16" ht="15.75" customHeight="1">
      <c r="A196" s="96"/>
      <c r="B196" s="75"/>
      <c r="C196" s="77"/>
      <c r="D196" s="75"/>
      <c r="E196" s="97"/>
      <c r="F196" s="77"/>
      <c r="G196" s="75"/>
      <c r="H196" s="97"/>
      <c r="I196" s="77"/>
      <c r="J196" s="77"/>
      <c r="K196" s="77"/>
      <c r="L196" s="77"/>
      <c r="M196" s="98"/>
      <c r="N196" s="77"/>
      <c r="O196" s="77"/>
      <c r="P196" s="77"/>
    </row>
    <row r="197" spans="1:16" ht="15.75" customHeight="1">
      <c r="A197" s="96"/>
      <c r="B197" s="75"/>
      <c r="C197" s="77"/>
      <c r="D197" s="75"/>
      <c r="E197" s="97"/>
      <c r="F197" s="77"/>
      <c r="G197" s="75"/>
      <c r="H197" s="97"/>
      <c r="I197" s="77"/>
      <c r="J197" s="77"/>
      <c r="K197" s="77"/>
      <c r="L197" s="77"/>
      <c r="M197" s="98"/>
      <c r="N197" s="77"/>
      <c r="O197" s="77"/>
      <c r="P197" s="77"/>
    </row>
    <row r="198" spans="1:16" ht="15.75" customHeight="1">
      <c r="A198" s="96"/>
      <c r="B198" s="75"/>
      <c r="C198" s="77"/>
      <c r="D198" s="75"/>
      <c r="E198" s="97"/>
      <c r="F198" s="77"/>
      <c r="G198" s="75"/>
      <c r="H198" s="97"/>
      <c r="I198" s="77"/>
      <c r="J198" s="77"/>
      <c r="K198" s="77"/>
      <c r="L198" s="77"/>
      <c r="M198" s="98"/>
      <c r="N198" s="77"/>
      <c r="O198" s="77"/>
      <c r="P198" s="77"/>
    </row>
    <row r="199" spans="1:16" ht="15.75" customHeight="1">
      <c r="A199" s="96"/>
      <c r="B199" s="75"/>
      <c r="C199" s="77"/>
      <c r="D199" s="75"/>
      <c r="E199" s="97"/>
      <c r="F199" s="77"/>
      <c r="G199" s="75"/>
      <c r="H199" s="97"/>
      <c r="I199" s="77"/>
      <c r="J199" s="77"/>
      <c r="K199" s="77"/>
      <c r="L199" s="77"/>
      <c r="M199" s="98"/>
      <c r="N199" s="77"/>
      <c r="O199" s="77"/>
      <c r="P199" s="77"/>
    </row>
    <row r="200" spans="1:16" ht="15.75" customHeight="1">
      <c r="A200" s="96"/>
      <c r="B200" s="75"/>
      <c r="C200" s="77"/>
      <c r="D200" s="75"/>
      <c r="E200" s="97"/>
      <c r="F200" s="77"/>
      <c r="G200" s="75"/>
      <c r="H200" s="97"/>
      <c r="I200" s="77"/>
      <c r="J200" s="77"/>
      <c r="K200" s="77"/>
      <c r="L200" s="77"/>
      <c r="M200" s="98"/>
      <c r="N200" s="77"/>
      <c r="O200" s="77"/>
      <c r="P200" s="77"/>
    </row>
    <row r="201" spans="1:16" ht="15.75" customHeight="1">
      <c r="A201" s="96"/>
      <c r="B201" s="75"/>
      <c r="C201" s="77"/>
      <c r="D201" s="75"/>
      <c r="E201" s="97"/>
      <c r="F201" s="77"/>
      <c r="G201" s="75"/>
      <c r="H201" s="97"/>
      <c r="I201" s="77"/>
      <c r="J201" s="77"/>
      <c r="K201" s="77"/>
      <c r="L201" s="77"/>
      <c r="M201" s="98"/>
      <c r="N201" s="77"/>
      <c r="O201" s="77"/>
      <c r="P201" s="77"/>
    </row>
    <row r="202" spans="1:16" ht="15.75" customHeight="1">
      <c r="A202" s="96"/>
      <c r="B202" s="75"/>
      <c r="C202" s="77"/>
      <c r="D202" s="75"/>
      <c r="E202" s="97"/>
      <c r="F202" s="77"/>
      <c r="G202" s="75"/>
      <c r="H202" s="97"/>
      <c r="I202" s="77"/>
      <c r="J202" s="77"/>
      <c r="K202" s="77"/>
      <c r="L202" s="77"/>
      <c r="M202" s="98"/>
      <c r="N202" s="77"/>
      <c r="O202" s="77"/>
      <c r="P202" s="77"/>
    </row>
    <row r="203" spans="1:16" ht="15.75" customHeight="1">
      <c r="A203" s="96"/>
      <c r="B203" s="75"/>
      <c r="C203" s="77"/>
      <c r="D203" s="75"/>
      <c r="E203" s="97"/>
      <c r="F203" s="77"/>
      <c r="G203" s="75"/>
      <c r="H203" s="97"/>
      <c r="I203" s="77"/>
      <c r="J203" s="77"/>
      <c r="K203" s="77"/>
      <c r="L203" s="77"/>
      <c r="M203" s="98"/>
      <c r="N203" s="77"/>
      <c r="O203" s="77"/>
      <c r="P203" s="77"/>
    </row>
    <row r="204" spans="1:16" ht="15.75" customHeight="1">
      <c r="A204" s="96"/>
      <c r="B204" s="75"/>
      <c r="C204" s="77"/>
      <c r="D204" s="75"/>
      <c r="E204" s="97"/>
      <c r="F204" s="77"/>
      <c r="G204" s="75"/>
      <c r="H204" s="97"/>
      <c r="I204" s="77"/>
      <c r="J204" s="77"/>
      <c r="K204" s="77"/>
      <c r="L204" s="77"/>
      <c r="M204" s="98"/>
      <c r="N204" s="77"/>
      <c r="O204" s="77"/>
      <c r="P204" s="77"/>
    </row>
    <row r="205" spans="1:16" ht="15.75" customHeight="1">
      <c r="A205" s="96"/>
      <c r="B205" s="75"/>
      <c r="C205" s="77"/>
      <c r="D205" s="75"/>
      <c r="E205" s="97"/>
      <c r="F205" s="77"/>
      <c r="G205" s="75"/>
      <c r="H205" s="97"/>
      <c r="I205" s="77"/>
      <c r="J205" s="77"/>
      <c r="K205" s="77"/>
      <c r="L205" s="77"/>
      <c r="M205" s="98"/>
      <c r="N205" s="77"/>
      <c r="O205" s="77"/>
      <c r="P205" s="77"/>
    </row>
    <row r="206" spans="1:16" ht="15.75" customHeight="1">
      <c r="A206" s="96"/>
      <c r="B206" s="75"/>
      <c r="C206" s="77"/>
      <c r="D206" s="75"/>
      <c r="E206" s="97"/>
      <c r="F206" s="77"/>
      <c r="G206" s="75"/>
      <c r="H206" s="97"/>
      <c r="I206" s="77"/>
      <c r="J206" s="77"/>
      <c r="K206" s="77"/>
      <c r="L206" s="77"/>
      <c r="M206" s="98"/>
      <c r="N206" s="77"/>
      <c r="O206" s="77"/>
      <c r="P206" s="77"/>
    </row>
    <row r="207" spans="1:16" ht="15.75" customHeight="1">
      <c r="A207" s="96"/>
      <c r="B207" s="75"/>
      <c r="C207" s="77"/>
      <c r="D207" s="75"/>
      <c r="E207" s="97"/>
      <c r="F207" s="77"/>
      <c r="G207" s="75"/>
      <c r="H207" s="97"/>
      <c r="I207" s="77"/>
      <c r="J207" s="77"/>
      <c r="K207" s="77"/>
      <c r="L207" s="77"/>
      <c r="M207" s="98"/>
      <c r="N207" s="77"/>
      <c r="O207" s="77"/>
      <c r="P207" s="77"/>
    </row>
    <row r="208" spans="1:16" ht="15.75" customHeight="1">
      <c r="A208" s="96"/>
      <c r="B208" s="75"/>
      <c r="C208" s="77"/>
      <c r="D208" s="75"/>
      <c r="E208" s="97"/>
      <c r="F208" s="77"/>
      <c r="G208" s="75"/>
      <c r="H208" s="97"/>
      <c r="I208" s="77"/>
      <c r="J208" s="77"/>
      <c r="K208" s="77"/>
      <c r="L208" s="77"/>
      <c r="M208" s="98"/>
      <c r="N208" s="77"/>
      <c r="O208" s="77"/>
      <c r="P208" s="77"/>
    </row>
    <row r="209" spans="1:16" ht="15.75" customHeight="1">
      <c r="A209" s="96"/>
      <c r="B209" s="75"/>
      <c r="C209" s="77"/>
      <c r="D209" s="75"/>
      <c r="E209" s="97"/>
      <c r="F209" s="77"/>
      <c r="G209" s="75"/>
      <c r="H209" s="97"/>
      <c r="I209" s="77"/>
      <c r="J209" s="77"/>
      <c r="K209" s="77"/>
      <c r="L209" s="77"/>
      <c r="M209" s="98"/>
      <c r="N209" s="77"/>
      <c r="O209" s="77"/>
      <c r="P209" s="77"/>
    </row>
    <row r="210" spans="1:16" ht="15.75" customHeight="1">
      <c r="A210" s="96"/>
      <c r="B210" s="75"/>
      <c r="C210" s="77"/>
      <c r="D210" s="75"/>
      <c r="E210" s="97"/>
      <c r="F210" s="77"/>
      <c r="G210" s="75"/>
      <c r="H210" s="97"/>
      <c r="I210" s="77"/>
      <c r="J210" s="77"/>
      <c r="K210" s="77"/>
      <c r="L210" s="77"/>
      <c r="M210" s="98"/>
      <c r="N210" s="77"/>
      <c r="O210" s="77"/>
      <c r="P210" s="77"/>
    </row>
    <row r="211" spans="1:16" ht="15.75" customHeight="1">
      <c r="A211" s="96"/>
      <c r="B211" s="75"/>
      <c r="C211" s="77"/>
      <c r="D211" s="75"/>
      <c r="E211" s="97"/>
      <c r="F211" s="77"/>
      <c r="G211" s="75"/>
      <c r="H211" s="97"/>
      <c r="I211" s="77"/>
      <c r="J211" s="77"/>
      <c r="K211" s="77"/>
      <c r="L211" s="77"/>
      <c r="M211" s="98"/>
      <c r="N211" s="77"/>
      <c r="O211" s="77"/>
      <c r="P211" s="77"/>
    </row>
    <row r="212" spans="1:16" ht="15.75" customHeight="1">
      <c r="A212" s="96"/>
      <c r="B212" s="75"/>
      <c r="C212" s="77"/>
      <c r="D212" s="75"/>
      <c r="E212" s="97"/>
      <c r="F212" s="77"/>
      <c r="G212" s="75"/>
      <c r="H212" s="97"/>
      <c r="I212" s="77"/>
      <c r="J212" s="77"/>
      <c r="K212" s="77"/>
      <c r="L212" s="77"/>
      <c r="M212" s="98"/>
      <c r="N212" s="77"/>
      <c r="O212" s="77"/>
      <c r="P212" s="77"/>
    </row>
    <row r="213" spans="1:16" ht="15.75" customHeight="1">
      <c r="A213" s="96"/>
      <c r="B213" s="75"/>
      <c r="C213" s="77"/>
      <c r="D213" s="75"/>
      <c r="E213" s="97"/>
      <c r="F213" s="77"/>
      <c r="G213" s="75"/>
      <c r="H213" s="97"/>
      <c r="I213" s="77"/>
      <c r="J213" s="77"/>
      <c r="K213" s="77"/>
      <c r="L213" s="77"/>
      <c r="M213" s="98"/>
      <c r="N213" s="77"/>
      <c r="O213" s="77"/>
      <c r="P213" s="77"/>
    </row>
    <row r="214" spans="1:16" ht="15.75" customHeight="1">
      <c r="A214" s="96"/>
      <c r="B214" s="75"/>
      <c r="C214" s="77"/>
      <c r="D214" s="75"/>
      <c r="E214" s="97"/>
      <c r="F214" s="77"/>
      <c r="G214" s="75"/>
      <c r="H214" s="97"/>
      <c r="I214" s="77"/>
      <c r="J214" s="77"/>
      <c r="K214" s="77"/>
      <c r="L214" s="77"/>
      <c r="M214" s="98"/>
      <c r="N214" s="77"/>
      <c r="O214" s="77"/>
      <c r="P214" s="77"/>
    </row>
    <row r="215" spans="1:16" ht="15.75" customHeight="1">
      <c r="A215" s="96"/>
      <c r="B215" s="75"/>
      <c r="C215" s="77"/>
      <c r="D215" s="75"/>
      <c r="E215" s="97"/>
      <c r="F215" s="77"/>
      <c r="G215" s="75"/>
      <c r="H215" s="97"/>
      <c r="I215" s="77"/>
      <c r="J215" s="77"/>
      <c r="K215" s="77"/>
      <c r="L215" s="77"/>
      <c r="M215" s="98"/>
      <c r="N215" s="77"/>
      <c r="O215" s="77"/>
      <c r="P215" s="77"/>
    </row>
    <row r="216" spans="1:16" ht="15.75" customHeight="1">
      <c r="A216" s="96"/>
      <c r="B216" s="75"/>
      <c r="C216" s="77"/>
      <c r="D216" s="75"/>
      <c r="E216" s="97"/>
      <c r="F216" s="77"/>
      <c r="G216" s="75"/>
      <c r="H216" s="97"/>
      <c r="I216" s="77"/>
      <c r="J216" s="77"/>
      <c r="K216" s="77"/>
      <c r="L216" s="77"/>
      <c r="M216" s="98"/>
      <c r="N216" s="77"/>
      <c r="O216" s="77"/>
      <c r="P216" s="77"/>
    </row>
    <row r="217" spans="1:16" ht="15.75" customHeight="1">
      <c r="A217" s="96"/>
      <c r="B217" s="75"/>
      <c r="C217" s="77"/>
      <c r="D217" s="75"/>
      <c r="E217" s="97"/>
      <c r="F217" s="77"/>
      <c r="G217" s="75"/>
      <c r="H217" s="97"/>
      <c r="I217" s="77"/>
      <c r="J217" s="77"/>
      <c r="K217" s="77"/>
      <c r="L217" s="77"/>
      <c r="M217" s="98"/>
      <c r="N217" s="77"/>
      <c r="O217" s="77"/>
      <c r="P217" s="77"/>
    </row>
    <row r="218" spans="1:16" ht="15.75" customHeight="1">
      <c r="A218" s="96"/>
      <c r="B218" s="75"/>
      <c r="C218" s="77"/>
      <c r="D218" s="75"/>
      <c r="E218" s="97"/>
      <c r="F218" s="77"/>
      <c r="G218" s="75"/>
      <c r="H218" s="97"/>
      <c r="I218" s="77"/>
      <c r="J218" s="77"/>
      <c r="K218" s="77"/>
      <c r="L218" s="77"/>
      <c r="M218" s="98"/>
      <c r="N218" s="77"/>
      <c r="O218" s="77"/>
      <c r="P218" s="77"/>
    </row>
    <row r="219" spans="1:16" ht="15.75" customHeight="1">
      <c r="A219" s="96"/>
      <c r="B219" s="75"/>
      <c r="C219" s="77"/>
      <c r="D219" s="75"/>
      <c r="E219" s="97"/>
      <c r="F219" s="77"/>
      <c r="G219" s="75"/>
      <c r="H219" s="97"/>
      <c r="I219" s="77"/>
      <c r="J219" s="77"/>
      <c r="K219" s="77"/>
      <c r="L219" s="77"/>
      <c r="M219" s="98"/>
      <c r="N219" s="77"/>
      <c r="O219" s="77"/>
      <c r="P219" s="77"/>
    </row>
    <row r="220" spans="1:16" ht="15.75" customHeight="1">
      <c r="A220" s="96"/>
      <c r="B220" s="75"/>
      <c r="C220" s="77"/>
      <c r="D220" s="75"/>
      <c r="E220" s="97"/>
      <c r="F220" s="77"/>
      <c r="G220" s="75"/>
      <c r="H220" s="97"/>
      <c r="I220" s="77"/>
      <c r="J220" s="77"/>
      <c r="K220" s="77"/>
      <c r="L220" s="77"/>
      <c r="M220" s="98"/>
      <c r="N220" s="77"/>
      <c r="O220" s="77"/>
      <c r="P220" s="77"/>
    </row>
    <row r="221" spans="1:16" ht="15.75" customHeight="1">
      <c r="A221" s="96"/>
      <c r="B221" s="75"/>
      <c r="C221" s="77"/>
      <c r="D221" s="75"/>
      <c r="E221" s="97"/>
      <c r="F221" s="77"/>
      <c r="G221" s="75"/>
      <c r="H221" s="97"/>
      <c r="I221" s="77"/>
      <c r="J221" s="77"/>
      <c r="K221" s="77"/>
      <c r="L221" s="77"/>
      <c r="M221" s="98"/>
      <c r="N221" s="77"/>
      <c r="O221" s="77"/>
      <c r="P221" s="77"/>
    </row>
    <row r="222" spans="1:16" ht="15.75" customHeight="1">
      <c r="A222" s="96"/>
      <c r="B222" s="75"/>
      <c r="C222" s="77"/>
      <c r="D222" s="75"/>
      <c r="E222" s="97"/>
      <c r="F222" s="77"/>
      <c r="G222" s="75"/>
      <c r="H222" s="97"/>
      <c r="I222" s="77"/>
      <c r="J222" s="77"/>
      <c r="K222" s="77"/>
      <c r="L222" s="77"/>
      <c r="M222" s="98"/>
      <c r="N222" s="77"/>
      <c r="O222" s="77"/>
      <c r="P222" s="77"/>
    </row>
    <row r="223" spans="1:16" ht="15.75" customHeight="1">
      <c r="A223" s="96"/>
      <c r="B223" s="75"/>
      <c r="C223" s="77"/>
      <c r="D223" s="75"/>
      <c r="E223" s="97"/>
      <c r="F223" s="77"/>
      <c r="G223" s="75"/>
      <c r="H223" s="97"/>
      <c r="I223" s="77"/>
      <c r="J223" s="77"/>
      <c r="K223" s="77"/>
      <c r="L223" s="77"/>
      <c r="M223" s="98"/>
      <c r="N223" s="77"/>
      <c r="O223" s="77"/>
      <c r="P223" s="77"/>
    </row>
    <row r="224" spans="1:16" ht="15.75" customHeight="1">
      <c r="A224" s="96"/>
      <c r="B224" s="75"/>
      <c r="C224" s="77"/>
      <c r="D224" s="75"/>
      <c r="E224" s="97"/>
      <c r="F224" s="77"/>
      <c r="G224" s="75"/>
      <c r="H224" s="97"/>
      <c r="I224" s="77"/>
      <c r="J224" s="77"/>
      <c r="K224" s="77"/>
      <c r="L224" s="77"/>
      <c r="M224" s="98"/>
      <c r="N224" s="77"/>
      <c r="O224" s="77"/>
      <c r="P224" s="77"/>
    </row>
    <row r="225" spans="1:16" ht="15.75" customHeight="1">
      <c r="A225" s="96"/>
      <c r="B225" s="75"/>
      <c r="C225" s="77"/>
      <c r="D225" s="75"/>
      <c r="E225" s="97"/>
      <c r="F225" s="77"/>
      <c r="G225" s="75"/>
      <c r="H225" s="97"/>
      <c r="I225" s="77"/>
      <c r="J225" s="77"/>
      <c r="K225" s="77"/>
      <c r="L225" s="77"/>
      <c r="M225" s="98"/>
      <c r="N225" s="77"/>
      <c r="O225" s="77"/>
      <c r="P225" s="77"/>
    </row>
    <row r="226" spans="1:16" ht="15.75" customHeight="1">
      <c r="A226" s="96"/>
      <c r="B226" s="75"/>
      <c r="C226" s="77"/>
      <c r="D226" s="75"/>
      <c r="E226" s="97"/>
      <c r="F226" s="77"/>
      <c r="G226" s="75"/>
      <c r="H226" s="97"/>
      <c r="I226" s="77"/>
      <c r="J226" s="77"/>
      <c r="K226" s="77"/>
      <c r="L226" s="77"/>
      <c r="M226" s="98"/>
      <c r="N226" s="77"/>
      <c r="O226" s="77"/>
      <c r="P226" s="77"/>
    </row>
    <row r="227" spans="1:16" ht="15.75" customHeight="1">
      <c r="A227" s="96"/>
      <c r="B227" s="75"/>
      <c r="C227" s="77"/>
      <c r="D227" s="75"/>
      <c r="E227" s="97"/>
      <c r="F227" s="77"/>
      <c r="G227" s="75"/>
      <c r="H227" s="97"/>
      <c r="I227" s="77"/>
      <c r="J227" s="77"/>
      <c r="K227" s="77"/>
      <c r="L227" s="77"/>
      <c r="M227" s="98"/>
      <c r="N227" s="77"/>
      <c r="O227" s="77"/>
      <c r="P227" s="77"/>
    </row>
    <row r="228" spans="1:16" ht="15.75" customHeight="1">
      <c r="A228" s="96"/>
      <c r="B228" s="75"/>
      <c r="C228" s="77"/>
      <c r="D228" s="75"/>
      <c r="E228" s="97"/>
      <c r="F228" s="77"/>
      <c r="G228" s="75"/>
      <c r="H228" s="97"/>
      <c r="I228" s="77"/>
      <c r="J228" s="77"/>
      <c r="K228" s="77"/>
      <c r="L228" s="77"/>
      <c r="M228" s="98"/>
      <c r="N228" s="77"/>
      <c r="O228" s="77"/>
      <c r="P228" s="77"/>
    </row>
    <row r="229" spans="1:16" ht="15.75" customHeight="1">
      <c r="A229" s="96"/>
      <c r="B229" s="75"/>
      <c r="C229" s="77"/>
      <c r="D229" s="75"/>
      <c r="E229" s="97"/>
      <c r="F229" s="77"/>
      <c r="G229" s="75"/>
      <c r="H229" s="97"/>
      <c r="I229" s="77"/>
      <c r="J229" s="77"/>
      <c r="K229" s="77"/>
      <c r="L229" s="77"/>
      <c r="M229" s="98"/>
      <c r="N229" s="77"/>
      <c r="O229" s="77"/>
      <c r="P229" s="77"/>
    </row>
    <row r="230" spans="1:16" ht="15.75" customHeight="1">
      <c r="A230" s="96"/>
      <c r="B230" s="75"/>
      <c r="C230" s="77"/>
      <c r="D230" s="75"/>
      <c r="E230" s="97"/>
      <c r="F230" s="77"/>
      <c r="G230" s="75"/>
      <c r="H230" s="97"/>
      <c r="I230" s="77"/>
      <c r="J230" s="77"/>
      <c r="K230" s="77"/>
      <c r="L230" s="77"/>
      <c r="M230" s="98"/>
      <c r="N230" s="77"/>
      <c r="O230" s="77"/>
      <c r="P230" s="77"/>
    </row>
    <row r="231" spans="1:16" ht="15.75" customHeight="1">
      <c r="A231" s="96"/>
      <c r="B231" s="75"/>
      <c r="C231" s="77"/>
      <c r="D231" s="75"/>
      <c r="E231" s="97"/>
      <c r="F231" s="77"/>
      <c r="G231" s="75"/>
      <c r="H231" s="97"/>
      <c r="I231" s="77"/>
      <c r="J231" s="77"/>
      <c r="K231" s="77"/>
      <c r="L231" s="77"/>
      <c r="M231" s="98"/>
      <c r="N231" s="77"/>
      <c r="O231" s="77"/>
      <c r="P231" s="77"/>
    </row>
    <row r="232" spans="1:16" ht="15.75" customHeight="1">
      <c r="A232" s="96"/>
      <c r="B232" s="75"/>
      <c r="C232" s="77"/>
      <c r="D232" s="75"/>
      <c r="E232" s="97"/>
      <c r="F232" s="77"/>
      <c r="G232" s="75"/>
      <c r="H232" s="97"/>
      <c r="I232" s="77"/>
      <c r="J232" s="77"/>
      <c r="K232" s="77"/>
      <c r="L232" s="77"/>
      <c r="M232" s="98"/>
      <c r="N232" s="77"/>
      <c r="O232" s="77"/>
      <c r="P232" s="77"/>
    </row>
    <row r="233" spans="1:16" ht="15.75" customHeight="1">
      <c r="A233" s="96"/>
      <c r="B233" s="75"/>
      <c r="C233" s="77"/>
      <c r="D233" s="75"/>
      <c r="E233" s="97"/>
      <c r="F233" s="77"/>
      <c r="G233" s="75"/>
      <c r="H233" s="97"/>
      <c r="I233" s="77"/>
      <c r="J233" s="77"/>
      <c r="K233" s="77"/>
      <c r="L233" s="77"/>
      <c r="M233" s="98"/>
      <c r="N233" s="77"/>
      <c r="O233" s="77"/>
      <c r="P233" s="77"/>
    </row>
    <row r="234" spans="1:16" ht="15.75" customHeight="1">
      <c r="A234" s="96"/>
      <c r="B234" s="75"/>
      <c r="C234" s="77"/>
      <c r="D234" s="75"/>
      <c r="E234" s="97"/>
      <c r="F234" s="77"/>
      <c r="G234" s="75"/>
      <c r="H234" s="97"/>
      <c r="I234" s="77"/>
      <c r="J234" s="77"/>
      <c r="K234" s="77"/>
      <c r="L234" s="77"/>
      <c r="M234" s="98"/>
      <c r="N234" s="77"/>
      <c r="O234" s="77"/>
      <c r="P234" s="77"/>
    </row>
    <row r="235" spans="1:16" ht="15.75" customHeight="1">
      <c r="A235" s="96"/>
      <c r="B235" s="75"/>
      <c r="C235" s="77"/>
      <c r="D235" s="75"/>
      <c r="E235" s="97"/>
      <c r="F235" s="77"/>
      <c r="G235" s="75"/>
      <c r="H235" s="97"/>
      <c r="I235" s="77"/>
      <c r="J235" s="77"/>
      <c r="K235" s="77"/>
      <c r="L235" s="77"/>
      <c r="M235" s="98"/>
      <c r="N235" s="77"/>
      <c r="O235" s="77"/>
      <c r="P235" s="77"/>
    </row>
    <row r="236" spans="1:16" ht="15.75" customHeight="1">
      <c r="A236" s="96"/>
      <c r="B236" s="75"/>
      <c r="C236" s="77"/>
      <c r="D236" s="75"/>
      <c r="E236" s="97"/>
      <c r="F236" s="77"/>
      <c r="G236" s="75"/>
      <c r="H236" s="97"/>
      <c r="I236" s="77"/>
      <c r="J236" s="77"/>
      <c r="K236" s="77"/>
      <c r="L236" s="77"/>
      <c r="M236" s="98"/>
      <c r="N236" s="77"/>
      <c r="O236" s="77"/>
      <c r="P236" s="77"/>
    </row>
    <row r="237" spans="1:16" ht="15.75" customHeight="1">
      <c r="A237" s="96"/>
      <c r="B237" s="75"/>
      <c r="C237" s="77"/>
      <c r="D237" s="75"/>
      <c r="E237" s="97"/>
      <c r="F237" s="77"/>
      <c r="G237" s="75"/>
      <c r="H237" s="97"/>
      <c r="I237" s="77"/>
      <c r="J237" s="77"/>
      <c r="K237" s="77"/>
      <c r="L237" s="77"/>
      <c r="M237" s="98"/>
      <c r="N237" s="77"/>
      <c r="O237" s="77"/>
      <c r="P237" s="77"/>
    </row>
    <row r="238" spans="1:16" ht="15.75" customHeight="1">
      <c r="A238" s="96"/>
      <c r="B238" s="75"/>
      <c r="C238" s="77"/>
      <c r="D238" s="75"/>
      <c r="E238" s="97"/>
      <c r="F238" s="77"/>
      <c r="G238" s="75"/>
      <c r="H238" s="97"/>
      <c r="I238" s="77"/>
      <c r="J238" s="77"/>
      <c r="K238" s="77"/>
      <c r="L238" s="77"/>
      <c r="M238" s="98"/>
      <c r="N238" s="77"/>
      <c r="O238" s="77"/>
      <c r="P238" s="77"/>
    </row>
    <row r="239" spans="1:16" ht="15.75" customHeight="1">
      <c r="A239" s="96"/>
      <c r="B239" s="75"/>
      <c r="C239" s="77"/>
      <c r="D239" s="75"/>
      <c r="E239" s="97"/>
      <c r="F239" s="77"/>
      <c r="G239" s="75"/>
      <c r="H239" s="97"/>
      <c r="I239" s="77"/>
      <c r="J239" s="77"/>
      <c r="K239" s="77"/>
      <c r="L239" s="77"/>
      <c r="M239" s="98"/>
      <c r="N239" s="77"/>
      <c r="O239" s="77"/>
      <c r="P239" s="77"/>
    </row>
    <row r="240" spans="1:16" ht="15.75" customHeight="1">
      <c r="A240" s="96"/>
      <c r="B240" s="75"/>
      <c r="C240" s="77"/>
      <c r="D240" s="75"/>
      <c r="E240" s="97"/>
      <c r="F240" s="77"/>
      <c r="G240" s="75"/>
      <c r="H240" s="97"/>
      <c r="I240" s="77"/>
      <c r="J240" s="77"/>
      <c r="K240" s="77"/>
      <c r="L240" s="77"/>
      <c r="M240" s="98"/>
      <c r="N240" s="77"/>
      <c r="O240" s="77"/>
      <c r="P240" s="77"/>
    </row>
    <row r="241" spans="1:16" ht="15.75" customHeight="1">
      <c r="A241" s="96"/>
      <c r="B241" s="75"/>
      <c r="C241" s="77"/>
      <c r="D241" s="75"/>
      <c r="E241" s="97"/>
      <c r="F241" s="77"/>
      <c r="G241" s="75"/>
      <c r="H241" s="97"/>
      <c r="I241" s="77"/>
      <c r="J241" s="77"/>
      <c r="K241" s="77"/>
      <c r="L241" s="77"/>
      <c r="M241" s="98"/>
      <c r="N241" s="77"/>
      <c r="O241" s="77"/>
      <c r="P241" s="77"/>
    </row>
    <row r="242" spans="1:16" ht="15.75" customHeight="1">
      <c r="A242" s="96"/>
      <c r="B242" s="75"/>
      <c r="C242" s="77"/>
      <c r="D242" s="75"/>
      <c r="E242" s="97"/>
      <c r="F242" s="77"/>
      <c r="G242" s="75"/>
      <c r="H242" s="97"/>
      <c r="I242" s="77"/>
      <c r="J242" s="77"/>
      <c r="K242" s="77"/>
      <c r="L242" s="77"/>
      <c r="M242" s="98"/>
      <c r="N242" s="77"/>
      <c r="O242" s="77"/>
      <c r="P242" s="77"/>
    </row>
    <row r="243" spans="1:16" ht="15.75" customHeight="1">
      <c r="A243" s="96"/>
      <c r="B243" s="75"/>
      <c r="C243" s="77"/>
      <c r="D243" s="75"/>
      <c r="E243" s="97"/>
      <c r="F243" s="77"/>
      <c r="G243" s="75"/>
      <c r="H243" s="97"/>
      <c r="I243" s="77"/>
      <c r="J243" s="77"/>
      <c r="K243" s="77"/>
      <c r="L243" s="77"/>
      <c r="M243" s="98"/>
      <c r="N243" s="77"/>
      <c r="O243" s="77"/>
      <c r="P243" s="77"/>
    </row>
    <row r="244" spans="1:16" ht="15.75" customHeight="1">
      <c r="A244" s="96"/>
      <c r="B244" s="75"/>
      <c r="C244" s="77"/>
      <c r="D244" s="75"/>
      <c r="E244" s="97"/>
      <c r="F244" s="77"/>
      <c r="G244" s="75"/>
      <c r="H244" s="97"/>
      <c r="I244" s="77"/>
      <c r="J244" s="77"/>
      <c r="K244" s="77"/>
      <c r="L244" s="77"/>
      <c r="M244" s="98"/>
      <c r="N244" s="77"/>
      <c r="O244" s="77"/>
      <c r="P244" s="77"/>
    </row>
    <row r="245" spans="1:16" ht="15.75" customHeight="1">
      <c r="A245" s="96"/>
      <c r="B245" s="75"/>
      <c r="C245" s="77"/>
      <c r="D245" s="75"/>
      <c r="E245" s="97"/>
      <c r="F245" s="77"/>
      <c r="G245" s="75"/>
      <c r="H245" s="97"/>
      <c r="I245" s="77"/>
      <c r="J245" s="77"/>
      <c r="K245" s="77"/>
      <c r="L245" s="77"/>
      <c r="M245" s="98"/>
      <c r="N245" s="77"/>
      <c r="O245" s="77"/>
      <c r="P245" s="77"/>
    </row>
    <row r="246" spans="1:16" ht="15.75" customHeight="1">
      <c r="A246" s="96"/>
      <c r="B246" s="75"/>
      <c r="C246" s="77"/>
      <c r="D246" s="75"/>
      <c r="E246" s="97"/>
      <c r="F246" s="77"/>
      <c r="G246" s="75"/>
      <c r="H246" s="97"/>
      <c r="I246" s="77"/>
      <c r="J246" s="77"/>
      <c r="K246" s="77"/>
      <c r="L246" s="77"/>
      <c r="M246" s="98"/>
      <c r="N246" s="77"/>
      <c r="O246" s="77"/>
      <c r="P246" s="77"/>
    </row>
    <row r="247" spans="1:16" ht="15.75" customHeight="1">
      <c r="A247" s="96"/>
      <c r="B247" s="75"/>
      <c r="C247" s="77"/>
      <c r="D247" s="75"/>
      <c r="E247" s="97"/>
      <c r="F247" s="77"/>
      <c r="G247" s="75"/>
      <c r="H247" s="97"/>
      <c r="I247" s="77"/>
      <c r="J247" s="77"/>
      <c r="K247" s="77"/>
      <c r="L247" s="77"/>
      <c r="M247" s="98"/>
      <c r="N247" s="77"/>
      <c r="O247" s="77"/>
      <c r="P247" s="77"/>
    </row>
    <row r="248" spans="1:16" ht="15.75" customHeight="1">
      <c r="A248" s="96"/>
      <c r="B248" s="75"/>
      <c r="C248" s="77"/>
      <c r="D248" s="75"/>
      <c r="E248" s="97"/>
      <c r="F248" s="77"/>
      <c r="G248" s="75"/>
      <c r="H248" s="97"/>
      <c r="I248" s="77"/>
      <c r="J248" s="77"/>
      <c r="K248" s="77"/>
      <c r="L248" s="77"/>
      <c r="M248" s="98"/>
      <c r="N248" s="77"/>
      <c r="O248" s="77"/>
      <c r="P248" s="77"/>
    </row>
    <row r="249" spans="1:16" ht="15.75" customHeight="1">
      <c r="A249" s="96"/>
      <c r="B249" s="75"/>
      <c r="C249" s="77"/>
      <c r="D249" s="75"/>
      <c r="E249" s="97"/>
      <c r="F249" s="77"/>
      <c r="G249" s="75"/>
      <c r="H249" s="97"/>
      <c r="I249" s="77"/>
      <c r="J249" s="77"/>
      <c r="K249" s="77"/>
      <c r="L249" s="77"/>
      <c r="M249" s="98"/>
      <c r="N249" s="77"/>
      <c r="O249" s="77"/>
      <c r="P249" s="77"/>
    </row>
    <row r="250" spans="1:16" ht="15.75" customHeight="1">
      <c r="A250" s="96"/>
      <c r="B250" s="75"/>
      <c r="C250" s="77"/>
      <c r="D250" s="75"/>
      <c r="E250" s="97"/>
      <c r="F250" s="77"/>
      <c r="G250" s="75"/>
      <c r="H250" s="97"/>
      <c r="I250" s="77"/>
      <c r="J250" s="77"/>
      <c r="K250" s="77"/>
      <c r="L250" s="77"/>
      <c r="M250" s="98"/>
      <c r="N250" s="77"/>
      <c r="O250" s="77"/>
      <c r="P250" s="77"/>
    </row>
    <row r="251" spans="1:16" ht="15.75" customHeight="1">
      <c r="A251" s="96"/>
      <c r="B251" s="75"/>
      <c r="C251" s="77"/>
      <c r="D251" s="75"/>
      <c r="E251" s="97"/>
      <c r="F251" s="77"/>
      <c r="G251" s="75"/>
      <c r="H251" s="97"/>
      <c r="I251" s="77"/>
      <c r="J251" s="77"/>
      <c r="K251" s="77"/>
      <c r="L251" s="77"/>
      <c r="M251" s="98"/>
      <c r="N251" s="77"/>
      <c r="O251" s="77"/>
      <c r="P251" s="77"/>
    </row>
    <row r="252" spans="1:16" ht="15.75" customHeight="1">
      <c r="A252" s="96"/>
      <c r="B252" s="75"/>
      <c r="C252" s="77"/>
      <c r="D252" s="75"/>
      <c r="E252" s="97"/>
      <c r="F252" s="77"/>
      <c r="G252" s="75"/>
      <c r="H252" s="97"/>
      <c r="I252" s="77"/>
      <c r="J252" s="77"/>
      <c r="K252" s="77"/>
      <c r="L252" s="77"/>
      <c r="M252" s="98"/>
      <c r="N252" s="77"/>
      <c r="O252" s="77"/>
      <c r="P252" s="77"/>
    </row>
    <row r="253" spans="1:16" ht="15.75" customHeight="1">
      <c r="A253" s="96"/>
      <c r="B253" s="75"/>
      <c r="C253" s="77"/>
      <c r="D253" s="75"/>
      <c r="E253" s="97"/>
      <c r="F253" s="77"/>
      <c r="G253" s="75"/>
      <c r="H253" s="97"/>
      <c r="I253" s="77"/>
      <c r="J253" s="77"/>
      <c r="K253" s="77"/>
      <c r="L253" s="77"/>
      <c r="M253" s="98"/>
      <c r="N253" s="77"/>
      <c r="O253" s="77"/>
      <c r="P253" s="77"/>
    </row>
    <row r="254" spans="1:16" ht="15.75" customHeight="1">
      <c r="A254" s="96"/>
      <c r="B254" s="75"/>
      <c r="C254" s="77"/>
      <c r="D254" s="75"/>
      <c r="E254" s="97"/>
      <c r="F254" s="77"/>
      <c r="G254" s="75"/>
      <c r="H254" s="97"/>
      <c r="I254" s="77"/>
      <c r="J254" s="77"/>
      <c r="K254" s="77"/>
      <c r="L254" s="77"/>
      <c r="M254" s="98"/>
      <c r="N254" s="77"/>
      <c r="O254" s="77"/>
      <c r="P254" s="77"/>
    </row>
    <row r="255" spans="1:16" ht="15.75" customHeight="1">
      <c r="A255" s="96"/>
      <c r="B255" s="75"/>
      <c r="C255" s="77"/>
      <c r="D255" s="75"/>
      <c r="E255" s="97"/>
      <c r="F255" s="77"/>
      <c r="G255" s="75"/>
      <c r="H255" s="97"/>
      <c r="I255" s="77"/>
      <c r="J255" s="77"/>
      <c r="K255" s="77"/>
      <c r="L255" s="77"/>
      <c r="M255" s="98"/>
      <c r="N255" s="77"/>
      <c r="O255" s="77"/>
      <c r="P255" s="77"/>
    </row>
    <row r="256" spans="1:16" ht="15.75" customHeight="1">
      <c r="A256" s="96"/>
      <c r="B256" s="75"/>
      <c r="C256" s="77"/>
      <c r="D256" s="75"/>
      <c r="E256" s="97"/>
      <c r="F256" s="77"/>
      <c r="G256" s="75"/>
      <c r="H256" s="97"/>
      <c r="I256" s="77"/>
      <c r="J256" s="77"/>
      <c r="K256" s="77"/>
      <c r="L256" s="77"/>
      <c r="M256" s="98"/>
      <c r="N256" s="77"/>
      <c r="O256" s="77"/>
      <c r="P256" s="77"/>
    </row>
    <row r="257" spans="1:16" ht="15.75" customHeight="1">
      <c r="A257" s="96"/>
      <c r="B257" s="75"/>
      <c r="C257" s="77"/>
      <c r="D257" s="75"/>
      <c r="E257" s="97"/>
      <c r="F257" s="77"/>
      <c r="G257" s="75"/>
      <c r="H257" s="97"/>
      <c r="I257" s="77"/>
      <c r="J257" s="77"/>
      <c r="K257" s="77"/>
      <c r="L257" s="77"/>
      <c r="M257" s="98"/>
      <c r="N257" s="77"/>
      <c r="O257" s="77"/>
      <c r="P257" s="77"/>
    </row>
    <row r="258" spans="1:16" ht="15.75" customHeight="1">
      <c r="A258" s="96"/>
      <c r="B258" s="75"/>
      <c r="C258" s="77"/>
      <c r="D258" s="75"/>
      <c r="E258" s="97"/>
      <c r="F258" s="77"/>
      <c r="G258" s="75"/>
      <c r="H258" s="97"/>
      <c r="I258" s="77"/>
      <c r="J258" s="77"/>
      <c r="K258" s="77"/>
      <c r="L258" s="77"/>
      <c r="M258" s="98"/>
      <c r="N258" s="77"/>
      <c r="O258" s="77"/>
      <c r="P258" s="77"/>
    </row>
    <row r="259" spans="1:16" ht="15.75" customHeight="1">
      <c r="A259" s="96"/>
      <c r="B259" s="75"/>
      <c r="C259" s="77"/>
      <c r="D259" s="75"/>
      <c r="E259" s="97"/>
      <c r="F259" s="77"/>
      <c r="G259" s="75"/>
      <c r="H259" s="97"/>
      <c r="I259" s="77"/>
      <c r="J259" s="77"/>
      <c r="K259" s="77"/>
      <c r="L259" s="77"/>
      <c r="M259" s="98"/>
      <c r="N259" s="77"/>
      <c r="O259" s="77"/>
      <c r="P259" s="77"/>
    </row>
    <row r="260" spans="1:16" ht="15.75" customHeight="1">
      <c r="A260" s="96"/>
      <c r="B260" s="75"/>
      <c r="C260" s="77"/>
      <c r="D260" s="75"/>
      <c r="E260" s="97"/>
      <c r="F260" s="77"/>
      <c r="G260" s="75"/>
      <c r="H260" s="97"/>
      <c r="I260" s="77"/>
      <c r="J260" s="77"/>
      <c r="K260" s="77"/>
      <c r="L260" s="77"/>
      <c r="M260" s="98"/>
      <c r="N260" s="77"/>
      <c r="O260" s="77"/>
      <c r="P260" s="77"/>
    </row>
    <row r="261" spans="1:16" ht="15.75" customHeight="1">
      <c r="A261" s="96"/>
      <c r="B261" s="75"/>
      <c r="C261" s="77"/>
      <c r="D261" s="75"/>
      <c r="E261" s="97"/>
      <c r="F261" s="77"/>
      <c r="G261" s="75"/>
      <c r="H261" s="97"/>
      <c r="I261" s="77"/>
      <c r="J261" s="77"/>
      <c r="K261" s="77"/>
      <c r="L261" s="77"/>
      <c r="M261" s="98"/>
      <c r="N261" s="77"/>
      <c r="O261" s="77"/>
      <c r="P261" s="77"/>
    </row>
    <row r="262" spans="1:16" ht="15.75" customHeight="1">
      <c r="A262" s="96"/>
      <c r="B262" s="75"/>
      <c r="C262" s="77"/>
      <c r="D262" s="75"/>
      <c r="E262" s="97"/>
      <c r="F262" s="77"/>
      <c r="G262" s="75"/>
      <c r="H262" s="97"/>
      <c r="I262" s="77"/>
      <c r="J262" s="77"/>
      <c r="K262" s="77"/>
      <c r="L262" s="77"/>
      <c r="M262" s="98"/>
      <c r="N262" s="77"/>
      <c r="O262" s="77"/>
      <c r="P262" s="77"/>
    </row>
    <row r="263" spans="1:16" ht="15.75" customHeight="1">
      <c r="A263" s="96"/>
      <c r="B263" s="75"/>
      <c r="C263" s="77"/>
      <c r="D263" s="75"/>
      <c r="E263" s="97"/>
      <c r="F263" s="77"/>
      <c r="G263" s="75"/>
      <c r="H263" s="97"/>
      <c r="I263" s="77"/>
      <c r="J263" s="77"/>
      <c r="K263" s="77"/>
      <c r="L263" s="77"/>
      <c r="M263" s="98"/>
      <c r="N263" s="77"/>
      <c r="O263" s="77"/>
      <c r="P263" s="77"/>
    </row>
    <row r="264" spans="1:16" ht="15.75" customHeight="1">
      <c r="A264" s="96"/>
      <c r="B264" s="75"/>
      <c r="C264" s="77"/>
      <c r="D264" s="75"/>
      <c r="E264" s="97"/>
      <c r="F264" s="77"/>
      <c r="G264" s="75"/>
      <c r="H264" s="97"/>
      <c r="I264" s="77"/>
      <c r="J264" s="77"/>
      <c r="K264" s="77"/>
      <c r="L264" s="77"/>
      <c r="M264" s="98"/>
      <c r="N264" s="77"/>
      <c r="O264" s="77"/>
      <c r="P264" s="77"/>
    </row>
    <row r="265" spans="1:16" ht="15.75" customHeight="1">
      <c r="A265" s="96"/>
      <c r="B265" s="75"/>
      <c r="C265" s="77"/>
      <c r="D265" s="75"/>
      <c r="E265" s="97"/>
      <c r="F265" s="77"/>
      <c r="G265" s="75"/>
      <c r="H265" s="97"/>
      <c r="I265" s="77"/>
      <c r="J265" s="77"/>
      <c r="K265" s="77"/>
      <c r="L265" s="77"/>
      <c r="M265" s="98"/>
      <c r="N265" s="77"/>
      <c r="O265" s="77"/>
      <c r="P265" s="77"/>
    </row>
    <row r="266" spans="1:16" ht="15.75" customHeight="1">
      <c r="A266" s="96"/>
      <c r="B266" s="75"/>
      <c r="C266" s="77"/>
      <c r="D266" s="75"/>
      <c r="E266" s="97"/>
      <c r="F266" s="77"/>
      <c r="G266" s="75"/>
      <c r="H266" s="97"/>
      <c r="I266" s="77"/>
      <c r="J266" s="77"/>
      <c r="K266" s="77"/>
      <c r="L266" s="77"/>
      <c r="M266" s="98"/>
      <c r="N266" s="77"/>
      <c r="O266" s="77"/>
      <c r="P266" s="77"/>
    </row>
    <row r="267" spans="1:16" ht="15.75" customHeight="1">
      <c r="A267" s="96"/>
      <c r="B267" s="75"/>
      <c r="C267" s="77"/>
      <c r="D267" s="75"/>
      <c r="E267" s="97"/>
      <c r="F267" s="77"/>
      <c r="G267" s="75"/>
      <c r="H267" s="97"/>
      <c r="I267" s="77"/>
      <c r="J267" s="77"/>
      <c r="K267" s="77"/>
      <c r="L267" s="77"/>
      <c r="M267" s="98"/>
      <c r="N267" s="77"/>
      <c r="O267" s="77"/>
      <c r="P267" s="77"/>
    </row>
    <row r="268" spans="1:16" ht="15.75" customHeight="1">
      <c r="A268" s="96"/>
      <c r="B268" s="75"/>
      <c r="C268" s="77"/>
      <c r="D268" s="75"/>
      <c r="E268" s="97"/>
      <c r="F268" s="77"/>
      <c r="G268" s="75"/>
      <c r="H268" s="97"/>
      <c r="I268" s="77"/>
      <c r="J268" s="77"/>
      <c r="K268" s="77"/>
      <c r="L268" s="77"/>
      <c r="M268" s="98"/>
      <c r="N268" s="77"/>
      <c r="O268" s="77"/>
      <c r="P268" s="77"/>
    </row>
    <row r="269" spans="1:16" ht="15.75" customHeight="1">
      <c r="A269" s="96"/>
      <c r="B269" s="75"/>
      <c r="C269" s="77"/>
      <c r="D269" s="75"/>
      <c r="E269" s="97"/>
      <c r="F269" s="77"/>
      <c r="G269" s="75"/>
      <c r="H269" s="97"/>
      <c r="I269" s="77"/>
      <c r="J269" s="77"/>
      <c r="K269" s="77"/>
      <c r="L269" s="77"/>
      <c r="M269" s="98"/>
      <c r="N269" s="77"/>
      <c r="O269" s="77"/>
      <c r="P269" s="77"/>
    </row>
    <row r="270" spans="1:16" ht="15.75" customHeight="1">
      <c r="A270" s="96"/>
      <c r="B270" s="75"/>
      <c r="C270" s="77"/>
      <c r="D270" s="75"/>
      <c r="E270" s="97"/>
      <c r="F270" s="77"/>
      <c r="G270" s="75"/>
      <c r="H270" s="97"/>
      <c r="I270" s="77"/>
      <c r="J270" s="77"/>
      <c r="K270" s="77"/>
      <c r="L270" s="77"/>
      <c r="M270" s="98"/>
      <c r="N270" s="77"/>
      <c r="O270" s="77"/>
      <c r="P270" s="77"/>
    </row>
    <row r="271" spans="1:16" ht="15.75" customHeight="1">
      <c r="A271" s="96"/>
      <c r="B271" s="75"/>
      <c r="C271" s="77"/>
      <c r="D271" s="75"/>
      <c r="E271" s="97"/>
      <c r="F271" s="77"/>
      <c r="G271" s="75"/>
      <c r="H271" s="97"/>
      <c r="I271" s="77"/>
      <c r="J271" s="77"/>
      <c r="K271" s="77"/>
      <c r="L271" s="77"/>
      <c r="M271" s="98"/>
      <c r="N271" s="77"/>
      <c r="O271" s="77"/>
      <c r="P271" s="77"/>
    </row>
    <row r="272" spans="1:16" ht="15.75" customHeight="1">
      <c r="A272" s="96"/>
      <c r="B272" s="75"/>
      <c r="C272" s="77"/>
      <c r="D272" s="75"/>
      <c r="E272" s="97"/>
      <c r="F272" s="77"/>
      <c r="G272" s="75"/>
      <c r="H272" s="97"/>
      <c r="I272" s="77"/>
      <c r="J272" s="77"/>
      <c r="K272" s="77"/>
      <c r="L272" s="77"/>
      <c r="M272" s="98"/>
      <c r="N272" s="77"/>
      <c r="O272" s="77"/>
      <c r="P272" s="77"/>
    </row>
    <row r="273" spans="1:16" ht="15.75" customHeight="1">
      <c r="A273" s="96"/>
      <c r="B273" s="75"/>
      <c r="C273" s="77"/>
      <c r="D273" s="75"/>
      <c r="E273" s="97"/>
      <c r="F273" s="77"/>
      <c r="G273" s="75"/>
      <c r="H273" s="97"/>
      <c r="I273" s="77"/>
      <c r="J273" s="77"/>
      <c r="K273" s="77"/>
      <c r="L273" s="77"/>
      <c r="M273" s="98"/>
      <c r="N273" s="77"/>
      <c r="O273" s="77"/>
      <c r="P273" s="77"/>
    </row>
    <row r="274" spans="1:16" ht="15.75" customHeight="1">
      <c r="A274" s="96"/>
      <c r="B274" s="75"/>
      <c r="C274" s="77"/>
      <c r="D274" s="75"/>
      <c r="E274" s="97"/>
      <c r="F274" s="77"/>
      <c r="G274" s="75"/>
      <c r="H274" s="97"/>
      <c r="I274" s="77"/>
      <c r="J274" s="77"/>
      <c r="K274" s="77"/>
      <c r="L274" s="77"/>
      <c r="M274" s="98"/>
      <c r="N274" s="77"/>
      <c r="O274" s="77"/>
      <c r="P274" s="77"/>
    </row>
    <row r="275" spans="1:16" ht="15.75" customHeight="1">
      <c r="A275" s="96"/>
      <c r="B275" s="75"/>
      <c r="C275" s="77"/>
      <c r="D275" s="75"/>
      <c r="E275" s="97"/>
      <c r="F275" s="77"/>
      <c r="G275" s="75"/>
      <c r="H275" s="97"/>
      <c r="I275" s="77"/>
      <c r="J275" s="77"/>
      <c r="K275" s="77"/>
      <c r="L275" s="77"/>
      <c r="M275" s="98"/>
      <c r="N275" s="77"/>
      <c r="O275" s="77"/>
      <c r="P275" s="77"/>
    </row>
    <row r="276" spans="1:16" ht="15.75" customHeight="1">
      <c r="A276" s="96"/>
      <c r="B276" s="75"/>
      <c r="C276" s="77"/>
      <c r="D276" s="75"/>
      <c r="E276" s="97"/>
      <c r="F276" s="77"/>
      <c r="G276" s="75"/>
      <c r="H276" s="97"/>
      <c r="I276" s="77"/>
      <c r="J276" s="77"/>
      <c r="K276" s="77"/>
      <c r="L276" s="77"/>
      <c r="M276" s="98"/>
      <c r="N276" s="77"/>
      <c r="O276" s="77"/>
      <c r="P276" s="77"/>
    </row>
    <row r="277" spans="1:16" ht="15.75" customHeight="1">
      <c r="A277" s="96"/>
      <c r="B277" s="75"/>
      <c r="C277" s="77"/>
      <c r="D277" s="75"/>
      <c r="E277" s="97"/>
      <c r="F277" s="77"/>
      <c r="G277" s="75"/>
      <c r="H277" s="97"/>
      <c r="I277" s="77"/>
      <c r="J277" s="77"/>
      <c r="K277" s="77"/>
      <c r="L277" s="77"/>
      <c r="M277" s="98"/>
      <c r="N277" s="77"/>
      <c r="O277" s="77"/>
      <c r="P277" s="77"/>
    </row>
    <row r="278" spans="1:16" ht="15.75" customHeight="1">
      <c r="A278" s="96"/>
      <c r="B278" s="75"/>
      <c r="C278" s="77"/>
      <c r="D278" s="75"/>
      <c r="E278" s="97"/>
      <c r="F278" s="77"/>
      <c r="G278" s="75"/>
      <c r="H278" s="97"/>
      <c r="I278" s="77"/>
      <c r="J278" s="77"/>
      <c r="K278" s="77"/>
      <c r="L278" s="77"/>
      <c r="M278" s="98"/>
      <c r="N278" s="77"/>
      <c r="O278" s="77"/>
      <c r="P278" s="77"/>
    </row>
    <row r="279" spans="1:16" ht="15.75" customHeight="1">
      <c r="A279" s="96"/>
      <c r="B279" s="75"/>
      <c r="C279" s="77"/>
      <c r="D279" s="75"/>
      <c r="E279" s="97"/>
      <c r="F279" s="77"/>
      <c r="G279" s="75"/>
      <c r="H279" s="97"/>
      <c r="I279" s="77"/>
      <c r="J279" s="77"/>
      <c r="K279" s="77"/>
      <c r="L279" s="77"/>
      <c r="M279" s="98"/>
      <c r="N279" s="77"/>
      <c r="O279" s="77"/>
      <c r="P279" s="77"/>
    </row>
    <row r="280" spans="1:16" ht="15.75" customHeight="1">
      <c r="A280" s="96"/>
      <c r="B280" s="75"/>
      <c r="C280" s="77"/>
      <c r="D280" s="75"/>
      <c r="E280" s="97"/>
      <c r="F280" s="77"/>
      <c r="G280" s="75"/>
      <c r="H280" s="97"/>
      <c r="I280" s="77"/>
      <c r="J280" s="77"/>
      <c r="K280" s="77"/>
      <c r="L280" s="77"/>
      <c r="M280" s="98"/>
      <c r="N280" s="77"/>
      <c r="O280" s="77"/>
      <c r="P280" s="77"/>
    </row>
    <row r="281" spans="1:16" ht="15.75" customHeight="1">
      <c r="A281" s="96"/>
      <c r="B281" s="75"/>
      <c r="C281" s="77"/>
      <c r="D281" s="75"/>
      <c r="E281" s="97"/>
      <c r="F281" s="77"/>
      <c r="G281" s="75"/>
      <c r="H281" s="97"/>
      <c r="I281" s="77"/>
      <c r="J281" s="77"/>
      <c r="K281" s="77"/>
      <c r="L281" s="77"/>
      <c r="M281" s="98"/>
      <c r="N281" s="77"/>
      <c r="O281" s="77"/>
      <c r="P281" s="77"/>
    </row>
    <row r="282" spans="1:16" ht="15.75" customHeight="1">
      <c r="A282" s="96"/>
      <c r="B282" s="75"/>
      <c r="C282" s="77"/>
      <c r="D282" s="75"/>
      <c r="E282" s="97"/>
      <c r="F282" s="77"/>
      <c r="G282" s="75"/>
      <c r="H282" s="97"/>
      <c r="I282" s="77"/>
      <c r="J282" s="77"/>
      <c r="K282" s="77"/>
      <c r="L282" s="77"/>
      <c r="M282" s="98"/>
      <c r="N282" s="77"/>
      <c r="O282" s="77"/>
      <c r="P282" s="77"/>
    </row>
    <row r="283" spans="1:16" ht="15.75" customHeight="1">
      <c r="A283" s="96"/>
      <c r="B283" s="75"/>
      <c r="C283" s="77"/>
      <c r="D283" s="75"/>
      <c r="E283" s="97"/>
      <c r="F283" s="77"/>
      <c r="G283" s="75"/>
      <c r="H283" s="97"/>
      <c r="I283" s="77"/>
      <c r="J283" s="77"/>
      <c r="K283" s="77"/>
      <c r="L283" s="77"/>
      <c r="M283" s="98"/>
      <c r="N283" s="77"/>
      <c r="O283" s="77"/>
      <c r="P283" s="77"/>
    </row>
    <row r="284" spans="1:16" ht="15.75" customHeight="1">
      <c r="A284" s="96"/>
      <c r="B284" s="75"/>
      <c r="C284" s="77"/>
      <c r="D284" s="75"/>
      <c r="E284" s="97"/>
      <c r="F284" s="77"/>
      <c r="G284" s="75"/>
      <c r="H284" s="97"/>
      <c r="I284" s="77"/>
      <c r="J284" s="77"/>
      <c r="K284" s="77"/>
      <c r="L284" s="77"/>
      <c r="M284" s="98"/>
      <c r="N284" s="77"/>
      <c r="O284" s="77"/>
      <c r="P284" s="77"/>
    </row>
    <row r="285" spans="1:16" ht="15.75" customHeight="1">
      <c r="A285" s="96"/>
      <c r="B285" s="75"/>
      <c r="C285" s="77"/>
      <c r="D285" s="75"/>
      <c r="E285" s="97"/>
      <c r="F285" s="77"/>
      <c r="G285" s="75"/>
      <c r="H285" s="97"/>
      <c r="I285" s="77"/>
      <c r="J285" s="77"/>
      <c r="K285" s="77"/>
      <c r="L285" s="77"/>
      <c r="M285" s="98"/>
      <c r="N285" s="77"/>
      <c r="O285" s="77"/>
      <c r="P285" s="77"/>
    </row>
    <row r="286" spans="1:16" ht="15.75" customHeight="1">
      <c r="A286" s="96"/>
      <c r="B286" s="75"/>
      <c r="C286" s="77"/>
      <c r="D286" s="75"/>
      <c r="E286" s="97"/>
      <c r="F286" s="77"/>
      <c r="G286" s="75"/>
      <c r="H286" s="97"/>
      <c r="I286" s="77"/>
      <c r="J286" s="77"/>
      <c r="K286" s="77"/>
      <c r="L286" s="77"/>
      <c r="M286" s="98"/>
      <c r="N286" s="77"/>
      <c r="O286" s="77"/>
      <c r="P286" s="77"/>
    </row>
    <row r="287" spans="1:16" ht="15.75" customHeight="1">
      <c r="A287" s="96"/>
      <c r="B287" s="75"/>
      <c r="C287" s="77"/>
      <c r="D287" s="75"/>
      <c r="E287" s="97"/>
      <c r="F287" s="77"/>
      <c r="G287" s="75"/>
      <c r="H287" s="97"/>
      <c r="I287" s="77"/>
      <c r="J287" s="77"/>
      <c r="K287" s="77"/>
      <c r="L287" s="77"/>
      <c r="M287" s="98"/>
      <c r="N287" s="77"/>
      <c r="O287" s="77"/>
      <c r="P287" s="77"/>
    </row>
    <row r="288" spans="1:16" ht="15.75" customHeight="1">
      <c r="A288" s="96"/>
      <c r="B288" s="75"/>
      <c r="C288" s="77"/>
      <c r="D288" s="75"/>
      <c r="E288" s="97"/>
      <c r="F288" s="77"/>
      <c r="G288" s="75"/>
      <c r="H288" s="97"/>
      <c r="I288" s="77"/>
      <c r="J288" s="77"/>
      <c r="K288" s="77"/>
      <c r="L288" s="77"/>
      <c r="M288" s="98"/>
      <c r="N288" s="77"/>
      <c r="O288" s="77"/>
      <c r="P288" s="77"/>
    </row>
    <row r="289" spans="1:16" ht="15.75" customHeight="1">
      <c r="A289" s="96"/>
      <c r="B289" s="75"/>
      <c r="C289" s="77"/>
      <c r="D289" s="75"/>
      <c r="E289" s="97"/>
      <c r="F289" s="77"/>
      <c r="G289" s="75"/>
      <c r="H289" s="97"/>
      <c r="I289" s="77"/>
      <c r="J289" s="77"/>
      <c r="K289" s="77"/>
      <c r="L289" s="77"/>
      <c r="M289" s="98"/>
      <c r="N289" s="77"/>
      <c r="O289" s="77"/>
      <c r="P289" s="77"/>
    </row>
    <row r="290" spans="1:16" ht="15.75" customHeight="1">
      <c r="A290" s="96"/>
      <c r="B290" s="75"/>
      <c r="C290" s="77"/>
      <c r="D290" s="75"/>
      <c r="E290" s="97"/>
      <c r="F290" s="77"/>
      <c r="G290" s="75"/>
      <c r="H290" s="97"/>
      <c r="I290" s="77"/>
      <c r="J290" s="77"/>
      <c r="K290" s="77"/>
      <c r="L290" s="77"/>
      <c r="M290" s="98"/>
      <c r="N290" s="77"/>
      <c r="O290" s="77"/>
      <c r="P290" s="77"/>
    </row>
    <row r="291" spans="1:16" ht="15.75" customHeight="1">
      <c r="A291" s="96"/>
      <c r="B291" s="75"/>
      <c r="C291" s="77"/>
      <c r="D291" s="75"/>
      <c r="E291" s="97"/>
      <c r="F291" s="77"/>
      <c r="G291" s="75"/>
      <c r="H291" s="97"/>
      <c r="I291" s="77"/>
      <c r="J291" s="77"/>
      <c r="K291" s="77"/>
      <c r="L291" s="77"/>
      <c r="M291" s="98"/>
      <c r="N291" s="77"/>
      <c r="O291" s="77"/>
      <c r="P291" s="77"/>
    </row>
    <row r="292" spans="1:16" ht="15.75" customHeight="1">
      <c r="A292" s="96"/>
      <c r="B292" s="75"/>
      <c r="C292" s="77"/>
      <c r="D292" s="75"/>
      <c r="E292" s="97"/>
      <c r="F292" s="77"/>
      <c r="G292" s="75"/>
      <c r="H292" s="97"/>
      <c r="I292" s="77"/>
      <c r="J292" s="77"/>
      <c r="K292" s="77"/>
      <c r="L292" s="77"/>
      <c r="M292" s="98"/>
      <c r="N292" s="77"/>
      <c r="O292" s="77"/>
      <c r="P292" s="77"/>
    </row>
    <row r="293" spans="1:16" ht="15.75" customHeight="1">
      <c r="A293" s="96"/>
      <c r="B293" s="75"/>
      <c r="C293" s="77"/>
      <c r="D293" s="75"/>
      <c r="E293" s="97"/>
      <c r="F293" s="77"/>
      <c r="G293" s="75"/>
      <c r="H293" s="97"/>
      <c r="I293" s="77"/>
      <c r="J293" s="77"/>
      <c r="K293" s="77"/>
      <c r="L293" s="77"/>
      <c r="M293" s="98"/>
      <c r="N293" s="77"/>
      <c r="O293" s="77"/>
      <c r="P293" s="77"/>
    </row>
    <row r="294" spans="1:16" ht="15.75" customHeight="1">
      <c r="A294" s="96"/>
      <c r="B294" s="75"/>
      <c r="C294" s="77"/>
      <c r="D294" s="75"/>
      <c r="E294" s="97"/>
      <c r="F294" s="77"/>
      <c r="G294" s="75"/>
      <c r="H294" s="97"/>
      <c r="I294" s="77"/>
      <c r="J294" s="77"/>
      <c r="K294" s="77"/>
      <c r="L294" s="77"/>
      <c r="M294" s="98"/>
      <c r="N294" s="77"/>
      <c r="O294" s="77"/>
      <c r="P294" s="77"/>
    </row>
    <row r="295" spans="1:16" ht="15.75" customHeight="1">
      <c r="A295" s="96"/>
      <c r="B295" s="75"/>
      <c r="C295" s="77"/>
      <c r="D295" s="75"/>
      <c r="E295" s="97"/>
      <c r="F295" s="77"/>
      <c r="G295" s="75"/>
      <c r="H295" s="97"/>
      <c r="I295" s="77"/>
      <c r="J295" s="77"/>
      <c r="K295" s="77"/>
      <c r="L295" s="77"/>
      <c r="M295" s="98"/>
      <c r="N295" s="77"/>
      <c r="O295" s="77"/>
      <c r="P295" s="77"/>
    </row>
    <row r="296" spans="1:16" ht="15.75" customHeight="1">
      <c r="A296" s="96"/>
      <c r="B296" s="75"/>
      <c r="C296" s="77"/>
      <c r="D296" s="75"/>
      <c r="E296" s="97"/>
      <c r="F296" s="77"/>
      <c r="G296" s="75"/>
      <c r="H296" s="97"/>
      <c r="I296" s="77"/>
      <c r="J296" s="77"/>
      <c r="K296" s="77"/>
      <c r="L296" s="77"/>
      <c r="M296" s="98"/>
      <c r="N296" s="77"/>
      <c r="O296" s="77"/>
      <c r="P296" s="77"/>
    </row>
    <row r="297" spans="1:16" ht="15.75" customHeight="1">
      <c r="A297" s="96"/>
      <c r="B297" s="75"/>
      <c r="C297" s="77"/>
      <c r="D297" s="75"/>
      <c r="E297" s="97"/>
      <c r="F297" s="77"/>
      <c r="G297" s="75"/>
      <c r="H297" s="97"/>
      <c r="I297" s="77"/>
      <c r="J297" s="77"/>
      <c r="K297" s="77"/>
      <c r="L297" s="77"/>
      <c r="M297" s="98"/>
      <c r="N297" s="77"/>
      <c r="O297" s="77"/>
      <c r="P297" s="77"/>
    </row>
    <row r="298" spans="1:16" ht="15.75" customHeight="1">
      <c r="A298" s="96"/>
      <c r="B298" s="75"/>
      <c r="C298" s="77"/>
      <c r="D298" s="75"/>
      <c r="E298" s="97"/>
      <c r="F298" s="77"/>
      <c r="G298" s="75"/>
      <c r="H298" s="97"/>
      <c r="I298" s="77"/>
      <c r="J298" s="77"/>
      <c r="K298" s="77"/>
      <c r="L298" s="77"/>
      <c r="M298" s="98"/>
      <c r="N298" s="77"/>
      <c r="O298" s="77"/>
      <c r="P298" s="77"/>
    </row>
    <row r="299" spans="1:16" ht="15.75" customHeight="1">
      <c r="A299" s="96"/>
      <c r="B299" s="75"/>
      <c r="C299" s="77"/>
      <c r="D299" s="75"/>
      <c r="E299" s="97"/>
      <c r="F299" s="77"/>
      <c r="G299" s="75"/>
      <c r="H299" s="97"/>
      <c r="I299" s="77"/>
      <c r="J299" s="77"/>
      <c r="K299" s="77"/>
      <c r="L299" s="77"/>
      <c r="M299" s="98"/>
      <c r="N299" s="77"/>
      <c r="O299" s="77"/>
      <c r="P299" s="77"/>
    </row>
    <row r="300" spans="1:16" ht="15.75" customHeight="1">
      <c r="A300" s="96"/>
      <c r="B300" s="75"/>
      <c r="C300" s="77"/>
      <c r="D300" s="75"/>
      <c r="E300" s="97"/>
      <c r="F300" s="77"/>
      <c r="G300" s="75"/>
      <c r="H300" s="97"/>
      <c r="I300" s="77"/>
      <c r="J300" s="77"/>
      <c r="K300" s="77"/>
      <c r="L300" s="77"/>
      <c r="M300" s="98"/>
      <c r="N300" s="77"/>
      <c r="O300" s="77"/>
      <c r="P300" s="77"/>
    </row>
    <row r="301" spans="1:16" ht="15.75" customHeight="1">
      <c r="A301" s="96"/>
      <c r="B301" s="75"/>
      <c r="C301" s="77"/>
      <c r="D301" s="75"/>
      <c r="E301" s="97"/>
      <c r="F301" s="77"/>
      <c r="G301" s="75"/>
      <c r="H301" s="97"/>
      <c r="I301" s="77"/>
      <c r="J301" s="77"/>
      <c r="K301" s="77"/>
      <c r="L301" s="77"/>
      <c r="M301" s="98"/>
      <c r="N301" s="77"/>
      <c r="O301" s="77"/>
      <c r="P301" s="77"/>
    </row>
    <row r="302" spans="1:16" ht="15.75" customHeight="1">
      <c r="A302" s="96"/>
      <c r="B302" s="75"/>
      <c r="C302" s="77"/>
      <c r="D302" s="75"/>
      <c r="E302" s="97"/>
      <c r="F302" s="77"/>
      <c r="G302" s="75"/>
      <c r="H302" s="97"/>
      <c r="I302" s="77"/>
      <c r="J302" s="77"/>
      <c r="K302" s="77"/>
      <c r="L302" s="77"/>
      <c r="M302" s="98"/>
      <c r="N302" s="77"/>
      <c r="O302" s="77"/>
      <c r="P302" s="77"/>
    </row>
    <row r="303" spans="1:16" ht="15.75" customHeight="1">
      <c r="A303" s="96"/>
      <c r="B303" s="75"/>
      <c r="C303" s="77"/>
      <c r="D303" s="75"/>
      <c r="E303" s="97"/>
      <c r="F303" s="77"/>
      <c r="G303" s="75"/>
      <c r="H303" s="97"/>
      <c r="I303" s="77"/>
      <c r="J303" s="77"/>
      <c r="K303" s="77"/>
      <c r="L303" s="77"/>
      <c r="M303" s="98"/>
      <c r="N303" s="77"/>
      <c r="O303" s="77"/>
      <c r="P303" s="77"/>
    </row>
    <row r="304" spans="1:16" ht="15.75" customHeight="1">
      <c r="A304" s="96"/>
      <c r="B304" s="75"/>
      <c r="C304" s="77"/>
      <c r="D304" s="75"/>
      <c r="E304" s="97"/>
      <c r="F304" s="77"/>
      <c r="G304" s="75"/>
      <c r="H304" s="97"/>
      <c r="I304" s="77"/>
      <c r="J304" s="77"/>
      <c r="K304" s="77"/>
      <c r="L304" s="77"/>
      <c r="M304" s="98"/>
      <c r="N304" s="77"/>
      <c r="O304" s="77"/>
      <c r="P304" s="77"/>
    </row>
    <row r="305" spans="1:16" ht="15.75" customHeight="1">
      <c r="A305" s="96"/>
      <c r="B305" s="75"/>
      <c r="C305" s="77"/>
      <c r="D305" s="75"/>
      <c r="E305" s="97"/>
      <c r="F305" s="77"/>
      <c r="G305" s="75"/>
      <c r="H305" s="97"/>
      <c r="I305" s="77"/>
      <c r="J305" s="77"/>
      <c r="K305" s="77"/>
      <c r="L305" s="77"/>
      <c r="M305" s="98"/>
      <c r="N305" s="77"/>
      <c r="O305" s="77"/>
      <c r="P305" s="77"/>
    </row>
    <row r="306" spans="1:16" ht="15.75" customHeight="1">
      <c r="A306" s="96"/>
      <c r="B306" s="75"/>
      <c r="C306" s="77"/>
      <c r="D306" s="75"/>
      <c r="E306" s="97"/>
      <c r="F306" s="77"/>
      <c r="G306" s="75"/>
      <c r="H306" s="97"/>
      <c r="I306" s="77"/>
      <c r="J306" s="77"/>
      <c r="K306" s="77"/>
      <c r="L306" s="77"/>
      <c r="M306" s="98"/>
      <c r="N306" s="77"/>
      <c r="O306" s="77"/>
      <c r="P306" s="77"/>
    </row>
    <row r="307" spans="1:16" ht="15.75" customHeight="1">
      <c r="A307" s="96"/>
      <c r="B307" s="75"/>
      <c r="C307" s="77"/>
      <c r="D307" s="75"/>
      <c r="E307" s="97"/>
      <c r="F307" s="77"/>
      <c r="G307" s="75"/>
      <c r="H307" s="97"/>
      <c r="I307" s="77"/>
      <c r="J307" s="77"/>
      <c r="K307" s="77"/>
      <c r="L307" s="77"/>
      <c r="M307" s="98"/>
      <c r="N307" s="77"/>
      <c r="O307" s="77"/>
      <c r="P307" s="77"/>
    </row>
    <row r="308" spans="1:16" ht="15.75" customHeight="1">
      <c r="A308" s="96"/>
      <c r="B308" s="75"/>
      <c r="C308" s="77"/>
      <c r="D308" s="75"/>
      <c r="E308" s="97"/>
      <c r="F308" s="77"/>
      <c r="G308" s="75"/>
      <c r="H308" s="97"/>
      <c r="I308" s="77"/>
      <c r="J308" s="77"/>
      <c r="K308" s="77"/>
      <c r="L308" s="77"/>
      <c r="M308" s="98"/>
      <c r="N308" s="77"/>
      <c r="O308" s="77"/>
      <c r="P308" s="77"/>
    </row>
    <row r="309" spans="1:16" ht="15.75" customHeight="1">
      <c r="A309" s="96"/>
      <c r="B309" s="75"/>
      <c r="C309" s="77"/>
      <c r="D309" s="75"/>
      <c r="E309" s="97"/>
      <c r="F309" s="77"/>
      <c r="G309" s="75"/>
      <c r="H309" s="97"/>
      <c r="I309" s="77"/>
      <c r="J309" s="77"/>
      <c r="K309" s="77"/>
      <c r="L309" s="77"/>
      <c r="M309" s="98"/>
      <c r="N309" s="77"/>
      <c r="O309" s="77"/>
      <c r="P309" s="77"/>
    </row>
    <row r="310" spans="1:16" ht="15.75" customHeight="1">
      <c r="A310" s="96"/>
      <c r="B310" s="75"/>
      <c r="C310" s="77"/>
      <c r="D310" s="75"/>
      <c r="E310" s="97"/>
      <c r="F310" s="77"/>
      <c r="G310" s="75"/>
      <c r="H310" s="97"/>
      <c r="I310" s="77"/>
      <c r="J310" s="77"/>
      <c r="K310" s="77"/>
      <c r="L310" s="77"/>
      <c r="M310" s="98"/>
      <c r="N310" s="77"/>
      <c r="O310" s="77"/>
      <c r="P310" s="77"/>
    </row>
    <row r="311" spans="1:16" ht="15.75" customHeight="1">
      <c r="A311" s="96"/>
      <c r="B311" s="75"/>
      <c r="C311" s="77"/>
      <c r="D311" s="75"/>
      <c r="E311" s="97"/>
      <c r="F311" s="77"/>
      <c r="G311" s="75"/>
      <c r="H311" s="97"/>
      <c r="I311" s="77"/>
      <c r="J311" s="77"/>
      <c r="K311" s="77"/>
      <c r="L311" s="77"/>
      <c r="M311" s="98"/>
      <c r="N311" s="77"/>
      <c r="O311" s="77"/>
      <c r="P311" s="77"/>
    </row>
    <row r="312" spans="1:16" ht="15.75" customHeight="1">
      <c r="A312" s="96"/>
      <c r="B312" s="75"/>
      <c r="C312" s="77"/>
      <c r="D312" s="75"/>
      <c r="E312" s="97"/>
      <c r="F312" s="77"/>
      <c r="G312" s="75"/>
      <c r="H312" s="97"/>
      <c r="I312" s="77"/>
      <c r="J312" s="77"/>
      <c r="K312" s="77"/>
      <c r="L312" s="77"/>
      <c r="M312" s="98"/>
      <c r="N312" s="77"/>
      <c r="O312" s="77"/>
      <c r="P312" s="77"/>
    </row>
    <row r="313" spans="1:16" ht="15.75" customHeight="1">
      <c r="A313" s="96"/>
      <c r="B313" s="75"/>
      <c r="C313" s="77"/>
      <c r="D313" s="75"/>
      <c r="E313" s="97"/>
      <c r="F313" s="77"/>
      <c r="G313" s="75"/>
      <c r="H313" s="97"/>
      <c r="I313" s="77"/>
      <c r="J313" s="77"/>
      <c r="K313" s="77"/>
      <c r="L313" s="77"/>
      <c r="M313" s="98"/>
      <c r="N313" s="77"/>
      <c r="O313" s="77"/>
      <c r="P313" s="77"/>
    </row>
    <row r="314" spans="1:16" ht="15.75" customHeight="1">
      <c r="A314" s="96"/>
      <c r="B314" s="75"/>
      <c r="C314" s="77"/>
      <c r="D314" s="75"/>
      <c r="E314" s="97"/>
      <c r="F314" s="77"/>
      <c r="G314" s="75"/>
      <c r="H314" s="97"/>
      <c r="I314" s="77"/>
      <c r="J314" s="77"/>
      <c r="K314" s="77"/>
      <c r="L314" s="77"/>
      <c r="M314" s="98"/>
      <c r="N314" s="77"/>
      <c r="O314" s="77"/>
      <c r="P314" s="77"/>
    </row>
    <row r="315" spans="1:16" ht="15.75" customHeight="1">
      <c r="A315" s="96"/>
      <c r="B315" s="75"/>
      <c r="C315" s="77"/>
      <c r="D315" s="75"/>
      <c r="E315" s="97"/>
      <c r="F315" s="77"/>
      <c r="G315" s="75"/>
      <c r="H315" s="97"/>
      <c r="I315" s="77"/>
      <c r="J315" s="77"/>
      <c r="K315" s="77"/>
      <c r="L315" s="77"/>
      <c r="M315" s="98"/>
      <c r="N315" s="77"/>
      <c r="O315" s="77"/>
      <c r="P315" s="77"/>
    </row>
    <row r="316" spans="1:16" ht="15.75" customHeight="1">
      <c r="A316" s="96"/>
      <c r="B316" s="75"/>
      <c r="C316" s="77"/>
      <c r="D316" s="75"/>
      <c r="E316" s="97"/>
      <c r="F316" s="77"/>
      <c r="G316" s="75"/>
      <c r="H316" s="97"/>
      <c r="I316" s="77"/>
      <c r="J316" s="77"/>
      <c r="K316" s="77"/>
      <c r="L316" s="77"/>
      <c r="M316" s="98"/>
      <c r="N316" s="77"/>
      <c r="O316" s="77"/>
      <c r="P316" s="77"/>
    </row>
    <row r="317" spans="1:16" ht="15.75" customHeight="1">
      <c r="A317" s="96"/>
      <c r="B317" s="75"/>
      <c r="C317" s="77"/>
      <c r="D317" s="75"/>
      <c r="E317" s="97"/>
      <c r="F317" s="77"/>
      <c r="G317" s="75"/>
      <c r="H317" s="97"/>
      <c r="I317" s="77"/>
      <c r="J317" s="77"/>
      <c r="K317" s="77"/>
      <c r="L317" s="77"/>
      <c r="M317" s="98"/>
      <c r="N317" s="77"/>
      <c r="O317" s="77"/>
      <c r="P317" s="77"/>
    </row>
    <row r="318" spans="1:16" ht="15.75" customHeight="1">
      <c r="A318" s="96"/>
      <c r="B318" s="75"/>
      <c r="C318" s="77"/>
      <c r="D318" s="75"/>
      <c r="E318" s="97"/>
      <c r="F318" s="77"/>
      <c r="G318" s="75"/>
      <c r="H318" s="97"/>
      <c r="I318" s="77"/>
      <c r="J318" s="77"/>
      <c r="K318" s="77"/>
      <c r="L318" s="77"/>
      <c r="M318" s="98"/>
      <c r="N318" s="77"/>
      <c r="O318" s="77"/>
      <c r="P318" s="77"/>
    </row>
    <row r="319" spans="1:16" ht="15.75" customHeight="1">
      <c r="A319" s="96"/>
      <c r="B319" s="75"/>
      <c r="C319" s="77"/>
      <c r="D319" s="75"/>
      <c r="E319" s="97"/>
      <c r="F319" s="77"/>
      <c r="G319" s="75"/>
      <c r="H319" s="97"/>
      <c r="I319" s="77"/>
      <c r="J319" s="77"/>
      <c r="K319" s="77"/>
      <c r="L319" s="77"/>
      <c r="M319" s="98"/>
      <c r="N319" s="77"/>
      <c r="O319" s="77"/>
      <c r="P319" s="77"/>
    </row>
    <row r="320" spans="1:16" ht="15.75" customHeight="1">
      <c r="A320" s="96"/>
      <c r="B320" s="75"/>
      <c r="C320" s="77"/>
      <c r="D320" s="75"/>
      <c r="E320" s="97"/>
      <c r="F320" s="77"/>
      <c r="G320" s="75"/>
      <c r="H320" s="97"/>
      <c r="I320" s="77"/>
      <c r="J320" s="77"/>
      <c r="K320" s="77"/>
      <c r="L320" s="77"/>
      <c r="M320" s="98"/>
      <c r="N320" s="77"/>
      <c r="O320" s="77"/>
      <c r="P320" s="77"/>
    </row>
    <row r="321" spans="1:16" ht="15.75" customHeight="1">
      <c r="A321" s="96"/>
      <c r="B321" s="75"/>
      <c r="C321" s="77"/>
      <c r="D321" s="75"/>
      <c r="E321" s="97"/>
      <c r="F321" s="77"/>
      <c r="G321" s="75"/>
      <c r="H321" s="97"/>
      <c r="I321" s="77"/>
      <c r="J321" s="77"/>
      <c r="K321" s="77"/>
      <c r="L321" s="77"/>
      <c r="M321" s="98"/>
      <c r="N321" s="77"/>
      <c r="O321" s="77"/>
      <c r="P321" s="77"/>
    </row>
    <row r="322" spans="1:16" ht="15.75" customHeight="1">
      <c r="A322" s="96"/>
      <c r="B322" s="75"/>
      <c r="C322" s="77"/>
      <c r="D322" s="75"/>
      <c r="E322" s="97"/>
      <c r="F322" s="77"/>
      <c r="G322" s="75"/>
      <c r="H322" s="97"/>
      <c r="I322" s="77"/>
      <c r="J322" s="77"/>
      <c r="K322" s="77"/>
      <c r="L322" s="77"/>
      <c r="M322" s="98"/>
      <c r="N322" s="77"/>
      <c r="O322" s="77"/>
      <c r="P322" s="77"/>
    </row>
    <row r="323" spans="1:16" ht="15.75" customHeight="1">
      <c r="A323" s="96"/>
      <c r="B323" s="75"/>
      <c r="C323" s="77"/>
      <c r="D323" s="75"/>
      <c r="E323" s="97"/>
      <c r="F323" s="77"/>
      <c r="G323" s="75"/>
      <c r="H323" s="97"/>
      <c r="I323" s="77"/>
      <c r="J323" s="77"/>
      <c r="K323" s="77"/>
      <c r="L323" s="77"/>
      <c r="M323" s="98"/>
      <c r="N323" s="77"/>
      <c r="O323" s="77"/>
      <c r="P323" s="77"/>
    </row>
    <row r="324" spans="1:16" ht="15.75" customHeight="1">
      <c r="A324" s="96"/>
      <c r="B324" s="75"/>
      <c r="C324" s="77"/>
      <c r="D324" s="75"/>
      <c r="E324" s="97"/>
      <c r="F324" s="77"/>
      <c r="G324" s="75"/>
      <c r="H324" s="97"/>
      <c r="I324" s="77"/>
      <c r="J324" s="77"/>
      <c r="K324" s="77"/>
      <c r="L324" s="77"/>
      <c r="M324" s="98"/>
      <c r="N324" s="77"/>
      <c r="O324" s="77"/>
      <c r="P324" s="77"/>
    </row>
    <row r="325" spans="1:16" ht="15.75" customHeight="1">
      <c r="A325" s="96"/>
      <c r="B325" s="75"/>
      <c r="C325" s="77"/>
      <c r="D325" s="75"/>
      <c r="E325" s="97"/>
      <c r="F325" s="77"/>
      <c r="G325" s="75"/>
      <c r="H325" s="97"/>
      <c r="I325" s="77"/>
      <c r="J325" s="77"/>
      <c r="K325" s="77"/>
      <c r="L325" s="77"/>
      <c r="M325" s="98"/>
      <c r="N325" s="77"/>
      <c r="O325" s="77"/>
      <c r="P325" s="77"/>
    </row>
    <row r="326" spans="1:16" ht="15.75" customHeight="1">
      <c r="A326" s="96"/>
      <c r="B326" s="75"/>
      <c r="C326" s="77"/>
      <c r="D326" s="75"/>
      <c r="E326" s="97"/>
      <c r="F326" s="77"/>
      <c r="G326" s="75"/>
      <c r="H326" s="97"/>
      <c r="I326" s="77"/>
      <c r="J326" s="77"/>
      <c r="K326" s="77"/>
      <c r="L326" s="77"/>
      <c r="M326" s="98"/>
      <c r="N326" s="77"/>
      <c r="O326" s="77"/>
      <c r="P326" s="77"/>
    </row>
    <row r="327" spans="1:16" ht="15.75" customHeight="1">
      <c r="A327" s="96"/>
      <c r="B327" s="75"/>
      <c r="C327" s="77"/>
      <c r="D327" s="75"/>
      <c r="E327" s="97"/>
      <c r="F327" s="77"/>
      <c r="G327" s="75"/>
      <c r="H327" s="97"/>
      <c r="I327" s="77"/>
      <c r="J327" s="77"/>
      <c r="K327" s="77"/>
      <c r="L327" s="77"/>
      <c r="M327" s="98"/>
      <c r="N327" s="77"/>
      <c r="O327" s="77"/>
      <c r="P327" s="77"/>
    </row>
    <row r="328" spans="1:16" ht="15.75" customHeight="1">
      <c r="A328" s="96"/>
      <c r="B328" s="75"/>
      <c r="C328" s="77"/>
      <c r="D328" s="75"/>
      <c r="E328" s="97"/>
      <c r="F328" s="77"/>
      <c r="G328" s="75"/>
      <c r="H328" s="97"/>
      <c r="I328" s="77"/>
      <c r="J328" s="77"/>
      <c r="K328" s="77"/>
      <c r="L328" s="77"/>
      <c r="M328" s="98"/>
      <c r="N328" s="77"/>
      <c r="O328" s="77"/>
      <c r="P328" s="77"/>
    </row>
    <row r="329" spans="1:16" ht="15.75" customHeight="1">
      <c r="A329" s="96"/>
      <c r="B329" s="75"/>
      <c r="C329" s="77"/>
      <c r="D329" s="75"/>
      <c r="E329" s="97"/>
      <c r="F329" s="77"/>
      <c r="G329" s="75"/>
      <c r="H329" s="97"/>
      <c r="I329" s="77"/>
      <c r="J329" s="77"/>
      <c r="K329" s="77"/>
      <c r="L329" s="77"/>
      <c r="M329" s="98"/>
      <c r="N329" s="77"/>
      <c r="O329" s="77"/>
      <c r="P329" s="77"/>
    </row>
    <row r="330" spans="1:16" ht="15.75" customHeight="1">
      <c r="A330" s="96"/>
      <c r="B330" s="75"/>
      <c r="C330" s="77"/>
      <c r="D330" s="75"/>
      <c r="E330" s="97"/>
      <c r="F330" s="77"/>
      <c r="G330" s="75"/>
      <c r="H330" s="97"/>
      <c r="I330" s="77"/>
      <c r="J330" s="77"/>
      <c r="K330" s="77"/>
      <c r="L330" s="77"/>
      <c r="M330" s="98"/>
      <c r="N330" s="77"/>
      <c r="O330" s="77"/>
      <c r="P330" s="77"/>
    </row>
    <row r="331" spans="1:16" ht="15.75" customHeight="1">
      <c r="A331" s="96"/>
      <c r="B331" s="75"/>
      <c r="C331" s="77"/>
      <c r="D331" s="75"/>
      <c r="E331" s="97"/>
      <c r="F331" s="77"/>
      <c r="G331" s="75"/>
      <c r="H331" s="97"/>
      <c r="I331" s="77"/>
      <c r="J331" s="77"/>
      <c r="K331" s="77"/>
      <c r="L331" s="77"/>
      <c r="M331" s="98"/>
      <c r="N331" s="77"/>
      <c r="O331" s="77"/>
      <c r="P331" s="77"/>
    </row>
    <row r="332" spans="1:16" ht="15.75" customHeight="1">
      <c r="A332" s="96"/>
      <c r="B332" s="75"/>
      <c r="C332" s="77"/>
      <c r="D332" s="75"/>
      <c r="E332" s="97"/>
      <c r="F332" s="77"/>
      <c r="G332" s="75"/>
      <c r="H332" s="97"/>
      <c r="I332" s="77"/>
      <c r="J332" s="77"/>
      <c r="K332" s="77"/>
      <c r="L332" s="77"/>
      <c r="M332" s="98"/>
      <c r="N332" s="77"/>
      <c r="O332" s="77"/>
      <c r="P332" s="77"/>
    </row>
    <row r="333" spans="1:16" ht="15.75" customHeight="1">
      <c r="A333" s="96"/>
      <c r="B333" s="75"/>
      <c r="C333" s="77"/>
      <c r="D333" s="75"/>
      <c r="E333" s="97"/>
      <c r="F333" s="77"/>
      <c r="G333" s="75"/>
      <c r="H333" s="97"/>
      <c r="I333" s="77"/>
      <c r="J333" s="77"/>
      <c r="K333" s="77"/>
      <c r="L333" s="77"/>
      <c r="M333" s="98"/>
      <c r="N333" s="77"/>
      <c r="O333" s="77"/>
      <c r="P333" s="77"/>
    </row>
    <row r="334" spans="1:16" ht="15.75" customHeight="1">
      <c r="A334" s="96"/>
      <c r="B334" s="75"/>
      <c r="C334" s="77"/>
      <c r="D334" s="75"/>
      <c r="E334" s="97"/>
      <c r="F334" s="77"/>
      <c r="G334" s="75"/>
      <c r="H334" s="97"/>
      <c r="I334" s="77"/>
      <c r="J334" s="77"/>
      <c r="K334" s="77"/>
      <c r="L334" s="77"/>
      <c r="M334" s="98"/>
      <c r="N334" s="77"/>
      <c r="O334" s="77"/>
      <c r="P334" s="77"/>
    </row>
    <row r="335" spans="1:16" ht="15.75" customHeight="1">
      <c r="A335" s="96"/>
      <c r="B335" s="75"/>
      <c r="C335" s="77"/>
      <c r="D335" s="75"/>
      <c r="E335" s="97"/>
      <c r="F335" s="77"/>
      <c r="G335" s="75"/>
      <c r="H335" s="97"/>
      <c r="I335" s="77"/>
      <c r="J335" s="77"/>
      <c r="K335" s="77"/>
      <c r="L335" s="77"/>
      <c r="M335" s="98"/>
      <c r="N335" s="77"/>
      <c r="O335" s="77"/>
      <c r="P335" s="77"/>
    </row>
    <row r="336" spans="1:16" ht="15.75" customHeight="1">
      <c r="A336" s="96"/>
      <c r="B336" s="75"/>
      <c r="C336" s="77"/>
      <c r="D336" s="75"/>
      <c r="E336" s="97"/>
      <c r="F336" s="77"/>
      <c r="G336" s="75"/>
      <c r="H336" s="97"/>
      <c r="I336" s="77"/>
      <c r="J336" s="77"/>
      <c r="K336" s="77"/>
      <c r="L336" s="77"/>
      <c r="M336" s="98"/>
      <c r="N336" s="77"/>
      <c r="O336" s="77"/>
      <c r="P336" s="77"/>
    </row>
    <row r="337" spans="1:16" ht="15.75" customHeight="1">
      <c r="A337" s="96"/>
      <c r="B337" s="75"/>
      <c r="C337" s="77"/>
      <c r="D337" s="75"/>
      <c r="E337" s="97"/>
      <c r="F337" s="77"/>
      <c r="G337" s="75"/>
      <c r="H337" s="97"/>
      <c r="I337" s="77"/>
      <c r="J337" s="77"/>
      <c r="K337" s="77"/>
      <c r="L337" s="77"/>
      <c r="M337" s="98"/>
      <c r="N337" s="77"/>
      <c r="O337" s="77"/>
      <c r="P337" s="77"/>
    </row>
    <row r="338" spans="1:16" ht="15.75" customHeight="1">
      <c r="A338" s="96"/>
      <c r="B338" s="75"/>
      <c r="C338" s="77"/>
      <c r="D338" s="75"/>
      <c r="E338" s="97"/>
      <c r="F338" s="77"/>
      <c r="G338" s="75"/>
      <c r="H338" s="97"/>
      <c r="I338" s="77"/>
      <c r="J338" s="77"/>
      <c r="K338" s="77"/>
      <c r="L338" s="77"/>
      <c r="M338" s="98"/>
      <c r="N338" s="77"/>
      <c r="O338" s="77"/>
      <c r="P338" s="77"/>
    </row>
    <row r="339" spans="1:16" ht="15.75" customHeight="1">
      <c r="A339" s="96"/>
      <c r="B339" s="75"/>
      <c r="C339" s="77"/>
      <c r="D339" s="75"/>
      <c r="E339" s="97"/>
      <c r="F339" s="77"/>
      <c r="G339" s="75"/>
      <c r="H339" s="97"/>
      <c r="I339" s="77"/>
      <c r="J339" s="77"/>
      <c r="K339" s="77"/>
      <c r="L339" s="77"/>
      <c r="M339" s="98"/>
      <c r="N339" s="77"/>
      <c r="O339" s="77"/>
      <c r="P339" s="77"/>
    </row>
    <row r="340" spans="1:16" ht="15.75" customHeight="1">
      <c r="A340" s="96"/>
      <c r="B340" s="75"/>
      <c r="C340" s="77"/>
      <c r="D340" s="75"/>
      <c r="E340" s="97"/>
      <c r="F340" s="77"/>
      <c r="G340" s="75"/>
      <c r="H340" s="97"/>
      <c r="I340" s="77"/>
      <c r="J340" s="77"/>
      <c r="K340" s="77"/>
      <c r="L340" s="77"/>
      <c r="M340" s="98"/>
      <c r="N340" s="77"/>
      <c r="O340" s="77"/>
      <c r="P340" s="77"/>
    </row>
    <row r="341" spans="1:16" ht="15.75" customHeight="1">
      <c r="A341" s="96"/>
      <c r="B341" s="75"/>
      <c r="C341" s="77"/>
      <c r="D341" s="75"/>
      <c r="E341" s="97"/>
      <c r="F341" s="77"/>
      <c r="G341" s="75"/>
      <c r="H341" s="97"/>
      <c r="I341" s="77"/>
      <c r="J341" s="77"/>
      <c r="K341" s="77"/>
      <c r="L341" s="77"/>
      <c r="M341" s="98"/>
      <c r="N341" s="77"/>
      <c r="O341" s="77"/>
      <c r="P341" s="77"/>
    </row>
    <row r="342" spans="1:16" ht="15.75" customHeight="1">
      <c r="A342" s="96"/>
      <c r="B342" s="75"/>
      <c r="C342" s="77"/>
      <c r="D342" s="75"/>
      <c r="E342" s="97"/>
      <c r="F342" s="77"/>
      <c r="G342" s="75"/>
      <c r="H342" s="97"/>
      <c r="I342" s="77"/>
      <c r="J342" s="77"/>
      <c r="K342" s="77"/>
      <c r="L342" s="77"/>
      <c r="M342" s="98"/>
      <c r="N342" s="77"/>
      <c r="O342" s="77"/>
      <c r="P342" s="77"/>
    </row>
    <row r="343" spans="1:16" ht="15.75" customHeight="1">
      <c r="A343" s="96"/>
      <c r="B343" s="75"/>
      <c r="C343" s="77"/>
      <c r="D343" s="75"/>
      <c r="E343" s="97"/>
      <c r="F343" s="77"/>
      <c r="G343" s="75"/>
      <c r="H343" s="97"/>
      <c r="I343" s="77"/>
      <c r="J343" s="77"/>
      <c r="K343" s="77"/>
      <c r="L343" s="77"/>
      <c r="M343" s="98"/>
      <c r="N343" s="77"/>
      <c r="O343" s="77"/>
      <c r="P343" s="77"/>
    </row>
    <row r="344" spans="1:16" ht="15.75" customHeight="1">
      <c r="A344" s="96"/>
      <c r="B344" s="75"/>
      <c r="C344" s="77"/>
      <c r="D344" s="75"/>
      <c r="E344" s="97"/>
      <c r="F344" s="77"/>
      <c r="G344" s="75"/>
      <c r="H344" s="97"/>
      <c r="I344" s="77"/>
      <c r="J344" s="77"/>
      <c r="K344" s="77"/>
      <c r="L344" s="77"/>
      <c r="M344" s="98"/>
      <c r="N344" s="77"/>
      <c r="O344" s="77"/>
      <c r="P344" s="77"/>
    </row>
    <row r="345" spans="1:16" ht="15.75" customHeight="1">
      <c r="A345" s="96"/>
      <c r="B345" s="75"/>
      <c r="C345" s="77"/>
      <c r="D345" s="75"/>
      <c r="E345" s="97"/>
      <c r="F345" s="77"/>
      <c r="G345" s="75"/>
      <c r="H345" s="97"/>
      <c r="I345" s="77"/>
      <c r="J345" s="77"/>
      <c r="K345" s="77"/>
      <c r="L345" s="77"/>
      <c r="M345" s="98"/>
      <c r="N345" s="77"/>
      <c r="O345" s="77"/>
      <c r="P345" s="77"/>
    </row>
    <row r="346" spans="1:16" ht="15.75" customHeight="1">
      <c r="A346" s="96"/>
      <c r="B346" s="75"/>
      <c r="C346" s="77"/>
      <c r="D346" s="75"/>
      <c r="E346" s="97"/>
      <c r="F346" s="77"/>
      <c r="G346" s="75"/>
      <c r="H346" s="97"/>
      <c r="I346" s="77"/>
      <c r="J346" s="77"/>
      <c r="K346" s="77"/>
      <c r="L346" s="77"/>
      <c r="M346" s="98"/>
      <c r="N346" s="77"/>
      <c r="O346" s="77"/>
      <c r="P346" s="77"/>
    </row>
    <row r="347" spans="1:16" ht="15.75" customHeight="1">
      <c r="A347" s="96"/>
      <c r="B347" s="75"/>
      <c r="C347" s="77"/>
      <c r="D347" s="75"/>
      <c r="E347" s="97"/>
      <c r="F347" s="77"/>
      <c r="G347" s="75"/>
      <c r="H347" s="97"/>
      <c r="I347" s="77"/>
      <c r="J347" s="77"/>
      <c r="K347" s="77"/>
      <c r="L347" s="77"/>
      <c r="M347" s="98"/>
      <c r="N347" s="77"/>
      <c r="O347" s="77"/>
      <c r="P347" s="77"/>
    </row>
    <row r="348" spans="1:16" ht="15.75" customHeight="1">
      <c r="A348" s="96"/>
      <c r="B348" s="75"/>
      <c r="C348" s="77"/>
      <c r="D348" s="75"/>
      <c r="E348" s="97"/>
      <c r="F348" s="77"/>
      <c r="G348" s="75"/>
      <c r="H348" s="97"/>
      <c r="I348" s="77"/>
      <c r="J348" s="77"/>
      <c r="K348" s="77"/>
      <c r="L348" s="77"/>
      <c r="M348" s="98"/>
      <c r="N348" s="77"/>
      <c r="O348" s="77"/>
      <c r="P348" s="77"/>
    </row>
    <row r="349" spans="1:16" ht="15.75" customHeight="1">
      <c r="A349" s="96"/>
      <c r="B349" s="75"/>
      <c r="C349" s="77"/>
      <c r="D349" s="75"/>
      <c r="E349" s="97"/>
      <c r="F349" s="77"/>
      <c r="G349" s="75"/>
      <c r="H349" s="97"/>
      <c r="I349" s="77"/>
      <c r="J349" s="77"/>
      <c r="K349" s="77"/>
      <c r="L349" s="77"/>
      <c r="M349" s="98"/>
      <c r="N349" s="77"/>
      <c r="O349" s="77"/>
      <c r="P349" s="77"/>
    </row>
    <row r="350" spans="1:16" ht="15.75" customHeight="1">
      <c r="A350" s="96"/>
      <c r="B350" s="75"/>
      <c r="C350" s="77"/>
      <c r="D350" s="75"/>
      <c r="E350" s="97"/>
      <c r="F350" s="77"/>
      <c r="G350" s="75"/>
      <c r="H350" s="97"/>
      <c r="I350" s="77"/>
      <c r="J350" s="77"/>
      <c r="K350" s="77"/>
      <c r="L350" s="77"/>
      <c r="M350" s="98"/>
      <c r="N350" s="77"/>
      <c r="O350" s="77"/>
      <c r="P350" s="77"/>
    </row>
    <row r="351" spans="1:16" ht="15.75" customHeight="1">
      <c r="A351" s="96"/>
      <c r="B351" s="75"/>
      <c r="C351" s="77"/>
      <c r="D351" s="75"/>
      <c r="E351" s="97"/>
      <c r="F351" s="77"/>
      <c r="G351" s="75"/>
      <c r="H351" s="97"/>
      <c r="I351" s="77"/>
      <c r="J351" s="77"/>
      <c r="K351" s="77"/>
      <c r="L351" s="77"/>
      <c r="M351" s="98"/>
      <c r="N351" s="77"/>
      <c r="O351" s="77"/>
      <c r="P351" s="77"/>
    </row>
    <row r="352" spans="1:16" ht="15.75" customHeight="1">
      <c r="A352" s="96"/>
      <c r="B352" s="75"/>
      <c r="C352" s="77"/>
      <c r="D352" s="75"/>
      <c r="E352" s="97"/>
      <c r="F352" s="77"/>
      <c r="G352" s="75"/>
      <c r="H352" s="97"/>
      <c r="I352" s="77"/>
      <c r="J352" s="77"/>
      <c r="K352" s="77"/>
      <c r="L352" s="77"/>
      <c r="M352" s="98"/>
      <c r="N352" s="77"/>
      <c r="O352" s="77"/>
      <c r="P352" s="77"/>
    </row>
    <row r="353" spans="1:16" ht="15.75" customHeight="1">
      <c r="A353" s="96"/>
      <c r="B353" s="75"/>
      <c r="C353" s="77"/>
      <c r="D353" s="75"/>
      <c r="E353" s="97"/>
      <c r="F353" s="77"/>
      <c r="G353" s="75"/>
      <c r="H353" s="97"/>
      <c r="I353" s="77"/>
      <c r="J353" s="77"/>
      <c r="K353" s="77"/>
      <c r="L353" s="77"/>
      <c r="M353" s="98"/>
      <c r="N353" s="77"/>
      <c r="O353" s="77"/>
      <c r="P353" s="77"/>
    </row>
    <row r="354" spans="1:16" ht="15.75" customHeight="1">
      <c r="A354" s="96"/>
      <c r="B354" s="75"/>
      <c r="C354" s="77"/>
      <c r="D354" s="75"/>
      <c r="E354" s="97"/>
      <c r="F354" s="77"/>
      <c r="G354" s="75"/>
      <c r="H354" s="97"/>
      <c r="I354" s="77"/>
      <c r="J354" s="77"/>
      <c r="K354" s="77"/>
      <c r="L354" s="77"/>
      <c r="M354" s="98"/>
      <c r="N354" s="77"/>
      <c r="O354" s="77"/>
      <c r="P354" s="77"/>
    </row>
    <row r="355" spans="1:16" ht="15.75" customHeight="1">
      <c r="A355" s="96"/>
      <c r="B355" s="75"/>
      <c r="C355" s="77"/>
      <c r="D355" s="75"/>
      <c r="E355" s="97"/>
      <c r="F355" s="77"/>
      <c r="G355" s="75"/>
      <c r="H355" s="97"/>
      <c r="I355" s="77"/>
      <c r="J355" s="77"/>
      <c r="K355" s="77"/>
      <c r="L355" s="77"/>
      <c r="M355" s="98"/>
      <c r="N355" s="77"/>
      <c r="O355" s="77"/>
      <c r="P355" s="77"/>
    </row>
    <row r="356" spans="1:16" ht="15.75" customHeight="1">
      <c r="A356" s="96"/>
      <c r="B356" s="75"/>
      <c r="C356" s="77"/>
      <c r="D356" s="75"/>
      <c r="E356" s="97"/>
      <c r="F356" s="77"/>
      <c r="G356" s="75"/>
      <c r="H356" s="97"/>
      <c r="I356" s="77"/>
      <c r="J356" s="77"/>
      <c r="K356" s="77"/>
      <c r="L356" s="77"/>
      <c r="M356" s="98"/>
      <c r="N356" s="77"/>
      <c r="O356" s="77"/>
      <c r="P356" s="77"/>
    </row>
    <row r="357" spans="1:16" ht="15.75" customHeight="1">
      <c r="A357" s="96"/>
      <c r="B357" s="75"/>
      <c r="C357" s="77"/>
      <c r="D357" s="75"/>
      <c r="E357" s="97"/>
      <c r="F357" s="77"/>
      <c r="G357" s="75"/>
      <c r="H357" s="97"/>
      <c r="I357" s="77"/>
      <c r="J357" s="77"/>
      <c r="K357" s="77"/>
      <c r="L357" s="77"/>
      <c r="M357" s="98"/>
      <c r="N357" s="77"/>
      <c r="O357" s="77"/>
      <c r="P357" s="77"/>
    </row>
    <row r="358" spans="1:16" ht="15.75" customHeight="1">
      <c r="A358" s="96"/>
      <c r="B358" s="75"/>
      <c r="C358" s="77"/>
      <c r="D358" s="75"/>
      <c r="E358" s="97"/>
      <c r="F358" s="77"/>
      <c r="G358" s="75"/>
      <c r="H358" s="97"/>
      <c r="I358" s="77"/>
      <c r="J358" s="77"/>
      <c r="K358" s="77"/>
      <c r="L358" s="77"/>
      <c r="M358" s="98"/>
      <c r="N358" s="77"/>
      <c r="O358" s="77"/>
      <c r="P358" s="77"/>
    </row>
    <row r="359" spans="1:16" ht="15.75" customHeight="1">
      <c r="A359" s="96"/>
      <c r="B359" s="75"/>
      <c r="C359" s="77"/>
      <c r="D359" s="75"/>
      <c r="E359" s="97"/>
      <c r="F359" s="77"/>
      <c r="G359" s="75"/>
      <c r="H359" s="97"/>
      <c r="I359" s="77"/>
      <c r="J359" s="77"/>
      <c r="K359" s="77"/>
      <c r="L359" s="77"/>
      <c r="M359" s="98"/>
      <c r="N359" s="77"/>
      <c r="O359" s="77"/>
      <c r="P359" s="77"/>
    </row>
    <row r="360" spans="1:16" ht="15.75" customHeight="1">
      <c r="A360" s="96"/>
      <c r="B360" s="75"/>
      <c r="C360" s="77"/>
      <c r="D360" s="75"/>
      <c r="E360" s="97"/>
      <c r="F360" s="77"/>
      <c r="G360" s="75"/>
      <c r="H360" s="97"/>
      <c r="I360" s="77"/>
      <c r="J360" s="77"/>
      <c r="K360" s="77"/>
      <c r="L360" s="77"/>
      <c r="M360" s="98"/>
      <c r="N360" s="77"/>
      <c r="O360" s="77"/>
      <c r="P360" s="77"/>
    </row>
    <row r="361" spans="1:16" ht="15.75" customHeight="1">
      <c r="A361" s="96"/>
      <c r="B361" s="75"/>
      <c r="C361" s="77"/>
      <c r="D361" s="75"/>
      <c r="E361" s="97"/>
      <c r="F361" s="77"/>
      <c r="G361" s="75"/>
      <c r="H361" s="97"/>
      <c r="I361" s="77"/>
      <c r="J361" s="77"/>
      <c r="K361" s="77"/>
      <c r="L361" s="77"/>
      <c r="M361" s="98"/>
      <c r="N361" s="77"/>
      <c r="O361" s="77"/>
      <c r="P361" s="77"/>
    </row>
    <row r="362" spans="1:16" ht="15.75" customHeight="1">
      <c r="A362" s="96"/>
      <c r="B362" s="75"/>
      <c r="C362" s="77"/>
      <c r="D362" s="75"/>
      <c r="E362" s="97"/>
      <c r="F362" s="77"/>
      <c r="G362" s="75"/>
      <c r="H362" s="97"/>
      <c r="I362" s="77"/>
      <c r="J362" s="77"/>
      <c r="K362" s="77"/>
      <c r="L362" s="77"/>
      <c r="M362" s="98"/>
      <c r="N362" s="77"/>
      <c r="O362" s="77"/>
      <c r="P362" s="77"/>
    </row>
    <row r="363" spans="1:16" ht="15.75" customHeight="1">
      <c r="A363" s="96"/>
      <c r="B363" s="75"/>
      <c r="C363" s="77"/>
      <c r="D363" s="75"/>
      <c r="E363" s="97"/>
      <c r="F363" s="77"/>
      <c r="G363" s="75"/>
      <c r="H363" s="97"/>
      <c r="I363" s="77"/>
      <c r="J363" s="77"/>
      <c r="K363" s="77"/>
      <c r="L363" s="77"/>
      <c r="M363" s="98"/>
      <c r="N363" s="77"/>
      <c r="O363" s="77"/>
      <c r="P363" s="77"/>
    </row>
    <row r="364" spans="1:16" ht="15.75" customHeight="1">
      <c r="A364" s="96"/>
      <c r="B364" s="75"/>
      <c r="C364" s="77"/>
      <c r="D364" s="75"/>
      <c r="E364" s="97"/>
      <c r="F364" s="77"/>
      <c r="G364" s="75"/>
      <c r="H364" s="97"/>
      <c r="I364" s="77"/>
      <c r="J364" s="77"/>
      <c r="K364" s="77"/>
      <c r="L364" s="77"/>
      <c r="M364" s="98"/>
      <c r="N364" s="77"/>
      <c r="O364" s="77"/>
      <c r="P364" s="77"/>
    </row>
    <row r="365" spans="1:16" ht="15.75" customHeight="1">
      <c r="A365" s="96"/>
      <c r="B365" s="75"/>
      <c r="C365" s="77"/>
      <c r="D365" s="75"/>
      <c r="E365" s="97"/>
      <c r="F365" s="77"/>
      <c r="G365" s="75"/>
      <c r="H365" s="97"/>
      <c r="I365" s="77"/>
      <c r="J365" s="77"/>
      <c r="K365" s="77"/>
      <c r="L365" s="77"/>
      <c r="M365" s="98"/>
      <c r="N365" s="77"/>
      <c r="O365" s="77"/>
      <c r="P365" s="77"/>
    </row>
    <row r="366" spans="1:16" ht="15.75" customHeight="1">
      <c r="A366" s="96"/>
      <c r="B366" s="75"/>
      <c r="C366" s="77"/>
      <c r="D366" s="75"/>
      <c r="E366" s="97"/>
      <c r="F366" s="77"/>
      <c r="G366" s="75"/>
      <c r="H366" s="97"/>
      <c r="I366" s="77"/>
      <c r="J366" s="77"/>
      <c r="K366" s="77"/>
      <c r="L366" s="77"/>
      <c r="M366" s="98"/>
      <c r="N366" s="77"/>
      <c r="O366" s="77"/>
      <c r="P366" s="77"/>
    </row>
    <row r="367" spans="1:16" ht="15.75" customHeight="1">
      <c r="A367" s="96"/>
      <c r="B367" s="75"/>
      <c r="C367" s="77"/>
      <c r="D367" s="75"/>
      <c r="E367" s="97"/>
      <c r="F367" s="77"/>
      <c r="G367" s="75"/>
      <c r="H367" s="97"/>
      <c r="I367" s="77"/>
      <c r="J367" s="77"/>
      <c r="K367" s="77"/>
      <c r="L367" s="77"/>
      <c r="M367" s="98"/>
      <c r="N367" s="77"/>
      <c r="O367" s="77"/>
      <c r="P367" s="77"/>
    </row>
    <row r="368" spans="1:16" ht="15.75" customHeight="1">
      <c r="A368" s="96"/>
      <c r="B368" s="75"/>
      <c r="C368" s="77"/>
      <c r="D368" s="75"/>
      <c r="E368" s="97"/>
      <c r="F368" s="77"/>
      <c r="G368" s="75"/>
      <c r="H368" s="97"/>
      <c r="I368" s="77"/>
      <c r="J368" s="77"/>
      <c r="K368" s="77"/>
      <c r="L368" s="77"/>
      <c r="M368" s="98"/>
      <c r="N368" s="77"/>
      <c r="O368" s="77"/>
      <c r="P368" s="77"/>
    </row>
    <row r="369" spans="1:16" ht="15.75" customHeight="1">
      <c r="A369" s="96"/>
      <c r="B369" s="75"/>
      <c r="C369" s="77"/>
      <c r="D369" s="75"/>
      <c r="E369" s="97"/>
      <c r="F369" s="77"/>
      <c r="G369" s="75"/>
      <c r="H369" s="97"/>
      <c r="I369" s="77"/>
      <c r="J369" s="77"/>
      <c r="K369" s="77"/>
      <c r="L369" s="77"/>
      <c r="M369" s="98"/>
      <c r="N369" s="77"/>
      <c r="O369" s="77"/>
      <c r="P369" s="77"/>
    </row>
    <row r="370" spans="1:16" ht="15.75" customHeight="1">
      <c r="A370" s="96"/>
      <c r="B370" s="75"/>
      <c r="C370" s="77"/>
      <c r="D370" s="75"/>
      <c r="E370" s="97"/>
      <c r="F370" s="77"/>
      <c r="G370" s="75"/>
      <c r="H370" s="97"/>
      <c r="I370" s="77"/>
      <c r="J370" s="77"/>
      <c r="K370" s="77"/>
      <c r="L370" s="77"/>
      <c r="M370" s="98"/>
      <c r="N370" s="77"/>
      <c r="O370" s="77"/>
      <c r="P370" s="77"/>
    </row>
    <row r="371" spans="1:16" ht="15.75" customHeight="1">
      <c r="A371" s="96"/>
      <c r="B371" s="75"/>
      <c r="C371" s="77"/>
      <c r="D371" s="75"/>
      <c r="E371" s="97"/>
      <c r="F371" s="77"/>
      <c r="G371" s="75"/>
      <c r="H371" s="97"/>
      <c r="I371" s="77"/>
      <c r="J371" s="77"/>
      <c r="K371" s="77"/>
      <c r="L371" s="77"/>
      <c r="M371" s="98"/>
      <c r="N371" s="77"/>
      <c r="O371" s="77"/>
      <c r="P371" s="77"/>
    </row>
    <row r="372" spans="1:16" ht="15.75" customHeight="1">
      <c r="A372" s="96"/>
      <c r="B372" s="75"/>
      <c r="C372" s="77"/>
      <c r="D372" s="75"/>
      <c r="E372" s="97"/>
      <c r="F372" s="77"/>
      <c r="G372" s="75"/>
      <c r="H372" s="97"/>
      <c r="I372" s="77"/>
      <c r="J372" s="77"/>
      <c r="K372" s="77"/>
      <c r="L372" s="77"/>
      <c r="M372" s="98"/>
      <c r="N372" s="77"/>
      <c r="O372" s="77"/>
      <c r="P372" s="77"/>
    </row>
    <row r="373" spans="1:16" ht="15.75" customHeight="1">
      <c r="A373" s="96"/>
      <c r="B373" s="75"/>
      <c r="C373" s="77"/>
      <c r="D373" s="75"/>
      <c r="E373" s="97"/>
      <c r="F373" s="77"/>
      <c r="G373" s="75"/>
      <c r="H373" s="97"/>
      <c r="I373" s="77"/>
      <c r="J373" s="77"/>
      <c r="K373" s="77"/>
      <c r="L373" s="77"/>
      <c r="M373" s="98"/>
      <c r="N373" s="77"/>
      <c r="O373" s="77"/>
      <c r="P373" s="77"/>
    </row>
    <row r="374" spans="1:16" ht="15.75" customHeight="1">
      <c r="A374" s="96"/>
      <c r="B374" s="75"/>
      <c r="C374" s="77"/>
      <c r="D374" s="75"/>
      <c r="E374" s="97"/>
      <c r="F374" s="77"/>
      <c r="G374" s="75"/>
      <c r="H374" s="97"/>
      <c r="I374" s="77"/>
      <c r="J374" s="77"/>
      <c r="K374" s="77"/>
      <c r="L374" s="77"/>
      <c r="M374" s="98"/>
      <c r="N374" s="77"/>
      <c r="O374" s="77"/>
      <c r="P374" s="77"/>
    </row>
    <row r="375" spans="1:16" ht="15.75" customHeight="1">
      <c r="A375" s="96"/>
      <c r="B375" s="75"/>
      <c r="C375" s="77"/>
      <c r="D375" s="75"/>
      <c r="E375" s="97"/>
      <c r="F375" s="77"/>
      <c r="G375" s="75"/>
      <c r="H375" s="97"/>
      <c r="I375" s="77"/>
      <c r="J375" s="77"/>
      <c r="K375" s="77"/>
      <c r="L375" s="77"/>
      <c r="M375" s="98"/>
      <c r="N375" s="77"/>
      <c r="O375" s="77"/>
      <c r="P375" s="77"/>
    </row>
    <row r="376" spans="1:16" ht="15.75" customHeight="1">
      <c r="A376" s="96"/>
      <c r="B376" s="75"/>
      <c r="C376" s="77"/>
      <c r="D376" s="75"/>
      <c r="E376" s="97"/>
      <c r="F376" s="77"/>
      <c r="G376" s="75"/>
      <c r="H376" s="97"/>
      <c r="I376" s="77"/>
      <c r="J376" s="77"/>
      <c r="K376" s="77"/>
      <c r="L376" s="77"/>
      <c r="M376" s="98"/>
      <c r="N376" s="77"/>
      <c r="O376" s="77"/>
      <c r="P376" s="77"/>
    </row>
    <row r="377" spans="1:16" ht="15.75" customHeight="1">
      <c r="A377" s="96"/>
      <c r="B377" s="75"/>
      <c r="C377" s="77"/>
      <c r="D377" s="75"/>
      <c r="E377" s="97"/>
      <c r="F377" s="77"/>
      <c r="G377" s="75"/>
      <c r="H377" s="97"/>
      <c r="I377" s="77"/>
      <c r="J377" s="77"/>
      <c r="K377" s="77"/>
      <c r="L377" s="77"/>
      <c r="M377" s="98"/>
      <c r="N377" s="77"/>
      <c r="O377" s="77"/>
      <c r="P377" s="77"/>
    </row>
    <row r="378" spans="1:16" ht="15.75" customHeight="1">
      <c r="A378" s="96"/>
      <c r="B378" s="75"/>
      <c r="C378" s="77"/>
      <c r="D378" s="75"/>
      <c r="E378" s="97"/>
      <c r="F378" s="77"/>
      <c r="G378" s="75"/>
      <c r="H378" s="97"/>
      <c r="I378" s="77"/>
      <c r="J378" s="77"/>
      <c r="K378" s="77"/>
      <c r="L378" s="77"/>
      <c r="M378" s="98"/>
      <c r="N378" s="77"/>
      <c r="O378" s="77"/>
      <c r="P378" s="77"/>
    </row>
    <row r="379" spans="1:16" ht="15.75" customHeight="1">
      <c r="A379" s="96"/>
      <c r="B379" s="75"/>
      <c r="C379" s="77"/>
      <c r="D379" s="75"/>
      <c r="E379" s="97"/>
      <c r="F379" s="77"/>
      <c r="G379" s="75"/>
      <c r="H379" s="97"/>
      <c r="I379" s="77"/>
      <c r="J379" s="77"/>
      <c r="K379" s="77"/>
      <c r="L379" s="77"/>
      <c r="M379" s="98"/>
      <c r="N379" s="77"/>
      <c r="O379" s="77"/>
      <c r="P379" s="77"/>
    </row>
    <row r="380" spans="1:16" ht="15.75" customHeight="1">
      <c r="A380" s="96"/>
      <c r="B380" s="75"/>
      <c r="C380" s="77"/>
      <c r="D380" s="75"/>
      <c r="E380" s="97"/>
      <c r="F380" s="77"/>
      <c r="G380" s="75"/>
      <c r="H380" s="97"/>
      <c r="I380" s="77"/>
      <c r="J380" s="77"/>
      <c r="K380" s="77"/>
      <c r="L380" s="77"/>
      <c r="M380" s="98"/>
      <c r="N380" s="77"/>
      <c r="O380" s="77"/>
      <c r="P380" s="77"/>
    </row>
    <row r="381" spans="1:16" ht="15.75" customHeight="1">
      <c r="A381" s="96"/>
      <c r="B381" s="75"/>
      <c r="C381" s="77"/>
      <c r="D381" s="75"/>
      <c r="E381" s="97"/>
      <c r="F381" s="77"/>
      <c r="G381" s="75"/>
      <c r="H381" s="97"/>
      <c r="I381" s="77"/>
      <c r="J381" s="77"/>
      <c r="K381" s="77"/>
      <c r="L381" s="77"/>
      <c r="M381" s="98"/>
      <c r="N381" s="77"/>
      <c r="O381" s="77"/>
      <c r="P381" s="77"/>
    </row>
    <row r="382" spans="1:16" ht="15.75" customHeight="1">
      <c r="A382" s="96"/>
      <c r="B382" s="75"/>
      <c r="C382" s="77"/>
      <c r="D382" s="75"/>
      <c r="E382" s="97"/>
      <c r="F382" s="77"/>
      <c r="G382" s="75"/>
      <c r="H382" s="97"/>
      <c r="I382" s="77"/>
      <c r="J382" s="77"/>
      <c r="K382" s="77"/>
      <c r="L382" s="77"/>
      <c r="M382" s="98"/>
      <c r="N382" s="77"/>
      <c r="O382" s="77"/>
      <c r="P382" s="77"/>
    </row>
    <row r="383" spans="1:16" ht="15.75" customHeight="1">
      <c r="A383" s="96"/>
      <c r="B383" s="75"/>
      <c r="C383" s="77"/>
      <c r="D383" s="75"/>
      <c r="E383" s="97"/>
      <c r="F383" s="77"/>
      <c r="G383" s="75"/>
      <c r="H383" s="97"/>
      <c r="I383" s="77"/>
      <c r="J383" s="77"/>
      <c r="K383" s="77"/>
      <c r="L383" s="77"/>
      <c r="M383" s="98"/>
      <c r="N383" s="77"/>
      <c r="O383" s="77"/>
      <c r="P383" s="77"/>
    </row>
    <row r="384" spans="1:16" ht="15.75" customHeight="1">
      <c r="A384" s="96"/>
      <c r="B384" s="75"/>
      <c r="C384" s="77"/>
      <c r="D384" s="75"/>
      <c r="E384" s="97"/>
      <c r="F384" s="77"/>
      <c r="G384" s="75"/>
      <c r="H384" s="97"/>
      <c r="I384" s="77"/>
      <c r="J384" s="77"/>
      <c r="K384" s="77"/>
      <c r="L384" s="77"/>
      <c r="M384" s="98"/>
      <c r="N384" s="77"/>
      <c r="O384" s="77"/>
      <c r="P384" s="77"/>
    </row>
    <row r="385" spans="1:16" ht="15.75" customHeight="1">
      <c r="A385" s="96"/>
      <c r="B385" s="75"/>
      <c r="C385" s="77"/>
      <c r="D385" s="75"/>
      <c r="E385" s="97"/>
      <c r="F385" s="77"/>
      <c r="G385" s="75"/>
      <c r="H385" s="97"/>
      <c r="I385" s="77"/>
      <c r="J385" s="77"/>
      <c r="K385" s="77"/>
      <c r="L385" s="77"/>
      <c r="M385" s="98"/>
      <c r="N385" s="77"/>
      <c r="O385" s="77"/>
      <c r="P385" s="77"/>
    </row>
    <row r="386" spans="1:16" ht="15.75" customHeight="1">
      <c r="A386" s="96"/>
      <c r="B386" s="75"/>
      <c r="C386" s="77"/>
      <c r="D386" s="75"/>
      <c r="E386" s="97"/>
      <c r="F386" s="77"/>
      <c r="G386" s="75"/>
      <c r="H386" s="97"/>
      <c r="I386" s="77"/>
      <c r="J386" s="77"/>
      <c r="K386" s="77"/>
      <c r="L386" s="77"/>
      <c r="M386" s="98"/>
      <c r="N386" s="77"/>
      <c r="O386" s="77"/>
      <c r="P386" s="77"/>
    </row>
    <row r="387" spans="1:16" ht="15.75" customHeight="1">
      <c r="A387" s="96"/>
      <c r="B387" s="75"/>
      <c r="C387" s="77"/>
      <c r="D387" s="75"/>
      <c r="E387" s="97"/>
      <c r="F387" s="77"/>
      <c r="G387" s="75"/>
      <c r="H387" s="97"/>
      <c r="I387" s="77"/>
      <c r="J387" s="77"/>
      <c r="K387" s="77"/>
      <c r="L387" s="77"/>
      <c r="M387" s="98"/>
      <c r="N387" s="77"/>
      <c r="O387" s="77"/>
      <c r="P387" s="77"/>
    </row>
    <row r="388" spans="1:16" ht="15.75" customHeight="1">
      <c r="A388" s="96"/>
      <c r="B388" s="75"/>
      <c r="C388" s="77"/>
      <c r="D388" s="75"/>
      <c r="E388" s="97"/>
      <c r="F388" s="77"/>
      <c r="G388" s="75"/>
      <c r="H388" s="97"/>
      <c r="I388" s="77"/>
      <c r="J388" s="77"/>
      <c r="K388" s="77"/>
      <c r="L388" s="77"/>
      <c r="M388" s="98"/>
      <c r="N388" s="77"/>
      <c r="O388" s="77"/>
      <c r="P388" s="77"/>
    </row>
    <row r="389" spans="1:16" ht="15.75" customHeight="1">
      <c r="A389" s="96"/>
      <c r="B389" s="75"/>
      <c r="C389" s="77"/>
      <c r="D389" s="75"/>
      <c r="E389" s="97"/>
      <c r="F389" s="77"/>
      <c r="G389" s="75"/>
      <c r="H389" s="97"/>
      <c r="I389" s="77"/>
      <c r="J389" s="77"/>
      <c r="K389" s="77"/>
      <c r="L389" s="77"/>
      <c r="M389" s="98"/>
      <c r="N389" s="77"/>
      <c r="O389" s="77"/>
      <c r="P389" s="77"/>
    </row>
    <row r="390" spans="1:16" ht="15.75" customHeight="1">
      <c r="A390" s="96"/>
      <c r="B390" s="75"/>
      <c r="C390" s="77"/>
      <c r="D390" s="75"/>
      <c r="E390" s="97"/>
      <c r="F390" s="77"/>
      <c r="G390" s="75"/>
      <c r="H390" s="97"/>
      <c r="I390" s="77"/>
      <c r="J390" s="77"/>
      <c r="K390" s="77"/>
      <c r="L390" s="77"/>
      <c r="M390" s="98"/>
      <c r="N390" s="77"/>
      <c r="O390" s="77"/>
      <c r="P390" s="77"/>
    </row>
    <row r="391" spans="1:16" ht="15.75" customHeight="1">
      <c r="A391" s="96"/>
      <c r="B391" s="75"/>
      <c r="C391" s="77"/>
      <c r="D391" s="75"/>
      <c r="E391" s="97"/>
      <c r="F391" s="77"/>
      <c r="G391" s="75"/>
      <c r="H391" s="97"/>
      <c r="I391" s="77"/>
      <c r="J391" s="77"/>
      <c r="K391" s="77"/>
      <c r="L391" s="77"/>
      <c r="M391" s="98"/>
      <c r="N391" s="77"/>
      <c r="O391" s="77"/>
      <c r="P391" s="77"/>
    </row>
    <row r="392" spans="1:16" ht="15.75" customHeight="1">
      <c r="A392" s="96"/>
      <c r="B392" s="75"/>
      <c r="C392" s="77"/>
      <c r="D392" s="75"/>
      <c r="E392" s="97"/>
      <c r="F392" s="77"/>
      <c r="G392" s="75"/>
      <c r="H392" s="97"/>
      <c r="I392" s="77"/>
      <c r="J392" s="77"/>
      <c r="K392" s="77"/>
      <c r="L392" s="77"/>
      <c r="M392" s="98"/>
      <c r="N392" s="77"/>
      <c r="O392" s="77"/>
      <c r="P392" s="77"/>
    </row>
    <row r="393" spans="1:16" ht="15.75" customHeight="1">
      <c r="A393" s="96"/>
      <c r="B393" s="75"/>
      <c r="C393" s="77"/>
      <c r="D393" s="75"/>
      <c r="E393" s="97"/>
      <c r="F393" s="77"/>
      <c r="G393" s="75"/>
      <c r="H393" s="97"/>
      <c r="I393" s="77"/>
      <c r="J393" s="77"/>
      <c r="K393" s="77"/>
      <c r="L393" s="77"/>
      <c r="M393" s="98"/>
      <c r="N393" s="77"/>
      <c r="O393" s="77"/>
      <c r="P393" s="77"/>
    </row>
    <row r="394" spans="1:16" ht="15.75" customHeight="1">
      <c r="A394" s="96"/>
      <c r="B394" s="75"/>
      <c r="C394" s="77"/>
      <c r="D394" s="75"/>
      <c r="E394" s="97"/>
      <c r="F394" s="77"/>
      <c r="G394" s="75"/>
      <c r="H394" s="97"/>
      <c r="I394" s="77"/>
      <c r="J394" s="77"/>
      <c r="K394" s="77"/>
      <c r="L394" s="77"/>
      <c r="M394" s="98"/>
      <c r="N394" s="77"/>
      <c r="O394" s="77"/>
      <c r="P394" s="77"/>
    </row>
    <row r="395" spans="1:16" ht="15.75" customHeight="1">
      <c r="A395" s="96"/>
      <c r="B395" s="75"/>
      <c r="C395" s="77"/>
      <c r="D395" s="75"/>
      <c r="E395" s="97"/>
      <c r="F395" s="77"/>
      <c r="G395" s="75"/>
      <c r="H395" s="97"/>
      <c r="I395" s="77"/>
      <c r="J395" s="77"/>
      <c r="K395" s="77"/>
      <c r="L395" s="77"/>
      <c r="M395" s="98"/>
      <c r="N395" s="77"/>
      <c r="O395" s="77"/>
      <c r="P395" s="77"/>
    </row>
    <row r="396" spans="1:16" ht="15.75" customHeight="1">
      <c r="A396" s="96"/>
      <c r="B396" s="75"/>
      <c r="C396" s="77"/>
      <c r="D396" s="75"/>
      <c r="E396" s="97"/>
      <c r="F396" s="77"/>
      <c r="G396" s="75"/>
      <c r="H396" s="97"/>
      <c r="I396" s="77"/>
      <c r="J396" s="77"/>
      <c r="K396" s="77"/>
      <c r="L396" s="77"/>
      <c r="M396" s="98"/>
      <c r="N396" s="77"/>
      <c r="O396" s="77"/>
      <c r="P396" s="77"/>
    </row>
    <row r="397" spans="1:16" ht="15.75" customHeight="1">
      <c r="A397" s="96"/>
      <c r="B397" s="75"/>
      <c r="C397" s="77"/>
      <c r="D397" s="75"/>
      <c r="E397" s="97"/>
      <c r="F397" s="77"/>
      <c r="G397" s="75"/>
      <c r="H397" s="97"/>
      <c r="I397" s="77"/>
      <c r="J397" s="77"/>
      <c r="K397" s="77"/>
      <c r="L397" s="77"/>
      <c r="M397" s="98"/>
      <c r="N397" s="77"/>
      <c r="O397" s="77"/>
      <c r="P397" s="77"/>
    </row>
    <row r="398" spans="1:16" ht="15.75" customHeight="1">
      <c r="A398" s="96"/>
      <c r="B398" s="75"/>
      <c r="C398" s="77"/>
      <c r="D398" s="75"/>
      <c r="E398" s="97"/>
      <c r="F398" s="77"/>
      <c r="G398" s="75"/>
      <c r="H398" s="97"/>
      <c r="I398" s="77"/>
      <c r="J398" s="77"/>
      <c r="K398" s="77"/>
      <c r="L398" s="77"/>
      <c r="M398" s="98"/>
      <c r="N398" s="77"/>
      <c r="O398" s="77"/>
      <c r="P398" s="77"/>
    </row>
    <row r="399" spans="1:16" ht="15.75" customHeight="1">
      <c r="A399" s="96"/>
      <c r="B399" s="75"/>
      <c r="C399" s="77"/>
      <c r="D399" s="75"/>
      <c r="E399" s="97"/>
      <c r="F399" s="77"/>
      <c r="G399" s="75"/>
      <c r="H399" s="97"/>
      <c r="I399" s="77"/>
      <c r="J399" s="77"/>
      <c r="K399" s="77"/>
      <c r="L399" s="77"/>
      <c r="M399" s="98"/>
      <c r="N399" s="77"/>
      <c r="O399" s="77"/>
      <c r="P399" s="77"/>
    </row>
    <row r="400" spans="1:16" ht="15.75" customHeight="1">
      <c r="A400" s="96"/>
      <c r="B400" s="75"/>
      <c r="C400" s="77"/>
      <c r="D400" s="75"/>
      <c r="E400" s="97"/>
      <c r="F400" s="77"/>
      <c r="G400" s="75"/>
      <c r="H400" s="97"/>
      <c r="I400" s="77"/>
      <c r="J400" s="77"/>
      <c r="K400" s="77"/>
      <c r="L400" s="77"/>
      <c r="M400" s="98"/>
      <c r="N400" s="77"/>
      <c r="O400" s="77"/>
      <c r="P400" s="77"/>
    </row>
    <row r="401" spans="1:16" ht="15.75" customHeight="1">
      <c r="A401" s="96"/>
      <c r="B401" s="75"/>
      <c r="C401" s="77"/>
      <c r="D401" s="75"/>
      <c r="E401" s="97"/>
      <c r="F401" s="77"/>
      <c r="G401" s="75"/>
      <c r="H401" s="97"/>
      <c r="I401" s="77"/>
      <c r="J401" s="77"/>
      <c r="K401" s="77"/>
      <c r="L401" s="77"/>
      <c r="M401" s="98"/>
      <c r="N401" s="77"/>
      <c r="O401" s="77"/>
      <c r="P401" s="77"/>
    </row>
    <row r="402" spans="1:16" ht="15.75" customHeight="1">
      <c r="A402" s="96"/>
      <c r="B402" s="75"/>
      <c r="C402" s="77"/>
      <c r="D402" s="75"/>
      <c r="E402" s="97"/>
      <c r="F402" s="77"/>
      <c r="G402" s="75"/>
      <c r="H402" s="97"/>
      <c r="I402" s="77"/>
      <c r="J402" s="77"/>
      <c r="K402" s="77"/>
      <c r="L402" s="77"/>
      <c r="M402" s="98"/>
      <c r="N402" s="77"/>
      <c r="O402" s="77"/>
      <c r="P402" s="77"/>
    </row>
    <row r="403" spans="1:16" ht="15.75" customHeight="1">
      <c r="A403" s="96"/>
      <c r="B403" s="75"/>
      <c r="C403" s="77"/>
      <c r="D403" s="75"/>
      <c r="E403" s="97"/>
      <c r="F403" s="77"/>
      <c r="G403" s="75"/>
      <c r="H403" s="97"/>
      <c r="I403" s="77"/>
      <c r="J403" s="77"/>
      <c r="K403" s="77"/>
      <c r="L403" s="77"/>
      <c r="M403" s="98"/>
      <c r="N403" s="77"/>
      <c r="O403" s="77"/>
      <c r="P403" s="77"/>
    </row>
    <row r="404" spans="1:16" ht="15.75" customHeight="1">
      <c r="A404" s="96"/>
      <c r="B404" s="75"/>
      <c r="C404" s="77"/>
      <c r="D404" s="75"/>
      <c r="E404" s="97"/>
      <c r="F404" s="77"/>
      <c r="G404" s="75"/>
      <c r="H404" s="97"/>
      <c r="I404" s="77"/>
      <c r="J404" s="77"/>
      <c r="K404" s="77"/>
      <c r="L404" s="77"/>
      <c r="M404" s="98"/>
      <c r="N404" s="77"/>
      <c r="O404" s="77"/>
      <c r="P404" s="77"/>
    </row>
    <row r="405" spans="1:16" ht="15.75" customHeight="1">
      <c r="A405" s="96"/>
      <c r="B405" s="75"/>
      <c r="C405" s="77"/>
      <c r="D405" s="75"/>
      <c r="E405" s="97"/>
      <c r="F405" s="77"/>
      <c r="G405" s="75"/>
      <c r="H405" s="97"/>
      <c r="I405" s="77"/>
      <c r="J405" s="77"/>
      <c r="K405" s="77"/>
      <c r="L405" s="77"/>
      <c r="M405" s="98"/>
      <c r="N405" s="77"/>
      <c r="O405" s="77"/>
      <c r="P405" s="77"/>
    </row>
    <row r="406" spans="1:16" ht="15.75" customHeight="1">
      <c r="A406" s="96"/>
      <c r="B406" s="75"/>
      <c r="C406" s="77"/>
      <c r="D406" s="75"/>
      <c r="E406" s="97"/>
      <c r="F406" s="77"/>
      <c r="G406" s="75"/>
      <c r="H406" s="97"/>
      <c r="I406" s="77"/>
      <c r="J406" s="77"/>
      <c r="K406" s="77"/>
      <c r="L406" s="77"/>
      <c r="M406" s="98"/>
      <c r="N406" s="77"/>
      <c r="O406" s="77"/>
      <c r="P406" s="77"/>
    </row>
    <row r="407" spans="1:16" ht="15.75" customHeight="1">
      <c r="A407" s="96"/>
      <c r="B407" s="75"/>
      <c r="C407" s="77"/>
      <c r="D407" s="75"/>
      <c r="E407" s="97"/>
      <c r="F407" s="77"/>
      <c r="G407" s="75"/>
      <c r="H407" s="97"/>
      <c r="I407" s="77"/>
      <c r="J407" s="77"/>
      <c r="K407" s="77"/>
      <c r="L407" s="77"/>
      <c r="M407" s="98"/>
      <c r="N407" s="77"/>
      <c r="O407" s="77"/>
      <c r="P407" s="77"/>
    </row>
    <row r="408" spans="1:16" ht="15.75" customHeight="1">
      <c r="A408" s="96"/>
      <c r="B408" s="75"/>
      <c r="C408" s="77"/>
      <c r="D408" s="75"/>
      <c r="E408" s="97"/>
      <c r="F408" s="77"/>
      <c r="G408" s="75"/>
      <c r="H408" s="97"/>
      <c r="I408" s="77"/>
      <c r="J408" s="77"/>
      <c r="K408" s="77"/>
      <c r="L408" s="77"/>
      <c r="M408" s="98"/>
      <c r="N408" s="77"/>
      <c r="O408" s="77"/>
      <c r="P408" s="77"/>
    </row>
    <row r="409" spans="1:16" ht="15.75" customHeight="1">
      <c r="A409" s="96"/>
      <c r="B409" s="75"/>
      <c r="C409" s="77"/>
      <c r="D409" s="75"/>
      <c r="E409" s="97"/>
      <c r="F409" s="77"/>
      <c r="G409" s="75"/>
      <c r="H409" s="97"/>
      <c r="I409" s="77"/>
      <c r="J409" s="77"/>
      <c r="K409" s="77"/>
      <c r="L409" s="77"/>
      <c r="M409" s="98"/>
      <c r="N409" s="77"/>
      <c r="O409" s="77"/>
      <c r="P409" s="77"/>
    </row>
    <row r="410" spans="1:16" ht="15.75" customHeight="1">
      <c r="A410" s="96"/>
      <c r="B410" s="75"/>
      <c r="C410" s="77"/>
      <c r="D410" s="75"/>
      <c r="E410" s="97"/>
      <c r="F410" s="77"/>
      <c r="G410" s="75"/>
      <c r="H410" s="97"/>
      <c r="I410" s="77"/>
      <c r="J410" s="77"/>
      <c r="K410" s="77"/>
      <c r="L410" s="77"/>
      <c r="M410" s="98"/>
      <c r="N410" s="77"/>
      <c r="O410" s="77"/>
      <c r="P410" s="77"/>
    </row>
    <row r="411" spans="1:16" ht="15.75" customHeight="1">
      <c r="A411" s="96"/>
      <c r="B411" s="75"/>
      <c r="C411" s="77"/>
      <c r="D411" s="75"/>
      <c r="E411" s="97"/>
      <c r="F411" s="77"/>
      <c r="G411" s="75"/>
      <c r="H411" s="97"/>
      <c r="I411" s="77"/>
      <c r="J411" s="77"/>
      <c r="K411" s="77"/>
      <c r="L411" s="77"/>
      <c r="M411" s="98"/>
      <c r="N411" s="77"/>
      <c r="O411" s="77"/>
      <c r="P411" s="77"/>
    </row>
    <row r="412" spans="1:16" ht="15.75" customHeight="1">
      <c r="A412" s="96"/>
      <c r="B412" s="75"/>
      <c r="C412" s="77"/>
      <c r="D412" s="75"/>
      <c r="E412" s="97"/>
      <c r="F412" s="77"/>
      <c r="G412" s="75"/>
      <c r="H412" s="97"/>
      <c r="I412" s="77"/>
      <c r="J412" s="77"/>
      <c r="K412" s="77"/>
      <c r="L412" s="77"/>
      <c r="M412" s="98"/>
      <c r="N412" s="77"/>
      <c r="O412" s="77"/>
      <c r="P412" s="77"/>
    </row>
    <row r="413" spans="1:16" ht="15.75" customHeight="1">
      <c r="A413" s="96"/>
      <c r="B413" s="75"/>
      <c r="C413" s="77"/>
      <c r="D413" s="75"/>
      <c r="E413" s="97"/>
      <c r="F413" s="77"/>
      <c r="G413" s="75"/>
      <c r="H413" s="97"/>
      <c r="I413" s="77"/>
      <c r="J413" s="77"/>
      <c r="K413" s="77"/>
      <c r="L413" s="77"/>
      <c r="M413" s="98"/>
      <c r="N413" s="77"/>
      <c r="O413" s="77"/>
      <c r="P413" s="77"/>
    </row>
    <row r="414" spans="1:16" ht="15.75" customHeight="1">
      <c r="A414" s="96"/>
      <c r="B414" s="75"/>
      <c r="C414" s="77"/>
      <c r="D414" s="75"/>
      <c r="E414" s="97"/>
      <c r="F414" s="77"/>
      <c r="G414" s="75"/>
      <c r="H414" s="97"/>
      <c r="I414" s="77"/>
      <c r="J414" s="77"/>
      <c r="K414" s="77"/>
      <c r="L414" s="77"/>
      <c r="M414" s="98"/>
      <c r="N414" s="77"/>
      <c r="O414" s="77"/>
      <c r="P414" s="77"/>
    </row>
    <row r="415" spans="1:16" ht="15.75" customHeight="1">
      <c r="A415" s="96"/>
      <c r="B415" s="75"/>
      <c r="C415" s="77"/>
      <c r="D415" s="75"/>
      <c r="E415" s="97"/>
      <c r="F415" s="77"/>
      <c r="G415" s="75"/>
      <c r="H415" s="97"/>
      <c r="I415" s="77"/>
      <c r="J415" s="77"/>
      <c r="K415" s="77"/>
      <c r="L415" s="77"/>
      <c r="M415" s="98"/>
      <c r="N415" s="77"/>
      <c r="O415" s="77"/>
      <c r="P415" s="77"/>
    </row>
    <row r="416" spans="1:16" ht="15.75" customHeight="1">
      <c r="A416" s="96"/>
      <c r="B416" s="75"/>
      <c r="C416" s="77"/>
      <c r="D416" s="75"/>
      <c r="E416" s="97"/>
      <c r="F416" s="77"/>
      <c r="G416" s="75"/>
      <c r="H416" s="97"/>
      <c r="I416" s="77"/>
      <c r="J416" s="77"/>
      <c r="K416" s="77"/>
      <c r="L416" s="77"/>
      <c r="M416" s="98"/>
      <c r="N416" s="77"/>
      <c r="O416" s="77"/>
      <c r="P416" s="77"/>
    </row>
    <row r="417" spans="1:16" ht="15.75" customHeight="1">
      <c r="A417" s="96"/>
      <c r="B417" s="75"/>
      <c r="C417" s="77"/>
      <c r="D417" s="75"/>
      <c r="E417" s="97"/>
      <c r="F417" s="77"/>
      <c r="G417" s="75"/>
      <c r="H417" s="97"/>
      <c r="I417" s="77"/>
      <c r="J417" s="77"/>
      <c r="K417" s="77"/>
      <c r="L417" s="77"/>
      <c r="M417" s="98"/>
      <c r="N417" s="77"/>
      <c r="O417" s="77"/>
      <c r="P417" s="77"/>
    </row>
    <row r="418" spans="1:16" ht="15.75" customHeight="1">
      <c r="A418" s="96"/>
      <c r="B418" s="75"/>
      <c r="C418" s="77"/>
      <c r="D418" s="75"/>
      <c r="E418" s="97"/>
      <c r="F418" s="77"/>
      <c r="G418" s="75"/>
      <c r="H418" s="97"/>
      <c r="I418" s="77"/>
      <c r="J418" s="77"/>
      <c r="K418" s="77"/>
      <c r="L418" s="77"/>
      <c r="M418" s="98"/>
      <c r="N418" s="77"/>
      <c r="O418" s="77"/>
      <c r="P418" s="77"/>
    </row>
    <row r="419" spans="1:16" ht="15.75" customHeight="1">
      <c r="A419" s="96"/>
      <c r="B419" s="75"/>
      <c r="C419" s="77"/>
      <c r="D419" s="75"/>
      <c r="E419" s="97"/>
      <c r="F419" s="77"/>
      <c r="G419" s="75"/>
      <c r="H419" s="97"/>
      <c r="I419" s="77"/>
      <c r="J419" s="77"/>
      <c r="K419" s="77"/>
      <c r="L419" s="77"/>
      <c r="M419" s="98"/>
      <c r="N419" s="77"/>
      <c r="O419" s="77"/>
      <c r="P419" s="77"/>
    </row>
    <row r="420" spans="1:16" ht="15.75" customHeight="1">
      <c r="A420" s="96"/>
      <c r="B420" s="75"/>
      <c r="C420" s="77"/>
      <c r="D420" s="75"/>
      <c r="E420" s="97"/>
      <c r="F420" s="77"/>
      <c r="G420" s="75"/>
      <c r="H420" s="97"/>
      <c r="I420" s="77"/>
      <c r="J420" s="77"/>
      <c r="K420" s="77"/>
      <c r="L420" s="77"/>
      <c r="M420" s="98"/>
      <c r="N420" s="77"/>
      <c r="O420" s="77"/>
      <c r="P420" s="77"/>
    </row>
    <row r="421" spans="1:16" ht="15.75" customHeight="1">
      <c r="A421" s="96"/>
      <c r="B421" s="75"/>
      <c r="C421" s="77"/>
      <c r="D421" s="75"/>
      <c r="E421" s="97"/>
      <c r="F421" s="77"/>
      <c r="G421" s="75"/>
      <c r="H421" s="97"/>
      <c r="I421" s="77"/>
      <c r="J421" s="77"/>
      <c r="K421" s="77"/>
      <c r="L421" s="77"/>
      <c r="M421" s="98"/>
      <c r="N421" s="77"/>
      <c r="O421" s="77"/>
      <c r="P421" s="77"/>
    </row>
    <row r="422" spans="1:16" ht="15.75" customHeight="1">
      <c r="A422" s="96"/>
      <c r="B422" s="75"/>
      <c r="C422" s="77"/>
      <c r="D422" s="75"/>
      <c r="E422" s="97"/>
      <c r="F422" s="77"/>
      <c r="G422" s="75"/>
      <c r="H422" s="97"/>
      <c r="I422" s="77"/>
      <c r="J422" s="77"/>
      <c r="K422" s="77"/>
      <c r="L422" s="77"/>
      <c r="M422" s="98"/>
      <c r="N422" s="77"/>
      <c r="O422" s="77"/>
      <c r="P422" s="77"/>
    </row>
    <row r="423" spans="1:16" ht="15.75" customHeight="1">
      <c r="A423" s="96"/>
      <c r="B423" s="75"/>
      <c r="C423" s="77"/>
      <c r="D423" s="75"/>
      <c r="E423" s="97"/>
      <c r="F423" s="77"/>
      <c r="G423" s="75"/>
      <c r="H423" s="97"/>
      <c r="I423" s="77"/>
      <c r="J423" s="77"/>
      <c r="K423" s="77"/>
      <c r="L423" s="77"/>
      <c r="M423" s="98"/>
      <c r="N423" s="77"/>
      <c r="O423" s="77"/>
      <c r="P423" s="77"/>
    </row>
    <row r="424" spans="1:16" ht="15.75" customHeight="1">
      <c r="A424" s="96"/>
      <c r="B424" s="75"/>
      <c r="C424" s="77"/>
      <c r="D424" s="75"/>
      <c r="E424" s="97"/>
      <c r="F424" s="77"/>
      <c r="G424" s="75"/>
      <c r="H424" s="97"/>
      <c r="I424" s="77"/>
      <c r="J424" s="77"/>
      <c r="K424" s="77"/>
      <c r="L424" s="77"/>
      <c r="M424" s="98"/>
      <c r="N424" s="77"/>
      <c r="O424" s="77"/>
      <c r="P424" s="77"/>
    </row>
    <row r="425" spans="1:16" ht="15.75" customHeight="1">
      <c r="A425" s="96"/>
      <c r="B425" s="75"/>
      <c r="C425" s="77"/>
      <c r="D425" s="75"/>
      <c r="E425" s="97"/>
      <c r="F425" s="77"/>
      <c r="G425" s="75"/>
      <c r="H425" s="97"/>
      <c r="I425" s="77"/>
      <c r="J425" s="77"/>
      <c r="K425" s="77"/>
      <c r="L425" s="77"/>
      <c r="M425" s="98"/>
      <c r="N425" s="77"/>
      <c r="O425" s="77"/>
      <c r="P425" s="77"/>
    </row>
    <row r="426" spans="1:16" ht="15.75" customHeight="1">
      <c r="A426" s="96"/>
      <c r="B426" s="75"/>
      <c r="C426" s="77"/>
      <c r="D426" s="75"/>
      <c r="E426" s="97"/>
      <c r="F426" s="77"/>
      <c r="G426" s="75"/>
      <c r="H426" s="97"/>
      <c r="I426" s="77"/>
      <c r="J426" s="77"/>
      <c r="K426" s="77"/>
      <c r="L426" s="77"/>
      <c r="M426" s="98"/>
      <c r="N426" s="77"/>
      <c r="O426" s="77"/>
      <c r="P426" s="77"/>
    </row>
    <row r="427" spans="1:16" ht="15.75" customHeight="1">
      <c r="A427" s="96"/>
      <c r="B427" s="75"/>
      <c r="C427" s="77"/>
      <c r="D427" s="75"/>
      <c r="E427" s="97"/>
      <c r="F427" s="77"/>
      <c r="G427" s="75"/>
      <c r="H427" s="97"/>
      <c r="I427" s="77"/>
      <c r="J427" s="77"/>
      <c r="K427" s="77"/>
      <c r="L427" s="77"/>
      <c r="M427" s="98"/>
      <c r="N427" s="77"/>
      <c r="O427" s="77"/>
      <c r="P427" s="77"/>
    </row>
    <row r="428" spans="1:16" ht="15.75" customHeight="1">
      <c r="A428" s="96"/>
      <c r="B428" s="75"/>
      <c r="C428" s="77"/>
      <c r="D428" s="75"/>
      <c r="E428" s="97"/>
      <c r="F428" s="77"/>
      <c r="G428" s="75"/>
      <c r="H428" s="97"/>
      <c r="I428" s="77"/>
      <c r="J428" s="77"/>
      <c r="K428" s="77"/>
      <c r="L428" s="77"/>
      <c r="M428" s="98"/>
      <c r="N428" s="77"/>
      <c r="O428" s="77"/>
      <c r="P428" s="77"/>
    </row>
    <row r="429" spans="1:16" ht="15.75" customHeight="1">
      <c r="A429" s="96"/>
      <c r="B429" s="75"/>
      <c r="C429" s="77"/>
      <c r="D429" s="75"/>
      <c r="E429" s="97"/>
      <c r="F429" s="77"/>
      <c r="G429" s="75"/>
      <c r="H429" s="97"/>
      <c r="I429" s="77"/>
      <c r="J429" s="77"/>
      <c r="K429" s="77"/>
      <c r="L429" s="77"/>
      <c r="M429" s="98"/>
      <c r="N429" s="77"/>
      <c r="O429" s="77"/>
      <c r="P429" s="77"/>
    </row>
    <row r="430" spans="1:16" ht="15.75" customHeight="1">
      <c r="A430" s="96"/>
      <c r="B430" s="75"/>
      <c r="C430" s="77"/>
      <c r="D430" s="75"/>
      <c r="E430" s="97"/>
      <c r="F430" s="77"/>
      <c r="G430" s="75"/>
      <c r="H430" s="97"/>
      <c r="I430" s="77"/>
      <c r="J430" s="77"/>
      <c r="K430" s="77"/>
      <c r="L430" s="77"/>
      <c r="M430" s="98"/>
      <c r="N430" s="77"/>
      <c r="O430" s="77"/>
      <c r="P430" s="77"/>
    </row>
    <row r="431" spans="1:16" ht="15.75" customHeight="1">
      <c r="A431" s="96"/>
      <c r="B431" s="75"/>
      <c r="C431" s="77"/>
      <c r="D431" s="75"/>
      <c r="E431" s="97"/>
      <c r="F431" s="77"/>
      <c r="G431" s="75"/>
      <c r="H431" s="97"/>
      <c r="I431" s="77"/>
      <c r="J431" s="77"/>
      <c r="K431" s="77"/>
      <c r="L431" s="77"/>
      <c r="M431" s="98"/>
      <c r="N431" s="77"/>
      <c r="O431" s="77"/>
      <c r="P431" s="77"/>
    </row>
    <row r="432" spans="1:16" ht="15.75" customHeight="1">
      <c r="A432" s="96"/>
      <c r="B432" s="75"/>
      <c r="C432" s="77"/>
      <c r="D432" s="75"/>
      <c r="E432" s="97"/>
      <c r="F432" s="77"/>
      <c r="G432" s="75"/>
      <c r="H432" s="97"/>
      <c r="I432" s="77"/>
      <c r="J432" s="77"/>
      <c r="K432" s="77"/>
      <c r="L432" s="77"/>
      <c r="M432" s="98"/>
      <c r="N432" s="77"/>
      <c r="O432" s="77"/>
      <c r="P432" s="77"/>
    </row>
    <row r="433" spans="1:16" ht="15.75" customHeight="1">
      <c r="A433" s="96"/>
      <c r="B433" s="75"/>
      <c r="C433" s="77"/>
      <c r="D433" s="75"/>
      <c r="E433" s="97"/>
      <c r="F433" s="77"/>
      <c r="G433" s="75"/>
      <c r="H433" s="97"/>
      <c r="I433" s="77"/>
      <c r="J433" s="77"/>
      <c r="K433" s="77"/>
      <c r="L433" s="77"/>
      <c r="M433" s="98"/>
      <c r="N433" s="77"/>
      <c r="O433" s="77"/>
      <c r="P433" s="77"/>
    </row>
    <row r="434" spans="1:16" ht="15.75" customHeight="1">
      <c r="A434" s="96"/>
      <c r="B434" s="75"/>
      <c r="C434" s="77"/>
      <c r="D434" s="75"/>
      <c r="E434" s="97"/>
      <c r="F434" s="77"/>
      <c r="G434" s="75"/>
      <c r="H434" s="97"/>
      <c r="I434" s="77"/>
      <c r="J434" s="77"/>
      <c r="K434" s="77"/>
      <c r="L434" s="77"/>
      <c r="M434" s="98"/>
      <c r="N434" s="77"/>
      <c r="O434" s="77"/>
      <c r="P434" s="77"/>
    </row>
    <row r="435" spans="1:16" ht="15.75" customHeight="1">
      <c r="A435" s="96"/>
      <c r="B435" s="75"/>
      <c r="C435" s="77"/>
      <c r="D435" s="75"/>
      <c r="E435" s="97"/>
      <c r="F435" s="77"/>
      <c r="G435" s="75"/>
      <c r="H435" s="97"/>
      <c r="I435" s="77"/>
      <c r="J435" s="77"/>
      <c r="K435" s="77"/>
      <c r="L435" s="77"/>
      <c r="M435" s="98"/>
      <c r="N435" s="77"/>
      <c r="O435" s="77"/>
      <c r="P435" s="77"/>
    </row>
    <row r="436" spans="1:16" ht="15.75" customHeight="1">
      <c r="A436" s="96"/>
      <c r="B436" s="75"/>
      <c r="C436" s="77"/>
      <c r="D436" s="75"/>
      <c r="E436" s="97"/>
      <c r="F436" s="77"/>
      <c r="G436" s="75"/>
      <c r="H436" s="97"/>
      <c r="I436" s="77"/>
      <c r="J436" s="77"/>
      <c r="K436" s="77"/>
      <c r="L436" s="77"/>
      <c r="M436" s="98"/>
      <c r="N436" s="77"/>
      <c r="O436" s="77"/>
      <c r="P436" s="77"/>
    </row>
    <row r="437" spans="1:16" ht="15.75" customHeight="1">
      <c r="A437" s="96"/>
      <c r="B437" s="75"/>
      <c r="C437" s="77"/>
      <c r="D437" s="75"/>
      <c r="E437" s="97"/>
      <c r="F437" s="77"/>
      <c r="G437" s="75"/>
      <c r="H437" s="97"/>
      <c r="I437" s="77"/>
      <c r="J437" s="77"/>
      <c r="K437" s="77"/>
      <c r="L437" s="77"/>
      <c r="M437" s="98"/>
      <c r="N437" s="77"/>
      <c r="O437" s="77"/>
      <c r="P437" s="77"/>
    </row>
    <row r="438" spans="1:16" ht="15.75" customHeight="1">
      <c r="A438" s="96"/>
      <c r="B438" s="75"/>
      <c r="C438" s="77"/>
      <c r="D438" s="75"/>
      <c r="E438" s="97"/>
      <c r="F438" s="77"/>
      <c r="G438" s="75"/>
      <c r="H438" s="97"/>
      <c r="I438" s="77"/>
      <c r="J438" s="77"/>
      <c r="K438" s="77"/>
      <c r="L438" s="77"/>
      <c r="M438" s="98"/>
      <c r="N438" s="77"/>
      <c r="O438" s="77"/>
      <c r="P438" s="77"/>
    </row>
    <row r="439" spans="1:16" ht="15.75" customHeight="1">
      <c r="A439" s="96"/>
      <c r="B439" s="75"/>
      <c r="C439" s="77"/>
      <c r="D439" s="75"/>
      <c r="E439" s="97"/>
      <c r="F439" s="77"/>
      <c r="G439" s="75"/>
      <c r="H439" s="97"/>
      <c r="I439" s="77"/>
      <c r="J439" s="77"/>
      <c r="K439" s="77"/>
      <c r="L439" s="77"/>
      <c r="M439" s="98"/>
      <c r="N439" s="77"/>
      <c r="O439" s="77"/>
      <c r="P439" s="77"/>
    </row>
    <row r="440" spans="1:16" ht="15.75" customHeight="1">
      <c r="A440" s="96"/>
      <c r="B440" s="75"/>
      <c r="C440" s="77"/>
      <c r="D440" s="75"/>
      <c r="E440" s="97"/>
      <c r="F440" s="77"/>
      <c r="G440" s="75"/>
      <c r="H440" s="97"/>
      <c r="I440" s="77"/>
      <c r="J440" s="77"/>
      <c r="K440" s="77"/>
      <c r="L440" s="77"/>
      <c r="M440" s="98"/>
      <c r="N440" s="77"/>
      <c r="O440" s="77"/>
      <c r="P440" s="77"/>
    </row>
    <row r="441" spans="1:16" ht="15.75" customHeight="1">
      <c r="A441" s="96"/>
      <c r="B441" s="75"/>
      <c r="C441" s="77"/>
      <c r="D441" s="75"/>
      <c r="E441" s="97"/>
      <c r="F441" s="77"/>
      <c r="G441" s="75"/>
      <c r="H441" s="97"/>
      <c r="I441" s="77"/>
      <c r="J441" s="77"/>
      <c r="K441" s="77"/>
      <c r="L441" s="77"/>
      <c r="M441" s="98"/>
      <c r="N441" s="77"/>
      <c r="O441" s="77"/>
      <c r="P441" s="77"/>
    </row>
    <row r="442" spans="1:16" ht="15.75" customHeight="1">
      <c r="A442" s="96"/>
      <c r="B442" s="75"/>
      <c r="C442" s="77"/>
      <c r="D442" s="75"/>
      <c r="E442" s="97"/>
      <c r="F442" s="77"/>
      <c r="G442" s="75"/>
      <c r="H442" s="97"/>
      <c r="I442" s="77"/>
      <c r="J442" s="77"/>
      <c r="K442" s="77"/>
      <c r="L442" s="77"/>
      <c r="M442" s="98"/>
      <c r="N442" s="77"/>
      <c r="O442" s="77"/>
      <c r="P442" s="77"/>
    </row>
    <row r="443" spans="1:16" ht="15.75" customHeight="1">
      <c r="A443" s="96"/>
      <c r="B443" s="75"/>
      <c r="C443" s="77"/>
      <c r="D443" s="75"/>
      <c r="E443" s="97"/>
      <c r="F443" s="77"/>
      <c r="G443" s="75"/>
      <c r="H443" s="97"/>
      <c r="I443" s="77"/>
      <c r="J443" s="77"/>
      <c r="K443" s="77"/>
      <c r="L443" s="77"/>
      <c r="M443" s="98"/>
      <c r="N443" s="77"/>
      <c r="O443" s="77"/>
      <c r="P443" s="77"/>
    </row>
    <row r="444" spans="1:16" ht="15.75" customHeight="1">
      <c r="A444" s="96"/>
      <c r="B444" s="75"/>
      <c r="C444" s="77"/>
      <c r="D444" s="75"/>
      <c r="E444" s="97"/>
      <c r="F444" s="77"/>
      <c r="G444" s="75"/>
      <c r="H444" s="97"/>
      <c r="I444" s="77"/>
      <c r="J444" s="77"/>
      <c r="K444" s="77"/>
      <c r="L444" s="77"/>
      <c r="M444" s="98"/>
      <c r="N444" s="77"/>
      <c r="O444" s="77"/>
      <c r="P444" s="77"/>
    </row>
    <row r="445" spans="1:16" ht="15.75" customHeight="1">
      <c r="A445" s="96"/>
      <c r="B445" s="75"/>
      <c r="C445" s="77"/>
      <c r="D445" s="75"/>
      <c r="E445" s="97"/>
      <c r="F445" s="77"/>
      <c r="G445" s="75"/>
      <c r="H445" s="97"/>
      <c r="I445" s="77"/>
      <c r="J445" s="77"/>
      <c r="K445" s="77"/>
      <c r="L445" s="77"/>
      <c r="M445" s="98"/>
      <c r="N445" s="77"/>
      <c r="O445" s="77"/>
      <c r="P445" s="77"/>
    </row>
    <row r="446" spans="1:16" ht="15.75" customHeight="1">
      <c r="A446" s="96"/>
      <c r="B446" s="75"/>
      <c r="C446" s="77"/>
      <c r="D446" s="75"/>
      <c r="E446" s="97"/>
      <c r="F446" s="77"/>
      <c r="G446" s="75"/>
      <c r="H446" s="97"/>
      <c r="I446" s="77"/>
      <c r="J446" s="77"/>
      <c r="K446" s="77"/>
      <c r="L446" s="77"/>
      <c r="M446" s="98"/>
      <c r="N446" s="77"/>
      <c r="O446" s="77"/>
      <c r="P446" s="77"/>
    </row>
    <row r="447" spans="1:16" ht="15.75" customHeight="1">
      <c r="A447" s="96"/>
      <c r="B447" s="75"/>
      <c r="C447" s="77"/>
      <c r="D447" s="75"/>
      <c r="E447" s="97"/>
      <c r="F447" s="77"/>
      <c r="G447" s="75"/>
      <c r="H447" s="97"/>
      <c r="I447" s="77"/>
      <c r="J447" s="77"/>
      <c r="K447" s="77"/>
      <c r="L447" s="77"/>
      <c r="M447" s="98"/>
      <c r="N447" s="77"/>
      <c r="O447" s="77"/>
      <c r="P447" s="77"/>
    </row>
    <row r="448" spans="1:16" ht="15.75" customHeight="1">
      <c r="A448" s="96"/>
      <c r="B448" s="75"/>
      <c r="C448" s="77"/>
      <c r="D448" s="75"/>
      <c r="E448" s="97"/>
      <c r="F448" s="77"/>
      <c r="G448" s="75"/>
      <c r="H448" s="97"/>
      <c r="I448" s="77"/>
      <c r="J448" s="77"/>
      <c r="K448" s="77"/>
      <c r="L448" s="77"/>
      <c r="M448" s="98"/>
      <c r="N448" s="77"/>
      <c r="O448" s="77"/>
      <c r="P448" s="77"/>
    </row>
    <row r="449" spans="1:16" ht="15.75" customHeight="1">
      <c r="A449" s="96"/>
      <c r="B449" s="75"/>
      <c r="C449" s="77"/>
      <c r="D449" s="75"/>
      <c r="E449" s="97"/>
      <c r="F449" s="77"/>
      <c r="G449" s="75"/>
      <c r="H449" s="97"/>
      <c r="I449" s="77"/>
      <c r="J449" s="77"/>
      <c r="K449" s="77"/>
      <c r="L449" s="77"/>
      <c r="M449" s="98"/>
      <c r="N449" s="77"/>
      <c r="O449" s="77"/>
      <c r="P449" s="77"/>
    </row>
    <row r="450" spans="1:16" ht="15.75" customHeight="1">
      <c r="A450" s="96"/>
      <c r="B450" s="75"/>
      <c r="C450" s="77"/>
      <c r="D450" s="75"/>
      <c r="E450" s="97"/>
      <c r="F450" s="77"/>
      <c r="G450" s="75"/>
      <c r="H450" s="97"/>
      <c r="I450" s="77"/>
      <c r="J450" s="77"/>
      <c r="K450" s="77"/>
      <c r="L450" s="77"/>
      <c r="M450" s="98"/>
      <c r="N450" s="77"/>
      <c r="O450" s="77"/>
      <c r="P450" s="77"/>
    </row>
    <row r="451" spans="1:16" ht="15.75" customHeight="1">
      <c r="A451" s="96"/>
      <c r="B451" s="75"/>
      <c r="C451" s="77"/>
      <c r="D451" s="75"/>
      <c r="E451" s="97"/>
      <c r="F451" s="77"/>
      <c r="G451" s="75"/>
      <c r="H451" s="97"/>
      <c r="I451" s="77"/>
      <c r="J451" s="77"/>
      <c r="K451" s="77"/>
      <c r="L451" s="77"/>
      <c r="M451" s="98"/>
      <c r="N451" s="77"/>
      <c r="O451" s="77"/>
      <c r="P451" s="77"/>
    </row>
    <row r="452" spans="1:16" ht="15.75" customHeight="1">
      <c r="A452" s="96"/>
      <c r="B452" s="75"/>
      <c r="C452" s="77"/>
      <c r="D452" s="75"/>
      <c r="E452" s="97"/>
      <c r="F452" s="77"/>
      <c r="G452" s="75"/>
      <c r="H452" s="97"/>
      <c r="I452" s="77"/>
      <c r="J452" s="77"/>
      <c r="K452" s="77"/>
      <c r="L452" s="77"/>
      <c r="M452" s="98"/>
      <c r="N452" s="77"/>
      <c r="O452" s="77"/>
      <c r="P452" s="77"/>
    </row>
    <row r="453" spans="1:16" ht="15.75" customHeight="1">
      <c r="A453" s="96"/>
      <c r="B453" s="75"/>
      <c r="C453" s="77"/>
      <c r="D453" s="75"/>
      <c r="E453" s="97"/>
      <c r="F453" s="77"/>
      <c r="G453" s="75"/>
      <c r="H453" s="97"/>
      <c r="I453" s="77"/>
      <c r="J453" s="77"/>
      <c r="K453" s="77"/>
      <c r="L453" s="77"/>
      <c r="M453" s="98"/>
      <c r="N453" s="77"/>
      <c r="O453" s="77"/>
      <c r="P453" s="77"/>
    </row>
    <row r="454" spans="1:16" ht="15.75" customHeight="1">
      <c r="A454" s="96"/>
      <c r="B454" s="75"/>
      <c r="C454" s="77"/>
      <c r="D454" s="75"/>
      <c r="E454" s="97"/>
      <c r="F454" s="77"/>
      <c r="G454" s="75"/>
      <c r="H454" s="97"/>
      <c r="I454" s="77"/>
      <c r="J454" s="77"/>
      <c r="K454" s="77"/>
      <c r="L454" s="77"/>
      <c r="M454" s="98"/>
      <c r="N454" s="77"/>
      <c r="O454" s="77"/>
      <c r="P454" s="77"/>
    </row>
    <row r="455" spans="1:16" ht="15.75" customHeight="1">
      <c r="A455" s="96"/>
      <c r="B455" s="75"/>
      <c r="C455" s="77"/>
      <c r="D455" s="75"/>
      <c r="E455" s="97"/>
      <c r="F455" s="77"/>
      <c r="G455" s="75"/>
      <c r="H455" s="97"/>
      <c r="I455" s="77"/>
      <c r="J455" s="77"/>
      <c r="K455" s="77"/>
      <c r="L455" s="77"/>
      <c r="M455" s="98"/>
      <c r="N455" s="77"/>
      <c r="O455" s="77"/>
      <c r="P455" s="77"/>
    </row>
    <row r="456" spans="1:16" ht="15.75" customHeight="1">
      <c r="A456" s="96"/>
      <c r="B456" s="75"/>
      <c r="C456" s="77"/>
      <c r="D456" s="75"/>
      <c r="E456" s="97"/>
      <c r="F456" s="77"/>
      <c r="G456" s="75"/>
      <c r="H456" s="97"/>
      <c r="I456" s="77"/>
      <c r="J456" s="77"/>
      <c r="K456" s="77"/>
      <c r="L456" s="77"/>
      <c r="M456" s="98"/>
      <c r="N456" s="77"/>
      <c r="O456" s="77"/>
      <c r="P456" s="77"/>
    </row>
    <row r="457" spans="1:16" ht="15.75" customHeight="1">
      <c r="A457" s="96"/>
      <c r="B457" s="75"/>
      <c r="C457" s="77"/>
      <c r="D457" s="75"/>
      <c r="E457" s="97"/>
      <c r="F457" s="77"/>
      <c r="G457" s="75"/>
      <c r="H457" s="97"/>
      <c r="I457" s="77"/>
      <c r="J457" s="77"/>
      <c r="K457" s="77"/>
      <c r="L457" s="77"/>
      <c r="M457" s="98"/>
      <c r="N457" s="77"/>
      <c r="O457" s="77"/>
      <c r="P457" s="77"/>
    </row>
    <row r="458" spans="1:16" ht="15.75" customHeight="1">
      <c r="A458" s="96"/>
      <c r="B458" s="75"/>
      <c r="C458" s="77"/>
      <c r="D458" s="75"/>
      <c r="E458" s="97"/>
      <c r="F458" s="77"/>
      <c r="G458" s="75"/>
      <c r="H458" s="97"/>
      <c r="I458" s="77"/>
      <c r="J458" s="77"/>
      <c r="K458" s="77"/>
      <c r="L458" s="77"/>
      <c r="M458" s="98"/>
      <c r="N458" s="77"/>
      <c r="O458" s="77"/>
      <c r="P458" s="77"/>
    </row>
    <row r="459" spans="1:16" ht="15.75" customHeight="1">
      <c r="A459" s="96"/>
      <c r="B459" s="75"/>
      <c r="C459" s="77"/>
      <c r="D459" s="75"/>
      <c r="E459" s="97"/>
      <c r="F459" s="77"/>
      <c r="G459" s="75"/>
      <c r="H459" s="97"/>
      <c r="I459" s="77"/>
      <c r="J459" s="77"/>
      <c r="K459" s="77"/>
      <c r="L459" s="77"/>
      <c r="M459" s="98"/>
      <c r="N459" s="77"/>
      <c r="O459" s="77"/>
      <c r="P459" s="77"/>
    </row>
    <row r="460" spans="1:16" ht="15.75" customHeight="1">
      <c r="A460" s="96"/>
      <c r="B460" s="75"/>
      <c r="C460" s="77"/>
      <c r="D460" s="75"/>
      <c r="E460" s="97"/>
      <c r="F460" s="77"/>
      <c r="G460" s="75"/>
      <c r="H460" s="97"/>
      <c r="I460" s="77"/>
      <c r="J460" s="77"/>
      <c r="K460" s="77"/>
      <c r="L460" s="77"/>
      <c r="M460" s="98"/>
      <c r="N460" s="77"/>
      <c r="O460" s="77"/>
      <c r="P460" s="77"/>
    </row>
    <row r="461" spans="1:16" ht="15.75" customHeight="1">
      <c r="A461" s="96"/>
      <c r="B461" s="75"/>
      <c r="C461" s="77"/>
      <c r="D461" s="75"/>
      <c r="E461" s="97"/>
      <c r="F461" s="77"/>
      <c r="G461" s="75"/>
      <c r="H461" s="97"/>
      <c r="I461" s="77"/>
      <c r="J461" s="77"/>
      <c r="K461" s="77"/>
      <c r="L461" s="77"/>
      <c r="M461" s="98"/>
      <c r="N461" s="77"/>
      <c r="O461" s="77"/>
      <c r="P461" s="77"/>
    </row>
    <row r="462" spans="1:16" ht="15.75" customHeight="1">
      <c r="A462" s="96"/>
      <c r="B462" s="75"/>
      <c r="C462" s="77"/>
      <c r="D462" s="75"/>
      <c r="E462" s="97"/>
      <c r="F462" s="77"/>
      <c r="G462" s="75"/>
      <c r="H462" s="97"/>
      <c r="I462" s="77"/>
      <c r="J462" s="77"/>
      <c r="K462" s="77"/>
      <c r="L462" s="77"/>
      <c r="M462" s="98"/>
      <c r="N462" s="77"/>
      <c r="O462" s="77"/>
      <c r="P462" s="77"/>
    </row>
    <row r="463" spans="1:16" ht="15.75" customHeight="1">
      <c r="A463" s="96"/>
      <c r="B463" s="75"/>
      <c r="C463" s="77"/>
      <c r="D463" s="75"/>
      <c r="E463" s="97"/>
      <c r="F463" s="77"/>
      <c r="G463" s="75"/>
      <c r="H463" s="97"/>
      <c r="I463" s="77"/>
      <c r="J463" s="77"/>
      <c r="K463" s="77"/>
      <c r="L463" s="77"/>
      <c r="M463" s="98"/>
      <c r="N463" s="77"/>
      <c r="O463" s="77"/>
      <c r="P463" s="77"/>
    </row>
    <row r="464" spans="1:16" ht="15.75" customHeight="1">
      <c r="A464" s="96"/>
      <c r="B464" s="75"/>
      <c r="C464" s="77"/>
      <c r="D464" s="75"/>
      <c r="E464" s="97"/>
      <c r="F464" s="77"/>
      <c r="G464" s="75"/>
      <c r="H464" s="97"/>
      <c r="I464" s="77"/>
      <c r="J464" s="77"/>
      <c r="K464" s="77"/>
      <c r="L464" s="77"/>
      <c r="M464" s="98"/>
      <c r="N464" s="77"/>
      <c r="O464" s="77"/>
      <c r="P464" s="77"/>
    </row>
    <row r="465" spans="1:16" ht="15.75" customHeight="1">
      <c r="A465" s="96"/>
      <c r="B465" s="75"/>
      <c r="C465" s="77"/>
      <c r="D465" s="75"/>
      <c r="E465" s="97"/>
      <c r="F465" s="77"/>
      <c r="G465" s="75"/>
      <c r="H465" s="97"/>
      <c r="I465" s="77"/>
      <c r="J465" s="77"/>
      <c r="K465" s="77"/>
      <c r="L465" s="77"/>
      <c r="M465" s="98"/>
      <c r="N465" s="77"/>
      <c r="O465" s="77"/>
      <c r="P465" s="77"/>
    </row>
    <row r="466" spans="1:16" ht="15.75" customHeight="1">
      <c r="A466" s="96"/>
      <c r="B466" s="75"/>
      <c r="C466" s="77"/>
      <c r="D466" s="75"/>
      <c r="E466" s="97"/>
      <c r="F466" s="77"/>
      <c r="G466" s="75"/>
      <c r="H466" s="97"/>
      <c r="I466" s="77"/>
      <c r="J466" s="77"/>
      <c r="K466" s="77"/>
      <c r="L466" s="77"/>
      <c r="M466" s="98"/>
      <c r="N466" s="77"/>
      <c r="O466" s="77"/>
      <c r="P466" s="77"/>
    </row>
    <row r="467" spans="1:16" ht="15.75" customHeight="1">
      <c r="A467" s="96"/>
      <c r="B467" s="75"/>
      <c r="C467" s="77"/>
      <c r="D467" s="75"/>
      <c r="E467" s="97"/>
      <c r="F467" s="77"/>
      <c r="G467" s="75"/>
      <c r="H467" s="97"/>
      <c r="I467" s="77"/>
      <c r="J467" s="77"/>
      <c r="K467" s="77"/>
      <c r="L467" s="77"/>
      <c r="M467" s="98"/>
      <c r="N467" s="77"/>
      <c r="O467" s="77"/>
      <c r="P467" s="77"/>
    </row>
    <row r="468" spans="1:16" ht="15.75" customHeight="1">
      <c r="A468" s="96"/>
      <c r="B468" s="75"/>
      <c r="C468" s="77"/>
      <c r="D468" s="75"/>
      <c r="E468" s="97"/>
      <c r="F468" s="77"/>
      <c r="G468" s="75"/>
      <c r="H468" s="97"/>
      <c r="I468" s="77"/>
      <c r="J468" s="77"/>
      <c r="K468" s="77"/>
      <c r="L468" s="77"/>
      <c r="M468" s="98"/>
      <c r="N468" s="77"/>
      <c r="O468" s="77"/>
      <c r="P468" s="77"/>
    </row>
    <row r="469" spans="1:16" ht="15.75" customHeight="1">
      <c r="A469" s="96"/>
      <c r="B469" s="75"/>
      <c r="C469" s="77"/>
      <c r="D469" s="75"/>
      <c r="E469" s="97"/>
      <c r="F469" s="77"/>
      <c r="G469" s="75"/>
      <c r="H469" s="97"/>
      <c r="I469" s="77"/>
      <c r="J469" s="77"/>
      <c r="K469" s="77"/>
      <c r="L469" s="77"/>
      <c r="M469" s="98"/>
      <c r="N469" s="77"/>
      <c r="O469" s="77"/>
      <c r="P469" s="77"/>
    </row>
    <row r="470" spans="1:16" ht="15.75" customHeight="1">
      <c r="A470" s="96"/>
      <c r="B470" s="75"/>
      <c r="C470" s="77"/>
      <c r="D470" s="75"/>
      <c r="E470" s="97"/>
      <c r="F470" s="77"/>
      <c r="G470" s="75"/>
      <c r="H470" s="97"/>
      <c r="I470" s="77"/>
      <c r="J470" s="77"/>
      <c r="K470" s="77"/>
      <c r="L470" s="77"/>
      <c r="M470" s="98"/>
      <c r="N470" s="77"/>
      <c r="O470" s="77"/>
      <c r="P470" s="77"/>
    </row>
    <row r="471" spans="1:16" ht="15.75" customHeight="1">
      <c r="A471" s="96"/>
      <c r="B471" s="75"/>
      <c r="C471" s="77"/>
      <c r="D471" s="75"/>
      <c r="E471" s="97"/>
      <c r="F471" s="77"/>
      <c r="G471" s="75"/>
      <c r="H471" s="97"/>
      <c r="I471" s="77"/>
      <c r="J471" s="77"/>
      <c r="K471" s="77"/>
      <c r="L471" s="77"/>
      <c r="M471" s="98"/>
      <c r="N471" s="77"/>
      <c r="O471" s="77"/>
      <c r="P471" s="77"/>
    </row>
    <row r="472" spans="1:16" ht="15.75" customHeight="1">
      <c r="A472" s="96"/>
      <c r="B472" s="75"/>
      <c r="C472" s="77"/>
      <c r="D472" s="75"/>
      <c r="E472" s="97"/>
      <c r="F472" s="77"/>
      <c r="G472" s="75"/>
      <c r="H472" s="97"/>
      <c r="I472" s="77"/>
      <c r="J472" s="77"/>
      <c r="K472" s="77"/>
      <c r="L472" s="77"/>
      <c r="M472" s="98"/>
      <c r="N472" s="77"/>
      <c r="O472" s="77"/>
      <c r="P472" s="77"/>
    </row>
    <row r="473" spans="1:16" ht="15.75" customHeight="1">
      <c r="A473" s="96"/>
      <c r="B473" s="75"/>
      <c r="C473" s="77"/>
      <c r="D473" s="75"/>
      <c r="E473" s="97"/>
      <c r="F473" s="77"/>
      <c r="G473" s="75"/>
      <c r="H473" s="97"/>
      <c r="I473" s="77"/>
      <c r="J473" s="77"/>
      <c r="K473" s="77"/>
      <c r="L473" s="77"/>
      <c r="M473" s="98"/>
      <c r="N473" s="77"/>
      <c r="O473" s="77"/>
      <c r="P473" s="77"/>
    </row>
    <row r="474" spans="1:16" ht="15.75" customHeight="1">
      <c r="A474" s="96"/>
      <c r="B474" s="75"/>
      <c r="C474" s="77"/>
      <c r="D474" s="75"/>
      <c r="E474" s="97"/>
      <c r="F474" s="77"/>
      <c r="G474" s="75"/>
      <c r="H474" s="97"/>
      <c r="I474" s="77"/>
      <c r="J474" s="77"/>
      <c r="K474" s="77"/>
      <c r="L474" s="77"/>
      <c r="M474" s="98"/>
      <c r="N474" s="77"/>
      <c r="O474" s="77"/>
      <c r="P474" s="77"/>
    </row>
    <row r="475" spans="1:16" ht="15.75" customHeight="1">
      <c r="A475" s="96"/>
      <c r="B475" s="75"/>
      <c r="C475" s="77"/>
      <c r="D475" s="75"/>
      <c r="E475" s="97"/>
      <c r="F475" s="77"/>
      <c r="G475" s="75"/>
      <c r="H475" s="97"/>
      <c r="I475" s="77"/>
      <c r="J475" s="77"/>
      <c r="K475" s="77"/>
      <c r="L475" s="77"/>
      <c r="M475" s="98"/>
      <c r="N475" s="77"/>
      <c r="O475" s="77"/>
      <c r="P475" s="77"/>
    </row>
    <row r="476" spans="1:16" ht="15.75" customHeight="1">
      <c r="A476" s="96"/>
      <c r="B476" s="75"/>
      <c r="C476" s="77"/>
      <c r="D476" s="75"/>
      <c r="E476" s="97"/>
      <c r="F476" s="77"/>
      <c r="G476" s="75"/>
      <c r="H476" s="97"/>
      <c r="I476" s="77"/>
      <c r="J476" s="77"/>
      <c r="K476" s="77"/>
      <c r="L476" s="77"/>
      <c r="M476" s="98"/>
      <c r="N476" s="77"/>
      <c r="O476" s="77"/>
      <c r="P476" s="77"/>
    </row>
    <row r="477" spans="1:16" ht="15.75" customHeight="1">
      <c r="A477" s="96"/>
      <c r="B477" s="75"/>
      <c r="C477" s="77"/>
      <c r="D477" s="75"/>
      <c r="E477" s="97"/>
      <c r="F477" s="77"/>
      <c r="G477" s="75"/>
      <c r="H477" s="97"/>
      <c r="I477" s="77"/>
      <c r="J477" s="77"/>
      <c r="K477" s="77"/>
      <c r="L477" s="77"/>
      <c r="M477" s="98"/>
      <c r="N477" s="77"/>
      <c r="O477" s="77"/>
      <c r="P477" s="77"/>
    </row>
    <row r="478" spans="1:16" ht="15.75" customHeight="1">
      <c r="A478" s="96"/>
      <c r="B478" s="75"/>
      <c r="C478" s="77"/>
      <c r="D478" s="75"/>
      <c r="E478" s="97"/>
      <c r="F478" s="77"/>
      <c r="G478" s="75"/>
      <c r="H478" s="97"/>
      <c r="I478" s="77"/>
      <c r="J478" s="77"/>
      <c r="K478" s="77"/>
      <c r="L478" s="77"/>
      <c r="M478" s="98"/>
      <c r="N478" s="77"/>
      <c r="O478" s="77"/>
      <c r="P478" s="77"/>
    </row>
    <row r="479" spans="1:16" ht="15.75" customHeight="1">
      <c r="A479" s="96"/>
      <c r="B479" s="75"/>
      <c r="C479" s="77"/>
      <c r="D479" s="75"/>
      <c r="E479" s="97"/>
      <c r="F479" s="77"/>
      <c r="G479" s="75"/>
      <c r="H479" s="97"/>
      <c r="I479" s="77"/>
      <c r="J479" s="77"/>
      <c r="K479" s="77"/>
      <c r="L479" s="77"/>
      <c r="M479" s="98"/>
      <c r="N479" s="77"/>
      <c r="O479" s="77"/>
      <c r="P479" s="77"/>
    </row>
    <row r="480" spans="1:16" ht="15.75" customHeight="1">
      <c r="A480" s="96"/>
      <c r="B480" s="75"/>
      <c r="C480" s="77"/>
      <c r="D480" s="75"/>
      <c r="E480" s="97"/>
      <c r="F480" s="77"/>
      <c r="G480" s="75"/>
      <c r="H480" s="97"/>
      <c r="I480" s="77"/>
      <c r="J480" s="77"/>
      <c r="K480" s="77"/>
      <c r="L480" s="77"/>
      <c r="M480" s="98"/>
      <c r="N480" s="77"/>
      <c r="O480" s="77"/>
      <c r="P480" s="77"/>
    </row>
    <row r="481" spans="1:16" ht="15.75" customHeight="1">
      <c r="A481" s="96"/>
      <c r="B481" s="75"/>
      <c r="C481" s="77"/>
      <c r="D481" s="75"/>
      <c r="E481" s="97"/>
      <c r="F481" s="77"/>
      <c r="G481" s="75"/>
      <c r="H481" s="97"/>
      <c r="I481" s="77"/>
      <c r="J481" s="77"/>
      <c r="K481" s="77"/>
      <c r="L481" s="77"/>
      <c r="M481" s="98"/>
      <c r="N481" s="77"/>
      <c r="O481" s="77"/>
      <c r="P481" s="77"/>
    </row>
    <row r="482" spans="1:16" ht="15.75" customHeight="1">
      <c r="A482" s="96"/>
      <c r="B482" s="75"/>
      <c r="C482" s="77"/>
      <c r="D482" s="75"/>
      <c r="E482" s="97"/>
      <c r="F482" s="77"/>
      <c r="G482" s="75"/>
      <c r="H482" s="97"/>
      <c r="I482" s="77"/>
      <c r="J482" s="77"/>
      <c r="K482" s="77"/>
      <c r="L482" s="77"/>
      <c r="M482" s="98"/>
      <c r="N482" s="77"/>
      <c r="O482" s="77"/>
      <c r="P482" s="77"/>
    </row>
    <row r="483" spans="1:16" ht="15.75" customHeight="1">
      <c r="A483" s="96"/>
      <c r="B483" s="75"/>
      <c r="C483" s="77"/>
      <c r="D483" s="75"/>
      <c r="E483" s="97"/>
      <c r="F483" s="77"/>
      <c r="G483" s="75"/>
      <c r="H483" s="97"/>
      <c r="I483" s="77"/>
      <c r="J483" s="77"/>
      <c r="K483" s="77"/>
      <c r="L483" s="77"/>
      <c r="M483" s="98"/>
      <c r="N483" s="77"/>
      <c r="O483" s="77"/>
      <c r="P483" s="77"/>
    </row>
    <row r="484" spans="1:16" ht="15.75" customHeight="1">
      <c r="A484" s="96"/>
      <c r="B484" s="75"/>
      <c r="C484" s="77"/>
      <c r="D484" s="75"/>
      <c r="E484" s="97"/>
      <c r="F484" s="77"/>
      <c r="G484" s="75"/>
      <c r="H484" s="97"/>
      <c r="I484" s="77"/>
      <c r="J484" s="77"/>
      <c r="K484" s="77"/>
      <c r="L484" s="77"/>
      <c r="M484" s="98"/>
      <c r="N484" s="77"/>
      <c r="O484" s="77"/>
      <c r="P484" s="77"/>
    </row>
    <row r="485" spans="1:16" ht="15.75" customHeight="1">
      <c r="A485" s="96"/>
      <c r="B485" s="75"/>
      <c r="C485" s="77"/>
      <c r="D485" s="75"/>
      <c r="E485" s="97"/>
      <c r="F485" s="77"/>
      <c r="G485" s="75"/>
      <c r="H485" s="97"/>
      <c r="I485" s="77"/>
      <c r="J485" s="77"/>
      <c r="K485" s="77"/>
      <c r="L485" s="77"/>
      <c r="M485" s="98"/>
      <c r="N485" s="77"/>
      <c r="O485" s="77"/>
      <c r="P485" s="77"/>
    </row>
    <row r="486" spans="1:16" ht="15.75" customHeight="1">
      <c r="A486" s="96"/>
      <c r="B486" s="75"/>
      <c r="C486" s="77"/>
      <c r="D486" s="75"/>
      <c r="E486" s="97"/>
      <c r="F486" s="77"/>
      <c r="G486" s="75"/>
      <c r="H486" s="97"/>
      <c r="I486" s="77"/>
      <c r="J486" s="77"/>
      <c r="K486" s="77"/>
      <c r="L486" s="77"/>
      <c r="M486" s="98"/>
      <c r="N486" s="77"/>
      <c r="O486" s="77"/>
      <c r="P486" s="77"/>
    </row>
    <row r="487" spans="1:16" ht="15.75" customHeight="1">
      <c r="A487" s="96"/>
      <c r="B487" s="75"/>
      <c r="C487" s="77"/>
      <c r="D487" s="75"/>
      <c r="E487" s="97"/>
      <c r="F487" s="77"/>
      <c r="G487" s="75"/>
      <c r="H487" s="97"/>
      <c r="I487" s="77"/>
      <c r="J487" s="77"/>
      <c r="K487" s="77"/>
      <c r="L487" s="77"/>
      <c r="M487" s="98"/>
      <c r="N487" s="77"/>
      <c r="O487" s="77"/>
      <c r="P487" s="77"/>
    </row>
    <row r="488" spans="1:16" ht="15.75" customHeight="1">
      <c r="A488" s="96"/>
      <c r="B488" s="75"/>
      <c r="C488" s="77"/>
      <c r="D488" s="75"/>
      <c r="E488" s="97"/>
      <c r="F488" s="77"/>
      <c r="G488" s="75"/>
      <c r="H488" s="97"/>
      <c r="I488" s="77"/>
      <c r="J488" s="77"/>
      <c r="K488" s="77"/>
      <c r="L488" s="77"/>
      <c r="M488" s="98"/>
      <c r="N488" s="77"/>
      <c r="O488" s="77"/>
      <c r="P488" s="77"/>
    </row>
    <row r="489" spans="1:16" ht="15.75" customHeight="1">
      <c r="A489" s="96"/>
      <c r="B489" s="75"/>
      <c r="C489" s="77"/>
      <c r="D489" s="75"/>
      <c r="E489" s="97"/>
      <c r="F489" s="77"/>
      <c r="G489" s="75"/>
      <c r="H489" s="97"/>
      <c r="I489" s="77"/>
      <c r="J489" s="77"/>
      <c r="K489" s="77"/>
      <c r="L489" s="77"/>
      <c r="M489" s="98"/>
      <c r="N489" s="77"/>
      <c r="O489" s="77"/>
      <c r="P489" s="77"/>
    </row>
    <row r="490" spans="1:16" ht="15.75" customHeight="1">
      <c r="A490" s="96"/>
      <c r="B490" s="75"/>
      <c r="C490" s="77"/>
      <c r="D490" s="75"/>
      <c r="E490" s="97"/>
      <c r="F490" s="77"/>
      <c r="G490" s="75"/>
      <c r="H490" s="97"/>
      <c r="I490" s="77"/>
      <c r="J490" s="77"/>
      <c r="K490" s="77"/>
      <c r="L490" s="77"/>
      <c r="M490" s="98"/>
      <c r="N490" s="77"/>
      <c r="O490" s="77"/>
      <c r="P490" s="77"/>
    </row>
    <row r="491" spans="1:16" ht="15.75" customHeight="1">
      <c r="A491" s="96"/>
      <c r="B491" s="75"/>
      <c r="C491" s="77"/>
      <c r="D491" s="75"/>
      <c r="E491" s="97"/>
      <c r="F491" s="77"/>
      <c r="G491" s="75"/>
      <c r="H491" s="97"/>
      <c r="I491" s="77"/>
      <c r="J491" s="77"/>
      <c r="K491" s="77"/>
      <c r="L491" s="77"/>
      <c r="M491" s="98"/>
      <c r="N491" s="77"/>
      <c r="O491" s="77"/>
      <c r="P491" s="77"/>
    </row>
    <row r="492" spans="1:16" ht="15.75" customHeight="1">
      <c r="A492" s="96"/>
      <c r="B492" s="75"/>
      <c r="C492" s="77"/>
      <c r="D492" s="75"/>
      <c r="E492" s="97"/>
      <c r="F492" s="77"/>
      <c r="G492" s="75"/>
      <c r="H492" s="97"/>
      <c r="I492" s="77"/>
      <c r="J492" s="77"/>
      <c r="K492" s="77"/>
      <c r="L492" s="77"/>
      <c r="M492" s="98"/>
      <c r="N492" s="77"/>
      <c r="O492" s="77"/>
      <c r="P492" s="77"/>
    </row>
    <row r="493" spans="1:16" ht="15.75" customHeight="1">
      <c r="A493" s="96"/>
      <c r="B493" s="75"/>
      <c r="C493" s="77"/>
      <c r="D493" s="75"/>
      <c r="E493" s="97"/>
      <c r="F493" s="77"/>
      <c r="G493" s="75"/>
      <c r="H493" s="97"/>
      <c r="I493" s="77"/>
      <c r="J493" s="77"/>
      <c r="K493" s="77"/>
      <c r="L493" s="77"/>
      <c r="M493" s="98"/>
      <c r="N493" s="77"/>
      <c r="O493" s="77"/>
      <c r="P493" s="77"/>
    </row>
    <row r="494" spans="1:16" ht="15.75" customHeight="1">
      <c r="A494" s="96"/>
      <c r="B494" s="75"/>
      <c r="C494" s="77"/>
      <c r="D494" s="75"/>
      <c r="E494" s="97"/>
      <c r="F494" s="77"/>
      <c r="G494" s="75"/>
      <c r="H494" s="97"/>
      <c r="I494" s="77"/>
      <c r="J494" s="77"/>
      <c r="K494" s="77"/>
      <c r="L494" s="77"/>
      <c r="M494" s="98"/>
      <c r="N494" s="77"/>
      <c r="O494" s="77"/>
      <c r="P494" s="77"/>
    </row>
    <row r="495" spans="1:16" ht="15.75" customHeight="1">
      <c r="A495" s="96"/>
      <c r="B495" s="75"/>
      <c r="C495" s="77"/>
      <c r="D495" s="75"/>
      <c r="E495" s="97"/>
      <c r="F495" s="77"/>
      <c r="G495" s="75"/>
      <c r="H495" s="97"/>
      <c r="I495" s="77"/>
      <c r="J495" s="77"/>
      <c r="K495" s="77"/>
      <c r="L495" s="77"/>
      <c r="M495" s="98"/>
      <c r="N495" s="77"/>
      <c r="O495" s="77"/>
      <c r="P495" s="77"/>
    </row>
    <row r="496" spans="1:16" ht="15.75" customHeight="1">
      <c r="A496" s="96"/>
      <c r="B496" s="75"/>
      <c r="C496" s="77"/>
      <c r="D496" s="75"/>
      <c r="E496" s="97"/>
      <c r="F496" s="77"/>
      <c r="G496" s="75"/>
      <c r="H496" s="97"/>
      <c r="I496" s="77"/>
      <c r="J496" s="77"/>
      <c r="K496" s="77"/>
      <c r="L496" s="77"/>
      <c r="M496" s="98"/>
      <c r="N496" s="77"/>
      <c r="O496" s="77"/>
      <c r="P496" s="77"/>
    </row>
    <row r="497" spans="1:16" ht="15.75" customHeight="1">
      <c r="A497" s="96"/>
      <c r="B497" s="75"/>
      <c r="C497" s="77"/>
      <c r="D497" s="75"/>
      <c r="E497" s="97"/>
      <c r="F497" s="77"/>
      <c r="G497" s="75"/>
      <c r="H497" s="97"/>
      <c r="I497" s="77"/>
      <c r="J497" s="77"/>
      <c r="K497" s="77"/>
      <c r="L497" s="77"/>
      <c r="M497" s="98"/>
      <c r="N497" s="77"/>
      <c r="O497" s="77"/>
      <c r="P497" s="77"/>
    </row>
    <row r="498" spans="1:16" ht="15.75" customHeight="1">
      <c r="A498" s="96"/>
      <c r="B498" s="75"/>
      <c r="C498" s="77"/>
      <c r="D498" s="75"/>
      <c r="E498" s="97"/>
      <c r="F498" s="77"/>
      <c r="G498" s="75"/>
      <c r="H498" s="97"/>
      <c r="I498" s="77"/>
      <c r="J498" s="77"/>
      <c r="K498" s="77"/>
      <c r="L498" s="77"/>
      <c r="M498" s="98"/>
      <c r="N498" s="77"/>
      <c r="O498" s="77"/>
      <c r="P498" s="77"/>
    </row>
    <row r="499" spans="1:16" ht="15.75" customHeight="1">
      <c r="A499" s="96"/>
      <c r="B499" s="75"/>
      <c r="C499" s="77"/>
      <c r="D499" s="75"/>
      <c r="E499" s="97"/>
      <c r="F499" s="77"/>
      <c r="G499" s="75"/>
      <c r="H499" s="97"/>
      <c r="I499" s="77"/>
      <c r="J499" s="77"/>
      <c r="K499" s="77"/>
      <c r="L499" s="77"/>
      <c r="M499" s="98"/>
      <c r="N499" s="77"/>
      <c r="O499" s="77"/>
      <c r="P499" s="77"/>
    </row>
    <row r="500" spans="1:16" ht="15.75" customHeight="1">
      <c r="A500" s="96"/>
      <c r="B500" s="75"/>
      <c r="C500" s="77"/>
      <c r="D500" s="75"/>
      <c r="E500" s="97"/>
      <c r="F500" s="77"/>
      <c r="G500" s="75"/>
      <c r="H500" s="97"/>
      <c r="I500" s="77"/>
      <c r="J500" s="77"/>
      <c r="K500" s="77"/>
      <c r="L500" s="77"/>
      <c r="M500" s="98"/>
      <c r="N500" s="77"/>
      <c r="O500" s="77"/>
      <c r="P500" s="77"/>
    </row>
    <row r="501" spans="1:16" ht="15.75" customHeight="1">
      <c r="A501" s="96"/>
      <c r="B501" s="75"/>
      <c r="C501" s="77"/>
      <c r="D501" s="75"/>
      <c r="E501" s="97"/>
      <c r="F501" s="77"/>
      <c r="G501" s="75"/>
      <c r="H501" s="97"/>
      <c r="I501" s="77"/>
      <c r="J501" s="77"/>
      <c r="K501" s="77"/>
      <c r="L501" s="77"/>
      <c r="M501" s="98"/>
      <c r="N501" s="77"/>
      <c r="O501" s="77"/>
      <c r="P501" s="77"/>
    </row>
    <row r="502" spans="1:16" ht="15.75" customHeight="1">
      <c r="A502" s="96"/>
      <c r="B502" s="75"/>
      <c r="C502" s="77"/>
      <c r="D502" s="75"/>
      <c r="E502" s="97"/>
      <c r="F502" s="77"/>
      <c r="G502" s="75"/>
      <c r="H502" s="97"/>
      <c r="I502" s="77"/>
      <c r="J502" s="77"/>
      <c r="K502" s="77"/>
      <c r="L502" s="77"/>
      <c r="M502" s="98"/>
      <c r="N502" s="77"/>
      <c r="O502" s="77"/>
      <c r="P502" s="77"/>
    </row>
    <row r="503" spans="1:16" ht="15.75" customHeight="1">
      <c r="A503" s="96"/>
      <c r="B503" s="75"/>
      <c r="C503" s="77"/>
      <c r="D503" s="75"/>
      <c r="E503" s="97"/>
      <c r="F503" s="77"/>
      <c r="G503" s="75"/>
      <c r="H503" s="97"/>
      <c r="I503" s="77"/>
      <c r="J503" s="77"/>
      <c r="K503" s="77"/>
      <c r="L503" s="77"/>
      <c r="M503" s="98"/>
      <c r="N503" s="77"/>
      <c r="O503" s="77"/>
      <c r="P503" s="77"/>
    </row>
    <row r="504" spans="1:16" ht="15.75" customHeight="1">
      <c r="A504" s="96"/>
      <c r="B504" s="75"/>
      <c r="C504" s="77"/>
      <c r="D504" s="75"/>
      <c r="E504" s="97"/>
      <c r="F504" s="77"/>
      <c r="G504" s="75"/>
      <c r="H504" s="97"/>
      <c r="I504" s="77"/>
      <c r="J504" s="77"/>
      <c r="K504" s="77"/>
      <c r="L504" s="77"/>
      <c r="M504" s="98"/>
      <c r="N504" s="77"/>
      <c r="O504" s="77"/>
      <c r="P504" s="77"/>
    </row>
    <row r="505" spans="1:16" ht="15.75" customHeight="1">
      <c r="A505" s="96"/>
      <c r="B505" s="75"/>
      <c r="C505" s="77"/>
      <c r="D505" s="75"/>
      <c r="E505" s="97"/>
      <c r="F505" s="77"/>
      <c r="G505" s="75"/>
      <c r="H505" s="97"/>
      <c r="I505" s="77"/>
      <c r="J505" s="77"/>
      <c r="K505" s="77"/>
      <c r="L505" s="77"/>
      <c r="M505" s="98"/>
      <c r="N505" s="77"/>
      <c r="O505" s="77"/>
      <c r="P505" s="77"/>
    </row>
    <row r="506" spans="1:16" ht="15.75" customHeight="1">
      <c r="A506" s="96"/>
      <c r="B506" s="75"/>
      <c r="C506" s="77"/>
      <c r="D506" s="75"/>
      <c r="E506" s="97"/>
      <c r="F506" s="77"/>
      <c r="G506" s="75"/>
      <c r="H506" s="97"/>
      <c r="I506" s="77"/>
      <c r="J506" s="77"/>
      <c r="K506" s="77"/>
      <c r="L506" s="77"/>
      <c r="M506" s="98"/>
      <c r="N506" s="77"/>
      <c r="O506" s="77"/>
      <c r="P506" s="77"/>
    </row>
    <row r="507" spans="1:16" ht="15.75" customHeight="1">
      <c r="A507" s="96"/>
      <c r="B507" s="75"/>
      <c r="C507" s="77"/>
      <c r="D507" s="75"/>
      <c r="E507" s="97"/>
      <c r="F507" s="77"/>
      <c r="G507" s="75"/>
      <c r="H507" s="97"/>
      <c r="I507" s="77"/>
      <c r="J507" s="77"/>
      <c r="K507" s="77"/>
      <c r="L507" s="77"/>
      <c r="M507" s="98"/>
      <c r="N507" s="77"/>
      <c r="O507" s="77"/>
      <c r="P507" s="77"/>
    </row>
    <row r="508" spans="1:16" ht="15.75" customHeight="1">
      <c r="A508" s="96"/>
      <c r="B508" s="75"/>
      <c r="C508" s="77"/>
      <c r="D508" s="75"/>
      <c r="E508" s="97"/>
      <c r="F508" s="77"/>
      <c r="G508" s="75"/>
      <c r="H508" s="97"/>
      <c r="I508" s="77"/>
      <c r="J508" s="77"/>
      <c r="K508" s="77"/>
      <c r="L508" s="77"/>
      <c r="M508" s="98"/>
      <c r="N508" s="77"/>
      <c r="O508" s="77"/>
      <c r="P508" s="77"/>
    </row>
    <row r="509" spans="1:16" ht="15.75" customHeight="1">
      <c r="A509" s="96"/>
      <c r="B509" s="75"/>
      <c r="C509" s="77"/>
      <c r="D509" s="75"/>
      <c r="E509" s="97"/>
      <c r="F509" s="77"/>
      <c r="G509" s="75"/>
      <c r="H509" s="97"/>
      <c r="I509" s="77"/>
      <c r="J509" s="77"/>
      <c r="K509" s="77"/>
      <c r="L509" s="77"/>
      <c r="M509" s="98"/>
      <c r="N509" s="77"/>
      <c r="O509" s="77"/>
      <c r="P509" s="77"/>
    </row>
    <row r="510" spans="1:16" ht="15.75" customHeight="1">
      <c r="A510" s="96"/>
      <c r="B510" s="75"/>
      <c r="C510" s="77"/>
      <c r="D510" s="75"/>
      <c r="E510" s="97"/>
      <c r="F510" s="77"/>
      <c r="G510" s="75"/>
      <c r="H510" s="97"/>
      <c r="I510" s="77"/>
      <c r="J510" s="77"/>
      <c r="K510" s="77"/>
      <c r="L510" s="77"/>
      <c r="M510" s="98"/>
      <c r="N510" s="77"/>
      <c r="O510" s="77"/>
      <c r="P510" s="77"/>
    </row>
    <row r="511" spans="1:16" ht="15.75" customHeight="1">
      <c r="A511" s="96"/>
      <c r="B511" s="75"/>
      <c r="C511" s="77"/>
      <c r="D511" s="75"/>
      <c r="E511" s="97"/>
      <c r="F511" s="77"/>
      <c r="G511" s="75"/>
      <c r="H511" s="97"/>
      <c r="I511" s="77"/>
      <c r="J511" s="77"/>
      <c r="K511" s="77"/>
      <c r="L511" s="77"/>
      <c r="M511" s="98"/>
      <c r="N511" s="77"/>
      <c r="O511" s="77"/>
      <c r="P511" s="77"/>
    </row>
    <row r="512" spans="1:16" ht="15.75" customHeight="1">
      <c r="A512" s="96"/>
      <c r="B512" s="75"/>
      <c r="C512" s="77"/>
      <c r="D512" s="75"/>
      <c r="E512" s="97"/>
      <c r="F512" s="77"/>
      <c r="G512" s="75"/>
      <c r="H512" s="97"/>
      <c r="I512" s="77"/>
      <c r="J512" s="77"/>
      <c r="K512" s="77"/>
      <c r="L512" s="77"/>
      <c r="M512" s="98"/>
      <c r="N512" s="77"/>
      <c r="O512" s="77"/>
      <c r="P512" s="77"/>
    </row>
    <row r="513" spans="1:16" ht="15.75" customHeight="1">
      <c r="A513" s="96"/>
      <c r="B513" s="75"/>
      <c r="C513" s="77"/>
      <c r="D513" s="75"/>
      <c r="E513" s="97"/>
      <c r="F513" s="77"/>
      <c r="G513" s="75"/>
      <c r="H513" s="97"/>
      <c r="I513" s="77"/>
      <c r="J513" s="77"/>
      <c r="K513" s="77"/>
      <c r="L513" s="77"/>
      <c r="M513" s="98"/>
      <c r="N513" s="77"/>
      <c r="O513" s="77"/>
      <c r="P513" s="77"/>
    </row>
    <row r="514" spans="1:16" ht="15.75" customHeight="1">
      <c r="A514" s="96"/>
      <c r="B514" s="75"/>
      <c r="C514" s="77"/>
      <c r="D514" s="75"/>
      <c r="E514" s="97"/>
      <c r="F514" s="77"/>
      <c r="G514" s="75"/>
      <c r="H514" s="97"/>
      <c r="I514" s="77"/>
      <c r="J514" s="77"/>
      <c r="K514" s="77"/>
      <c r="L514" s="77"/>
      <c r="M514" s="98"/>
      <c r="N514" s="77"/>
      <c r="O514" s="77"/>
      <c r="P514" s="77"/>
    </row>
    <row r="515" spans="1:16" ht="15.75" customHeight="1">
      <c r="A515" s="96"/>
      <c r="B515" s="75"/>
      <c r="C515" s="77"/>
      <c r="D515" s="75"/>
      <c r="E515" s="97"/>
      <c r="F515" s="77"/>
      <c r="G515" s="75"/>
      <c r="H515" s="97"/>
      <c r="I515" s="77"/>
      <c r="J515" s="77"/>
      <c r="K515" s="77"/>
      <c r="L515" s="77"/>
      <c r="M515" s="98"/>
      <c r="N515" s="77"/>
      <c r="O515" s="77"/>
      <c r="P515" s="77"/>
    </row>
    <row r="516" spans="1:16" ht="15.75" customHeight="1">
      <c r="A516" s="96"/>
      <c r="B516" s="75"/>
      <c r="C516" s="77"/>
      <c r="D516" s="75"/>
      <c r="E516" s="97"/>
      <c r="F516" s="77"/>
      <c r="G516" s="75"/>
      <c r="H516" s="97"/>
      <c r="I516" s="77"/>
      <c r="J516" s="77"/>
      <c r="K516" s="77"/>
      <c r="L516" s="77"/>
      <c r="M516" s="98"/>
      <c r="N516" s="77"/>
      <c r="O516" s="77"/>
      <c r="P516" s="77"/>
    </row>
    <row r="517" spans="1:16" ht="15.75" customHeight="1">
      <c r="A517" s="96"/>
      <c r="B517" s="75"/>
      <c r="C517" s="77"/>
      <c r="D517" s="75"/>
      <c r="E517" s="97"/>
      <c r="F517" s="77"/>
      <c r="G517" s="75"/>
      <c r="H517" s="97"/>
      <c r="I517" s="77"/>
      <c r="J517" s="77"/>
      <c r="K517" s="77"/>
      <c r="L517" s="77"/>
      <c r="M517" s="98"/>
      <c r="N517" s="77"/>
      <c r="O517" s="77"/>
      <c r="P517" s="77"/>
    </row>
    <row r="518" spans="1:16" ht="15.75" customHeight="1">
      <c r="A518" s="96"/>
      <c r="B518" s="75"/>
      <c r="C518" s="77"/>
      <c r="D518" s="75"/>
      <c r="E518" s="97"/>
      <c r="F518" s="77"/>
      <c r="G518" s="75"/>
      <c r="H518" s="97"/>
      <c r="I518" s="77"/>
      <c r="J518" s="77"/>
      <c r="K518" s="77"/>
      <c r="L518" s="77"/>
      <c r="M518" s="98"/>
      <c r="N518" s="77"/>
      <c r="O518" s="77"/>
      <c r="P518" s="77"/>
    </row>
    <row r="519" spans="1:16" ht="15.75" customHeight="1">
      <c r="A519" s="96"/>
      <c r="B519" s="75"/>
      <c r="C519" s="77"/>
      <c r="D519" s="75"/>
      <c r="E519" s="97"/>
      <c r="F519" s="77"/>
      <c r="G519" s="75"/>
      <c r="H519" s="97"/>
      <c r="I519" s="77"/>
      <c r="J519" s="77"/>
      <c r="K519" s="77"/>
      <c r="L519" s="77"/>
      <c r="M519" s="98"/>
      <c r="N519" s="77"/>
      <c r="O519" s="77"/>
      <c r="P519" s="77"/>
    </row>
    <row r="520" spans="1:16" ht="15.75" customHeight="1">
      <c r="A520" s="96"/>
      <c r="B520" s="75"/>
      <c r="C520" s="77"/>
      <c r="D520" s="75"/>
      <c r="E520" s="97"/>
      <c r="F520" s="77"/>
      <c r="G520" s="75"/>
      <c r="H520" s="97"/>
      <c r="I520" s="77"/>
      <c r="J520" s="77"/>
      <c r="K520" s="77"/>
      <c r="L520" s="77"/>
      <c r="M520" s="98"/>
      <c r="N520" s="77"/>
      <c r="O520" s="77"/>
      <c r="P520" s="77"/>
    </row>
    <row r="521" spans="1:16" ht="15.75" customHeight="1">
      <c r="A521" s="96"/>
      <c r="B521" s="75"/>
      <c r="C521" s="77"/>
      <c r="D521" s="75"/>
      <c r="E521" s="97"/>
      <c r="F521" s="77"/>
      <c r="G521" s="75"/>
      <c r="H521" s="97"/>
      <c r="I521" s="77"/>
      <c r="J521" s="77"/>
      <c r="K521" s="77"/>
      <c r="L521" s="77"/>
      <c r="M521" s="98"/>
      <c r="N521" s="77"/>
      <c r="O521" s="77"/>
      <c r="P521" s="77"/>
    </row>
    <row r="522" spans="1:16" ht="15.75" customHeight="1">
      <c r="A522" s="96"/>
      <c r="B522" s="75"/>
      <c r="C522" s="77"/>
      <c r="D522" s="75"/>
      <c r="E522" s="97"/>
      <c r="F522" s="77"/>
      <c r="G522" s="75"/>
      <c r="H522" s="97"/>
      <c r="I522" s="77"/>
      <c r="J522" s="77"/>
      <c r="K522" s="77"/>
      <c r="L522" s="77"/>
      <c r="M522" s="98"/>
      <c r="N522" s="77"/>
      <c r="O522" s="77"/>
      <c r="P522" s="77"/>
    </row>
    <row r="523" spans="1:16" ht="15.75" customHeight="1">
      <c r="A523" s="96"/>
      <c r="B523" s="75"/>
      <c r="C523" s="77"/>
      <c r="D523" s="75"/>
      <c r="E523" s="97"/>
      <c r="F523" s="77"/>
      <c r="G523" s="75"/>
      <c r="H523" s="97"/>
      <c r="I523" s="77"/>
      <c r="J523" s="77"/>
      <c r="K523" s="77"/>
      <c r="L523" s="77"/>
      <c r="M523" s="98"/>
      <c r="N523" s="77"/>
      <c r="O523" s="77"/>
      <c r="P523" s="77"/>
    </row>
    <row r="524" spans="1:16" ht="15.75" customHeight="1">
      <c r="A524" s="96"/>
      <c r="B524" s="75"/>
      <c r="C524" s="77"/>
      <c r="D524" s="75"/>
      <c r="E524" s="97"/>
      <c r="F524" s="77"/>
      <c r="G524" s="75"/>
      <c r="H524" s="97"/>
      <c r="I524" s="77"/>
      <c r="J524" s="77"/>
      <c r="K524" s="77"/>
      <c r="L524" s="77"/>
      <c r="M524" s="98"/>
      <c r="N524" s="77"/>
      <c r="O524" s="77"/>
      <c r="P524" s="77"/>
    </row>
    <row r="525" spans="1:16" ht="15.75" customHeight="1">
      <c r="A525" s="96"/>
      <c r="B525" s="75"/>
      <c r="C525" s="77"/>
      <c r="D525" s="75"/>
      <c r="E525" s="97"/>
      <c r="F525" s="77"/>
      <c r="G525" s="75"/>
      <c r="H525" s="97"/>
      <c r="I525" s="77"/>
      <c r="J525" s="77"/>
      <c r="K525" s="77"/>
      <c r="L525" s="77"/>
      <c r="M525" s="98"/>
      <c r="N525" s="77"/>
      <c r="O525" s="77"/>
      <c r="P525" s="77"/>
    </row>
    <row r="526" spans="1:16" ht="15.75" customHeight="1">
      <c r="A526" s="96"/>
      <c r="B526" s="75"/>
      <c r="C526" s="77"/>
      <c r="D526" s="75"/>
      <c r="E526" s="97"/>
      <c r="F526" s="77"/>
      <c r="G526" s="75"/>
      <c r="H526" s="97"/>
      <c r="I526" s="77"/>
      <c r="J526" s="77"/>
      <c r="K526" s="77"/>
      <c r="L526" s="77"/>
      <c r="M526" s="98"/>
      <c r="N526" s="77"/>
      <c r="O526" s="77"/>
      <c r="P526" s="77"/>
    </row>
    <row r="527" spans="1:16" ht="15.75" customHeight="1">
      <c r="A527" s="96"/>
      <c r="B527" s="75"/>
      <c r="C527" s="77"/>
      <c r="D527" s="75"/>
      <c r="E527" s="97"/>
      <c r="F527" s="77"/>
      <c r="G527" s="75"/>
      <c r="H527" s="97"/>
      <c r="I527" s="77"/>
      <c r="J527" s="77"/>
      <c r="K527" s="77"/>
      <c r="L527" s="77"/>
      <c r="M527" s="98"/>
      <c r="N527" s="77"/>
      <c r="O527" s="77"/>
      <c r="P527" s="77"/>
    </row>
    <row r="528" spans="1:16" ht="15.75" customHeight="1">
      <c r="A528" s="96"/>
      <c r="B528" s="75"/>
      <c r="C528" s="77"/>
      <c r="D528" s="75"/>
      <c r="E528" s="97"/>
      <c r="F528" s="77"/>
      <c r="G528" s="75"/>
      <c r="H528" s="97"/>
      <c r="I528" s="77"/>
      <c r="J528" s="77"/>
      <c r="K528" s="77"/>
      <c r="L528" s="77"/>
      <c r="M528" s="98"/>
      <c r="N528" s="77"/>
      <c r="O528" s="77"/>
      <c r="P528" s="77"/>
    </row>
    <row r="529" spans="1:16" ht="15.75" customHeight="1">
      <c r="A529" s="96"/>
      <c r="B529" s="75"/>
      <c r="C529" s="77"/>
      <c r="D529" s="75"/>
      <c r="E529" s="97"/>
      <c r="F529" s="77"/>
      <c r="G529" s="75"/>
      <c r="H529" s="97"/>
      <c r="I529" s="77"/>
      <c r="J529" s="77"/>
      <c r="K529" s="77"/>
      <c r="L529" s="77"/>
      <c r="M529" s="98"/>
      <c r="N529" s="77"/>
      <c r="O529" s="77"/>
      <c r="P529" s="77"/>
    </row>
    <row r="530" spans="1:16" ht="15.75" customHeight="1">
      <c r="A530" s="96"/>
      <c r="B530" s="75"/>
      <c r="C530" s="77"/>
      <c r="D530" s="75"/>
      <c r="E530" s="97"/>
      <c r="F530" s="77"/>
      <c r="G530" s="75"/>
      <c r="H530" s="97"/>
      <c r="I530" s="77"/>
      <c r="J530" s="77"/>
      <c r="K530" s="77"/>
      <c r="L530" s="77"/>
      <c r="M530" s="98"/>
      <c r="N530" s="77"/>
      <c r="O530" s="77"/>
      <c r="P530" s="77"/>
    </row>
    <row r="531" spans="1:16" ht="15.75" customHeight="1">
      <c r="A531" s="96"/>
      <c r="B531" s="75"/>
      <c r="C531" s="77"/>
      <c r="D531" s="75"/>
      <c r="E531" s="97"/>
      <c r="F531" s="77"/>
      <c r="G531" s="75"/>
      <c r="H531" s="97"/>
      <c r="I531" s="77"/>
      <c r="J531" s="77"/>
      <c r="K531" s="77"/>
      <c r="L531" s="77"/>
      <c r="M531" s="98"/>
      <c r="N531" s="77"/>
      <c r="O531" s="77"/>
      <c r="P531" s="77"/>
    </row>
    <row r="532" spans="1:16" ht="15.75" customHeight="1">
      <c r="A532" s="96"/>
      <c r="B532" s="75"/>
      <c r="C532" s="77"/>
      <c r="D532" s="75"/>
      <c r="E532" s="97"/>
      <c r="F532" s="77"/>
      <c r="G532" s="75"/>
      <c r="H532" s="97"/>
      <c r="I532" s="77"/>
      <c r="J532" s="77"/>
      <c r="K532" s="77"/>
      <c r="L532" s="77"/>
      <c r="M532" s="98"/>
      <c r="N532" s="77"/>
      <c r="O532" s="77"/>
      <c r="P532" s="77"/>
    </row>
    <row r="533" spans="1:16" ht="15.75" customHeight="1">
      <c r="A533" s="96"/>
      <c r="B533" s="75"/>
      <c r="C533" s="77"/>
      <c r="D533" s="75"/>
      <c r="E533" s="97"/>
      <c r="F533" s="77"/>
      <c r="G533" s="75"/>
      <c r="H533" s="97"/>
      <c r="I533" s="77"/>
      <c r="J533" s="77"/>
      <c r="K533" s="77"/>
      <c r="L533" s="77"/>
      <c r="M533" s="98"/>
      <c r="N533" s="77"/>
      <c r="O533" s="77"/>
      <c r="P533" s="77"/>
    </row>
    <row r="534" spans="1:16" ht="15.75" customHeight="1">
      <c r="A534" s="96"/>
      <c r="B534" s="75"/>
      <c r="C534" s="77"/>
      <c r="D534" s="75"/>
      <c r="E534" s="97"/>
      <c r="F534" s="77"/>
      <c r="G534" s="75"/>
      <c r="H534" s="97"/>
      <c r="I534" s="77"/>
      <c r="J534" s="77"/>
      <c r="K534" s="77"/>
      <c r="L534" s="77"/>
      <c r="M534" s="98"/>
      <c r="N534" s="77"/>
      <c r="O534" s="77"/>
      <c r="P534" s="77"/>
    </row>
    <row r="535" spans="1:16" ht="15.75" customHeight="1">
      <c r="A535" s="96"/>
      <c r="B535" s="75"/>
      <c r="C535" s="77"/>
      <c r="D535" s="75"/>
      <c r="E535" s="97"/>
      <c r="F535" s="77"/>
      <c r="G535" s="75"/>
      <c r="H535" s="97"/>
      <c r="I535" s="77"/>
      <c r="J535" s="77"/>
      <c r="K535" s="77"/>
      <c r="L535" s="77"/>
      <c r="M535" s="98"/>
      <c r="N535" s="77"/>
      <c r="O535" s="77"/>
      <c r="P535" s="77"/>
    </row>
    <row r="536" spans="1:16" ht="15.75" customHeight="1">
      <c r="A536" s="96"/>
      <c r="B536" s="75"/>
      <c r="C536" s="77"/>
      <c r="D536" s="75"/>
      <c r="E536" s="97"/>
      <c r="F536" s="77"/>
      <c r="G536" s="75"/>
      <c r="H536" s="97"/>
      <c r="I536" s="77"/>
      <c r="J536" s="77"/>
      <c r="K536" s="77"/>
      <c r="L536" s="77"/>
      <c r="M536" s="98"/>
      <c r="N536" s="77"/>
      <c r="O536" s="77"/>
      <c r="P536" s="77"/>
    </row>
    <row r="537" spans="1:16" ht="15.75" customHeight="1">
      <c r="A537" s="96"/>
      <c r="B537" s="75"/>
      <c r="C537" s="77"/>
      <c r="D537" s="75"/>
      <c r="E537" s="97"/>
      <c r="F537" s="77"/>
      <c r="G537" s="75"/>
      <c r="H537" s="97"/>
      <c r="I537" s="77"/>
      <c r="J537" s="77"/>
      <c r="K537" s="77"/>
      <c r="L537" s="77"/>
      <c r="M537" s="98"/>
      <c r="N537" s="77"/>
      <c r="O537" s="77"/>
      <c r="P537" s="77"/>
    </row>
    <row r="538" spans="1:16" ht="15.75" customHeight="1">
      <c r="A538" s="96"/>
      <c r="B538" s="75"/>
      <c r="C538" s="77"/>
      <c r="D538" s="75"/>
      <c r="E538" s="97"/>
      <c r="F538" s="77"/>
      <c r="G538" s="75"/>
      <c r="H538" s="97"/>
      <c r="I538" s="77"/>
      <c r="J538" s="77"/>
      <c r="K538" s="77"/>
      <c r="L538" s="77"/>
      <c r="M538" s="98"/>
      <c r="N538" s="77"/>
      <c r="O538" s="77"/>
      <c r="P538" s="77"/>
    </row>
    <row r="539" spans="1:16" ht="15.75" customHeight="1">
      <c r="A539" s="96"/>
      <c r="B539" s="75"/>
      <c r="C539" s="77"/>
      <c r="D539" s="75"/>
      <c r="E539" s="97"/>
      <c r="F539" s="77"/>
      <c r="G539" s="75"/>
      <c r="H539" s="97"/>
      <c r="I539" s="77"/>
      <c r="J539" s="77"/>
      <c r="K539" s="77"/>
      <c r="L539" s="77"/>
      <c r="M539" s="98"/>
      <c r="N539" s="77"/>
      <c r="O539" s="77"/>
      <c r="P539" s="77"/>
    </row>
    <row r="540" spans="1:16" ht="15.75" customHeight="1">
      <c r="A540" s="96"/>
      <c r="B540" s="75"/>
      <c r="C540" s="77"/>
      <c r="D540" s="75"/>
      <c r="E540" s="97"/>
      <c r="F540" s="77"/>
      <c r="G540" s="75"/>
      <c r="H540" s="97"/>
      <c r="I540" s="77"/>
      <c r="J540" s="77"/>
      <c r="K540" s="77"/>
      <c r="L540" s="77"/>
      <c r="M540" s="98"/>
      <c r="N540" s="77"/>
      <c r="O540" s="77"/>
      <c r="P540" s="77"/>
    </row>
    <row r="541" spans="1:16" ht="15.75" customHeight="1">
      <c r="A541" s="96"/>
      <c r="B541" s="75"/>
      <c r="C541" s="77"/>
      <c r="D541" s="75"/>
      <c r="E541" s="97"/>
      <c r="F541" s="77"/>
      <c r="G541" s="75"/>
      <c r="H541" s="97"/>
      <c r="I541" s="77"/>
      <c r="J541" s="77"/>
      <c r="K541" s="77"/>
      <c r="L541" s="77"/>
      <c r="M541" s="98"/>
      <c r="N541" s="77"/>
      <c r="O541" s="77"/>
      <c r="P541" s="77"/>
    </row>
    <row r="542" spans="1:16" ht="15.75" customHeight="1">
      <c r="A542" s="96"/>
      <c r="B542" s="75"/>
      <c r="C542" s="77"/>
      <c r="D542" s="75"/>
      <c r="E542" s="97"/>
      <c r="F542" s="77"/>
      <c r="G542" s="75"/>
      <c r="H542" s="97"/>
      <c r="I542" s="77"/>
      <c r="J542" s="77"/>
      <c r="K542" s="77"/>
      <c r="L542" s="77"/>
      <c r="M542" s="98"/>
      <c r="N542" s="77"/>
      <c r="O542" s="77"/>
      <c r="P542" s="77"/>
    </row>
    <row r="543" spans="1:16" ht="15.75" customHeight="1">
      <c r="A543" s="96"/>
      <c r="B543" s="75"/>
      <c r="C543" s="77"/>
      <c r="D543" s="75"/>
      <c r="E543" s="97"/>
      <c r="F543" s="77"/>
      <c r="G543" s="75"/>
      <c r="H543" s="97"/>
      <c r="I543" s="77"/>
      <c r="J543" s="77"/>
      <c r="K543" s="77"/>
      <c r="L543" s="77"/>
      <c r="M543" s="98"/>
      <c r="N543" s="77"/>
      <c r="O543" s="77"/>
      <c r="P543" s="77"/>
    </row>
    <row r="544" spans="1:16" ht="15.75" customHeight="1">
      <c r="A544" s="96"/>
      <c r="B544" s="75"/>
      <c r="C544" s="77"/>
      <c r="D544" s="75"/>
      <c r="E544" s="97"/>
      <c r="F544" s="77"/>
      <c r="G544" s="75"/>
      <c r="H544" s="97"/>
      <c r="I544" s="77"/>
      <c r="J544" s="77"/>
      <c r="K544" s="77"/>
      <c r="L544" s="77"/>
      <c r="M544" s="98"/>
      <c r="N544" s="77"/>
      <c r="O544" s="77"/>
      <c r="P544" s="77"/>
    </row>
    <row r="545" spans="1:16" ht="15.75" customHeight="1">
      <c r="A545" s="96"/>
      <c r="B545" s="75"/>
      <c r="C545" s="77"/>
      <c r="D545" s="75"/>
      <c r="E545" s="97"/>
      <c r="F545" s="77"/>
      <c r="G545" s="75"/>
      <c r="H545" s="97"/>
      <c r="I545" s="77"/>
      <c r="J545" s="77"/>
      <c r="K545" s="77"/>
      <c r="L545" s="77"/>
      <c r="M545" s="98"/>
      <c r="N545" s="77"/>
      <c r="O545" s="77"/>
      <c r="P545" s="77"/>
    </row>
    <row r="546" spans="1:16" ht="15.75" customHeight="1">
      <c r="A546" s="96"/>
      <c r="B546" s="75"/>
      <c r="C546" s="77"/>
      <c r="D546" s="75"/>
      <c r="E546" s="97"/>
      <c r="F546" s="77"/>
      <c r="G546" s="75"/>
      <c r="H546" s="97"/>
      <c r="I546" s="77"/>
      <c r="J546" s="77"/>
      <c r="K546" s="77"/>
      <c r="L546" s="77"/>
      <c r="M546" s="98"/>
      <c r="N546" s="77"/>
      <c r="O546" s="77"/>
      <c r="P546" s="77"/>
    </row>
    <row r="547" spans="1:16" ht="15.75" customHeight="1">
      <c r="A547" s="96"/>
      <c r="B547" s="75"/>
      <c r="C547" s="77"/>
      <c r="D547" s="75"/>
      <c r="E547" s="97"/>
      <c r="F547" s="77"/>
      <c r="G547" s="75"/>
      <c r="H547" s="97"/>
      <c r="I547" s="77"/>
      <c r="J547" s="77"/>
      <c r="K547" s="77"/>
      <c r="L547" s="77"/>
      <c r="M547" s="98"/>
      <c r="N547" s="77"/>
      <c r="O547" s="77"/>
      <c r="P547" s="77"/>
    </row>
    <row r="548" spans="1:16" ht="15.75" customHeight="1">
      <c r="A548" s="96"/>
      <c r="B548" s="75"/>
      <c r="C548" s="77"/>
      <c r="D548" s="75"/>
      <c r="E548" s="97"/>
      <c r="F548" s="77"/>
      <c r="G548" s="75"/>
      <c r="H548" s="97"/>
      <c r="I548" s="77"/>
      <c r="J548" s="77"/>
      <c r="K548" s="77"/>
      <c r="L548" s="77"/>
      <c r="M548" s="98"/>
      <c r="N548" s="77"/>
      <c r="O548" s="77"/>
      <c r="P548" s="77"/>
    </row>
    <row r="549" spans="1:16" ht="15.75" customHeight="1">
      <c r="A549" s="96"/>
      <c r="B549" s="75"/>
      <c r="C549" s="77"/>
      <c r="D549" s="75"/>
      <c r="E549" s="97"/>
      <c r="F549" s="77"/>
      <c r="G549" s="75"/>
      <c r="H549" s="97"/>
      <c r="I549" s="77"/>
      <c r="J549" s="77"/>
      <c r="K549" s="77"/>
      <c r="L549" s="77"/>
      <c r="M549" s="98"/>
      <c r="N549" s="77"/>
      <c r="O549" s="77"/>
      <c r="P549" s="77"/>
    </row>
    <row r="550" spans="1:16" ht="15.75" customHeight="1">
      <c r="A550" s="96"/>
      <c r="B550" s="75"/>
      <c r="C550" s="77"/>
      <c r="D550" s="75"/>
      <c r="E550" s="97"/>
      <c r="F550" s="77"/>
      <c r="G550" s="75"/>
      <c r="H550" s="97"/>
      <c r="I550" s="77"/>
      <c r="J550" s="77"/>
      <c r="K550" s="77"/>
      <c r="L550" s="77"/>
      <c r="M550" s="98"/>
      <c r="N550" s="77"/>
      <c r="O550" s="77"/>
      <c r="P550" s="77"/>
    </row>
    <row r="551" spans="1:16" ht="15.75" customHeight="1">
      <c r="A551" s="96"/>
      <c r="B551" s="75"/>
      <c r="C551" s="77"/>
      <c r="D551" s="75"/>
      <c r="E551" s="97"/>
      <c r="F551" s="77"/>
      <c r="G551" s="75"/>
      <c r="H551" s="97"/>
      <c r="I551" s="77"/>
      <c r="J551" s="77"/>
      <c r="K551" s="77"/>
      <c r="L551" s="77"/>
      <c r="M551" s="98"/>
      <c r="N551" s="77"/>
      <c r="O551" s="77"/>
      <c r="P551" s="77"/>
    </row>
    <row r="552" spans="1:16" ht="15.75" customHeight="1">
      <c r="A552" s="96"/>
      <c r="B552" s="75"/>
      <c r="C552" s="77"/>
      <c r="D552" s="75"/>
      <c r="E552" s="97"/>
      <c r="F552" s="77"/>
      <c r="G552" s="75"/>
      <c r="H552" s="97"/>
      <c r="I552" s="77"/>
      <c r="J552" s="77"/>
      <c r="K552" s="77"/>
      <c r="L552" s="77"/>
      <c r="M552" s="98"/>
      <c r="N552" s="77"/>
      <c r="O552" s="77"/>
      <c r="P552" s="77"/>
    </row>
    <row r="553" spans="1:16" ht="15.75" customHeight="1">
      <c r="A553" s="96"/>
      <c r="B553" s="75"/>
      <c r="C553" s="77"/>
      <c r="D553" s="75"/>
      <c r="E553" s="97"/>
      <c r="F553" s="77"/>
      <c r="G553" s="75"/>
      <c r="H553" s="97"/>
      <c r="I553" s="77"/>
      <c r="J553" s="77"/>
      <c r="K553" s="77"/>
      <c r="L553" s="77"/>
      <c r="M553" s="98"/>
      <c r="N553" s="77"/>
      <c r="O553" s="77"/>
      <c r="P553" s="77"/>
    </row>
    <row r="554" spans="1:16" ht="15.75" customHeight="1">
      <c r="A554" s="96"/>
      <c r="B554" s="75"/>
      <c r="C554" s="77"/>
      <c r="D554" s="75"/>
      <c r="E554" s="97"/>
      <c r="F554" s="77"/>
      <c r="G554" s="75"/>
      <c r="H554" s="97"/>
      <c r="I554" s="77"/>
      <c r="J554" s="77"/>
      <c r="K554" s="77"/>
      <c r="L554" s="77"/>
      <c r="M554" s="98"/>
      <c r="N554" s="77"/>
      <c r="O554" s="77"/>
      <c r="P554" s="77"/>
    </row>
    <row r="555" spans="1:16" ht="15.75" customHeight="1">
      <c r="A555" s="96"/>
      <c r="B555" s="75"/>
      <c r="C555" s="77"/>
      <c r="D555" s="75"/>
      <c r="E555" s="97"/>
      <c r="F555" s="77"/>
      <c r="G555" s="75"/>
      <c r="H555" s="97"/>
      <c r="I555" s="77"/>
      <c r="J555" s="77"/>
      <c r="K555" s="77"/>
      <c r="L555" s="77"/>
      <c r="M555" s="98"/>
      <c r="N555" s="77"/>
      <c r="O555" s="77"/>
      <c r="P555" s="77"/>
    </row>
    <row r="556" spans="1:16" ht="15.75" customHeight="1">
      <c r="A556" s="96"/>
      <c r="B556" s="75"/>
      <c r="C556" s="77"/>
      <c r="D556" s="75"/>
      <c r="E556" s="97"/>
      <c r="F556" s="77"/>
      <c r="G556" s="75"/>
      <c r="H556" s="97"/>
      <c r="I556" s="77"/>
      <c r="J556" s="77"/>
      <c r="K556" s="77"/>
      <c r="L556" s="77"/>
      <c r="M556" s="98"/>
      <c r="N556" s="77"/>
      <c r="O556" s="77"/>
      <c r="P556" s="77"/>
    </row>
    <row r="557" spans="1:16" ht="15.75" customHeight="1">
      <c r="A557" s="96"/>
      <c r="B557" s="75"/>
      <c r="C557" s="77"/>
      <c r="D557" s="75"/>
      <c r="E557" s="97"/>
      <c r="F557" s="77"/>
      <c r="G557" s="75"/>
      <c r="H557" s="97"/>
      <c r="I557" s="77"/>
      <c r="J557" s="77"/>
      <c r="K557" s="77"/>
      <c r="L557" s="77"/>
      <c r="M557" s="98"/>
      <c r="N557" s="77"/>
      <c r="O557" s="77"/>
      <c r="P557" s="77"/>
    </row>
    <row r="558" spans="1:16" ht="15.75" customHeight="1">
      <c r="A558" s="96"/>
      <c r="B558" s="75"/>
      <c r="C558" s="77"/>
      <c r="D558" s="75"/>
      <c r="E558" s="97"/>
      <c r="F558" s="77"/>
      <c r="G558" s="75"/>
      <c r="H558" s="97"/>
      <c r="I558" s="77"/>
      <c r="J558" s="77"/>
      <c r="K558" s="77"/>
      <c r="L558" s="77"/>
      <c r="M558" s="98"/>
      <c r="N558" s="77"/>
      <c r="O558" s="77"/>
      <c r="P558" s="77"/>
    </row>
    <row r="559" spans="1:16" ht="15.75" customHeight="1">
      <c r="A559" s="96"/>
      <c r="B559" s="75"/>
      <c r="C559" s="77"/>
      <c r="D559" s="75"/>
      <c r="E559" s="97"/>
      <c r="F559" s="77"/>
      <c r="G559" s="75"/>
      <c r="H559" s="97"/>
      <c r="I559" s="77"/>
      <c r="J559" s="77"/>
      <c r="K559" s="77"/>
      <c r="L559" s="77"/>
      <c r="M559" s="98"/>
      <c r="N559" s="77"/>
      <c r="O559" s="77"/>
      <c r="P559" s="77"/>
    </row>
    <row r="560" spans="1:16" ht="15.75" customHeight="1">
      <c r="A560" s="96"/>
      <c r="B560" s="75"/>
      <c r="C560" s="77"/>
      <c r="D560" s="75"/>
      <c r="E560" s="97"/>
      <c r="F560" s="77"/>
      <c r="G560" s="75"/>
      <c r="H560" s="97"/>
      <c r="I560" s="77"/>
      <c r="J560" s="77"/>
      <c r="K560" s="77"/>
      <c r="L560" s="77"/>
      <c r="M560" s="98"/>
      <c r="N560" s="77"/>
      <c r="O560" s="77"/>
      <c r="P560" s="77"/>
    </row>
    <row r="561" spans="1:16" ht="15.75" customHeight="1">
      <c r="A561" s="96"/>
      <c r="B561" s="75"/>
      <c r="C561" s="77"/>
      <c r="D561" s="75"/>
      <c r="E561" s="97"/>
      <c r="F561" s="77"/>
      <c r="G561" s="75"/>
      <c r="H561" s="97"/>
      <c r="I561" s="77"/>
      <c r="J561" s="77"/>
      <c r="K561" s="77"/>
      <c r="L561" s="77"/>
      <c r="M561" s="98"/>
      <c r="N561" s="77"/>
      <c r="O561" s="77"/>
      <c r="P561" s="77"/>
    </row>
    <row r="562" spans="1:16" ht="15.75" customHeight="1">
      <c r="A562" s="96"/>
      <c r="B562" s="75"/>
      <c r="C562" s="77"/>
      <c r="D562" s="75"/>
      <c r="E562" s="97"/>
      <c r="F562" s="77"/>
      <c r="G562" s="75"/>
      <c r="H562" s="97"/>
      <c r="I562" s="77"/>
      <c r="J562" s="77"/>
      <c r="K562" s="77"/>
      <c r="L562" s="77"/>
      <c r="M562" s="98"/>
      <c r="N562" s="77"/>
      <c r="O562" s="77"/>
      <c r="P562" s="77"/>
    </row>
    <row r="563" spans="1:16" ht="15.75" customHeight="1">
      <c r="A563" s="96"/>
      <c r="B563" s="75"/>
      <c r="C563" s="77"/>
      <c r="D563" s="75"/>
      <c r="E563" s="97"/>
      <c r="F563" s="77"/>
      <c r="G563" s="75"/>
      <c r="H563" s="97"/>
      <c r="I563" s="77"/>
      <c r="J563" s="77"/>
      <c r="K563" s="77"/>
      <c r="L563" s="77"/>
      <c r="M563" s="98"/>
      <c r="N563" s="77"/>
      <c r="O563" s="77"/>
      <c r="P563" s="77"/>
    </row>
    <row r="564" spans="1:16" ht="15.75" customHeight="1">
      <c r="A564" s="96"/>
      <c r="B564" s="75"/>
      <c r="C564" s="77"/>
      <c r="D564" s="75"/>
      <c r="E564" s="97"/>
      <c r="F564" s="77"/>
      <c r="G564" s="75"/>
      <c r="H564" s="97"/>
      <c r="I564" s="77"/>
      <c r="J564" s="77"/>
      <c r="K564" s="77"/>
      <c r="L564" s="77"/>
      <c r="M564" s="98"/>
      <c r="N564" s="77"/>
      <c r="O564" s="77"/>
      <c r="P564" s="77"/>
    </row>
    <row r="565" spans="1:16" ht="15.75" customHeight="1">
      <c r="A565" s="96"/>
      <c r="B565" s="75"/>
      <c r="C565" s="77"/>
      <c r="D565" s="75"/>
      <c r="E565" s="97"/>
      <c r="F565" s="77"/>
      <c r="G565" s="75"/>
      <c r="H565" s="97"/>
      <c r="I565" s="77"/>
      <c r="J565" s="77"/>
      <c r="K565" s="77"/>
      <c r="L565" s="77"/>
      <c r="M565" s="98"/>
      <c r="N565" s="77"/>
      <c r="O565" s="77"/>
      <c r="P565" s="77"/>
    </row>
    <row r="566" spans="1:16" ht="15.75" customHeight="1">
      <c r="A566" s="96"/>
      <c r="B566" s="75"/>
      <c r="C566" s="77"/>
      <c r="D566" s="75"/>
      <c r="E566" s="97"/>
      <c r="F566" s="77"/>
      <c r="G566" s="75"/>
      <c r="H566" s="97"/>
      <c r="I566" s="77"/>
      <c r="J566" s="77"/>
      <c r="K566" s="77"/>
      <c r="L566" s="77"/>
      <c r="M566" s="98"/>
      <c r="N566" s="77"/>
      <c r="O566" s="77"/>
      <c r="P566" s="77"/>
    </row>
    <row r="567" spans="1:16" ht="15.75" customHeight="1">
      <c r="A567" s="96"/>
      <c r="B567" s="75"/>
      <c r="C567" s="77"/>
      <c r="D567" s="75"/>
      <c r="E567" s="97"/>
      <c r="F567" s="77"/>
      <c r="G567" s="75"/>
      <c r="H567" s="97"/>
      <c r="I567" s="77"/>
      <c r="J567" s="77"/>
      <c r="K567" s="77"/>
      <c r="L567" s="77"/>
      <c r="M567" s="98"/>
      <c r="N567" s="77"/>
      <c r="O567" s="77"/>
      <c r="P567" s="77"/>
    </row>
    <row r="568" spans="1:16" ht="15.75" customHeight="1">
      <c r="A568" s="96"/>
      <c r="B568" s="75"/>
      <c r="C568" s="77"/>
      <c r="D568" s="75"/>
      <c r="E568" s="97"/>
      <c r="F568" s="77"/>
      <c r="G568" s="75"/>
      <c r="H568" s="97"/>
      <c r="I568" s="77"/>
      <c r="J568" s="77"/>
      <c r="K568" s="77"/>
      <c r="L568" s="77"/>
      <c r="M568" s="98"/>
      <c r="N568" s="77"/>
      <c r="O568" s="77"/>
      <c r="P568" s="77"/>
    </row>
    <row r="569" spans="1:16" ht="15.75" customHeight="1">
      <c r="A569" s="96"/>
      <c r="B569" s="75"/>
      <c r="C569" s="77"/>
      <c r="D569" s="75"/>
      <c r="E569" s="97"/>
      <c r="F569" s="77"/>
      <c r="G569" s="75"/>
      <c r="H569" s="97"/>
      <c r="I569" s="77"/>
      <c r="J569" s="77"/>
      <c r="K569" s="77"/>
      <c r="L569" s="77"/>
      <c r="M569" s="98"/>
      <c r="N569" s="77"/>
      <c r="O569" s="77"/>
      <c r="P569" s="77"/>
    </row>
    <row r="570" spans="1:16" ht="15.75" customHeight="1">
      <c r="A570" s="96"/>
      <c r="B570" s="75"/>
      <c r="C570" s="77"/>
      <c r="D570" s="75"/>
      <c r="E570" s="97"/>
      <c r="F570" s="77"/>
      <c r="G570" s="75"/>
      <c r="H570" s="97"/>
      <c r="I570" s="77"/>
      <c r="J570" s="77"/>
      <c r="K570" s="77"/>
      <c r="L570" s="77"/>
      <c r="M570" s="98"/>
      <c r="N570" s="77"/>
      <c r="O570" s="77"/>
      <c r="P570" s="77"/>
    </row>
    <row r="571" spans="1:16" ht="15.75" customHeight="1">
      <c r="A571" s="96"/>
      <c r="B571" s="75"/>
      <c r="C571" s="77"/>
      <c r="D571" s="75"/>
      <c r="E571" s="97"/>
      <c r="F571" s="77"/>
      <c r="G571" s="75"/>
      <c r="H571" s="97"/>
      <c r="I571" s="77"/>
      <c r="J571" s="77"/>
      <c r="K571" s="77"/>
      <c r="L571" s="77"/>
      <c r="M571" s="98"/>
      <c r="N571" s="77"/>
      <c r="O571" s="77"/>
      <c r="P571" s="77"/>
    </row>
    <row r="572" spans="1:16" ht="15.75" customHeight="1">
      <c r="A572" s="96"/>
      <c r="B572" s="75"/>
      <c r="C572" s="77"/>
      <c r="D572" s="75"/>
      <c r="E572" s="97"/>
      <c r="F572" s="77"/>
      <c r="G572" s="75"/>
      <c r="H572" s="97"/>
      <c r="I572" s="77"/>
      <c r="J572" s="77"/>
      <c r="K572" s="77"/>
      <c r="L572" s="77"/>
      <c r="M572" s="98"/>
      <c r="N572" s="77"/>
      <c r="O572" s="77"/>
      <c r="P572" s="77"/>
    </row>
    <row r="573" spans="1:16" ht="15.75" customHeight="1">
      <c r="A573" s="96"/>
      <c r="B573" s="75"/>
      <c r="C573" s="77"/>
      <c r="D573" s="75"/>
      <c r="E573" s="97"/>
      <c r="F573" s="77"/>
      <c r="G573" s="75"/>
      <c r="H573" s="97"/>
      <c r="I573" s="77"/>
      <c r="J573" s="77"/>
      <c r="K573" s="77"/>
      <c r="L573" s="77"/>
      <c r="M573" s="98"/>
      <c r="N573" s="77"/>
      <c r="O573" s="77"/>
      <c r="P573" s="77"/>
    </row>
    <row r="574" spans="1:16" ht="15.75" customHeight="1">
      <c r="A574" s="96"/>
      <c r="B574" s="75"/>
      <c r="C574" s="77"/>
      <c r="D574" s="75"/>
      <c r="E574" s="97"/>
      <c r="F574" s="77"/>
      <c r="G574" s="75"/>
      <c r="H574" s="97"/>
      <c r="I574" s="77"/>
      <c r="J574" s="77"/>
      <c r="K574" s="77"/>
      <c r="L574" s="77"/>
      <c r="M574" s="98"/>
      <c r="N574" s="77"/>
      <c r="O574" s="77"/>
      <c r="P574" s="77"/>
    </row>
    <row r="575" spans="1:16" ht="15.75" customHeight="1">
      <c r="A575" s="96"/>
      <c r="B575" s="75"/>
      <c r="C575" s="77"/>
      <c r="D575" s="75"/>
      <c r="E575" s="97"/>
      <c r="F575" s="77"/>
      <c r="G575" s="75"/>
      <c r="H575" s="97"/>
      <c r="I575" s="77"/>
      <c r="J575" s="77"/>
      <c r="K575" s="77"/>
      <c r="L575" s="77"/>
      <c r="M575" s="98"/>
      <c r="N575" s="77"/>
      <c r="O575" s="77"/>
      <c r="P575" s="77"/>
    </row>
    <row r="576" spans="1:16" ht="15.75" customHeight="1">
      <c r="A576" s="96"/>
      <c r="B576" s="75"/>
      <c r="C576" s="77"/>
      <c r="D576" s="75"/>
      <c r="E576" s="97"/>
      <c r="F576" s="77"/>
      <c r="G576" s="75"/>
      <c r="H576" s="97"/>
      <c r="I576" s="77"/>
      <c r="J576" s="77"/>
      <c r="K576" s="77"/>
      <c r="L576" s="77"/>
      <c r="M576" s="98"/>
      <c r="N576" s="77"/>
      <c r="O576" s="77"/>
      <c r="P576" s="77"/>
    </row>
    <row r="577" spans="1:16" ht="15.75" customHeight="1">
      <c r="A577" s="96"/>
      <c r="B577" s="75"/>
      <c r="C577" s="77"/>
      <c r="D577" s="75"/>
      <c r="E577" s="97"/>
      <c r="F577" s="77"/>
      <c r="G577" s="75"/>
      <c r="H577" s="97"/>
      <c r="I577" s="77"/>
      <c r="J577" s="77"/>
      <c r="K577" s="77"/>
      <c r="L577" s="77"/>
      <c r="M577" s="98"/>
      <c r="N577" s="77"/>
      <c r="O577" s="77"/>
      <c r="P577" s="77"/>
    </row>
    <row r="578" spans="1:16" ht="15.75" customHeight="1">
      <c r="A578" s="96"/>
      <c r="B578" s="75"/>
      <c r="C578" s="77"/>
      <c r="D578" s="75"/>
      <c r="E578" s="97"/>
      <c r="F578" s="77"/>
      <c r="G578" s="75"/>
      <c r="H578" s="97"/>
      <c r="I578" s="77"/>
      <c r="J578" s="77"/>
      <c r="K578" s="77"/>
      <c r="L578" s="77"/>
      <c r="M578" s="98"/>
      <c r="N578" s="77"/>
      <c r="O578" s="77"/>
      <c r="P578" s="77"/>
    </row>
    <row r="579" spans="1:16" ht="15.75" customHeight="1">
      <c r="A579" s="96"/>
      <c r="B579" s="75"/>
      <c r="C579" s="77"/>
      <c r="D579" s="75"/>
      <c r="E579" s="97"/>
      <c r="F579" s="77"/>
      <c r="G579" s="75"/>
      <c r="H579" s="97"/>
      <c r="I579" s="77"/>
      <c r="J579" s="77"/>
      <c r="K579" s="77"/>
      <c r="L579" s="77"/>
      <c r="M579" s="98"/>
      <c r="N579" s="77"/>
      <c r="O579" s="77"/>
      <c r="P579" s="77"/>
    </row>
    <row r="580" spans="1:16" ht="15.75" customHeight="1">
      <c r="A580" s="96"/>
      <c r="B580" s="75"/>
      <c r="C580" s="77"/>
      <c r="D580" s="75"/>
      <c r="E580" s="97"/>
      <c r="F580" s="77"/>
      <c r="G580" s="75"/>
      <c r="H580" s="97"/>
      <c r="I580" s="77"/>
      <c r="J580" s="77"/>
      <c r="K580" s="77"/>
      <c r="L580" s="77"/>
      <c r="M580" s="98"/>
      <c r="N580" s="77"/>
      <c r="O580" s="77"/>
      <c r="P580" s="77"/>
    </row>
    <row r="581" spans="1:16" ht="15.75" customHeight="1">
      <c r="A581" s="96"/>
      <c r="B581" s="75"/>
      <c r="C581" s="77"/>
      <c r="D581" s="75"/>
      <c r="E581" s="97"/>
      <c r="F581" s="77"/>
      <c r="G581" s="75"/>
      <c r="H581" s="97"/>
      <c r="I581" s="77"/>
      <c r="J581" s="77"/>
      <c r="K581" s="77"/>
      <c r="L581" s="77"/>
      <c r="M581" s="98"/>
      <c r="N581" s="77"/>
      <c r="O581" s="77"/>
      <c r="P581" s="77"/>
    </row>
    <row r="582" spans="1:16" ht="15.75" customHeight="1">
      <c r="A582" s="96"/>
      <c r="B582" s="75"/>
      <c r="C582" s="77"/>
      <c r="D582" s="75"/>
      <c r="E582" s="97"/>
      <c r="F582" s="77"/>
      <c r="G582" s="75"/>
      <c r="H582" s="97"/>
      <c r="I582" s="77"/>
      <c r="J582" s="77"/>
      <c r="K582" s="77"/>
      <c r="L582" s="77"/>
      <c r="M582" s="98"/>
      <c r="N582" s="77"/>
      <c r="O582" s="77"/>
      <c r="P582" s="77"/>
    </row>
    <row r="583" spans="1:16" ht="15.75" customHeight="1">
      <c r="A583" s="96"/>
      <c r="B583" s="75"/>
      <c r="C583" s="77"/>
      <c r="D583" s="75"/>
      <c r="E583" s="97"/>
      <c r="F583" s="77"/>
      <c r="G583" s="75"/>
      <c r="H583" s="97"/>
      <c r="I583" s="77"/>
      <c r="J583" s="77"/>
      <c r="K583" s="77"/>
      <c r="L583" s="77"/>
      <c r="M583" s="98"/>
      <c r="N583" s="77"/>
      <c r="O583" s="77"/>
      <c r="P583" s="77"/>
    </row>
    <row r="584" spans="1:16" ht="15.75" customHeight="1">
      <c r="A584" s="96"/>
      <c r="B584" s="75"/>
      <c r="C584" s="77"/>
      <c r="D584" s="75"/>
      <c r="E584" s="97"/>
      <c r="F584" s="77"/>
      <c r="G584" s="75"/>
      <c r="H584" s="97"/>
      <c r="I584" s="77"/>
      <c r="J584" s="77"/>
      <c r="K584" s="77"/>
      <c r="L584" s="77"/>
      <c r="M584" s="98"/>
      <c r="N584" s="77"/>
      <c r="O584" s="77"/>
      <c r="P584" s="77"/>
    </row>
    <row r="585" spans="1:16" ht="15.75" customHeight="1">
      <c r="A585" s="96"/>
      <c r="B585" s="75"/>
      <c r="C585" s="77"/>
      <c r="D585" s="75"/>
      <c r="E585" s="97"/>
      <c r="F585" s="77"/>
      <c r="G585" s="75"/>
      <c r="H585" s="97"/>
      <c r="I585" s="77"/>
      <c r="J585" s="77"/>
      <c r="K585" s="77"/>
      <c r="L585" s="77"/>
      <c r="M585" s="98"/>
      <c r="N585" s="77"/>
      <c r="O585" s="77"/>
      <c r="P585" s="77"/>
    </row>
    <row r="586" spans="1:16" ht="15.75" customHeight="1">
      <c r="A586" s="96"/>
      <c r="B586" s="75"/>
      <c r="C586" s="77"/>
      <c r="D586" s="75"/>
      <c r="E586" s="97"/>
      <c r="F586" s="77"/>
      <c r="G586" s="75"/>
      <c r="H586" s="97"/>
      <c r="I586" s="77"/>
      <c r="J586" s="77"/>
      <c r="K586" s="77"/>
      <c r="L586" s="77"/>
      <c r="M586" s="98"/>
      <c r="N586" s="77"/>
      <c r="O586" s="77"/>
      <c r="P586" s="77"/>
    </row>
    <row r="587" spans="1:16" ht="15.75" customHeight="1">
      <c r="A587" s="96"/>
      <c r="B587" s="75"/>
      <c r="C587" s="77"/>
      <c r="D587" s="75"/>
      <c r="E587" s="97"/>
      <c r="F587" s="77"/>
      <c r="G587" s="75"/>
      <c r="H587" s="97"/>
      <c r="I587" s="77"/>
      <c r="J587" s="77"/>
      <c r="K587" s="77"/>
      <c r="L587" s="77"/>
      <c r="M587" s="98"/>
      <c r="N587" s="77"/>
      <c r="O587" s="77"/>
      <c r="P587" s="77"/>
    </row>
    <row r="588" spans="1:16" ht="15.75" customHeight="1">
      <c r="A588" s="96"/>
      <c r="B588" s="75"/>
      <c r="C588" s="77"/>
      <c r="D588" s="75"/>
      <c r="E588" s="97"/>
      <c r="F588" s="77"/>
      <c r="G588" s="75"/>
      <c r="H588" s="97"/>
      <c r="I588" s="77"/>
      <c r="J588" s="77"/>
      <c r="K588" s="77"/>
      <c r="L588" s="77"/>
      <c r="M588" s="98"/>
      <c r="N588" s="77"/>
      <c r="O588" s="77"/>
      <c r="P588" s="77"/>
    </row>
    <row r="589" spans="1:16" ht="15.75" customHeight="1">
      <c r="A589" s="96"/>
      <c r="B589" s="75"/>
      <c r="C589" s="77"/>
      <c r="D589" s="75"/>
      <c r="E589" s="97"/>
      <c r="F589" s="77"/>
      <c r="G589" s="75"/>
      <c r="H589" s="97"/>
      <c r="I589" s="77"/>
      <c r="J589" s="77"/>
      <c r="K589" s="77"/>
      <c r="L589" s="77"/>
      <c r="M589" s="98"/>
      <c r="N589" s="77"/>
      <c r="O589" s="77"/>
      <c r="P589" s="77"/>
    </row>
    <row r="590" spans="1:16" ht="15.75" customHeight="1">
      <c r="A590" s="96"/>
      <c r="B590" s="75"/>
      <c r="C590" s="77"/>
      <c r="D590" s="75"/>
      <c r="E590" s="97"/>
      <c r="F590" s="77"/>
      <c r="G590" s="75"/>
      <c r="H590" s="97"/>
      <c r="I590" s="77"/>
      <c r="J590" s="77"/>
      <c r="K590" s="77"/>
      <c r="L590" s="77"/>
      <c r="M590" s="98"/>
      <c r="N590" s="77"/>
      <c r="O590" s="77"/>
      <c r="P590" s="77"/>
    </row>
    <row r="591" spans="1:16" ht="15.75" customHeight="1">
      <c r="A591" s="96"/>
      <c r="B591" s="75"/>
      <c r="C591" s="77"/>
      <c r="D591" s="75"/>
      <c r="E591" s="97"/>
      <c r="F591" s="77"/>
      <c r="G591" s="75"/>
      <c r="H591" s="97"/>
      <c r="I591" s="77"/>
      <c r="J591" s="77"/>
      <c r="K591" s="77"/>
      <c r="L591" s="77"/>
      <c r="M591" s="98"/>
      <c r="N591" s="77"/>
      <c r="O591" s="77"/>
      <c r="P591" s="77"/>
    </row>
    <row r="592" spans="1:16" ht="15.75" customHeight="1">
      <c r="A592" s="96"/>
      <c r="B592" s="75"/>
      <c r="C592" s="77"/>
      <c r="D592" s="75"/>
      <c r="E592" s="97"/>
      <c r="F592" s="77"/>
      <c r="G592" s="75"/>
      <c r="H592" s="97"/>
      <c r="I592" s="77"/>
      <c r="J592" s="77"/>
      <c r="K592" s="77"/>
      <c r="L592" s="77"/>
      <c r="M592" s="98"/>
      <c r="N592" s="77"/>
      <c r="O592" s="77"/>
      <c r="P592" s="77"/>
    </row>
    <row r="593" spans="1:16" ht="15.75" customHeight="1">
      <c r="A593" s="96"/>
      <c r="B593" s="75"/>
      <c r="C593" s="77"/>
      <c r="D593" s="75"/>
      <c r="E593" s="97"/>
      <c r="F593" s="77"/>
      <c r="G593" s="75"/>
      <c r="H593" s="97"/>
      <c r="I593" s="77"/>
      <c r="J593" s="77"/>
      <c r="K593" s="77"/>
      <c r="L593" s="77"/>
      <c r="M593" s="98"/>
      <c r="N593" s="77"/>
      <c r="O593" s="77"/>
      <c r="P593" s="77"/>
    </row>
    <row r="594" spans="1:16" ht="15.75" customHeight="1">
      <c r="A594" s="96"/>
      <c r="B594" s="75"/>
      <c r="C594" s="77"/>
      <c r="D594" s="75"/>
      <c r="E594" s="97"/>
      <c r="F594" s="77"/>
      <c r="G594" s="75"/>
      <c r="H594" s="97"/>
      <c r="I594" s="77"/>
      <c r="J594" s="77"/>
      <c r="K594" s="77"/>
      <c r="L594" s="77"/>
      <c r="M594" s="98"/>
      <c r="N594" s="77"/>
      <c r="O594" s="77"/>
      <c r="P594" s="77"/>
    </row>
    <row r="595" spans="1:16" ht="15.75" customHeight="1">
      <c r="A595" s="96"/>
      <c r="B595" s="75"/>
      <c r="C595" s="77"/>
      <c r="D595" s="75"/>
      <c r="E595" s="97"/>
      <c r="F595" s="77"/>
      <c r="G595" s="75"/>
      <c r="H595" s="97"/>
      <c r="I595" s="77"/>
      <c r="J595" s="77"/>
      <c r="K595" s="77"/>
      <c r="L595" s="77"/>
      <c r="M595" s="98"/>
      <c r="N595" s="77"/>
      <c r="O595" s="77"/>
      <c r="P595" s="77"/>
    </row>
    <row r="596" spans="1:16" ht="15.75" customHeight="1">
      <c r="A596" s="96"/>
      <c r="B596" s="75"/>
      <c r="C596" s="77"/>
      <c r="D596" s="75"/>
      <c r="E596" s="97"/>
      <c r="F596" s="77"/>
      <c r="G596" s="75"/>
      <c r="H596" s="97"/>
      <c r="I596" s="77"/>
      <c r="J596" s="77"/>
      <c r="K596" s="77"/>
      <c r="L596" s="77"/>
      <c r="M596" s="98"/>
      <c r="N596" s="77"/>
      <c r="O596" s="77"/>
      <c r="P596" s="77"/>
    </row>
    <row r="597" spans="1:16" ht="15.75" customHeight="1">
      <c r="A597" s="96"/>
      <c r="B597" s="75"/>
      <c r="C597" s="77"/>
      <c r="D597" s="75"/>
      <c r="E597" s="97"/>
      <c r="F597" s="77"/>
      <c r="G597" s="75"/>
      <c r="H597" s="97"/>
      <c r="I597" s="77"/>
      <c r="J597" s="77"/>
      <c r="K597" s="77"/>
      <c r="L597" s="77"/>
      <c r="M597" s="98"/>
      <c r="N597" s="77"/>
      <c r="O597" s="77"/>
      <c r="P597" s="77"/>
    </row>
    <row r="598" spans="1:16" ht="15.75" customHeight="1">
      <c r="A598" s="96"/>
      <c r="B598" s="75"/>
      <c r="C598" s="77"/>
      <c r="D598" s="75"/>
      <c r="E598" s="97"/>
      <c r="F598" s="77"/>
      <c r="G598" s="75"/>
      <c r="H598" s="97"/>
      <c r="I598" s="77"/>
      <c r="J598" s="77"/>
      <c r="K598" s="77"/>
      <c r="L598" s="77"/>
      <c r="M598" s="98"/>
      <c r="N598" s="77"/>
      <c r="O598" s="77"/>
      <c r="P598" s="77"/>
    </row>
    <row r="599" spans="1:16" ht="15.75" customHeight="1">
      <c r="A599" s="96"/>
      <c r="B599" s="75"/>
      <c r="C599" s="77"/>
      <c r="D599" s="75"/>
      <c r="E599" s="97"/>
      <c r="F599" s="77"/>
      <c r="G599" s="75"/>
      <c r="H599" s="97"/>
      <c r="I599" s="77"/>
      <c r="J599" s="77"/>
      <c r="K599" s="77"/>
      <c r="L599" s="77"/>
      <c r="M599" s="98"/>
      <c r="N599" s="77"/>
      <c r="O599" s="77"/>
      <c r="P599" s="77"/>
    </row>
    <row r="600" spans="1:16" ht="15.75" customHeight="1">
      <c r="A600" s="96"/>
      <c r="B600" s="75"/>
      <c r="C600" s="77"/>
      <c r="D600" s="75"/>
      <c r="E600" s="97"/>
      <c r="F600" s="77"/>
      <c r="G600" s="75"/>
      <c r="H600" s="97"/>
      <c r="I600" s="77"/>
      <c r="J600" s="77"/>
      <c r="K600" s="77"/>
      <c r="L600" s="77"/>
      <c r="M600" s="98"/>
      <c r="N600" s="77"/>
      <c r="O600" s="77"/>
      <c r="P600" s="77"/>
    </row>
    <row r="601" spans="1:16" ht="15.75" customHeight="1">
      <c r="A601" s="96"/>
      <c r="B601" s="75"/>
      <c r="C601" s="77"/>
      <c r="D601" s="75"/>
      <c r="E601" s="97"/>
      <c r="F601" s="77"/>
      <c r="G601" s="75"/>
      <c r="H601" s="97"/>
      <c r="I601" s="77"/>
      <c r="J601" s="77"/>
      <c r="K601" s="77"/>
      <c r="L601" s="77"/>
      <c r="M601" s="98"/>
      <c r="N601" s="77"/>
      <c r="O601" s="77"/>
      <c r="P601" s="77"/>
    </row>
    <row r="602" spans="1:16" ht="15.75" customHeight="1">
      <c r="A602" s="96"/>
      <c r="B602" s="75"/>
      <c r="C602" s="77"/>
      <c r="D602" s="75"/>
      <c r="E602" s="97"/>
      <c r="F602" s="77"/>
      <c r="G602" s="75"/>
      <c r="H602" s="97"/>
      <c r="I602" s="77"/>
      <c r="J602" s="77"/>
      <c r="K602" s="77"/>
      <c r="L602" s="77"/>
      <c r="M602" s="98"/>
      <c r="N602" s="77"/>
      <c r="O602" s="77"/>
      <c r="P602" s="77"/>
    </row>
    <row r="603" spans="1:16" ht="15.75" customHeight="1">
      <c r="A603" s="96"/>
      <c r="B603" s="75"/>
      <c r="C603" s="77"/>
      <c r="D603" s="75"/>
      <c r="E603" s="97"/>
      <c r="F603" s="77"/>
      <c r="G603" s="75"/>
      <c r="H603" s="97"/>
      <c r="I603" s="77"/>
      <c r="J603" s="77"/>
      <c r="K603" s="77"/>
      <c r="L603" s="77"/>
      <c r="M603" s="98"/>
      <c r="N603" s="77"/>
      <c r="O603" s="77"/>
      <c r="P603" s="77"/>
    </row>
    <row r="604" spans="1:16" ht="15.75" customHeight="1">
      <c r="A604" s="96"/>
      <c r="B604" s="75"/>
      <c r="C604" s="77"/>
      <c r="D604" s="75"/>
      <c r="E604" s="97"/>
      <c r="F604" s="77"/>
      <c r="G604" s="75"/>
      <c r="H604" s="97"/>
      <c r="I604" s="77"/>
      <c r="J604" s="77"/>
      <c r="K604" s="77"/>
      <c r="L604" s="77"/>
      <c r="M604" s="98"/>
      <c r="N604" s="77"/>
      <c r="O604" s="77"/>
      <c r="P604" s="77"/>
    </row>
    <row r="605" spans="1:16" ht="15.75" customHeight="1">
      <c r="A605" s="96"/>
      <c r="B605" s="75"/>
      <c r="C605" s="77"/>
      <c r="D605" s="75"/>
      <c r="E605" s="97"/>
      <c r="F605" s="77"/>
      <c r="G605" s="75"/>
      <c r="H605" s="97"/>
      <c r="I605" s="77"/>
      <c r="J605" s="77"/>
      <c r="K605" s="77"/>
      <c r="L605" s="77"/>
      <c r="M605" s="98"/>
      <c r="N605" s="77"/>
      <c r="O605" s="77"/>
      <c r="P605" s="77"/>
    </row>
    <row r="606" spans="1:16" ht="15.75" customHeight="1">
      <c r="A606" s="96"/>
      <c r="B606" s="75"/>
      <c r="C606" s="77"/>
      <c r="D606" s="75"/>
      <c r="E606" s="97"/>
      <c r="F606" s="77"/>
      <c r="G606" s="75"/>
      <c r="H606" s="97"/>
      <c r="I606" s="77"/>
      <c r="J606" s="77"/>
      <c r="K606" s="77"/>
      <c r="L606" s="77"/>
      <c r="M606" s="98"/>
      <c r="N606" s="77"/>
      <c r="O606" s="77"/>
      <c r="P606" s="77"/>
    </row>
    <row r="607" spans="1:16" ht="15.75" customHeight="1">
      <c r="A607" s="96"/>
      <c r="B607" s="75"/>
      <c r="C607" s="77"/>
      <c r="D607" s="75"/>
      <c r="E607" s="97"/>
      <c r="F607" s="77"/>
      <c r="G607" s="75"/>
      <c r="H607" s="97"/>
      <c r="I607" s="77"/>
      <c r="J607" s="77"/>
      <c r="K607" s="77"/>
      <c r="L607" s="77"/>
      <c r="M607" s="98"/>
      <c r="N607" s="77"/>
      <c r="O607" s="77"/>
      <c r="P607" s="77"/>
    </row>
    <row r="608" spans="1:16" ht="15.75" customHeight="1">
      <c r="A608" s="96"/>
      <c r="B608" s="75"/>
      <c r="C608" s="77"/>
      <c r="D608" s="75"/>
      <c r="E608" s="97"/>
      <c r="F608" s="77"/>
      <c r="G608" s="75"/>
      <c r="H608" s="97"/>
      <c r="I608" s="77"/>
      <c r="J608" s="77"/>
      <c r="K608" s="77"/>
      <c r="L608" s="77"/>
      <c r="M608" s="98"/>
      <c r="N608" s="77"/>
      <c r="O608" s="77"/>
      <c r="P608" s="77"/>
    </row>
    <row r="609" spans="1:16" ht="15.75" customHeight="1">
      <c r="A609" s="96"/>
      <c r="B609" s="75"/>
      <c r="C609" s="77"/>
      <c r="D609" s="75"/>
      <c r="E609" s="97"/>
      <c r="F609" s="77"/>
      <c r="G609" s="75"/>
      <c r="H609" s="97"/>
      <c r="I609" s="77"/>
      <c r="J609" s="77"/>
      <c r="K609" s="77"/>
      <c r="L609" s="77"/>
      <c r="M609" s="98"/>
      <c r="N609" s="77"/>
      <c r="O609" s="77"/>
      <c r="P609" s="77"/>
    </row>
    <row r="610" spans="1:16" ht="15.75" customHeight="1">
      <c r="A610" s="96"/>
      <c r="B610" s="75"/>
      <c r="C610" s="77"/>
      <c r="D610" s="75"/>
      <c r="E610" s="97"/>
      <c r="F610" s="77"/>
      <c r="G610" s="75"/>
      <c r="H610" s="97"/>
      <c r="I610" s="77"/>
      <c r="J610" s="77"/>
      <c r="K610" s="77"/>
      <c r="L610" s="77"/>
      <c r="M610" s="98"/>
      <c r="N610" s="77"/>
      <c r="O610" s="77"/>
      <c r="P610" s="77"/>
    </row>
    <row r="611" spans="1:16" ht="15.75" customHeight="1">
      <c r="A611" s="96"/>
      <c r="B611" s="75"/>
      <c r="C611" s="77"/>
      <c r="D611" s="75"/>
      <c r="E611" s="97"/>
      <c r="F611" s="77"/>
      <c r="G611" s="75"/>
      <c r="H611" s="97"/>
      <c r="I611" s="77"/>
      <c r="J611" s="77"/>
      <c r="K611" s="77"/>
      <c r="L611" s="77"/>
      <c r="M611" s="98"/>
      <c r="N611" s="77"/>
      <c r="O611" s="77"/>
      <c r="P611" s="77"/>
    </row>
    <row r="612" spans="1:16" ht="15.75" customHeight="1">
      <c r="A612" s="96"/>
      <c r="B612" s="75"/>
      <c r="C612" s="77"/>
      <c r="D612" s="75"/>
      <c r="E612" s="97"/>
      <c r="F612" s="77"/>
      <c r="G612" s="75"/>
      <c r="H612" s="97"/>
      <c r="I612" s="77"/>
      <c r="J612" s="77"/>
      <c r="K612" s="77"/>
      <c r="L612" s="77"/>
      <c r="M612" s="98"/>
      <c r="N612" s="77"/>
      <c r="O612" s="77"/>
      <c r="P612" s="77"/>
    </row>
    <row r="613" spans="1:16" ht="15.75" customHeight="1">
      <c r="A613" s="96"/>
      <c r="B613" s="75"/>
      <c r="C613" s="77"/>
      <c r="D613" s="75"/>
      <c r="E613" s="97"/>
      <c r="F613" s="77"/>
      <c r="G613" s="75"/>
      <c r="H613" s="97"/>
      <c r="I613" s="77"/>
      <c r="J613" s="77"/>
      <c r="K613" s="77"/>
      <c r="L613" s="77"/>
      <c r="M613" s="98"/>
      <c r="N613" s="77"/>
      <c r="O613" s="77"/>
      <c r="P613" s="77"/>
    </row>
    <row r="614" spans="1:16" ht="15.75" customHeight="1">
      <c r="A614" s="96"/>
      <c r="B614" s="75"/>
      <c r="C614" s="77"/>
      <c r="D614" s="75"/>
      <c r="E614" s="97"/>
      <c r="F614" s="77"/>
      <c r="G614" s="75"/>
      <c r="H614" s="97"/>
      <c r="I614" s="77"/>
      <c r="J614" s="77"/>
      <c r="K614" s="77"/>
      <c r="L614" s="77"/>
      <c r="M614" s="98"/>
      <c r="N614" s="77"/>
      <c r="O614" s="77"/>
      <c r="P614" s="77"/>
    </row>
    <row r="615" spans="1:16" ht="15.75" customHeight="1">
      <c r="A615" s="96"/>
      <c r="B615" s="75"/>
      <c r="C615" s="77"/>
      <c r="D615" s="75"/>
      <c r="E615" s="97"/>
      <c r="F615" s="77"/>
      <c r="G615" s="75"/>
      <c r="H615" s="97"/>
      <c r="I615" s="77"/>
      <c r="J615" s="77"/>
      <c r="K615" s="77"/>
      <c r="L615" s="77"/>
      <c r="M615" s="98"/>
      <c r="N615" s="77"/>
      <c r="O615" s="77"/>
      <c r="P615" s="77"/>
    </row>
    <row r="616" spans="1:16" ht="15.75" customHeight="1">
      <c r="A616" s="96"/>
      <c r="B616" s="75"/>
      <c r="C616" s="77"/>
      <c r="D616" s="75"/>
      <c r="E616" s="97"/>
      <c r="F616" s="77"/>
      <c r="G616" s="75"/>
      <c r="H616" s="97"/>
      <c r="I616" s="77"/>
      <c r="J616" s="77"/>
      <c r="K616" s="77"/>
      <c r="L616" s="77"/>
      <c r="M616" s="98"/>
      <c r="N616" s="77"/>
      <c r="O616" s="77"/>
      <c r="P616" s="77"/>
    </row>
    <row r="617" spans="1:16" ht="15.75" customHeight="1">
      <c r="A617" s="96"/>
      <c r="B617" s="75"/>
      <c r="C617" s="77"/>
      <c r="D617" s="75"/>
      <c r="E617" s="97"/>
      <c r="F617" s="77"/>
      <c r="G617" s="75"/>
      <c r="H617" s="97"/>
      <c r="I617" s="77"/>
      <c r="J617" s="77"/>
      <c r="K617" s="77"/>
      <c r="L617" s="77"/>
      <c r="M617" s="98"/>
      <c r="N617" s="77"/>
      <c r="O617" s="77"/>
      <c r="P617" s="77"/>
    </row>
    <row r="618" spans="1:16" ht="15.75" customHeight="1">
      <c r="A618" s="96"/>
      <c r="B618" s="75"/>
      <c r="C618" s="77"/>
      <c r="D618" s="75"/>
      <c r="E618" s="97"/>
      <c r="F618" s="77"/>
      <c r="G618" s="75"/>
      <c r="H618" s="97"/>
      <c r="I618" s="77"/>
      <c r="J618" s="77"/>
      <c r="K618" s="77"/>
      <c r="L618" s="77"/>
      <c r="M618" s="98"/>
      <c r="N618" s="77"/>
      <c r="O618" s="77"/>
      <c r="P618" s="77"/>
    </row>
    <row r="619" spans="1:16" ht="15.75" customHeight="1">
      <c r="A619" s="96"/>
      <c r="B619" s="75"/>
      <c r="C619" s="77"/>
      <c r="D619" s="75"/>
      <c r="E619" s="97"/>
      <c r="F619" s="77"/>
      <c r="G619" s="75"/>
      <c r="H619" s="97"/>
      <c r="I619" s="77"/>
      <c r="J619" s="77"/>
      <c r="K619" s="77"/>
      <c r="L619" s="77"/>
      <c r="M619" s="98"/>
      <c r="N619" s="77"/>
      <c r="O619" s="77"/>
      <c r="P619" s="77"/>
    </row>
    <row r="620" spans="1:16" ht="15.75" customHeight="1">
      <c r="A620" s="96"/>
      <c r="B620" s="75"/>
      <c r="C620" s="77"/>
      <c r="D620" s="75"/>
      <c r="E620" s="97"/>
      <c r="F620" s="77"/>
      <c r="G620" s="75"/>
      <c r="H620" s="97"/>
      <c r="I620" s="77"/>
      <c r="J620" s="77"/>
      <c r="K620" s="77"/>
      <c r="L620" s="77"/>
      <c r="M620" s="98"/>
      <c r="N620" s="77"/>
      <c r="O620" s="77"/>
      <c r="P620" s="77"/>
    </row>
    <row r="621" spans="1:16" ht="15.75" customHeight="1">
      <c r="A621" s="96"/>
      <c r="B621" s="75"/>
      <c r="C621" s="77"/>
      <c r="D621" s="75"/>
      <c r="E621" s="97"/>
      <c r="F621" s="77"/>
      <c r="G621" s="75"/>
      <c r="H621" s="97"/>
      <c r="I621" s="77"/>
      <c r="J621" s="77"/>
      <c r="K621" s="77"/>
      <c r="L621" s="77"/>
      <c r="M621" s="98"/>
      <c r="N621" s="77"/>
      <c r="O621" s="77"/>
      <c r="P621" s="77"/>
    </row>
    <row r="622" spans="1:16" ht="15.75" customHeight="1">
      <c r="A622" s="96"/>
      <c r="B622" s="75"/>
      <c r="C622" s="77"/>
      <c r="D622" s="75"/>
      <c r="E622" s="97"/>
      <c r="F622" s="77"/>
      <c r="G622" s="75"/>
      <c r="H622" s="97"/>
      <c r="I622" s="77"/>
      <c r="J622" s="77"/>
      <c r="K622" s="77"/>
      <c r="L622" s="77"/>
      <c r="M622" s="98"/>
      <c r="N622" s="77"/>
      <c r="O622" s="77"/>
      <c r="P622" s="77"/>
    </row>
    <row r="623" spans="1:16" ht="15.75" customHeight="1">
      <c r="A623" s="96"/>
      <c r="B623" s="75"/>
      <c r="C623" s="77"/>
      <c r="D623" s="75"/>
      <c r="E623" s="97"/>
      <c r="F623" s="77"/>
      <c r="G623" s="75"/>
      <c r="H623" s="97"/>
      <c r="I623" s="77"/>
      <c r="J623" s="77"/>
      <c r="K623" s="77"/>
      <c r="L623" s="77"/>
      <c r="M623" s="98"/>
      <c r="N623" s="77"/>
      <c r="O623" s="77"/>
      <c r="P623" s="77"/>
    </row>
    <row r="624" spans="1:16" ht="15.75" customHeight="1">
      <c r="A624" s="96"/>
      <c r="B624" s="75"/>
      <c r="C624" s="77"/>
      <c r="D624" s="75"/>
      <c r="E624" s="97"/>
      <c r="F624" s="77"/>
      <c r="G624" s="75"/>
      <c r="H624" s="97"/>
      <c r="I624" s="77"/>
      <c r="J624" s="77"/>
      <c r="K624" s="77"/>
      <c r="L624" s="77"/>
      <c r="M624" s="98"/>
      <c r="N624" s="77"/>
      <c r="O624" s="77"/>
      <c r="P624" s="77"/>
    </row>
    <row r="625" spans="1:16" ht="15.75" customHeight="1">
      <c r="A625" s="96"/>
      <c r="B625" s="75"/>
      <c r="C625" s="77"/>
      <c r="D625" s="75"/>
      <c r="E625" s="97"/>
      <c r="F625" s="77"/>
      <c r="G625" s="75"/>
      <c r="H625" s="97"/>
      <c r="I625" s="77"/>
      <c r="J625" s="77"/>
      <c r="K625" s="77"/>
      <c r="L625" s="77"/>
      <c r="M625" s="98"/>
      <c r="N625" s="77"/>
      <c r="O625" s="77"/>
      <c r="P625" s="77"/>
    </row>
    <row r="626" spans="1:16" ht="15.75" customHeight="1">
      <c r="A626" s="96"/>
      <c r="B626" s="75"/>
      <c r="C626" s="77"/>
      <c r="D626" s="75"/>
      <c r="E626" s="97"/>
      <c r="F626" s="77"/>
      <c r="G626" s="75"/>
      <c r="H626" s="97"/>
      <c r="I626" s="77"/>
      <c r="J626" s="77"/>
      <c r="K626" s="77"/>
      <c r="L626" s="77"/>
      <c r="M626" s="98"/>
      <c r="N626" s="77"/>
      <c r="O626" s="77"/>
      <c r="P626" s="77"/>
    </row>
    <row r="627" spans="1:16" ht="15.75" customHeight="1">
      <c r="A627" s="96"/>
      <c r="B627" s="75"/>
      <c r="C627" s="77"/>
      <c r="D627" s="75"/>
      <c r="E627" s="97"/>
      <c r="F627" s="77"/>
      <c r="G627" s="75"/>
      <c r="H627" s="97"/>
      <c r="I627" s="77"/>
      <c r="J627" s="77"/>
      <c r="K627" s="77"/>
      <c r="L627" s="77"/>
      <c r="M627" s="98"/>
      <c r="N627" s="77"/>
      <c r="O627" s="77"/>
      <c r="P627" s="77"/>
    </row>
    <row r="628" spans="1:16" ht="15.75" customHeight="1">
      <c r="A628" s="96"/>
      <c r="B628" s="75"/>
      <c r="C628" s="77"/>
      <c r="D628" s="75"/>
      <c r="E628" s="97"/>
      <c r="F628" s="77"/>
      <c r="G628" s="75"/>
      <c r="H628" s="97"/>
      <c r="I628" s="77"/>
      <c r="J628" s="77"/>
      <c r="K628" s="77"/>
      <c r="L628" s="77"/>
      <c r="M628" s="98"/>
      <c r="N628" s="77"/>
      <c r="O628" s="77"/>
      <c r="P628" s="77"/>
    </row>
    <row r="629" spans="1:16" ht="15.75" customHeight="1">
      <c r="A629" s="96"/>
      <c r="B629" s="75"/>
      <c r="C629" s="77"/>
      <c r="D629" s="75"/>
      <c r="E629" s="97"/>
      <c r="F629" s="77"/>
      <c r="G629" s="75"/>
      <c r="H629" s="97"/>
      <c r="I629" s="77"/>
      <c r="J629" s="77"/>
      <c r="K629" s="77"/>
      <c r="L629" s="77"/>
      <c r="M629" s="98"/>
      <c r="N629" s="77"/>
      <c r="O629" s="77"/>
      <c r="P629" s="77"/>
    </row>
    <row r="630" spans="1:16" ht="15.75" customHeight="1">
      <c r="A630" s="96"/>
      <c r="B630" s="75"/>
      <c r="C630" s="77"/>
      <c r="D630" s="75"/>
      <c r="E630" s="97"/>
      <c r="F630" s="77"/>
      <c r="G630" s="75"/>
      <c r="H630" s="97"/>
      <c r="I630" s="77"/>
      <c r="J630" s="77"/>
      <c r="K630" s="77"/>
      <c r="L630" s="77"/>
      <c r="M630" s="98"/>
      <c r="N630" s="77"/>
      <c r="O630" s="77"/>
      <c r="P630" s="77"/>
    </row>
    <row r="631" spans="1:16" ht="15.75" customHeight="1">
      <c r="A631" s="96"/>
      <c r="B631" s="75"/>
      <c r="C631" s="77"/>
      <c r="D631" s="75"/>
      <c r="E631" s="97"/>
      <c r="F631" s="77"/>
      <c r="G631" s="75"/>
      <c r="H631" s="97"/>
      <c r="I631" s="77"/>
      <c r="J631" s="77"/>
      <c r="K631" s="77"/>
      <c r="L631" s="77"/>
      <c r="M631" s="98"/>
      <c r="N631" s="77"/>
      <c r="O631" s="77"/>
      <c r="P631" s="77"/>
    </row>
    <row r="632" spans="1:16" ht="15.75" customHeight="1">
      <c r="A632" s="96"/>
      <c r="B632" s="75"/>
      <c r="C632" s="77"/>
      <c r="D632" s="75"/>
      <c r="E632" s="97"/>
      <c r="F632" s="77"/>
      <c r="G632" s="75"/>
      <c r="H632" s="97"/>
      <c r="I632" s="77"/>
      <c r="J632" s="77"/>
      <c r="K632" s="77"/>
      <c r="L632" s="77"/>
      <c r="M632" s="98"/>
      <c r="N632" s="77"/>
      <c r="O632" s="77"/>
      <c r="P632" s="77"/>
    </row>
    <row r="633" spans="1:16" ht="15.75" customHeight="1">
      <c r="A633" s="96"/>
      <c r="B633" s="75"/>
      <c r="C633" s="77"/>
      <c r="D633" s="75"/>
      <c r="E633" s="97"/>
      <c r="F633" s="77"/>
      <c r="G633" s="75"/>
      <c r="H633" s="97"/>
      <c r="I633" s="77"/>
      <c r="J633" s="77"/>
      <c r="K633" s="77"/>
      <c r="L633" s="77"/>
      <c r="M633" s="98"/>
      <c r="N633" s="77"/>
      <c r="O633" s="77"/>
      <c r="P633" s="77"/>
    </row>
    <row r="634" spans="1:16" ht="15.75" customHeight="1">
      <c r="A634" s="96"/>
      <c r="B634" s="75"/>
      <c r="C634" s="77"/>
      <c r="D634" s="75"/>
      <c r="E634" s="97"/>
      <c r="F634" s="77"/>
      <c r="G634" s="75"/>
      <c r="H634" s="97"/>
      <c r="I634" s="77"/>
      <c r="J634" s="77"/>
      <c r="K634" s="77"/>
      <c r="L634" s="77"/>
      <c r="M634" s="98"/>
      <c r="N634" s="77"/>
      <c r="O634" s="77"/>
      <c r="P634" s="77"/>
    </row>
    <row r="635" spans="1:16" ht="15.75" customHeight="1">
      <c r="A635" s="96"/>
      <c r="B635" s="75"/>
      <c r="C635" s="77"/>
      <c r="D635" s="75"/>
      <c r="E635" s="97"/>
      <c r="F635" s="77"/>
      <c r="G635" s="75"/>
      <c r="H635" s="97"/>
      <c r="I635" s="77"/>
      <c r="J635" s="77"/>
      <c r="K635" s="77"/>
      <c r="L635" s="77"/>
      <c r="M635" s="98"/>
      <c r="N635" s="77"/>
      <c r="O635" s="77"/>
      <c r="P635" s="77"/>
    </row>
    <row r="636" spans="1:16" ht="15.75" customHeight="1">
      <c r="A636" s="96"/>
      <c r="B636" s="75"/>
      <c r="C636" s="77"/>
      <c r="D636" s="75"/>
      <c r="E636" s="97"/>
      <c r="F636" s="77"/>
      <c r="G636" s="75"/>
      <c r="H636" s="97"/>
      <c r="I636" s="77"/>
      <c r="J636" s="77"/>
      <c r="K636" s="77"/>
      <c r="L636" s="77"/>
      <c r="M636" s="98"/>
      <c r="N636" s="77"/>
      <c r="O636" s="77"/>
      <c r="P636" s="77"/>
    </row>
    <row r="637" spans="1:16" ht="15.75" customHeight="1">
      <c r="A637" s="96"/>
      <c r="B637" s="75"/>
      <c r="C637" s="77"/>
      <c r="D637" s="75"/>
      <c r="E637" s="97"/>
      <c r="F637" s="77"/>
      <c r="G637" s="75"/>
      <c r="H637" s="97"/>
      <c r="I637" s="77"/>
      <c r="J637" s="77"/>
      <c r="K637" s="77"/>
      <c r="L637" s="77"/>
      <c r="M637" s="98"/>
      <c r="N637" s="77"/>
      <c r="O637" s="77"/>
      <c r="P637" s="77"/>
    </row>
    <row r="638" spans="1:16" ht="15.75" customHeight="1">
      <c r="A638" s="96"/>
      <c r="B638" s="75"/>
      <c r="C638" s="77"/>
      <c r="D638" s="75"/>
      <c r="E638" s="97"/>
      <c r="F638" s="77"/>
      <c r="G638" s="75"/>
      <c r="H638" s="97"/>
      <c r="I638" s="77"/>
      <c r="J638" s="77"/>
      <c r="K638" s="77"/>
      <c r="L638" s="77"/>
      <c r="M638" s="98"/>
      <c r="N638" s="77"/>
      <c r="O638" s="77"/>
      <c r="P638" s="77"/>
    </row>
    <row r="639" spans="1:16" ht="15.75" customHeight="1">
      <c r="A639" s="96"/>
      <c r="B639" s="75"/>
      <c r="C639" s="77"/>
      <c r="D639" s="75"/>
      <c r="E639" s="97"/>
      <c r="F639" s="77"/>
      <c r="G639" s="75"/>
      <c r="H639" s="97"/>
      <c r="I639" s="77"/>
      <c r="J639" s="77"/>
      <c r="K639" s="77"/>
      <c r="L639" s="77"/>
      <c r="M639" s="98"/>
      <c r="N639" s="77"/>
      <c r="O639" s="77"/>
      <c r="P639" s="77"/>
    </row>
    <row r="640" spans="1:16" ht="15.75" customHeight="1">
      <c r="A640" s="96"/>
      <c r="B640" s="75"/>
      <c r="C640" s="77"/>
      <c r="D640" s="75"/>
      <c r="E640" s="97"/>
      <c r="F640" s="77"/>
      <c r="G640" s="75"/>
      <c r="H640" s="97"/>
      <c r="I640" s="77"/>
      <c r="J640" s="77"/>
      <c r="K640" s="77"/>
      <c r="L640" s="77"/>
      <c r="M640" s="98"/>
      <c r="N640" s="77"/>
      <c r="O640" s="77"/>
      <c r="P640" s="77"/>
    </row>
    <row r="641" spans="1:16" ht="15.75" customHeight="1">
      <c r="A641" s="96"/>
      <c r="B641" s="75"/>
      <c r="C641" s="77"/>
      <c r="D641" s="75"/>
      <c r="E641" s="97"/>
      <c r="F641" s="77"/>
      <c r="G641" s="75"/>
      <c r="H641" s="97"/>
      <c r="I641" s="77"/>
      <c r="J641" s="77"/>
      <c r="K641" s="77"/>
      <c r="L641" s="77"/>
      <c r="M641" s="98"/>
      <c r="N641" s="77"/>
      <c r="O641" s="77"/>
      <c r="P641" s="77"/>
    </row>
    <row r="642" spans="1:16" ht="15.75" customHeight="1">
      <c r="A642" s="96"/>
      <c r="B642" s="75"/>
      <c r="C642" s="77"/>
      <c r="D642" s="75"/>
      <c r="E642" s="97"/>
      <c r="F642" s="77"/>
      <c r="G642" s="75"/>
      <c r="H642" s="97"/>
      <c r="I642" s="77"/>
      <c r="J642" s="77"/>
      <c r="K642" s="77"/>
      <c r="L642" s="77"/>
      <c r="M642" s="98"/>
      <c r="N642" s="77"/>
      <c r="O642" s="77"/>
      <c r="P642" s="77"/>
    </row>
    <row r="643" spans="1:16" ht="15.75" customHeight="1">
      <c r="A643" s="96"/>
      <c r="B643" s="75"/>
      <c r="C643" s="77"/>
      <c r="D643" s="75"/>
      <c r="E643" s="97"/>
      <c r="F643" s="77"/>
      <c r="G643" s="75"/>
      <c r="H643" s="97"/>
      <c r="I643" s="77"/>
      <c r="J643" s="77"/>
      <c r="K643" s="77"/>
      <c r="L643" s="77"/>
      <c r="M643" s="98"/>
      <c r="N643" s="77"/>
      <c r="O643" s="77"/>
      <c r="P643" s="77"/>
    </row>
    <row r="644" spans="1:16" ht="15.75" customHeight="1">
      <c r="A644" s="96"/>
      <c r="B644" s="75"/>
      <c r="C644" s="77"/>
      <c r="D644" s="75"/>
      <c r="E644" s="97"/>
      <c r="F644" s="77"/>
      <c r="G644" s="75"/>
      <c r="H644" s="97"/>
      <c r="I644" s="77"/>
      <c r="J644" s="77"/>
      <c r="K644" s="77"/>
      <c r="L644" s="77"/>
      <c r="M644" s="98"/>
      <c r="N644" s="77"/>
      <c r="O644" s="77"/>
      <c r="P644" s="77"/>
    </row>
    <row r="645" spans="1:16" ht="15.75" customHeight="1">
      <c r="A645" s="96"/>
      <c r="B645" s="75"/>
      <c r="C645" s="77"/>
      <c r="D645" s="75"/>
      <c r="E645" s="97"/>
      <c r="F645" s="77"/>
      <c r="G645" s="75"/>
      <c r="H645" s="97"/>
      <c r="I645" s="77"/>
      <c r="J645" s="77"/>
      <c r="K645" s="77"/>
      <c r="L645" s="77"/>
      <c r="M645" s="98"/>
      <c r="N645" s="77"/>
      <c r="O645" s="77"/>
      <c r="P645" s="77"/>
    </row>
    <row r="646" spans="1:16" ht="15.75" customHeight="1">
      <c r="A646" s="96"/>
      <c r="B646" s="75"/>
      <c r="C646" s="77"/>
      <c r="D646" s="75"/>
      <c r="E646" s="97"/>
      <c r="F646" s="77"/>
      <c r="G646" s="75"/>
      <c r="H646" s="97"/>
      <c r="I646" s="77"/>
      <c r="J646" s="77"/>
      <c r="K646" s="77"/>
      <c r="L646" s="77"/>
      <c r="M646" s="98"/>
      <c r="N646" s="77"/>
      <c r="O646" s="77"/>
      <c r="P646" s="77"/>
    </row>
    <row r="647" spans="1:16" ht="15.75" customHeight="1">
      <c r="A647" s="96"/>
      <c r="B647" s="75"/>
      <c r="C647" s="77"/>
      <c r="D647" s="75"/>
      <c r="E647" s="97"/>
      <c r="F647" s="77"/>
      <c r="G647" s="75"/>
      <c r="H647" s="97"/>
      <c r="I647" s="77"/>
      <c r="J647" s="77"/>
      <c r="K647" s="77"/>
      <c r="L647" s="77"/>
      <c r="M647" s="98"/>
      <c r="N647" s="77"/>
      <c r="O647" s="77"/>
      <c r="P647" s="77"/>
    </row>
    <row r="648" spans="1:16" ht="15.75" customHeight="1">
      <c r="A648" s="96"/>
      <c r="B648" s="75"/>
      <c r="C648" s="77"/>
      <c r="D648" s="75"/>
      <c r="E648" s="97"/>
      <c r="F648" s="77"/>
      <c r="G648" s="75"/>
      <c r="H648" s="97"/>
      <c r="I648" s="77"/>
      <c r="J648" s="77"/>
      <c r="K648" s="77"/>
      <c r="L648" s="77"/>
      <c r="M648" s="98"/>
      <c r="N648" s="77"/>
      <c r="O648" s="77"/>
      <c r="P648" s="77"/>
    </row>
    <row r="649" spans="1:16" ht="15.75" customHeight="1">
      <c r="A649" s="96"/>
      <c r="B649" s="75"/>
      <c r="C649" s="77"/>
      <c r="D649" s="75"/>
      <c r="E649" s="97"/>
      <c r="F649" s="77"/>
      <c r="G649" s="75"/>
      <c r="H649" s="97"/>
      <c r="I649" s="77"/>
      <c r="J649" s="77"/>
      <c r="K649" s="77"/>
      <c r="L649" s="77"/>
      <c r="M649" s="98"/>
      <c r="N649" s="77"/>
      <c r="O649" s="77"/>
      <c r="P649" s="77"/>
    </row>
    <row r="650" spans="1:16" ht="15.75" customHeight="1">
      <c r="A650" s="96"/>
      <c r="B650" s="75"/>
      <c r="C650" s="77"/>
      <c r="D650" s="75"/>
      <c r="E650" s="97"/>
      <c r="F650" s="77"/>
      <c r="G650" s="75"/>
      <c r="H650" s="97"/>
      <c r="I650" s="77"/>
      <c r="J650" s="77"/>
      <c r="K650" s="77"/>
      <c r="L650" s="77"/>
      <c r="M650" s="98"/>
      <c r="N650" s="77"/>
      <c r="O650" s="77"/>
      <c r="P650" s="77"/>
    </row>
    <row r="651" spans="1:16" ht="15.75" customHeight="1">
      <c r="A651" s="96"/>
      <c r="B651" s="75"/>
      <c r="C651" s="77"/>
      <c r="D651" s="75"/>
      <c r="E651" s="97"/>
      <c r="F651" s="77"/>
      <c r="G651" s="75"/>
      <c r="H651" s="97"/>
      <c r="I651" s="77"/>
      <c r="J651" s="77"/>
      <c r="K651" s="77"/>
      <c r="L651" s="77"/>
      <c r="M651" s="98"/>
      <c r="N651" s="77"/>
      <c r="O651" s="77"/>
      <c r="P651" s="77"/>
    </row>
    <row r="652" spans="1:16" ht="15.75" customHeight="1">
      <c r="A652" s="96"/>
      <c r="B652" s="75"/>
      <c r="C652" s="77"/>
      <c r="D652" s="75"/>
      <c r="E652" s="97"/>
      <c r="F652" s="77"/>
      <c r="G652" s="75"/>
      <c r="H652" s="97"/>
      <c r="I652" s="77"/>
      <c r="J652" s="77"/>
      <c r="K652" s="77"/>
      <c r="L652" s="77"/>
      <c r="M652" s="98"/>
      <c r="N652" s="77"/>
      <c r="O652" s="77"/>
      <c r="P652" s="77"/>
    </row>
    <row r="653" spans="1:16" ht="15.75" customHeight="1">
      <c r="A653" s="96"/>
      <c r="B653" s="75"/>
      <c r="C653" s="77"/>
      <c r="D653" s="75"/>
      <c r="E653" s="97"/>
      <c r="F653" s="77"/>
      <c r="G653" s="75"/>
      <c r="H653" s="97"/>
      <c r="I653" s="77"/>
      <c r="J653" s="77"/>
      <c r="K653" s="77"/>
      <c r="L653" s="77"/>
      <c r="M653" s="98"/>
      <c r="N653" s="77"/>
      <c r="O653" s="77"/>
      <c r="P653" s="77"/>
    </row>
    <row r="654" spans="1:16" ht="15.75" customHeight="1">
      <c r="A654" s="96"/>
      <c r="B654" s="75"/>
      <c r="C654" s="77"/>
      <c r="D654" s="75"/>
      <c r="E654" s="97"/>
      <c r="F654" s="77"/>
      <c r="G654" s="75"/>
      <c r="H654" s="97"/>
      <c r="I654" s="77"/>
      <c r="J654" s="77"/>
      <c r="K654" s="77"/>
      <c r="L654" s="77"/>
      <c r="M654" s="98"/>
      <c r="N654" s="77"/>
      <c r="O654" s="77"/>
      <c r="P654" s="77"/>
    </row>
    <row r="655" spans="1:16" ht="15.75" customHeight="1">
      <c r="A655" s="96"/>
      <c r="B655" s="75"/>
      <c r="C655" s="77"/>
      <c r="D655" s="75"/>
      <c r="E655" s="97"/>
      <c r="F655" s="77"/>
      <c r="G655" s="75"/>
      <c r="H655" s="97"/>
      <c r="I655" s="77"/>
      <c r="J655" s="77"/>
      <c r="K655" s="77"/>
      <c r="L655" s="77"/>
      <c r="M655" s="98"/>
      <c r="N655" s="77"/>
      <c r="O655" s="77"/>
      <c r="P655" s="77"/>
    </row>
    <row r="656" spans="1:16" ht="15.75" customHeight="1">
      <c r="A656" s="96"/>
      <c r="B656" s="75"/>
      <c r="C656" s="77"/>
      <c r="D656" s="75"/>
      <c r="E656" s="97"/>
      <c r="F656" s="77"/>
      <c r="G656" s="75"/>
      <c r="H656" s="97"/>
      <c r="I656" s="77"/>
      <c r="J656" s="77"/>
      <c r="K656" s="77"/>
      <c r="L656" s="77"/>
      <c r="M656" s="98"/>
      <c r="N656" s="77"/>
      <c r="O656" s="77"/>
      <c r="P656" s="77"/>
    </row>
    <row r="657" spans="1:16" ht="15.75" customHeight="1">
      <c r="A657" s="96"/>
      <c r="B657" s="75"/>
      <c r="C657" s="77"/>
      <c r="D657" s="75"/>
      <c r="E657" s="97"/>
      <c r="F657" s="77"/>
      <c r="G657" s="75"/>
      <c r="H657" s="97"/>
      <c r="I657" s="77"/>
      <c r="J657" s="77"/>
      <c r="K657" s="77"/>
      <c r="L657" s="77"/>
      <c r="M657" s="98"/>
      <c r="N657" s="77"/>
      <c r="O657" s="77"/>
      <c r="P657" s="77"/>
    </row>
    <row r="658" spans="1:16" ht="15.75" customHeight="1">
      <c r="A658" s="96"/>
      <c r="B658" s="75"/>
      <c r="C658" s="77"/>
      <c r="D658" s="75"/>
      <c r="E658" s="97"/>
      <c r="F658" s="77"/>
      <c r="G658" s="75"/>
      <c r="H658" s="97"/>
      <c r="I658" s="77"/>
      <c r="J658" s="77"/>
      <c r="K658" s="77"/>
      <c r="L658" s="77"/>
      <c r="M658" s="98"/>
      <c r="N658" s="77"/>
      <c r="O658" s="77"/>
      <c r="P658" s="77"/>
    </row>
    <row r="659" spans="1:16" ht="15.75" customHeight="1">
      <c r="A659" s="96"/>
      <c r="B659" s="75"/>
      <c r="C659" s="77"/>
      <c r="D659" s="75"/>
      <c r="E659" s="97"/>
      <c r="F659" s="77"/>
      <c r="G659" s="75"/>
      <c r="H659" s="97"/>
      <c r="I659" s="77"/>
      <c r="J659" s="77"/>
      <c r="K659" s="77"/>
      <c r="L659" s="77"/>
      <c r="M659" s="98"/>
      <c r="N659" s="77"/>
      <c r="O659" s="77"/>
      <c r="P659" s="77"/>
    </row>
    <row r="660" spans="1:16" ht="15.75" customHeight="1">
      <c r="A660" s="96"/>
      <c r="B660" s="75"/>
      <c r="C660" s="77"/>
      <c r="D660" s="75"/>
      <c r="E660" s="97"/>
      <c r="F660" s="77"/>
      <c r="G660" s="75"/>
      <c r="H660" s="97"/>
      <c r="I660" s="77"/>
      <c r="J660" s="77"/>
      <c r="K660" s="77"/>
      <c r="L660" s="77"/>
      <c r="M660" s="98"/>
      <c r="N660" s="77"/>
      <c r="O660" s="77"/>
      <c r="P660" s="77"/>
    </row>
    <row r="661" spans="1:16" ht="15.75" customHeight="1">
      <c r="A661" s="96"/>
      <c r="B661" s="75"/>
      <c r="C661" s="77"/>
      <c r="D661" s="75"/>
      <c r="E661" s="97"/>
      <c r="F661" s="77"/>
      <c r="G661" s="75"/>
      <c r="H661" s="97"/>
      <c r="I661" s="77"/>
      <c r="J661" s="77"/>
      <c r="K661" s="77"/>
      <c r="L661" s="77"/>
      <c r="M661" s="98"/>
      <c r="N661" s="77"/>
      <c r="O661" s="77"/>
      <c r="P661" s="77"/>
    </row>
    <row r="662" spans="1:16" ht="15.75" customHeight="1">
      <c r="A662" s="96"/>
      <c r="B662" s="75"/>
      <c r="C662" s="77"/>
      <c r="D662" s="75"/>
      <c r="E662" s="97"/>
      <c r="F662" s="77"/>
      <c r="G662" s="75"/>
      <c r="H662" s="97"/>
      <c r="I662" s="77"/>
      <c r="J662" s="77"/>
      <c r="K662" s="77"/>
      <c r="L662" s="77"/>
      <c r="M662" s="98"/>
      <c r="N662" s="77"/>
      <c r="O662" s="77"/>
      <c r="P662" s="77"/>
    </row>
    <row r="663" spans="1:16" ht="15.75" customHeight="1">
      <c r="A663" s="96"/>
      <c r="B663" s="75"/>
      <c r="C663" s="77"/>
      <c r="D663" s="75"/>
      <c r="E663" s="97"/>
      <c r="F663" s="77"/>
      <c r="G663" s="75"/>
      <c r="H663" s="97"/>
      <c r="I663" s="77"/>
      <c r="J663" s="77"/>
      <c r="K663" s="77"/>
      <c r="L663" s="77"/>
      <c r="M663" s="98"/>
      <c r="N663" s="77"/>
      <c r="O663" s="77"/>
      <c r="P663" s="77"/>
    </row>
    <row r="664" spans="1:16" ht="15.75" customHeight="1">
      <c r="A664" s="96"/>
      <c r="B664" s="75"/>
      <c r="C664" s="77"/>
      <c r="D664" s="75"/>
      <c r="E664" s="97"/>
      <c r="F664" s="77"/>
      <c r="G664" s="75"/>
      <c r="H664" s="97"/>
      <c r="I664" s="77"/>
      <c r="J664" s="77"/>
      <c r="K664" s="77"/>
      <c r="L664" s="77"/>
      <c r="M664" s="98"/>
      <c r="N664" s="77"/>
      <c r="O664" s="77"/>
      <c r="P664" s="77"/>
    </row>
    <row r="665" spans="1:16" ht="15.75" customHeight="1">
      <c r="A665" s="96"/>
      <c r="B665" s="75"/>
      <c r="C665" s="77"/>
      <c r="D665" s="75"/>
      <c r="E665" s="97"/>
      <c r="F665" s="77"/>
      <c r="G665" s="75"/>
      <c r="H665" s="97"/>
      <c r="I665" s="77"/>
      <c r="J665" s="77"/>
      <c r="K665" s="77"/>
      <c r="L665" s="77"/>
      <c r="M665" s="98"/>
      <c r="N665" s="77"/>
      <c r="O665" s="77"/>
      <c r="P665" s="77"/>
    </row>
    <row r="666" spans="1:16" ht="15.75" customHeight="1">
      <c r="A666" s="96"/>
      <c r="B666" s="75"/>
      <c r="C666" s="77"/>
      <c r="D666" s="75"/>
      <c r="E666" s="97"/>
      <c r="F666" s="77"/>
      <c r="G666" s="75"/>
      <c r="H666" s="97"/>
      <c r="I666" s="77"/>
      <c r="J666" s="77"/>
      <c r="K666" s="77"/>
      <c r="L666" s="77"/>
      <c r="M666" s="98"/>
      <c r="N666" s="77"/>
      <c r="O666" s="77"/>
      <c r="P666" s="77"/>
    </row>
    <row r="667" spans="1:16" ht="15.75" customHeight="1">
      <c r="A667" s="96"/>
      <c r="B667" s="75"/>
      <c r="C667" s="77"/>
      <c r="D667" s="75"/>
      <c r="E667" s="97"/>
      <c r="F667" s="77"/>
      <c r="G667" s="75"/>
      <c r="H667" s="97"/>
      <c r="I667" s="77"/>
      <c r="J667" s="77"/>
      <c r="K667" s="77"/>
      <c r="L667" s="77"/>
      <c r="M667" s="98"/>
      <c r="N667" s="77"/>
      <c r="O667" s="77"/>
      <c r="P667" s="77"/>
    </row>
    <row r="668" spans="1:16" ht="15.75" customHeight="1">
      <c r="A668" s="96"/>
      <c r="B668" s="75"/>
      <c r="C668" s="77"/>
      <c r="D668" s="75"/>
      <c r="E668" s="97"/>
      <c r="F668" s="77"/>
      <c r="G668" s="75"/>
      <c r="H668" s="97"/>
      <c r="I668" s="77"/>
      <c r="J668" s="77"/>
      <c r="K668" s="77"/>
      <c r="L668" s="77"/>
      <c r="M668" s="98"/>
      <c r="N668" s="77"/>
      <c r="O668" s="77"/>
      <c r="P668" s="77"/>
    </row>
    <row r="669" spans="1:16" ht="15.75" customHeight="1">
      <c r="A669" s="96"/>
      <c r="B669" s="75"/>
      <c r="C669" s="77"/>
      <c r="D669" s="75"/>
      <c r="E669" s="97"/>
      <c r="F669" s="77"/>
      <c r="G669" s="75"/>
      <c r="H669" s="97"/>
      <c r="I669" s="77"/>
      <c r="J669" s="77"/>
      <c r="K669" s="77"/>
      <c r="L669" s="77"/>
      <c r="M669" s="98"/>
      <c r="N669" s="77"/>
      <c r="O669" s="77"/>
      <c r="P669" s="77"/>
    </row>
    <row r="670" spans="1:16" ht="15.75" customHeight="1">
      <c r="A670" s="96"/>
      <c r="B670" s="75"/>
      <c r="C670" s="77"/>
      <c r="D670" s="75"/>
      <c r="E670" s="97"/>
      <c r="F670" s="77"/>
      <c r="G670" s="75"/>
      <c r="H670" s="97"/>
      <c r="I670" s="77"/>
      <c r="J670" s="77"/>
      <c r="K670" s="77"/>
      <c r="L670" s="77"/>
      <c r="M670" s="98"/>
      <c r="N670" s="77"/>
      <c r="O670" s="77"/>
      <c r="P670" s="77"/>
    </row>
    <row r="671" spans="1:16" ht="15.75" customHeight="1">
      <c r="A671" s="96"/>
      <c r="B671" s="75"/>
      <c r="C671" s="77"/>
      <c r="D671" s="75"/>
      <c r="E671" s="97"/>
      <c r="F671" s="77"/>
      <c r="G671" s="75"/>
      <c r="H671" s="97"/>
      <c r="I671" s="77"/>
      <c r="J671" s="77"/>
      <c r="K671" s="77"/>
      <c r="L671" s="77"/>
      <c r="M671" s="98"/>
      <c r="N671" s="77"/>
      <c r="O671" s="77"/>
      <c r="P671" s="77"/>
    </row>
    <row r="672" spans="1:16" ht="15.75" customHeight="1">
      <c r="A672" s="96"/>
      <c r="B672" s="75"/>
      <c r="C672" s="77"/>
      <c r="D672" s="75"/>
      <c r="E672" s="97"/>
      <c r="F672" s="77"/>
      <c r="G672" s="75"/>
      <c r="H672" s="97"/>
      <c r="I672" s="77"/>
      <c r="J672" s="77"/>
      <c r="K672" s="77"/>
      <c r="L672" s="77"/>
      <c r="M672" s="98"/>
      <c r="N672" s="77"/>
      <c r="O672" s="77"/>
      <c r="P672" s="77"/>
    </row>
    <row r="673" spans="1:16" ht="15.75" customHeight="1">
      <c r="A673" s="96"/>
      <c r="B673" s="75"/>
      <c r="C673" s="77"/>
      <c r="D673" s="75"/>
      <c r="E673" s="97"/>
      <c r="F673" s="77"/>
      <c r="G673" s="75"/>
      <c r="H673" s="97"/>
      <c r="I673" s="77"/>
      <c r="J673" s="77"/>
      <c r="K673" s="77"/>
      <c r="L673" s="77"/>
      <c r="M673" s="98"/>
      <c r="N673" s="77"/>
      <c r="O673" s="77"/>
      <c r="P673" s="77"/>
    </row>
    <row r="674" spans="1:16" ht="15.75" customHeight="1">
      <c r="A674" s="96"/>
      <c r="B674" s="75"/>
      <c r="C674" s="77"/>
      <c r="D674" s="75"/>
      <c r="E674" s="97"/>
      <c r="F674" s="77"/>
      <c r="G674" s="75"/>
      <c r="H674" s="97"/>
      <c r="I674" s="77"/>
      <c r="J674" s="77"/>
      <c r="K674" s="77"/>
      <c r="L674" s="77"/>
      <c r="M674" s="98"/>
      <c r="N674" s="77"/>
      <c r="O674" s="77"/>
      <c r="P674" s="77"/>
    </row>
    <row r="675" spans="1:16" ht="15.75" customHeight="1">
      <c r="A675" s="96"/>
      <c r="B675" s="75"/>
      <c r="C675" s="77"/>
      <c r="D675" s="75"/>
      <c r="E675" s="97"/>
      <c r="F675" s="77"/>
      <c r="G675" s="75"/>
      <c r="H675" s="97"/>
      <c r="I675" s="77"/>
      <c r="J675" s="77"/>
      <c r="K675" s="77"/>
      <c r="L675" s="77"/>
      <c r="M675" s="98"/>
      <c r="N675" s="77"/>
      <c r="O675" s="77"/>
      <c r="P675" s="77"/>
    </row>
    <row r="676" spans="1:16" ht="15.75" customHeight="1">
      <c r="A676" s="96"/>
      <c r="B676" s="75"/>
      <c r="C676" s="77"/>
      <c r="D676" s="75"/>
      <c r="E676" s="97"/>
      <c r="F676" s="77"/>
      <c r="G676" s="75"/>
      <c r="H676" s="97"/>
      <c r="I676" s="77"/>
      <c r="J676" s="77"/>
      <c r="K676" s="77"/>
      <c r="L676" s="77"/>
      <c r="M676" s="98"/>
      <c r="N676" s="77"/>
      <c r="O676" s="77"/>
      <c r="P676" s="77"/>
    </row>
    <row r="677" spans="1:16" ht="15.75" customHeight="1">
      <c r="A677" s="96"/>
      <c r="B677" s="75"/>
      <c r="C677" s="77"/>
      <c r="D677" s="75"/>
      <c r="E677" s="97"/>
      <c r="F677" s="77"/>
      <c r="G677" s="75"/>
      <c r="H677" s="97"/>
      <c r="I677" s="77"/>
      <c r="J677" s="77"/>
      <c r="K677" s="77"/>
      <c r="L677" s="77"/>
      <c r="M677" s="98"/>
      <c r="N677" s="77"/>
      <c r="O677" s="77"/>
      <c r="P677" s="77"/>
    </row>
    <row r="678" spans="1:16" ht="15.75" customHeight="1">
      <c r="A678" s="96"/>
      <c r="B678" s="75"/>
      <c r="C678" s="77"/>
      <c r="D678" s="75"/>
      <c r="E678" s="97"/>
      <c r="F678" s="77"/>
      <c r="G678" s="75"/>
      <c r="H678" s="97"/>
      <c r="I678" s="77"/>
      <c r="J678" s="77"/>
      <c r="K678" s="77"/>
      <c r="L678" s="77"/>
      <c r="M678" s="98"/>
      <c r="N678" s="77"/>
      <c r="O678" s="77"/>
      <c r="P678" s="77"/>
    </row>
    <row r="679" spans="1:16" ht="15.75" customHeight="1">
      <c r="A679" s="96"/>
      <c r="B679" s="75"/>
      <c r="C679" s="77"/>
      <c r="D679" s="75"/>
      <c r="E679" s="97"/>
      <c r="F679" s="77"/>
      <c r="G679" s="75"/>
      <c r="H679" s="97"/>
      <c r="I679" s="77"/>
      <c r="J679" s="77"/>
      <c r="K679" s="77"/>
      <c r="L679" s="77"/>
      <c r="M679" s="98"/>
      <c r="N679" s="77"/>
      <c r="O679" s="77"/>
      <c r="P679" s="77"/>
    </row>
    <row r="680" spans="1:16" ht="15.75" customHeight="1">
      <c r="A680" s="96"/>
      <c r="B680" s="75"/>
      <c r="C680" s="77"/>
      <c r="D680" s="75"/>
      <c r="E680" s="97"/>
      <c r="F680" s="77"/>
      <c r="G680" s="75"/>
      <c r="H680" s="97"/>
      <c r="I680" s="77"/>
      <c r="J680" s="77"/>
      <c r="K680" s="77"/>
      <c r="L680" s="77"/>
      <c r="M680" s="98"/>
      <c r="N680" s="77"/>
      <c r="O680" s="77"/>
      <c r="P680" s="77"/>
    </row>
    <row r="681" spans="1:16" ht="15.75" customHeight="1">
      <c r="A681" s="96"/>
      <c r="B681" s="75"/>
      <c r="C681" s="77"/>
      <c r="D681" s="75"/>
      <c r="E681" s="97"/>
      <c r="F681" s="77"/>
      <c r="G681" s="75"/>
      <c r="H681" s="97"/>
      <c r="I681" s="77"/>
      <c r="J681" s="77"/>
      <c r="K681" s="77"/>
      <c r="L681" s="77"/>
      <c r="M681" s="98"/>
      <c r="N681" s="77"/>
      <c r="O681" s="77"/>
      <c r="P681" s="77"/>
    </row>
    <row r="682" spans="1:16" ht="15.75" customHeight="1">
      <c r="A682" s="96"/>
      <c r="B682" s="75"/>
      <c r="C682" s="77"/>
      <c r="D682" s="75"/>
      <c r="E682" s="97"/>
      <c r="F682" s="77"/>
      <c r="G682" s="75"/>
      <c r="H682" s="97"/>
      <c r="I682" s="77"/>
      <c r="J682" s="77"/>
      <c r="K682" s="77"/>
      <c r="L682" s="77"/>
      <c r="M682" s="98"/>
      <c r="N682" s="77"/>
      <c r="O682" s="77"/>
      <c r="P682" s="77"/>
    </row>
    <row r="683" spans="1:16" ht="15.75" customHeight="1">
      <c r="A683" s="96"/>
      <c r="B683" s="75"/>
      <c r="C683" s="77"/>
      <c r="D683" s="75"/>
      <c r="E683" s="97"/>
      <c r="F683" s="77"/>
      <c r="G683" s="75"/>
      <c r="H683" s="97"/>
      <c r="I683" s="77"/>
      <c r="J683" s="77"/>
      <c r="K683" s="77"/>
      <c r="L683" s="77"/>
      <c r="M683" s="98"/>
      <c r="N683" s="77"/>
      <c r="O683" s="77"/>
      <c r="P683" s="77"/>
    </row>
    <row r="684" spans="1:16" ht="15.75" customHeight="1">
      <c r="A684" s="96"/>
      <c r="B684" s="75"/>
      <c r="C684" s="77"/>
      <c r="D684" s="75"/>
      <c r="E684" s="97"/>
      <c r="F684" s="77"/>
      <c r="G684" s="75"/>
      <c r="H684" s="97"/>
      <c r="I684" s="77"/>
      <c r="J684" s="77"/>
      <c r="K684" s="77"/>
      <c r="L684" s="77"/>
      <c r="M684" s="98"/>
      <c r="N684" s="77"/>
      <c r="O684" s="77"/>
      <c r="P684" s="77"/>
    </row>
    <row r="685" spans="1:16" ht="15.75" customHeight="1">
      <c r="A685" s="96"/>
      <c r="B685" s="75"/>
      <c r="C685" s="77"/>
      <c r="D685" s="75"/>
      <c r="E685" s="97"/>
      <c r="F685" s="77"/>
      <c r="G685" s="75"/>
      <c r="H685" s="97"/>
      <c r="I685" s="77"/>
      <c r="J685" s="77"/>
      <c r="K685" s="77"/>
      <c r="L685" s="77"/>
      <c r="M685" s="98"/>
      <c r="N685" s="77"/>
      <c r="O685" s="77"/>
      <c r="P685" s="77"/>
    </row>
    <row r="686" spans="1:16" ht="15.75" customHeight="1">
      <c r="A686" s="96"/>
      <c r="B686" s="75"/>
      <c r="C686" s="77"/>
      <c r="D686" s="75"/>
      <c r="E686" s="97"/>
      <c r="F686" s="77"/>
      <c r="G686" s="75"/>
      <c r="H686" s="97"/>
      <c r="I686" s="77"/>
      <c r="J686" s="77"/>
      <c r="K686" s="77"/>
      <c r="L686" s="77"/>
      <c r="M686" s="98"/>
      <c r="N686" s="77"/>
      <c r="O686" s="77"/>
      <c r="P686" s="77"/>
    </row>
    <row r="687" spans="1:16" ht="15.75" customHeight="1">
      <c r="A687" s="96"/>
      <c r="B687" s="75"/>
      <c r="C687" s="77"/>
      <c r="D687" s="75"/>
      <c r="E687" s="97"/>
      <c r="F687" s="77"/>
      <c r="G687" s="75"/>
      <c r="H687" s="97"/>
      <c r="I687" s="77"/>
      <c r="J687" s="77"/>
      <c r="K687" s="77"/>
      <c r="L687" s="77"/>
      <c r="M687" s="98"/>
      <c r="N687" s="77"/>
      <c r="O687" s="77"/>
      <c r="P687" s="77"/>
    </row>
    <row r="688" spans="1:16" ht="15.75" customHeight="1">
      <c r="A688" s="96"/>
      <c r="B688" s="75"/>
      <c r="C688" s="77"/>
      <c r="D688" s="75"/>
      <c r="E688" s="97"/>
      <c r="F688" s="77"/>
      <c r="G688" s="75"/>
      <c r="H688" s="97"/>
      <c r="I688" s="77"/>
      <c r="J688" s="77"/>
      <c r="K688" s="77"/>
      <c r="L688" s="77"/>
      <c r="M688" s="98"/>
      <c r="N688" s="77"/>
      <c r="O688" s="77"/>
      <c r="P688" s="77"/>
    </row>
    <row r="689" spans="1:16" ht="15.75" customHeight="1">
      <c r="A689" s="96"/>
      <c r="B689" s="75"/>
      <c r="C689" s="77"/>
      <c r="D689" s="75"/>
      <c r="E689" s="97"/>
      <c r="F689" s="77"/>
      <c r="G689" s="75"/>
      <c r="H689" s="97"/>
      <c r="I689" s="77"/>
      <c r="J689" s="77"/>
      <c r="K689" s="77"/>
      <c r="L689" s="77"/>
      <c r="M689" s="98"/>
      <c r="N689" s="77"/>
      <c r="O689" s="77"/>
      <c r="P689" s="77"/>
    </row>
    <row r="690" spans="1:16" ht="15.75" customHeight="1">
      <c r="A690" s="96"/>
      <c r="B690" s="75"/>
      <c r="C690" s="77"/>
      <c r="D690" s="75"/>
      <c r="E690" s="97"/>
      <c r="F690" s="77"/>
      <c r="G690" s="75"/>
      <c r="H690" s="97"/>
      <c r="I690" s="77"/>
      <c r="J690" s="77"/>
      <c r="K690" s="77"/>
      <c r="L690" s="77"/>
      <c r="M690" s="98"/>
      <c r="N690" s="77"/>
      <c r="O690" s="77"/>
      <c r="P690" s="77"/>
    </row>
    <row r="691" spans="1:16" ht="15.75" customHeight="1">
      <c r="A691" s="96"/>
      <c r="B691" s="75"/>
      <c r="C691" s="77"/>
      <c r="D691" s="75"/>
      <c r="E691" s="97"/>
      <c r="F691" s="77"/>
      <c r="G691" s="75"/>
      <c r="H691" s="97"/>
      <c r="I691" s="77"/>
      <c r="J691" s="77"/>
      <c r="K691" s="77"/>
      <c r="L691" s="77"/>
      <c r="M691" s="98"/>
      <c r="N691" s="77"/>
      <c r="O691" s="77"/>
      <c r="P691" s="77"/>
    </row>
    <row r="692" spans="1:16" ht="15.75" customHeight="1">
      <c r="A692" s="96"/>
      <c r="B692" s="75"/>
      <c r="C692" s="77"/>
      <c r="D692" s="75"/>
      <c r="E692" s="97"/>
      <c r="F692" s="77"/>
      <c r="G692" s="75"/>
      <c r="H692" s="97"/>
      <c r="I692" s="77"/>
      <c r="J692" s="77"/>
      <c r="K692" s="77"/>
      <c r="L692" s="77"/>
      <c r="M692" s="98"/>
      <c r="N692" s="77"/>
      <c r="O692" s="77"/>
      <c r="P692" s="77"/>
    </row>
    <row r="693" spans="1:16" ht="15.75" customHeight="1">
      <c r="A693" s="96"/>
      <c r="B693" s="75"/>
      <c r="C693" s="77"/>
      <c r="D693" s="75"/>
      <c r="E693" s="97"/>
      <c r="F693" s="77"/>
      <c r="G693" s="75"/>
      <c r="H693" s="97"/>
      <c r="I693" s="77"/>
      <c r="J693" s="77"/>
      <c r="K693" s="77"/>
      <c r="L693" s="77"/>
      <c r="M693" s="98"/>
      <c r="N693" s="77"/>
      <c r="O693" s="77"/>
      <c r="P693" s="77"/>
    </row>
    <row r="694" spans="1:16" ht="15.75" customHeight="1">
      <c r="A694" s="96"/>
      <c r="B694" s="75"/>
      <c r="C694" s="77"/>
      <c r="D694" s="75"/>
      <c r="E694" s="97"/>
      <c r="F694" s="77"/>
      <c r="G694" s="75"/>
      <c r="H694" s="97"/>
      <c r="I694" s="77"/>
      <c r="J694" s="77"/>
      <c r="K694" s="77"/>
      <c r="L694" s="77"/>
      <c r="M694" s="98"/>
      <c r="N694" s="77"/>
      <c r="O694" s="77"/>
      <c r="P694" s="77"/>
    </row>
    <row r="695" spans="1:16" ht="15.75" customHeight="1">
      <c r="A695" s="96"/>
      <c r="B695" s="75"/>
      <c r="C695" s="77"/>
      <c r="D695" s="75"/>
      <c r="E695" s="97"/>
      <c r="F695" s="77"/>
      <c r="G695" s="75"/>
      <c r="H695" s="97"/>
      <c r="I695" s="77"/>
      <c r="J695" s="77"/>
      <c r="K695" s="77"/>
      <c r="L695" s="77"/>
      <c r="M695" s="98"/>
      <c r="N695" s="77"/>
      <c r="O695" s="77"/>
      <c r="P695" s="77"/>
    </row>
    <row r="696" spans="1:16" ht="15.75" customHeight="1">
      <c r="A696" s="96"/>
      <c r="B696" s="75"/>
      <c r="C696" s="77"/>
      <c r="D696" s="75"/>
      <c r="E696" s="97"/>
      <c r="F696" s="77"/>
      <c r="G696" s="75"/>
      <c r="H696" s="97"/>
      <c r="I696" s="77"/>
      <c r="J696" s="77"/>
      <c r="K696" s="77"/>
      <c r="L696" s="77"/>
      <c r="M696" s="98"/>
      <c r="N696" s="77"/>
      <c r="O696" s="77"/>
      <c r="P696" s="77"/>
    </row>
    <row r="697" spans="1:16" ht="15.75" customHeight="1">
      <c r="A697" s="96"/>
      <c r="B697" s="75"/>
      <c r="C697" s="77"/>
      <c r="D697" s="75"/>
      <c r="E697" s="97"/>
      <c r="F697" s="77"/>
      <c r="G697" s="75"/>
      <c r="H697" s="97"/>
      <c r="I697" s="77"/>
      <c r="J697" s="77"/>
      <c r="K697" s="77"/>
      <c r="L697" s="77"/>
      <c r="M697" s="98"/>
      <c r="N697" s="77"/>
      <c r="O697" s="77"/>
      <c r="P697" s="77"/>
    </row>
    <row r="698" spans="1:16" ht="15.75" customHeight="1">
      <c r="A698" s="96"/>
      <c r="B698" s="75"/>
      <c r="C698" s="77"/>
      <c r="D698" s="75"/>
      <c r="E698" s="97"/>
      <c r="F698" s="77"/>
      <c r="G698" s="75"/>
      <c r="H698" s="97"/>
      <c r="I698" s="77"/>
      <c r="J698" s="77"/>
      <c r="K698" s="77"/>
      <c r="L698" s="77"/>
      <c r="M698" s="98"/>
      <c r="N698" s="77"/>
      <c r="O698" s="77"/>
      <c r="P698" s="77"/>
    </row>
    <row r="699" spans="1:16" ht="15.75" customHeight="1">
      <c r="A699" s="96"/>
      <c r="B699" s="75"/>
      <c r="C699" s="77"/>
      <c r="D699" s="75"/>
      <c r="E699" s="97"/>
      <c r="F699" s="77"/>
      <c r="G699" s="75"/>
      <c r="H699" s="97"/>
      <c r="I699" s="77"/>
      <c r="J699" s="77"/>
      <c r="K699" s="77"/>
      <c r="L699" s="77"/>
      <c r="M699" s="98"/>
      <c r="N699" s="77"/>
      <c r="O699" s="77"/>
      <c r="P699" s="77"/>
    </row>
    <row r="700" spans="1:16" ht="15.75" customHeight="1">
      <c r="A700" s="96"/>
      <c r="B700" s="75"/>
      <c r="C700" s="77"/>
      <c r="D700" s="75"/>
      <c r="E700" s="97"/>
      <c r="F700" s="77"/>
      <c r="G700" s="75"/>
      <c r="H700" s="97"/>
      <c r="I700" s="77"/>
      <c r="J700" s="77"/>
      <c r="K700" s="77"/>
      <c r="L700" s="77"/>
      <c r="M700" s="98"/>
      <c r="N700" s="77"/>
      <c r="O700" s="77"/>
      <c r="P700" s="77"/>
    </row>
    <row r="701" spans="1:16" ht="15.75" customHeight="1">
      <c r="A701" s="96"/>
      <c r="B701" s="75"/>
      <c r="C701" s="77"/>
      <c r="D701" s="75"/>
      <c r="E701" s="97"/>
      <c r="F701" s="77"/>
      <c r="G701" s="75"/>
      <c r="H701" s="97"/>
      <c r="I701" s="77"/>
      <c r="J701" s="77"/>
      <c r="K701" s="77"/>
      <c r="L701" s="77"/>
      <c r="M701" s="98"/>
      <c r="N701" s="77"/>
      <c r="O701" s="77"/>
      <c r="P701" s="77"/>
    </row>
    <row r="702" spans="1:16" ht="15.75" customHeight="1">
      <c r="A702" s="96"/>
      <c r="B702" s="75"/>
      <c r="C702" s="77"/>
      <c r="D702" s="75"/>
      <c r="E702" s="97"/>
      <c r="F702" s="77"/>
      <c r="G702" s="75"/>
      <c r="H702" s="97"/>
      <c r="I702" s="77"/>
      <c r="J702" s="77"/>
      <c r="K702" s="77"/>
      <c r="L702" s="77"/>
      <c r="M702" s="98"/>
      <c r="N702" s="77"/>
      <c r="O702" s="77"/>
      <c r="P702" s="77"/>
    </row>
    <row r="703" spans="1:16" ht="15.75" customHeight="1">
      <c r="A703" s="96"/>
      <c r="B703" s="75"/>
      <c r="C703" s="77"/>
      <c r="D703" s="75"/>
      <c r="E703" s="97"/>
      <c r="F703" s="77"/>
      <c r="G703" s="75"/>
      <c r="H703" s="97"/>
      <c r="I703" s="77"/>
      <c r="J703" s="77"/>
      <c r="K703" s="77"/>
      <c r="L703" s="77"/>
      <c r="M703" s="98"/>
      <c r="N703" s="77"/>
      <c r="O703" s="77"/>
      <c r="P703" s="77"/>
    </row>
    <row r="704" spans="1:16" ht="15.75" customHeight="1">
      <c r="A704" s="96"/>
      <c r="B704" s="75"/>
      <c r="C704" s="77"/>
      <c r="D704" s="75"/>
      <c r="E704" s="97"/>
      <c r="F704" s="77"/>
      <c r="G704" s="75"/>
      <c r="H704" s="97"/>
      <c r="I704" s="77"/>
      <c r="J704" s="77"/>
      <c r="K704" s="77"/>
      <c r="L704" s="77"/>
      <c r="M704" s="98"/>
      <c r="N704" s="77"/>
      <c r="O704" s="77"/>
      <c r="P704" s="77"/>
    </row>
    <row r="705" spans="1:16" ht="15.75" customHeight="1">
      <c r="A705" s="96"/>
      <c r="B705" s="75"/>
      <c r="C705" s="77"/>
      <c r="D705" s="75"/>
      <c r="E705" s="97"/>
      <c r="F705" s="77"/>
      <c r="G705" s="75"/>
      <c r="H705" s="97"/>
      <c r="I705" s="77"/>
      <c r="J705" s="77"/>
      <c r="K705" s="77"/>
      <c r="L705" s="77"/>
      <c r="M705" s="98"/>
      <c r="N705" s="77"/>
      <c r="O705" s="77"/>
      <c r="P705" s="77"/>
    </row>
    <row r="706" spans="1:16" ht="15.75" customHeight="1">
      <c r="A706" s="96"/>
      <c r="B706" s="75"/>
      <c r="C706" s="77"/>
      <c r="D706" s="75"/>
      <c r="E706" s="97"/>
      <c r="F706" s="77"/>
      <c r="G706" s="75"/>
      <c r="H706" s="97"/>
      <c r="I706" s="77"/>
      <c r="J706" s="77"/>
      <c r="K706" s="77"/>
      <c r="L706" s="77"/>
      <c r="M706" s="98"/>
      <c r="N706" s="77"/>
      <c r="O706" s="77"/>
      <c r="P706" s="77"/>
    </row>
    <row r="707" spans="1:16" ht="15.75" customHeight="1">
      <c r="A707" s="96"/>
      <c r="B707" s="75"/>
      <c r="C707" s="77"/>
      <c r="D707" s="75"/>
      <c r="E707" s="97"/>
      <c r="F707" s="77"/>
      <c r="G707" s="75"/>
      <c r="H707" s="97"/>
      <c r="I707" s="77"/>
      <c r="J707" s="77"/>
      <c r="K707" s="77"/>
      <c r="L707" s="77"/>
      <c r="M707" s="98"/>
      <c r="N707" s="77"/>
      <c r="O707" s="77"/>
      <c r="P707" s="77"/>
    </row>
    <row r="708" spans="1:16" ht="15.75" customHeight="1">
      <c r="A708" s="96"/>
      <c r="B708" s="75"/>
      <c r="C708" s="77"/>
      <c r="D708" s="75"/>
      <c r="E708" s="97"/>
      <c r="F708" s="77"/>
      <c r="G708" s="75"/>
      <c r="H708" s="97"/>
      <c r="I708" s="77"/>
      <c r="J708" s="77"/>
      <c r="K708" s="77"/>
      <c r="L708" s="77"/>
      <c r="M708" s="98"/>
      <c r="N708" s="77"/>
      <c r="O708" s="77"/>
      <c r="P708" s="77"/>
    </row>
    <row r="709" spans="1:16" ht="15.75" customHeight="1">
      <c r="A709" s="96"/>
      <c r="B709" s="75"/>
      <c r="C709" s="77"/>
      <c r="D709" s="75"/>
      <c r="E709" s="97"/>
      <c r="F709" s="77"/>
      <c r="G709" s="75"/>
      <c r="H709" s="97"/>
      <c r="I709" s="77"/>
      <c r="J709" s="77"/>
      <c r="K709" s="77"/>
      <c r="L709" s="77"/>
      <c r="M709" s="98"/>
      <c r="N709" s="77"/>
      <c r="O709" s="77"/>
      <c r="P709" s="77"/>
    </row>
    <row r="710" spans="1:16" ht="15.75" customHeight="1">
      <c r="A710" s="96"/>
      <c r="B710" s="75"/>
      <c r="C710" s="77"/>
      <c r="D710" s="75"/>
      <c r="E710" s="97"/>
      <c r="F710" s="77"/>
      <c r="G710" s="75"/>
      <c r="H710" s="97"/>
      <c r="I710" s="77"/>
      <c r="J710" s="77"/>
      <c r="K710" s="77"/>
      <c r="L710" s="77"/>
      <c r="M710" s="98"/>
      <c r="N710" s="77"/>
      <c r="O710" s="77"/>
      <c r="P710" s="77"/>
    </row>
    <row r="711" spans="1:16" ht="15.75" customHeight="1">
      <c r="A711" s="96"/>
      <c r="B711" s="75"/>
      <c r="C711" s="77"/>
      <c r="D711" s="75"/>
      <c r="E711" s="97"/>
      <c r="F711" s="77"/>
      <c r="G711" s="75"/>
      <c r="H711" s="97"/>
      <c r="I711" s="77"/>
      <c r="J711" s="77"/>
      <c r="K711" s="77"/>
      <c r="L711" s="77"/>
      <c r="M711" s="98"/>
      <c r="N711" s="77"/>
      <c r="O711" s="77"/>
      <c r="P711" s="77"/>
    </row>
    <row r="712" spans="1:16" ht="15.75" customHeight="1">
      <c r="A712" s="96"/>
      <c r="B712" s="75"/>
      <c r="C712" s="77"/>
      <c r="D712" s="75"/>
      <c r="E712" s="97"/>
      <c r="F712" s="77"/>
      <c r="G712" s="75"/>
      <c r="H712" s="97"/>
      <c r="I712" s="77"/>
      <c r="J712" s="77"/>
      <c r="K712" s="77"/>
      <c r="L712" s="77"/>
      <c r="M712" s="98"/>
      <c r="N712" s="77"/>
      <c r="O712" s="77"/>
      <c r="P712" s="77"/>
    </row>
    <row r="713" spans="1:16" ht="15.75" customHeight="1">
      <c r="A713" s="96"/>
      <c r="B713" s="75"/>
      <c r="C713" s="77"/>
      <c r="D713" s="75"/>
      <c r="E713" s="97"/>
      <c r="F713" s="77"/>
      <c r="G713" s="75"/>
      <c r="H713" s="97"/>
      <c r="I713" s="77"/>
      <c r="J713" s="77"/>
      <c r="K713" s="77"/>
      <c r="L713" s="77"/>
      <c r="M713" s="98"/>
      <c r="N713" s="77"/>
      <c r="O713" s="77"/>
      <c r="P713" s="77"/>
    </row>
    <row r="714" spans="1:16" ht="15.75" customHeight="1">
      <c r="A714" s="96"/>
      <c r="B714" s="75"/>
      <c r="C714" s="77"/>
      <c r="D714" s="75"/>
      <c r="E714" s="97"/>
      <c r="F714" s="77"/>
      <c r="G714" s="75"/>
      <c r="H714" s="97"/>
      <c r="I714" s="77"/>
      <c r="J714" s="77"/>
      <c r="K714" s="77"/>
      <c r="L714" s="77"/>
      <c r="M714" s="98"/>
      <c r="N714" s="77"/>
      <c r="O714" s="77"/>
      <c r="P714" s="77"/>
    </row>
    <row r="715" spans="1:16" ht="15.75" customHeight="1">
      <c r="A715" s="96"/>
      <c r="B715" s="75"/>
      <c r="C715" s="77"/>
      <c r="D715" s="75"/>
      <c r="E715" s="97"/>
      <c r="F715" s="77"/>
      <c r="G715" s="75"/>
      <c r="H715" s="97"/>
      <c r="I715" s="77"/>
      <c r="J715" s="77"/>
      <c r="K715" s="77"/>
      <c r="L715" s="77"/>
      <c r="M715" s="98"/>
      <c r="N715" s="77"/>
      <c r="O715" s="77"/>
      <c r="P715" s="77"/>
    </row>
    <row r="716" spans="1:16" ht="15.75" customHeight="1">
      <c r="A716" s="96"/>
      <c r="B716" s="75"/>
      <c r="C716" s="77"/>
      <c r="D716" s="75"/>
      <c r="E716" s="97"/>
      <c r="F716" s="77"/>
      <c r="G716" s="75"/>
      <c r="H716" s="97"/>
      <c r="I716" s="77"/>
      <c r="J716" s="77"/>
      <c r="K716" s="77"/>
      <c r="L716" s="77"/>
      <c r="M716" s="98"/>
      <c r="N716" s="77"/>
      <c r="O716" s="77"/>
      <c r="P716" s="77"/>
    </row>
    <row r="717" spans="1:16" ht="15.75" customHeight="1">
      <c r="A717" s="96"/>
      <c r="B717" s="75"/>
      <c r="C717" s="77"/>
      <c r="D717" s="75"/>
      <c r="E717" s="97"/>
      <c r="F717" s="77"/>
      <c r="G717" s="75"/>
      <c r="H717" s="97"/>
      <c r="I717" s="77"/>
      <c r="J717" s="77"/>
      <c r="K717" s="77"/>
      <c r="L717" s="77"/>
      <c r="M717" s="98"/>
      <c r="N717" s="77"/>
      <c r="O717" s="77"/>
      <c r="P717" s="77"/>
    </row>
    <row r="718" spans="1:16" ht="15.75" customHeight="1">
      <c r="A718" s="96"/>
      <c r="B718" s="75"/>
      <c r="C718" s="77"/>
      <c r="D718" s="75"/>
      <c r="E718" s="97"/>
      <c r="F718" s="77"/>
      <c r="G718" s="75"/>
      <c r="H718" s="97"/>
      <c r="I718" s="77"/>
      <c r="J718" s="77"/>
      <c r="K718" s="77"/>
      <c r="L718" s="77"/>
      <c r="M718" s="98"/>
      <c r="N718" s="77"/>
      <c r="O718" s="77"/>
      <c r="P718" s="77"/>
    </row>
    <row r="719" spans="1:16" ht="15.75" customHeight="1">
      <c r="A719" s="96"/>
      <c r="B719" s="75"/>
      <c r="C719" s="77"/>
      <c r="D719" s="75"/>
      <c r="E719" s="97"/>
      <c r="F719" s="77"/>
      <c r="G719" s="75"/>
      <c r="H719" s="97"/>
      <c r="I719" s="77"/>
      <c r="J719" s="77"/>
      <c r="K719" s="77"/>
      <c r="L719" s="77"/>
      <c r="M719" s="98"/>
      <c r="N719" s="77"/>
      <c r="O719" s="77"/>
      <c r="P719" s="77"/>
    </row>
    <row r="720" spans="1:16" ht="15.75" customHeight="1">
      <c r="A720" s="96"/>
      <c r="B720" s="75"/>
      <c r="C720" s="77"/>
      <c r="D720" s="75"/>
      <c r="E720" s="97"/>
      <c r="F720" s="77"/>
      <c r="G720" s="75"/>
      <c r="H720" s="97"/>
      <c r="I720" s="77"/>
      <c r="J720" s="77"/>
      <c r="K720" s="77"/>
      <c r="L720" s="77"/>
      <c r="M720" s="98"/>
      <c r="N720" s="77"/>
      <c r="O720" s="77"/>
      <c r="P720" s="77"/>
    </row>
    <row r="721" spans="1:16" ht="15.75" customHeight="1">
      <c r="A721" s="96"/>
      <c r="B721" s="75"/>
      <c r="C721" s="77"/>
      <c r="D721" s="75"/>
      <c r="E721" s="97"/>
      <c r="F721" s="77"/>
      <c r="G721" s="75"/>
      <c r="H721" s="97"/>
      <c r="I721" s="77"/>
      <c r="J721" s="77"/>
      <c r="K721" s="77"/>
      <c r="L721" s="77"/>
      <c r="M721" s="98"/>
      <c r="N721" s="77"/>
      <c r="O721" s="77"/>
      <c r="P721" s="77"/>
    </row>
    <row r="722" spans="1:16" ht="15.75" customHeight="1">
      <c r="A722" s="96"/>
      <c r="B722" s="75"/>
      <c r="C722" s="77"/>
      <c r="D722" s="75"/>
      <c r="E722" s="97"/>
      <c r="F722" s="77"/>
      <c r="G722" s="75"/>
      <c r="H722" s="97"/>
      <c r="I722" s="77"/>
      <c r="J722" s="77"/>
      <c r="K722" s="77"/>
      <c r="L722" s="77"/>
      <c r="M722" s="98"/>
      <c r="N722" s="77"/>
      <c r="O722" s="77"/>
      <c r="P722" s="77"/>
    </row>
    <row r="723" spans="1:16" ht="15.75" customHeight="1">
      <c r="A723" s="96"/>
      <c r="B723" s="75"/>
      <c r="C723" s="77"/>
      <c r="D723" s="75"/>
      <c r="E723" s="97"/>
      <c r="F723" s="77"/>
      <c r="G723" s="75"/>
      <c r="H723" s="97"/>
      <c r="I723" s="77"/>
      <c r="J723" s="77"/>
      <c r="K723" s="77"/>
      <c r="L723" s="77"/>
      <c r="M723" s="98"/>
      <c r="N723" s="77"/>
      <c r="O723" s="77"/>
      <c r="P723" s="77"/>
    </row>
    <row r="724" spans="1:16" ht="15.75" customHeight="1">
      <c r="A724" s="96"/>
      <c r="B724" s="75"/>
      <c r="C724" s="77"/>
      <c r="D724" s="75"/>
      <c r="E724" s="97"/>
      <c r="F724" s="77"/>
      <c r="G724" s="75"/>
      <c r="H724" s="97"/>
      <c r="I724" s="77"/>
      <c r="J724" s="77"/>
      <c r="K724" s="77"/>
      <c r="L724" s="77"/>
      <c r="M724" s="98"/>
      <c r="N724" s="77"/>
      <c r="O724" s="77"/>
      <c r="P724" s="77"/>
    </row>
    <row r="725" spans="1:16" ht="15.75" customHeight="1">
      <c r="A725" s="96"/>
      <c r="B725" s="75"/>
      <c r="C725" s="77"/>
      <c r="D725" s="75"/>
      <c r="E725" s="97"/>
      <c r="F725" s="77"/>
      <c r="G725" s="75"/>
      <c r="H725" s="97"/>
      <c r="I725" s="77"/>
      <c r="J725" s="77"/>
      <c r="K725" s="77"/>
      <c r="L725" s="77"/>
      <c r="M725" s="98"/>
      <c r="N725" s="77"/>
      <c r="O725" s="77"/>
      <c r="P725" s="77"/>
    </row>
    <row r="726" spans="1:16" ht="15.75" customHeight="1">
      <c r="A726" s="96"/>
      <c r="B726" s="75"/>
      <c r="C726" s="77"/>
      <c r="D726" s="75"/>
      <c r="E726" s="97"/>
      <c r="F726" s="77"/>
      <c r="G726" s="75"/>
      <c r="H726" s="97"/>
      <c r="I726" s="77"/>
      <c r="J726" s="77"/>
      <c r="K726" s="77"/>
      <c r="L726" s="77"/>
      <c r="M726" s="98"/>
      <c r="N726" s="77"/>
      <c r="O726" s="77"/>
      <c r="P726" s="77"/>
    </row>
    <row r="727" spans="1:16" ht="15.75" customHeight="1">
      <c r="A727" s="96"/>
      <c r="B727" s="75"/>
      <c r="C727" s="77"/>
      <c r="D727" s="75"/>
      <c r="E727" s="97"/>
      <c r="F727" s="77"/>
      <c r="G727" s="75"/>
      <c r="H727" s="97"/>
      <c r="I727" s="77"/>
      <c r="J727" s="77"/>
      <c r="K727" s="77"/>
      <c r="L727" s="77"/>
      <c r="M727" s="98"/>
      <c r="N727" s="77"/>
      <c r="O727" s="77"/>
      <c r="P727" s="77"/>
    </row>
    <row r="728" spans="1:16" ht="15.75" customHeight="1">
      <c r="A728" s="96"/>
      <c r="B728" s="75"/>
      <c r="C728" s="77"/>
      <c r="D728" s="75"/>
      <c r="E728" s="97"/>
      <c r="F728" s="77"/>
      <c r="G728" s="75"/>
      <c r="H728" s="97"/>
      <c r="I728" s="77"/>
      <c r="J728" s="77"/>
      <c r="K728" s="77"/>
      <c r="L728" s="77"/>
      <c r="M728" s="98"/>
      <c r="N728" s="77"/>
      <c r="O728" s="77"/>
      <c r="P728" s="77"/>
    </row>
    <row r="729" spans="1:16" ht="15.75" customHeight="1">
      <c r="A729" s="96"/>
      <c r="B729" s="75"/>
      <c r="C729" s="77"/>
      <c r="D729" s="75"/>
      <c r="E729" s="97"/>
      <c r="F729" s="77"/>
      <c r="G729" s="75"/>
      <c r="H729" s="97"/>
      <c r="I729" s="77"/>
      <c r="J729" s="77"/>
      <c r="K729" s="77"/>
      <c r="L729" s="77"/>
      <c r="M729" s="98"/>
      <c r="N729" s="77"/>
      <c r="O729" s="77"/>
      <c r="P729" s="77"/>
    </row>
    <row r="730" spans="1:16" ht="15.75" customHeight="1">
      <c r="A730" s="96"/>
      <c r="B730" s="75"/>
      <c r="C730" s="77"/>
      <c r="D730" s="75"/>
      <c r="E730" s="97"/>
      <c r="F730" s="77"/>
      <c r="G730" s="75"/>
      <c r="H730" s="97"/>
      <c r="I730" s="77"/>
      <c r="J730" s="77"/>
      <c r="K730" s="77"/>
      <c r="L730" s="77"/>
      <c r="M730" s="98"/>
      <c r="N730" s="77"/>
      <c r="O730" s="77"/>
      <c r="P730" s="77"/>
    </row>
    <row r="731" spans="1:16" ht="15.75" customHeight="1">
      <c r="A731" s="96"/>
      <c r="B731" s="75"/>
      <c r="C731" s="77"/>
      <c r="D731" s="75"/>
      <c r="E731" s="97"/>
      <c r="F731" s="77"/>
      <c r="G731" s="75"/>
      <c r="H731" s="97"/>
      <c r="I731" s="77"/>
      <c r="J731" s="77"/>
      <c r="K731" s="77"/>
      <c r="L731" s="77"/>
      <c r="M731" s="98"/>
      <c r="N731" s="77"/>
      <c r="O731" s="77"/>
      <c r="P731" s="77"/>
    </row>
    <row r="732" spans="1:16" ht="15.75" customHeight="1">
      <c r="A732" s="96"/>
      <c r="B732" s="75"/>
      <c r="C732" s="77"/>
      <c r="D732" s="75"/>
      <c r="E732" s="97"/>
      <c r="F732" s="77"/>
      <c r="G732" s="75"/>
      <c r="H732" s="97"/>
      <c r="I732" s="77"/>
      <c r="J732" s="77"/>
      <c r="K732" s="77"/>
      <c r="L732" s="77"/>
      <c r="M732" s="98"/>
      <c r="N732" s="77"/>
      <c r="O732" s="77"/>
      <c r="P732" s="77"/>
    </row>
    <row r="733" spans="1:16" ht="15.75" customHeight="1">
      <c r="A733" s="96"/>
      <c r="B733" s="75"/>
      <c r="C733" s="77"/>
      <c r="D733" s="75"/>
      <c r="E733" s="97"/>
      <c r="F733" s="77"/>
      <c r="G733" s="75"/>
      <c r="H733" s="97"/>
      <c r="I733" s="77"/>
      <c r="J733" s="77"/>
      <c r="K733" s="77"/>
      <c r="L733" s="77"/>
      <c r="M733" s="98"/>
      <c r="N733" s="77"/>
      <c r="O733" s="77"/>
      <c r="P733" s="77"/>
    </row>
    <row r="734" spans="1:16" ht="15.75" customHeight="1">
      <c r="A734" s="96"/>
      <c r="B734" s="75"/>
      <c r="C734" s="77"/>
      <c r="D734" s="75"/>
      <c r="E734" s="97"/>
      <c r="F734" s="77"/>
      <c r="G734" s="75"/>
      <c r="H734" s="97"/>
      <c r="I734" s="77"/>
      <c r="J734" s="77"/>
      <c r="K734" s="77"/>
      <c r="L734" s="77"/>
      <c r="M734" s="98"/>
      <c r="N734" s="77"/>
      <c r="O734" s="77"/>
      <c r="P734" s="77"/>
    </row>
    <row r="735" spans="1:16" ht="15.75" customHeight="1">
      <c r="A735" s="96"/>
      <c r="B735" s="75"/>
      <c r="C735" s="77"/>
      <c r="D735" s="75"/>
      <c r="E735" s="97"/>
      <c r="F735" s="77"/>
      <c r="G735" s="75"/>
      <c r="H735" s="97"/>
      <c r="I735" s="77"/>
      <c r="J735" s="77"/>
      <c r="K735" s="77"/>
      <c r="L735" s="77"/>
      <c r="M735" s="98"/>
      <c r="N735" s="77"/>
      <c r="O735" s="77"/>
      <c r="P735" s="77"/>
    </row>
    <row r="736" spans="1:16" ht="15.75" customHeight="1">
      <c r="A736" s="96"/>
      <c r="B736" s="75"/>
      <c r="C736" s="77"/>
      <c r="D736" s="75"/>
      <c r="E736" s="97"/>
      <c r="F736" s="77"/>
      <c r="G736" s="75"/>
      <c r="H736" s="97"/>
      <c r="I736" s="77"/>
      <c r="J736" s="77"/>
      <c r="K736" s="77"/>
      <c r="L736" s="77"/>
      <c r="M736" s="98"/>
      <c r="N736" s="77"/>
      <c r="O736" s="77"/>
      <c r="P736" s="77"/>
    </row>
    <row r="737" spans="1:16" ht="15.75" customHeight="1">
      <c r="A737" s="96"/>
      <c r="B737" s="75"/>
      <c r="C737" s="77"/>
      <c r="D737" s="75"/>
      <c r="E737" s="97"/>
      <c r="F737" s="77"/>
      <c r="G737" s="75"/>
      <c r="H737" s="97"/>
      <c r="I737" s="77"/>
      <c r="J737" s="77"/>
      <c r="K737" s="77"/>
      <c r="L737" s="77"/>
      <c r="M737" s="98"/>
      <c r="N737" s="77"/>
      <c r="O737" s="77"/>
      <c r="P737" s="77"/>
    </row>
    <row r="738" spans="1:16" ht="15.75" customHeight="1">
      <c r="A738" s="96"/>
      <c r="B738" s="75"/>
      <c r="C738" s="77"/>
      <c r="D738" s="75"/>
      <c r="E738" s="97"/>
      <c r="F738" s="77"/>
      <c r="G738" s="75"/>
      <c r="H738" s="97"/>
      <c r="I738" s="77"/>
      <c r="J738" s="77"/>
      <c r="K738" s="77"/>
      <c r="L738" s="77"/>
      <c r="M738" s="98"/>
      <c r="N738" s="77"/>
      <c r="O738" s="77"/>
      <c r="P738" s="77"/>
    </row>
    <row r="739" spans="1:16" ht="15.75" customHeight="1">
      <c r="A739" s="96"/>
      <c r="B739" s="75"/>
      <c r="C739" s="77"/>
      <c r="D739" s="75"/>
      <c r="E739" s="97"/>
      <c r="F739" s="77"/>
      <c r="G739" s="75"/>
      <c r="H739" s="97"/>
      <c r="I739" s="77"/>
      <c r="J739" s="77"/>
      <c r="K739" s="77"/>
      <c r="L739" s="77"/>
      <c r="M739" s="98"/>
      <c r="N739" s="77"/>
      <c r="O739" s="77"/>
      <c r="P739" s="77"/>
    </row>
    <row r="740" spans="1:16" ht="15.75" customHeight="1">
      <c r="A740" s="96"/>
      <c r="B740" s="75"/>
      <c r="C740" s="77"/>
      <c r="D740" s="75"/>
      <c r="E740" s="97"/>
      <c r="F740" s="77"/>
      <c r="G740" s="75"/>
      <c r="H740" s="97"/>
      <c r="I740" s="77"/>
      <c r="J740" s="77"/>
      <c r="K740" s="77"/>
      <c r="L740" s="77"/>
      <c r="M740" s="98"/>
      <c r="N740" s="77"/>
      <c r="O740" s="77"/>
      <c r="P740" s="77"/>
    </row>
    <row r="741" spans="1:16" ht="15.75" customHeight="1">
      <c r="A741" s="96"/>
      <c r="B741" s="75"/>
      <c r="C741" s="77"/>
      <c r="D741" s="75"/>
      <c r="E741" s="97"/>
      <c r="F741" s="77"/>
      <c r="G741" s="75"/>
      <c r="H741" s="97"/>
      <c r="I741" s="77"/>
      <c r="J741" s="77"/>
      <c r="K741" s="77"/>
      <c r="L741" s="77"/>
      <c r="M741" s="98"/>
      <c r="N741" s="77"/>
      <c r="O741" s="77"/>
      <c r="P741" s="77"/>
    </row>
    <row r="742" spans="1:16" ht="15.75" customHeight="1">
      <c r="A742" s="96"/>
      <c r="B742" s="75"/>
      <c r="C742" s="77"/>
      <c r="D742" s="75"/>
      <c r="E742" s="97"/>
      <c r="F742" s="77"/>
      <c r="G742" s="75"/>
      <c r="H742" s="97"/>
      <c r="I742" s="77"/>
      <c r="J742" s="77"/>
      <c r="K742" s="77"/>
      <c r="L742" s="77"/>
      <c r="M742" s="98"/>
      <c r="N742" s="77"/>
      <c r="O742" s="77"/>
      <c r="P742" s="77"/>
    </row>
    <row r="743" spans="1:16" ht="15.75" customHeight="1">
      <c r="A743" s="96"/>
      <c r="B743" s="75"/>
      <c r="C743" s="77"/>
      <c r="D743" s="75"/>
      <c r="E743" s="97"/>
      <c r="F743" s="77"/>
      <c r="G743" s="75"/>
      <c r="H743" s="97"/>
      <c r="I743" s="77"/>
      <c r="J743" s="77"/>
      <c r="K743" s="77"/>
      <c r="L743" s="77"/>
      <c r="M743" s="98"/>
      <c r="N743" s="77"/>
      <c r="O743" s="77"/>
      <c r="P743" s="77"/>
    </row>
    <row r="744" spans="1:16" ht="15.75" customHeight="1">
      <c r="A744" s="96"/>
      <c r="B744" s="75"/>
      <c r="C744" s="77"/>
      <c r="D744" s="75"/>
      <c r="E744" s="97"/>
      <c r="F744" s="77"/>
      <c r="G744" s="75"/>
      <c r="H744" s="97"/>
      <c r="I744" s="77"/>
      <c r="J744" s="77"/>
      <c r="K744" s="77"/>
      <c r="L744" s="77"/>
      <c r="M744" s="98"/>
      <c r="N744" s="77"/>
      <c r="O744" s="77"/>
      <c r="P744" s="77"/>
    </row>
    <row r="745" spans="1:16" ht="15.75" customHeight="1">
      <c r="A745" s="96"/>
      <c r="B745" s="75"/>
      <c r="C745" s="77"/>
      <c r="D745" s="75"/>
      <c r="E745" s="97"/>
      <c r="F745" s="77"/>
      <c r="G745" s="75"/>
      <c r="H745" s="97"/>
      <c r="I745" s="77"/>
      <c r="J745" s="77"/>
      <c r="K745" s="77"/>
      <c r="L745" s="77"/>
      <c r="M745" s="98"/>
      <c r="N745" s="77"/>
      <c r="O745" s="77"/>
      <c r="P745" s="77"/>
    </row>
    <row r="746" spans="1:16" ht="15.75" customHeight="1">
      <c r="A746" s="96"/>
      <c r="B746" s="75"/>
      <c r="C746" s="77"/>
      <c r="D746" s="75"/>
      <c r="E746" s="97"/>
      <c r="F746" s="77"/>
      <c r="G746" s="75"/>
      <c r="H746" s="97"/>
      <c r="I746" s="77"/>
      <c r="J746" s="77"/>
      <c r="K746" s="77"/>
      <c r="L746" s="77"/>
      <c r="M746" s="98"/>
      <c r="N746" s="77"/>
      <c r="O746" s="77"/>
      <c r="P746" s="77"/>
    </row>
    <row r="747" spans="1:16" ht="15.75" customHeight="1">
      <c r="A747" s="96"/>
      <c r="B747" s="75"/>
      <c r="C747" s="77"/>
      <c r="D747" s="75"/>
      <c r="E747" s="97"/>
      <c r="F747" s="77"/>
      <c r="G747" s="75"/>
      <c r="H747" s="97"/>
      <c r="I747" s="77"/>
      <c r="J747" s="77"/>
      <c r="K747" s="77"/>
      <c r="L747" s="77"/>
      <c r="M747" s="98"/>
      <c r="N747" s="77"/>
      <c r="O747" s="77"/>
      <c r="P747" s="77"/>
    </row>
    <row r="748" spans="1:16" ht="15.75" customHeight="1">
      <c r="A748" s="96"/>
      <c r="B748" s="75"/>
      <c r="C748" s="77"/>
      <c r="D748" s="75"/>
      <c r="E748" s="97"/>
      <c r="F748" s="77"/>
      <c r="G748" s="75"/>
      <c r="H748" s="97"/>
      <c r="I748" s="77"/>
      <c r="J748" s="77"/>
      <c r="K748" s="77"/>
      <c r="L748" s="77"/>
      <c r="M748" s="98"/>
      <c r="N748" s="77"/>
      <c r="O748" s="77"/>
      <c r="P748" s="77"/>
    </row>
    <row r="749" spans="1:16" ht="15.75" customHeight="1">
      <c r="A749" s="96"/>
      <c r="B749" s="75"/>
      <c r="C749" s="77"/>
      <c r="D749" s="75"/>
      <c r="E749" s="97"/>
      <c r="F749" s="77"/>
      <c r="G749" s="75"/>
      <c r="H749" s="97"/>
      <c r="I749" s="77"/>
      <c r="J749" s="77"/>
      <c r="K749" s="77"/>
      <c r="L749" s="77"/>
      <c r="M749" s="98"/>
      <c r="N749" s="77"/>
      <c r="O749" s="77"/>
      <c r="P749" s="77"/>
    </row>
    <row r="750" spans="1:16" ht="15.75" customHeight="1">
      <c r="A750" s="96"/>
      <c r="B750" s="75"/>
      <c r="C750" s="77"/>
      <c r="D750" s="75"/>
      <c r="E750" s="97"/>
      <c r="F750" s="77"/>
      <c r="G750" s="75"/>
      <c r="H750" s="97"/>
      <c r="I750" s="77"/>
      <c r="J750" s="77"/>
      <c r="K750" s="77"/>
      <c r="L750" s="77"/>
      <c r="M750" s="98"/>
      <c r="N750" s="77"/>
      <c r="O750" s="77"/>
      <c r="P750" s="77"/>
    </row>
    <row r="751" spans="1:16" ht="15.75" customHeight="1">
      <c r="A751" s="96"/>
      <c r="B751" s="75"/>
      <c r="C751" s="77"/>
      <c r="D751" s="75"/>
      <c r="E751" s="97"/>
      <c r="F751" s="77"/>
      <c r="G751" s="75"/>
      <c r="H751" s="97"/>
      <c r="I751" s="77"/>
      <c r="J751" s="77"/>
      <c r="K751" s="77"/>
      <c r="L751" s="77"/>
      <c r="M751" s="98"/>
      <c r="N751" s="77"/>
      <c r="O751" s="77"/>
      <c r="P751" s="77"/>
    </row>
    <row r="752" spans="1:16" ht="15.75" customHeight="1">
      <c r="A752" s="96"/>
      <c r="B752" s="75"/>
      <c r="C752" s="77"/>
      <c r="D752" s="75"/>
      <c r="E752" s="97"/>
      <c r="F752" s="77"/>
      <c r="G752" s="75"/>
      <c r="H752" s="97"/>
      <c r="I752" s="77"/>
      <c r="J752" s="77"/>
      <c r="K752" s="77"/>
      <c r="L752" s="77"/>
      <c r="M752" s="98"/>
      <c r="N752" s="77"/>
      <c r="O752" s="77"/>
      <c r="P752" s="77"/>
    </row>
    <row r="753" spans="1:16" ht="15.75" customHeight="1">
      <c r="A753" s="96"/>
      <c r="B753" s="75"/>
      <c r="C753" s="77"/>
      <c r="D753" s="75"/>
      <c r="E753" s="97"/>
      <c r="F753" s="77"/>
      <c r="G753" s="75"/>
      <c r="H753" s="97"/>
      <c r="I753" s="77"/>
      <c r="J753" s="77"/>
      <c r="K753" s="77"/>
      <c r="L753" s="77"/>
      <c r="M753" s="98"/>
      <c r="N753" s="77"/>
      <c r="O753" s="77"/>
      <c r="P753" s="77"/>
    </row>
    <row r="754" spans="1:16" ht="15.75" customHeight="1">
      <c r="A754" s="96"/>
      <c r="B754" s="75"/>
      <c r="C754" s="77"/>
      <c r="D754" s="75"/>
      <c r="E754" s="97"/>
      <c r="F754" s="77"/>
      <c r="G754" s="75"/>
      <c r="H754" s="97"/>
      <c r="I754" s="77"/>
      <c r="J754" s="77"/>
      <c r="K754" s="77"/>
      <c r="L754" s="77"/>
      <c r="M754" s="98"/>
      <c r="N754" s="77"/>
      <c r="O754" s="77"/>
      <c r="P754" s="77"/>
    </row>
    <row r="755" spans="1:16" ht="15.75" customHeight="1">
      <c r="A755" s="96"/>
      <c r="B755" s="75"/>
      <c r="C755" s="77"/>
      <c r="D755" s="75"/>
      <c r="E755" s="97"/>
      <c r="F755" s="77"/>
      <c r="G755" s="75"/>
      <c r="H755" s="97"/>
      <c r="I755" s="77"/>
      <c r="J755" s="77"/>
      <c r="K755" s="77"/>
      <c r="L755" s="77"/>
      <c r="M755" s="98"/>
      <c r="N755" s="77"/>
      <c r="O755" s="77"/>
      <c r="P755" s="77"/>
    </row>
    <row r="756" spans="1:16" ht="15.75" customHeight="1">
      <c r="A756" s="96"/>
      <c r="B756" s="75"/>
      <c r="C756" s="77"/>
      <c r="D756" s="75"/>
      <c r="E756" s="97"/>
      <c r="F756" s="77"/>
      <c r="G756" s="75"/>
      <c r="H756" s="97"/>
      <c r="I756" s="77"/>
      <c r="J756" s="77"/>
      <c r="K756" s="77"/>
      <c r="L756" s="77"/>
      <c r="M756" s="98"/>
      <c r="N756" s="77"/>
      <c r="O756" s="77"/>
      <c r="P756" s="77"/>
    </row>
    <row r="757" spans="1:16" ht="15.75" customHeight="1">
      <c r="A757" s="96"/>
      <c r="B757" s="75"/>
      <c r="C757" s="77"/>
      <c r="D757" s="75"/>
      <c r="E757" s="97"/>
      <c r="F757" s="77"/>
      <c r="G757" s="75"/>
      <c r="H757" s="97"/>
      <c r="I757" s="77"/>
      <c r="J757" s="77"/>
      <c r="K757" s="77"/>
      <c r="L757" s="77"/>
      <c r="M757" s="98"/>
      <c r="N757" s="77"/>
      <c r="O757" s="77"/>
      <c r="P757" s="77"/>
    </row>
    <row r="758" spans="1:16" ht="15.75" customHeight="1">
      <c r="A758" s="96"/>
      <c r="B758" s="75"/>
      <c r="C758" s="77"/>
      <c r="D758" s="75"/>
      <c r="E758" s="97"/>
      <c r="F758" s="77"/>
      <c r="G758" s="75"/>
      <c r="H758" s="97"/>
      <c r="I758" s="77"/>
      <c r="J758" s="77"/>
      <c r="K758" s="77"/>
      <c r="L758" s="77"/>
      <c r="M758" s="98"/>
      <c r="N758" s="77"/>
      <c r="O758" s="77"/>
      <c r="P758" s="77"/>
    </row>
    <row r="759" spans="1:16" ht="15.75" customHeight="1">
      <c r="A759" s="96"/>
      <c r="B759" s="75"/>
      <c r="C759" s="77"/>
      <c r="D759" s="75"/>
      <c r="E759" s="97"/>
      <c r="F759" s="77"/>
      <c r="G759" s="75"/>
      <c r="H759" s="97"/>
      <c r="I759" s="77"/>
      <c r="J759" s="77"/>
      <c r="K759" s="77"/>
      <c r="L759" s="77"/>
      <c r="M759" s="98"/>
      <c r="N759" s="77"/>
      <c r="O759" s="77"/>
      <c r="P759" s="77"/>
    </row>
    <row r="760" spans="1:16" ht="15.75" customHeight="1">
      <c r="A760" s="96"/>
      <c r="B760" s="75"/>
      <c r="C760" s="77"/>
      <c r="D760" s="75"/>
      <c r="E760" s="97"/>
      <c r="F760" s="77"/>
      <c r="G760" s="75"/>
      <c r="H760" s="97"/>
      <c r="I760" s="77"/>
      <c r="J760" s="77"/>
      <c r="K760" s="77"/>
      <c r="L760" s="77"/>
      <c r="M760" s="98"/>
      <c r="N760" s="77"/>
      <c r="O760" s="77"/>
      <c r="P760" s="77"/>
    </row>
    <row r="761" spans="1:16" ht="15.75" customHeight="1">
      <c r="A761" s="96"/>
      <c r="B761" s="75"/>
      <c r="C761" s="77"/>
      <c r="D761" s="75"/>
      <c r="E761" s="97"/>
      <c r="F761" s="77"/>
      <c r="G761" s="75"/>
      <c r="H761" s="97"/>
      <c r="I761" s="77"/>
      <c r="J761" s="77"/>
      <c r="K761" s="77"/>
      <c r="L761" s="77"/>
      <c r="M761" s="98"/>
      <c r="N761" s="77"/>
      <c r="O761" s="77"/>
      <c r="P761" s="77"/>
    </row>
    <row r="762" spans="1:16" ht="15.75" customHeight="1">
      <c r="A762" s="96"/>
      <c r="B762" s="75"/>
      <c r="C762" s="77"/>
      <c r="D762" s="75"/>
      <c r="E762" s="97"/>
      <c r="F762" s="77"/>
      <c r="G762" s="75"/>
      <c r="H762" s="97"/>
      <c r="I762" s="77"/>
      <c r="J762" s="77"/>
      <c r="K762" s="77"/>
      <c r="L762" s="77"/>
      <c r="M762" s="98"/>
      <c r="N762" s="77"/>
      <c r="O762" s="77"/>
      <c r="P762" s="77"/>
    </row>
    <row r="763" spans="1:16" ht="15.75" customHeight="1">
      <c r="A763" s="96"/>
      <c r="B763" s="75"/>
      <c r="C763" s="77"/>
      <c r="D763" s="75"/>
      <c r="E763" s="97"/>
      <c r="F763" s="77"/>
      <c r="G763" s="75"/>
      <c r="H763" s="97"/>
      <c r="I763" s="77"/>
      <c r="J763" s="77"/>
      <c r="K763" s="77"/>
      <c r="L763" s="77"/>
      <c r="M763" s="98"/>
      <c r="N763" s="77"/>
      <c r="O763" s="77"/>
      <c r="P763" s="77"/>
    </row>
    <row r="764" spans="1:16" ht="15.75" customHeight="1">
      <c r="A764" s="96"/>
      <c r="B764" s="75"/>
      <c r="C764" s="77"/>
      <c r="D764" s="75"/>
      <c r="E764" s="97"/>
      <c r="F764" s="77"/>
      <c r="G764" s="75"/>
      <c r="H764" s="97"/>
      <c r="I764" s="77"/>
      <c r="J764" s="77"/>
      <c r="K764" s="77"/>
      <c r="L764" s="77"/>
      <c r="M764" s="98"/>
      <c r="N764" s="77"/>
      <c r="O764" s="77"/>
      <c r="P764" s="77"/>
    </row>
    <row r="765" spans="1:16" ht="15.75" customHeight="1">
      <c r="A765" s="96"/>
      <c r="B765" s="75"/>
      <c r="C765" s="77"/>
      <c r="D765" s="75"/>
      <c r="E765" s="97"/>
      <c r="F765" s="77"/>
      <c r="G765" s="75"/>
      <c r="H765" s="97"/>
      <c r="I765" s="77"/>
      <c r="J765" s="77"/>
      <c r="K765" s="77"/>
      <c r="L765" s="77"/>
      <c r="M765" s="98"/>
      <c r="N765" s="77"/>
      <c r="O765" s="77"/>
      <c r="P765" s="77"/>
    </row>
    <row r="766" spans="1:16" ht="15.75" customHeight="1">
      <c r="A766" s="96"/>
      <c r="B766" s="75"/>
      <c r="C766" s="77"/>
      <c r="D766" s="75"/>
      <c r="E766" s="97"/>
      <c r="F766" s="77"/>
      <c r="G766" s="75"/>
      <c r="H766" s="97"/>
      <c r="I766" s="77"/>
      <c r="J766" s="77"/>
      <c r="K766" s="77"/>
      <c r="L766" s="77"/>
      <c r="M766" s="98"/>
      <c r="N766" s="77"/>
      <c r="O766" s="77"/>
      <c r="P766" s="77"/>
    </row>
    <row r="767" spans="1:16" ht="15.75" customHeight="1">
      <c r="A767" s="96"/>
      <c r="B767" s="75"/>
      <c r="C767" s="77"/>
      <c r="D767" s="75"/>
      <c r="E767" s="97"/>
      <c r="F767" s="77"/>
      <c r="G767" s="75"/>
      <c r="H767" s="97"/>
      <c r="I767" s="77"/>
      <c r="J767" s="77"/>
      <c r="K767" s="77"/>
      <c r="L767" s="77"/>
      <c r="M767" s="98"/>
      <c r="N767" s="77"/>
      <c r="O767" s="77"/>
      <c r="P767" s="77"/>
    </row>
    <row r="768" spans="1:16" ht="15.75" customHeight="1">
      <c r="A768" s="96"/>
      <c r="B768" s="75"/>
      <c r="C768" s="77"/>
      <c r="D768" s="75"/>
      <c r="E768" s="97"/>
      <c r="F768" s="77"/>
      <c r="G768" s="75"/>
      <c r="H768" s="97"/>
      <c r="I768" s="77"/>
      <c r="J768" s="77"/>
      <c r="K768" s="77"/>
      <c r="L768" s="77"/>
      <c r="M768" s="98"/>
      <c r="N768" s="77"/>
      <c r="O768" s="77"/>
      <c r="P768" s="77"/>
    </row>
    <row r="769" spans="1:16" ht="15.75" customHeight="1">
      <c r="A769" s="96"/>
      <c r="B769" s="75"/>
      <c r="C769" s="77"/>
      <c r="D769" s="75"/>
      <c r="E769" s="97"/>
      <c r="F769" s="77"/>
      <c r="G769" s="75"/>
      <c r="H769" s="97"/>
      <c r="I769" s="77"/>
      <c r="J769" s="77"/>
      <c r="K769" s="77"/>
      <c r="L769" s="77"/>
      <c r="M769" s="98"/>
      <c r="N769" s="77"/>
      <c r="O769" s="77"/>
      <c r="P769" s="77"/>
    </row>
    <row r="770" spans="1:16" ht="15.75" customHeight="1">
      <c r="A770" s="96"/>
      <c r="B770" s="75"/>
      <c r="C770" s="77"/>
      <c r="D770" s="75"/>
      <c r="E770" s="97"/>
      <c r="F770" s="77"/>
      <c r="G770" s="75"/>
      <c r="H770" s="97"/>
      <c r="I770" s="77"/>
      <c r="J770" s="77"/>
      <c r="K770" s="77"/>
      <c r="L770" s="77"/>
      <c r="M770" s="98"/>
      <c r="N770" s="77"/>
      <c r="O770" s="77"/>
      <c r="P770" s="77"/>
    </row>
    <row r="771" spans="1:16" ht="15.75" customHeight="1">
      <c r="A771" s="96"/>
      <c r="B771" s="75"/>
      <c r="C771" s="77"/>
      <c r="D771" s="75"/>
      <c r="E771" s="97"/>
      <c r="F771" s="77"/>
      <c r="G771" s="75"/>
      <c r="H771" s="97"/>
      <c r="I771" s="77"/>
      <c r="J771" s="77"/>
      <c r="K771" s="77"/>
      <c r="L771" s="77"/>
      <c r="M771" s="98"/>
      <c r="N771" s="77"/>
      <c r="O771" s="77"/>
      <c r="P771" s="77"/>
    </row>
    <row r="772" spans="1:16" ht="15.75" customHeight="1">
      <c r="A772" s="96"/>
      <c r="B772" s="75"/>
      <c r="C772" s="77"/>
      <c r="D772" s="75"/>
      <c r="E772" s="97"/>
      <c r="F772" s="77"/>
      <c r="G772" s="75"/>
      <c r="H772" s="97"/>
      <c r="I772" s="77"/>
      <c r="J772" s="77"/>
      <c r="K772" s="77"/>
      <c r="L772" s="77"/>
      <c r="M772" s="98"/>
      <c r="N772" s="77"/>
      <c r="O772" s="77"/>
      <c r="P772" s="77"/>
    </row>
    <row r="773" spans="1:16" ht="15.75" customHeight="1">
      <c r="A773" s="96"/>
      <c r="B773" s="75"/>
      <c r="C773" s="77"/>
      <c r="D773" s="75"/>
      <c r="E773" s="97"/>
      <c r="F773" s="77"/>
      <c r="G773" s="75"/>
      <c r="H773" s="97"/>
      <c r="I773" s="77"/>
      <c r="J773" s="77"/>
      <c r="K773" s="77"/>
      <c r="L773" s="77"/>
      <c r="M773" s="98"/>
      <c r="N773" s="77"/>
      <c r="O773" s="77"/>
      <c r="P773" s="77"/>
    </row>
    <row r="774" spans="1:16" ht="15.75" customHeight="1">
      <c r="A774" s="96"/>
      <c r="B774" s="75"/>
      <c r="C774" s="77"/>
      <c r="D774" s="75"/>
      <c r="E774" s="97"/>
      <c r="F774" s="77"/>
      <c r="G774" s="75"/>
      <c r="H774" s="97"/>
      <c r="I774" s="77"/>
      <c r="J774" s="77"/>
      <c r="K774" s="77"/>
      <c r="L774" s="77"/>
      <c r="M774" s="98"/>
      <c r="N774" s="77"/>
      <c r="O774" s="77"/>
      <c r="P774" s="77"/>
    </row>
    <row r="775" spans="1:16" ht="15.75" customHeight="1">
      <c r="A775" s="96"/>
      <c r="B775" s="75"/>
      <c r="C775" s="77"/>
      <c r="D775" s="75"/>
      <c r="E775" s="97"/>
      <c r="F775" s="77"/>
      <c r="G775" s="75"/>
      <c r="H775" s="97"/>
      <c r="I775" s="77"/>
      <c r="J775" s="77"/>
      <c r="K775" s="77"/>
      <c r="L775" s="77"/>
      <c r="M775" s="98"/>
      <c r="N775" s="77"/>
      <c r="O775" s="77"/>
      <c r="P775" s="77"/>
    </row>
    <row r="776" spans="1:16" ht="15.75" customHeight="1">
      <c r="A776" s="96"/>
      <c r="B776" s="75"/>
      <c r="C776" s="77"/>
      <c r="D776" s="75"/>
      <c r="E776" s="97"/>
      <c r="F776" s="77"/>
      <c r="G776" s="75"/>
      <c r="H776" s="97"/>
      <c r="I776" s="77"/>
      <c r="J776" s="77"/>
      <c r="K776" s="77"/>
      <c r="L776" s="77"/>
      <c r="M776" s="98"/>
      <c r="N776" s="77"/>
      <c r="O776" s="77"/>
      <c r="P776" s="77"/>
    </row>
    <row r="777" spans="1:16" ht="15.75" customHeight="1">
      <c r="A777" s="96"/>
      <c r="B777" s="75"/>
      <c r="C777" s="77"/>
      <c r="D777" s="75"/>
      <c r="E777" s="97"/>
      <c r="F777" s="77"/>
      <c r="G777" s="75"/>
      <c r="H777" s="97"/>
      <c r="I777" s="77"/>
      <c r="J777" s="77"/>
      <c r="K777" s="77"/>
      <c r="L777" s="77"/>
      <c r="M777" s="98"/>
      <c r="N777" s="77"/>
      <c r="O777" s="77"/>
      <c r="P777" s="77"/>
    </row>
    <row r="778" spans="1:16" ht="15.75" customHeight="1">
      <c r="A778" s="96"/>
      <c r="B778" s="75"/>
      <c r="C778" s="77"/>
      <c r="D778" s="75"/>
      <c r="E778" s="97"/>
      <c r="F778" s="77"/>
      <c r="G778" s="75"/>
      <c r="H778" s="97"/>
      <c r="I778" s="77"/>
      <c r="J778" s="77"/>
      <c r="K778" s="77"/>
      <c r="L778" s="77"/>
      <c r="M778" s="98"/>
      <c r="N778" s="77"/>
      <c r="O778" s="77"/>
      <c r="P778" s="77"/>
    </row>
    <row r="779" spans="1:16" ht="15.75" customHeight="1">
      <c r="A779" s="96"/>
      <c r="B779" s="75"/>
      <c r="C779" s="77"/>
      <c r="D779" s="75"/>
      <c r="E779" s="97"/>
      <c r="F779" s="77"/>
      <c r="G779" s="75"/>
      <c r="H779" s="97"/>
      <c r="I779" s="77"/>
      <c r="J779" s="77"/>
      <c r="K779" s="77"/>
      <c r="L779" s="77"/>
      <c r="M779" s="98"/>
      <c r="N779" s="77"/>
      <c r="O779" s="77"/>
      <c r="P779" s="77"/>
    </row>
    <row r="780" spans="1:16" ht="15.75" customHeight="1">
      <c r="A780" s="96"/>
      <c r="B780" s="75"/>
      <c r="C780" s="77"/>
      <c r="D780" s="75"/>
      <c r="E780" s="97"/>
      <c r="F780" s="77"/>
      <c r="G780" s="75"/>
      <c r="H780" s="97"/>
      <c r="I780" s="77"/>
      <c r="J780" s="77"/>
      <c r="K780" s="77"/>
      <c r="L780" s="77"/>
      <c r="M780" s="98"/>
      <c r="N780" s="77"/>
      <c r="O780" s="77"/>
      <c r="P780" s="77"/>
    </row>
    <row r="781" spans="1:16" ht="15.75" customHeight="1">
      <c r="A781" s="96"/>
      <c r="B781" s="75"/>
      <c r="C781" s="77"/>
      <c r="D781" s="75"/>
      <c r="E781" s="97"/>
      <c r="F781" s="77"/>
      <c r="G781" s="75"/>
      <c r="H781" s="97"/>
      <c r="I781" s="77"/>
      <c r="J781" s="77"/>
      <c r="K781" s="77"/>
      <c r="L781" s="77"/>
      <c r="M781" s="98"/>
      <c r="N781" s="77"/>
      <c r="O781" s="77"/>
      <c r="P781" s="77"/>
    </row>
    <row r="782" spans="1:16" ht="15.75" customHeight="1">
      <c r="A782" s="96"/>
      <c r="B782" s="75"/>
      <c r="C782" s="77"/>
      <c r="D782" s="75"/>
      <c r="E782" s="97"/>
      <c r="F782" s="77"/>
      <c r="G782" s="75"/>
      <c r="H782" s="97"/>
      <c r="I782" s="77"/>
      <c r="J782" s="77"/>
      <c r="K782" s="77"/>
      <c r="L782" s="77"/>
      <c r="M782" s="98"/>
      <c r="N782" s="77"/>
      <c r="O782" s="77"/>
      <c r="P782" s="77"/>
    </row>
    <row r="783" spans="1:16" ht="15.75" customHeight="1">
      <c r="A783" s="96"/>
      <c r="B783" s="75"/>
      <c r="C783" s="77"/>
      <c r="D783" s="75"/>
      <c r="E783" s="97"/>
      <c r="F783" s="77"/>
      <c r="G783" s="75"/>
      <c r="H783" s="97"/>
      <c r="I783" s="77"/>
      <c r="J783" s="77"/>
      <c r="K783" s="77"/>
      <c r="L783" s="77"/>
      <c r="M783" s="98"/>
      <c r="N783" s="77"/>
      <c r="O783" s="77"/>
      <c r="P783" s="77"/>
    </row>
    <row r="784" spans="1:16" ht="15.75" customHeight="1">
      <c r="A784" s="96"/>
      <c r="B784" s="75"/>
      <c r="C784" s="77"/>
      <c r="D784" s="75"/>
      <c r="E784" s="97"/>
      <c r="F784" s="77"/>
      <c r="G784" s="75"/>
      <c r="H784" s="97"/>
      <c r="I784" s="77"/>
      <c r="J784" s="77"/>
      <c r="K784" s="77"/>
      <c r="L784" s="77"/>
      <c r="M784" s="98"/>
      <c r="N784" s="77"/>
      <c r="O784" s="77"/>
      <c r="P784" s="77"/>
    </row>
    <row r="785" spans="1:16" ht="15.75" customHeight="1">
      <c r="A785" s="96"/>
      <c r="B785" s="75"/>
      <c r="C785" s="77"/>
      <c r="D785" s="75"/>
      <c r="E785" s="97"/>
      <c r="F785" s="77"/>
      <c r="G785" s="75"/>
      <c r="H785" s="97"/>
      <c r="I785" s="77"/>
      <c r="J785" s="77"/>
      <c r="K785" s="77"/>
      <c r="L785" s="77"/>
      <c r="M785" s="98"/>
      <c r="N785" s="77"/>
      <c r="O785" s="77"/>
      <c r="P785" s="77"/>
    </row>
    <row r="786" spans="1:16" ht="15.75" customHeight="1">
      <c r="A786" s="96"/>
      <c r="B786" s="75"/>
      <c r="C786" s="77"/>
      <c r="D786" s="75"/>
      <c r="E786" s="97"/>
      <c r="F786" s="77"/>
      <c r="G786" s="75"/>
      <c r="H786" s="97"/>
      <c r="I786" s="77"/>
      <c r="J786" s="77"/>
      <c r="K786" s="77"/>
      <c r="L786" s="77"/>
      <c r="M786" s="98"/>
      <c r="N786" s="77"/>
      <c r="O786" s="77"/>
      <c r="P786" s="77"/>
    </row>
    <row r="787" spans="1:16" ht="15.75" customHeight="1">
      <c r="A787" s="96"/>
      <c r="B787" s="75"/>
      <c r="C787" s="77"/>
      <c r="D787" s="75"/>
      <c r="E787" s="97"/>
      <c r="F787" s="77"/>
      <c r="G787" s="75"/>
      <c r="H787" s="97"/>
      <c r="I787" s="77"/>
      <c r="J787" s="77"/>
      <c r="K787" s="77"/>
      <c r="L787" s="77"/>
      <c r="M787" s="98"/>
      <c r="N787" s="77"/>
      <c r="O787" s="77"/>
      <c r="P787" s="77"/>
    </row>
    <row r="788" spans="1:16" ht="15.75" customHeight="1">
      <c r="A788" s="96"/>
      <c r="B788" s="75"/>
      <c r="C788" s="77"/>
      <c r="D788" s="75"/>
      <c r="E788" s="97"/>
      <c r="F788" s="77"/>
      <c r="G788" s="75"/>
      <c r="H788" s="97"/>
      <c r="I788" s="77"/>
      <c r="J788" s="77"/>
      <c r="K788" s="77"/>
      <c r="L788" s="77"/>
      <c r="M788" s="98"/>
      <c r="N788" s="77"/>
      <c r="O788" s="77"/>
      <c r="P788" s="77"/>
    </row>
    <row r="789" spans="1:16" ht="15.75" customHeight="1">
      <c r="A789" s="96"/>
      <c r="B789" s="75"/>
      <c r="C789" s="77"/>
      <c r="D789" s="75"/>
      <c r="E789" s="97"/>
      <c r="F789" s="77"/>
      <c r="G789" s="75"/>
      <c r="H789" s="97"/>
      <c r="I789" s="77"/>
      <c r="J789" s="77"/>
      <c r="K789" s="77"/>
      <c r="L789" s="77"/>
      <c r="M789" s="98"/>
      <c r="N789" s="77"/>
      <c r="O789" s="77"/>
      <c r="P789" s="77"/>
    </row>
    <row r="790" spans="1:16" ht="15.75" customHeight="1">
      <c r="A790" s="96"/>
      <c r="B790" s="75"/>
      <c r="C790" s="77"/>
      <c r="D790" s="75"/>
      <c r="E790" s="97"/>
      <c r="F790" s="77"/>
      <c r="G790" s="75"/>
      <c r="H790" s="97"/>
      <c r="I790" s="77"/>
      <c r="J790" s="77"/>
      <c r="K790" s="77"/>
      <c r="L790" s="77"/>
      <c r="M790" s="98"/>
      <c r="N790" s="77"/>
      <c r="O790" s="77"/>
      <c r="P790" s="77"/>
    </row>
    <row r="791" spans="1:16" ht="15.75" customHeight="1">
      <c r="A791" s="96"/>
      <c r="B791" s="75"/>
      <c r="C791" s="77"/>
      <c r="D791" s="75"/>
      <c r="E791" s="97"/>
      <c r="F791" s="77"/>
      <c r="G791" s="75"/>
      <c r="H791" s="97"/>
      <c r="I791" s="77"/>
      <c r="J791" s="77"/>
      <c r="K791" s="77"/>
      <c r="L791" s="77"/>
      <c r="M791" s="98"/>
      <c r="N791" s="77"/>
      <c r="O791" s="77"/>
      <c r="P791" s="77"/>
    </row>
    <row r="792" spans="1:16" ht="15.75" customHeight="1">
      <c r="A792" s="96"/>
      <c r="B792" s="75"/>
      <c r="C792" s="77"/>
      <c r="D792" s="75"/>
      <c r="E792" s="97"/>
      <c r="F792" s="77"/>
      <c r="G792" s="75"/>
      <c r="H792" s="97"/>
      <c r="I792" s="77"/>
      <c r="J792" s="77"/>
      <c r="K792" s="77"/>
      <c r="L792" s="77"/>
      <c r="M792" s="98"/>
      <c r="N792" s="77"/>
      <c r="O792" s="77"/>
      <c r="P792" s="77"/>
    </row>
    <row r="793" spans="1:16" ht="15.75" customHeight="1">
      <c r="A793" s="96"/>
      <c r="B793" s="75"/>
      <c r="C793" s="77"/>
      <c r="D793" s="75"/>
      <c r="E793" s="97"/>
      <c r="F793" s="77"/>
      <c r="G793" s="75"/>
      <c r="H793" s="97"/>
      <c r="I793" s="77"/>
      <c r="J793" s="77"/>
      <c r="K793" s="77"/>
      <c r="L793" s="77"/>
      <c r="M793" s="98"/>
      <c r="N793" s="77"/>
      <c r="O793" s="77"/>
      <c r="P793" s="77"/>
    </row>
    <row r="794" spans="1:16" ht="15.75" customHeight="1">
      <c r="A794" s="96"/>
      <c r="B794" s="75"/>
      <c r="C794" s="77"/>
      <c r="D794" s="75"/>
      <c r="E794" s="97"/>
      <c r="F794" s="77"/>
      <c r="G794" s="75"/>
      <c r="H794" s="97"/>
      <c r="I794" s="77"/>
      <c r="J794" s="77"/>
      <c r="K794" s="77"/>
      <c r="L794" s="77"/>
      <c r="M794" s="98"/>
      <c r="N794" s="77"/>
      <c r="O794" s="77"/>
      <c r="P794" s="77"/>
    </row>
    <row r="795" spans="1:16" ht="15.75" customHeight="1">
      <c r="A795" s="96"/>
      <c r="B795" s="75"/>
      <c r="C795" s="77"/>
      <c r="D795" s="75"/>
      <c r="E795" s="97"/>
      <c r="F795" s="77"/>
      <c r="G795" s="75"/>
      <c r="H795" s="97"/>
      <c r="I795" s="77"/>
      <c r="J795" s="77"/>
      <c r="K795" s="77"/>
      <c r="L795" s="77"/>
      <c r="M795" s="98"/>
      <c r="N795" s="77"/>
      <c r="O795" s="77"/>
      <c r="P795" s="77"/>
    </row>
    <row r="796" spans="1:16" ht="15.75" customHeight="1">
      <c r="A796" s="96"/>
      <c r="B796" s="75"/>
      <c r="C796" s="77"/>
      <c r="D796" s="75"/>
      <c r="E796" s="97"/>
      <c r="F796" s="77"/>
      <c r="G796" s="75"/>
      <c r="H796" s="97"/>
      <c r="I796" s="77"/>
      <c r="J796" s="77"/>
      <c r="K796" s="77"/>
      <c r="L796" s="77"/>
      <c r="M796" s="98"/>
      <c r="N796" s="77"/>
      <c r="O796" s="77"/>
      <c r="P796" s="77"/>
    </row>
    <row r="797" spans="1:16" ht="15.75" customHeight="1">
      <c r="A797" s="96"/>
      <c r="B797" s="75"/>
      <c r="C797" s="77"/>
      <c r="D797" s="75"/>
      <c r="E797" s="97"/>
      <c r="F797" s="77"/>
      <c r="G797" s="75"/>
      <c r="H797" s="97"/>
      <c r="I797" s="77"/>
      <c r="J797" s="77"/>
      <c r="K797" s="77"/>
      <c r="L797" s="77"/>
      <c r="M797" s="98"/>
      <c r="N797" s="77"/>
      <c r="O797" s="77"/>
      <c r="P797" s="77"/>
    </row>
    <row r="798" spans="1:16" ht="15.75" customHeight="1">
      <c r="A798" s="96"/>
      <c r="B798" s="75"/>
      <c r="C798" s="77"/>
      <c r="D798" s="75"/>
      <c r="E798" s="97"/>
      <c r="F798" s="77"/>
      <c r="G798" s="75"/>
      <c r="H798" s="97"/>
      <c r="I798" s="77"/>
      <c r="J798" s="77"/>
      <c r="K798" s="77"/>
      <c r="L798" s="77"/>
      <c r="M798" s="98"/>
      <c r="N798" s="77"/>
      <c r="O798" s="77"/>
      <c r="P798" s="77"/>
    </row>
    <row r="799" spans="1:16" ht="15.75" customHeight="1">
      <c r="A799" s="96"/>
      <c r="B799" s="75"/>
      <c r="C799" s="77"/>
      <c r="D799" s="75"/>
      <c r="E799" s="97"/>
      <c r="F799" s="77"/>
      <c r="G799" s="75"/>
      <c r="H799" s="97"/>
      <c r="I799" s="77"/>
      <c r="J799" s="77"/>
      <c r="K799" s="77"/>
      <c r="L799" s="77"/>
      <c r="M799" s="98"/>
      <c r="N799" s="77"/>
      <c r="O799" s="77"/>
      <c r="P799" s="77"/>
    </row>
    <row r="800" spans="1:16" ht="15.75" customHeight="1">
      <c r="A800" s="96"/>
      <c r="B800" s="75"/>
      <c r="C800" s="77"/>
      <c r="D800" s="75"/>
      <c r="E800" s="97"/>
      <c r="F800" s="77"/>
      <c r="G800" s="75"/>
      <c r="H800" s="97"/>
      <c r="I800" s="77"/>
      <c r="J800" s="77"/>
      <c r="K800" s="77"/>
      <c r="L800" s="77"/>
      <c r="M800" s="98"/>
      <c r="N800" s="77"/>
      <c r="O800" s="77"/>
      <c r="P800" s="77"/>
    </row>
    <row r="801" spans="1:16" ht="15.75" customHeight="1">
      <c r="A801" s="96"/>
      <c r="B801" s="75"/>
      <c r="C801" s="77"/>
      <c r="D801" s="75"/>
      <c r="E801" s="97"/>
      <c r="F801" s="77"/>
      <c r="G801" s="75"/>
      <c r="H801" s="97"/>
      <c r="I801" s="77"/>
      <c r="J801" s="77"/>
      <c r="K801" s="77"/>
      <c r="L801" s="77"/>
      <c r="M801" s="98"/>
      <c r="N801" s="77"/>
      <c r="O801" s="77"/>
      <c r="P801" s="77"/>
    </row>
    <row r="802" spans="1:16" ht="15.75" customHeight="1">
      <c r="A802" s="96"/>
      <c r="B802" s="75"/>
      <c r="C802" s="77"/>
      <c r="D802" s="75"/>
      <c r="E802" s="97"/>
      <c r="F802" s="77"/>
      <c r="G802" s="75"/>
      <c r="H802" s="97"/>
      <c r="I802" s="77"/>
      <c r="J802" s="77"/>
      <c r="K802" s="77"/>
      <c r="L802" s="77"/>
      <c r="M802" s="98"/>
      <c r="N802" s="77"/>
      <c r="O802" s="77"/>
      <c r="P802" s="77"/>
    </row>
    <row r="803" spans="1:16" ht="15.75" customHeight="1">
      <c r="A803" s="96"/>
      <c r="B803" s="75"/>
      <c r="C803" s="77"/>
      <c r="D803" s="75"/>
      <c r="E803" s="97"/>
      <c r="F803" s="77"/>
      <c r="G803" s="75"/>
      <c r="H803" s="97"/>
      <c r="I803" s="77"/>
      <c r="J803" s="77"/>
      <c r="K803" s="77"/>
      <c r="L803" s="77"/>
      <c r="M803" s="98"/>
      <c r="N803" s="77"/>
      <c r="O803" s="77"/>
      <c r="P803" s="77"/>
    </row>
    <row r="804" spans="1:16" ht="15.75" customHeight="1">
      <c r="A804" s="96"/>
      <c r="B804" s="75"/>
      <c r="C804" s="77"/>
      <c r="D804" s="75"/>
      <c r="E804" s="97"/>
      <c r="F804" s="77"/>
      <c r="G804" s="75"/>
      <c r="H804" s="97"/>
      <c r="I804" s="77"/>
      <c r="J804" s="77"/>
      <c r="K804" s="77"/>
      <c r="L804" s="77"/>
      <c r="M804" s="98"/>
      <c r="N804" s="77"/>
      <c r="O804" s="77"/>
      <c r="P804" s="77"/>
    </row>
    <row r="805" spans="1:16" ht="15.75" customHeight="1">
      <c r="A805" s="96"/>
      <c r="B805" s="75"/>
      <c r="C805" s="77"/>
      <c r="D805" s="75"/>
      <c r="E805" s="97"/>
      <c r="F805" s="77"/>
      <c r="G805" s="75"/>
      <c r="H805" s="97"/>
      <c r="I805" s="77"/>
      <c r="J805" s="77"/>
      <c r="K805" s="77"/>
      <c r="L805" s="77"/>
      <c r="M805" s="98"/>
      <c r="N805" s="77"/>
      <c r="O805" s="77"/>
      <c r="P805" s="77"/>
    </row>
    <row r="806" spans="1:16" ht="15.75" customHeight="1">
      <c r="A806" s="96"/>
      <c r="B806" s="75"/>
      <c r="C806" s="77"/>
      <c r="D806" s="75"/>
      <c r="E806" s="97"/>
      <c r="F806" s="77"/>
      <c r="G806" s="75"/>
      <c r="H806" s="97"/>
      <c r="I806" s="77"/>
      <c r="J806" s="77"/>
      <c r="K806" s="77"/>
      <c r="L806" s="77"/>
      <c r="M806" s="98"/>
      <c r="N806" s="77"/>
      <c r="O806" s="77"/>
      <c r="P806" s="77"/>
    </row>
    <row r="807" spans="1:16" ht="15.75" customHeight="1">
      <c r="A807" s="96"/>
      <c r="B807" s="75"/>
      <c r="C807" s="77"/>
      <c r="D807" s="75"/>
      <c r="E807" s="97"/>
      <c r="F807" s="77"/>
      <c r="G807" s="75"/>
      <c r="H807" s="97"/>
      <c r="I807" s="77"/>
      <c r="J807" s="77"/>
      <c r="K807" s="77"/>
      <c r="L807" s="77"/>
      <c r="M807" s="98"/>
      <c r="N807" s="77"/>
      <c r="O807" s="77"/>
      <c r="P807" s="77"/>
    </row>
    <row r="808" spans="1:16" ht="15.75" customHeight="1">
      <c r="A808" s="96"/>
      <c r="B808" s="75"/>
      <c r="C808" s="77"/>
      <c r="D808" s="75"/>
      <c r="E808" s="97"/>
      <c r="F808" s="77"/>
      <c r="G808" s="75"/>
      <c r="H808" s="97"/>
      <c r="I808" s="77"/>
      <c r="J808" s="77"/>
      <c r="K808" s="77"/>
      <c r="L808" s="77"/>
      <c r="M808" s="98"/>
      <c r="N808" s="77"/>
      <c r="O808" s="77"/>
      <c r="P808" s="77"/>
    </row>
    <row r="809" spans="1:16" ht="15.75" customHeight="1">
      <c r="A809" s="96"/>
      <c r="B809" s="75"/>
      <c r="C809" s="77"/>
      <c r="D809" s="75"/>
      <c r="E809" s="97"/>
      <c r="F809" s="77"/>
      <c r="G809" s="75"/>
      <c r="H809" s="97"/>
      <c r="I809" s="77"/>
      <c r="J809" s="77"/>
      <c r="K809" s="77"/>
      <c r="L809" s="77"/>
      <c r="M809" s="98"/>
      <c r="N809" s="77"/>
      <c r="O809" s="77"/>
      <c r="P809" s="77"/>
    </row>
    <row r="810" spans="1:16" ht="15.75" customHeight="1">
      <c r="A810" s="96"/>
      <c r="B810" s="75"/>
      <c r="C810" s="77"/>
      <c r="D810" s="75"/>
      <c r="E810" s="97"/>
      <c r="F810" s="77"/>
      <c r="G810" s="75"/>
      <c r="H810" s="97"/>
      <c r="I810" s="77"/>
      <c r="J810" s="77"/>
      <c r="K810" s="77"/>
      <c r="L810" s="77"/>
      <c r="M810" s="98"/>
      <c r="N810" s="77"/>
      <c r="O810" s="77"/>
      <c r="P810" s="77"/>
    </row>
    <row r="811" spans="1:16" ht="15.75" customHeight="1">
      <c r="A811" s="96"/>
      <c r="B811" s="75"/>
      <c r="C811" s="77"/>
      <c r="D811" s="75"/>
      <c r="E811" s="97"/>
      <c r="F811" s="77"/>
      <c r="G811" s="75"/>
      <c r="H811" s="97"/>
      <c r="I811" s="77"/>
      <c r="J811" s="77"/>
      <c r="K811" s="77"/>
      <c r="L811" s="77"/>
      <c r="M811" s="98"/>
      <c r="N811" s="77"/>
      <c r="O811" s="77"/>
      <c r="P811" s="77"/>
    </row>
    <row r="812" spans="1:16" ht="15.75" customHeight="1">
      <c r="A812" s="96"/>
      <c r="B812" s="75"/>
      <c r="C812" s="77"/>
      <c r="D812" s="75"/>
      <c r="E812" s="97"/>
      <c r="F812" s="77"/>
      <c r="G812" s="75"/>
      <c r="H812" s="97"/>
      <c r="I812" s="77"/>
      <c r="J812" s="77"/>
      <c r="K812" s="77"/>
      <c r="L812" s="77"/>
      <c r="M812" s="98"/>
      <c r="N812" s="77"/>
      <c r="O812" s="77"/>
      <c r="P812" s="77"/>
    </row>
    <row r="813" spans="1:16" ht="15.75" customHeight="1">
      <c r="A813" s="96"/>
      <c r="B813" s="75"/>
      <c r="C813" s="77"/>
      <c r="D813" s="75"/>
      <c r="E813" s="97"/>
      <c r="F813" s="77"/>
      <c r="G813" s="75"/>
      <c r="H813" s="97"/>
      <c r="I813" s="77"/>
      <c r="J813" s="77"/>
      <c r="K813" s="77"/>
      <c r="L813" s="77"/>
      <c r="M813" s="98"/>
      <c r="N813" s="77"/>
      <c r="O813" s="77"/>
      <c r="P813" s="77"/>
    </row>
    <row r="814" spans="1:16" ht="15.75" customHeight="1">
      <c r="A814" s="96"/>
      <c r="B814" s="75"/>
      <c r="C814" s="77"/>
      <c r="D814" s="75"/>
      <c r="E814" s="97"/>
      <c r="F814" s="77"/>
      <c r="G814" s="75"/>
      <c r="H814" s="97"/>
      <c r="I814" s="77"/>
      <c r="J814" s="77"/>
      <c r="K814" s="77"/>
      <c r="L814" s="77"/>
      <c r="M814" s="98"/>
      <c r="N814" s="77"/>
      <c r="O814" s="77"/>
      <c r="P814" s="77"/>
    </row>
    <row r="815" spans="1:16" ht="15.75" customHeight="1">
      <c r="A815" s="96"/>
      <c r="B815" s="75"/>
      <c r="C815" s="77"/>
      <c r="D815" s="75"/>
      <c r="E815" s="97"/>
      <c r="F815" s="77"/>
      <c r="G815" s="75"/>
      <c r="H815" s="97"/>
      <c r="I815" s="77"/>
      <c r="J815" s="77"/>
      <c r="K815" s="77"/>
      <c r="L815" s="77"/>
      <c r="M815" s="98"/>
      <c r="N815" s="77"/>
      <c r="O815" s="77"/>
      <c r="P815" s="77"/>
    </row>
    <row r="816" spans="1:16" ht="15.75" customHeight="1">
      <c r="A816" s="96"/>
      <c r="B816" s="75"/>
      <c r="C816" s="77"/>
      <c r="D816" s="75"/>
      <c r="E816" s="97"/>
      <c r="F816" s="77"/>
      <c r="G816" s="75"/>
      <c r="H816" s="97"/>
      <c r="I816" s="77"/>
      <c r="J816" s="77"/>
      <c r="K816" s="77"/>
      <c r="L816" s="77"/>
      <c r="M816" s="98"/>
      <c r="N816" s="77"/>
      <c r="O816" s="77"/>
      <c r="P816" s="77"/>
    </row>
    <row r="817" spans="1:16" ht="15.75" customHeight="1">
      <c r="A817" s="96"/>
      <c r="B817" s="75"/>
      <c r="C817" s="77"/>
      <c r="D817" s="75"/>
      <c r="E817" s="97"/>
      <c r="F817" s="77"/>
      <c r="G817" s="75"/>
      <c r="H817" s="97"/>
      <c r="I817" s="77"/>
      <c r="J817" s="77"/>
      <c r="K817" s="77"/>
      <c r="L817" s="77"/>
      <c r="M817" s="98"/>
      <c r="N817" s="77"/>
      <c r="O817" s="77"/>
      <c r="P817" s="77"/>
    </row>
    <row r="818" spans="1:16" ht="15.75" customHeight="1">
      <c r="A818" s="96"/>
      <c r="B818" s="75"/>
      <c r="C818" s="77"/>
      <c r="D818" s="75"/>
      <c r="E818" s="97"/>
      <c r="F818" s="77"/>
      <c r="G818" s="75"/>
      <c r="H818" s="97"/>
      <c r="I818" s="77"/>
      <c r="J818" s="77"/>
      <c r="K818" s="77"/>
      <c r="L818" s="77"/>
      <c r="M818" s="98"/>
      <c r="N818" s="77"/>
      <c r="O818" s="77"/>
      <c r="P818" s="77"/>
    </row>
    <row r="819" spans="1:16" ht="15.75" customHeight="1">
      <c r="A819" s="96"/>
      <c r="B819" s="75"/>
      <c r="C819" s="77"/>
      <c r="D819" s="75"/>
      <c r="E819" s="97"/>
      <c r="F819" s="77"/>
      <c r="G819" s="75"/>
      <c r="H819" s="97"/>
      <c r="I819" s="77"/>
      <c r="J819" s="77"/>
      <c r="K819" s="77"/>
      <c r="L819" s="77"/>
      <c r="M819" s="98"/>
      <c r="N819" s="77"/>
      <c r="O819" s="77"/>
      <c r="P819" s="77"/>
    </row>
    <row r="820" spans="1:16" ht="15.75" customHeight="1">
      <c r="A820" s="96"/>
      <c r="B820" s="75"/>
      <c r="C820" s="77"/>
      <c r="D820" s="75"/>
      <c r="E820" s="97"/>
      <c r="F820" s="77"/>
      <c r="G820" s="75"/>
      <c r="H820" s="97"/>
      <c r="I820" s="77"/>
      <c r="J820" s="77"/>
      <c r="K820" s="77"/>
      <c r="L820" s="77"/>
      <c r="M820" s="98"/>
      <c r="N820" s="77"/>
      <c r="O820" s="77"/>
      <c r="P820" s="77"/>
    </row>
    <row r="821" spans="1:16" ht="15.75" customHeight="1">
      <c r="A821" s="96"/>
      <c r="B821" s="75"/>
      <c r="C821" s="77"/>
      <c r="D821" s="75"/>
      <c r="E821" s="97"/>
      <c r="F821" s="77"/>
      <c r="G821" s="75"/>
      <c r="H821" s="97"/>
      <c r="I821" s="77"/>
      <c r="J821" s="77"/>
      <c r="K821" s="77"/>
      <c r="L821" s="77"/>
      <c r="M821" s="98"/>
      <c r="N821" s="77"/>
      <c r="O821" s="77"/>
      <c r="P821" s="77"/>
    </row>
    <row r="822" spans="1:16" ht="15.75" customHeight="1">
      <c r="A822" s="96"/>
      <c r="B822" s="75"/>
      <c r="C822" s="77"/>
      <c r="D822" s="75"/>
      <c r="E822" s="97"/>
      <c r="F822" s="77"/>
      <c r="G822" s="75"/>
      <c r="H822" s="97"/>
      <c r="I822" s="77"/>
      <c r="J822" s="77"/>
      <c r="K822" s="77"/>
      <c r="L822" s="77"/>
      <c r="M822" s="98"/>
      <c r="N822" s="77"/>
      <c r="O822" s="77"/>
      <c r="P822" s="77"/>
    </row>
    <row r="823" spans="1:16" ht="15.75" customHeight="1">
      <c r="A823" s="96"/>
      <c r="B823" s="75"/>
      <c r="C823" s="77"/>
      <c r="D823" s="75"/>
      <c r="E823" s="97"/>
      <c r="F823" s="77"/>
      <c r="G823" s="75"/>
      <c r="H823" s="97"/>
      <c r="I823" s="77"/>
      <c r="J823" s="77"/>
      <c r="K823" s="77"/>
      <c r="L823" s="77"/>
      <c r="M823" s="98"/>
      <c r="N823" s="77"/>
      <c r="O823" s="77"/>
      <c r="P823" s="77"/>
    </row>
    <row r="824" spans="1:16" ht="15.75" customHeight="1">
      <c r="A824" s="96"/>
      <c r="B824" s="75"/>
      <c r="C824" s="77"/>
      <c r="D824" s="75"/>
      <c r="E824" s="97"/>
      <c r="F824" s="77"/>
      <c r="G824" s="75"/>
      <c r="H824" s="97"/>
      <c r="I824" s="77"/>
      <c r="J824" s="77"/>
      <c r="K824" s="77"/>
      <c r="L824" s="77"/>
      <c r="M824" s="98"/>
      <c r="N824" s="77"/>
      <c r="O824" s="77"/>
      <c r="P824" s="77"/>
    </row>
    <row r="825" spans="1:16" ht="15.75" customHeight="1">
      <c r="A825" s="96"/>
      <c r="B825" s="75"/>
      <c r="C825" s="77"/>
      <c r="D825" s="75"/>
      <c r="E825" s="97"/>
      <c r="F825" s="77"/>
      <c r="G825" s="75"/>
      <c r="H825" s="97"/>
      <c r="I825" s="77"/>
      <c r="J825" s="77"/>
      <c r="K825" s="77"/>
      <c r="L825" s="77"/>
      <c r="M825" s="98"/>
      <c r="N825" s="77"/>
      <c r="O825" s="77"/>
      <c r="P825" s="77"/>
    </row>
    <row r="826" spans="1:16" ht="15.75" customHeight="1">
      <c r="A826" s="96"/>
      <c r="B826" s="75"/>
      <c r="C826" s="77"/>
      <c r="D826" s="75"/>
      <c r="E826" s="97"/>
      <c r="F826" s="77"/>
      <c r="G826" s="75"/>
      <c r="H826" s="97"/>
      <c r="I826" s="77"/>
      <c r="J826" s="77"/>
      <c r="K826" s="77"/>
      <c r="L826" s="77"/>
      <c r="M826" s="98"/>
      <c r="N826" s="77"/>
      <c r="O826" s="77"/>
      <c r="P826" s="77"/>
    </row>
    <row r="827" spans="1:16" ht="15.75" customHeight="1">
      <c r="A827" s="96"/>
      <c r="B827" s="75"/>
      <c r="C827" s="77"/>
      <c r="D827" s="75"/>
      <c r="E827" s="97"/>
      <c r="F827" s="77"/>
      <c r="G827" s="75"/>
      <c r="H827" s="97"/>
      <c r="I827" s="77"/>
      <c r="J827" s="77"/>
      <c r="K827" s="77"/>
      <c r="L827" s="77"/>
      <c r="M827" s="98"/>
      <c r="N827" s="77"/>
      <c r="O827" s="77"/>
      <c r="P827" s="77"/>
    </row>
    <row r="828" spans="1:16" ht="15.75" customHeight="1">
      <c r="A828" s="96"/>
      <c r="B828" s="75"/>
      <c r="C828" s="77"/>
      <c r="D828" s="75"/>
      <c r="E828" s="97"/>
      <c r="F828" s="77"/>
      <c r="G828" s="75"/>
      <c r="H828" s="97"/>
      <c r="I828" s="77"/>
      <c r="J828" s="77"/>
      <c r="K828" s="77"/>
      <c r="L828" s="77"/>
      <c r="M828" s="98"/>
      <c r="N828" s="77"/>
      <c r="O828" s="77"/>
      <c r="P828" s="77"/>
    </row>
    <row r="829" spans="1:16" ht="15.75" customHeight="1">
      <c r="A829" s="96"/>
      <c r="B829" s="75"/>
      <c r="C829" s="77"/>
      <c r="D829" s="75"/>
      <c r="E829" s="97"/>
      <c r="F829" s="77"/>
      <c r="G829" s="75"/>
      <c r="H829" s="97"/>
      <c r="I829" s="77"/>
      <c r="J829" s="77"/>
      <c r="K829" s="77"/>
      <c r="L829" s="77"/>
      <c r="M829" s="98"/>
      <c r="N829" s="77"/>
      <c r="O829" s="77"/>
      <c r="P829" s="77"/>
    </row>
    <row r="830" spans="1:16" ht="15.75" customHeight="1">
      <c r="A830" s="96"/>
      <c r="B830" s="75"/>
      <c r="C830" s="77"/>
      <c r="D830" s="75"/>
      <c r="E830" s="97"/>
      <c r="F830" s="77"/>
      <c r="G830" s="75"/>
      <c r="H830" s="97"/>
      <c r="I830" s="77"/>
      <c r="J830" s="77"/>
      <c r="K830" s="77"/>
      <c r="L830" s="77"/>
      <c r="M830" s="98"/>
      <c r="N830" s="77"/>
      <c r="O830" s="77"/>
      <c r="P830" s="77"/>
    </row>
    <row r="831" spans="1:16" ht="15.75" customHeight="1">
      <c r="A831" s="96"/>
      <c r="B831" s="75"/>
      <c r="C831" s="77"/>
      <c r="D831" s="75"/>
      <c r="E831" s="97"/>
      <c r="F831" s="77"/>
      <c r="G831" s="75"/>
      <c r="H831" s="97"/>
      <c r="I831" s="77"/>
      <c r="J831" s="77"/>
      <c r="K831" s="77"/>
      <c r="L831" s="77"/>
      <c r="M831" s="98"/>
      <c r="N831" s="77"/>
      <c r="O831" s="77"/>
      <c r="P831" s="77"/>
    </row>
    <row r="832" spans="1:16" ht="15.75" customHeight="1">
      <c r="A832" s="96"/>
      <c r="B832" s="75"/>
      <c r="C832" s="77"/>
      <c r="D832" s="75"/>
      <c r="E832" s="97"/>
      <c r="F832" s="77"/>
      <c r="G832" s="75"/>
      <c r="H832" s="97"/>
      <c r="I832" s="77"/>
      <c r="J832" s="77"/>
      <c r="K832" s="77"/>
      <c r="L832" s="77"/>
      <c r="M832" s="98"/>
      <c r="N832" s="77"/>
      <c r="O832" s="77"/>
      <c r="P832" s="77"/>
    </row>
    <row r="833" spans="1:16" ht="15.75" customHeight="1">
      <c r="A833" s="96"/>
      <c r="B833" s="75"/>
      <c r="C833" s="77"/>
      <c r="D833" s="75"/>
      <c r="E833" s="97"/>
      <c r="F833" s="77"/>
      <c r="G833" s="75"/>
      <c r="H833" s="97"/>
      <c r="I833" s="77"/>
      <c r="J833" s="77"/>
      <c r="K833" s="77"/>
      <c r="L833" s="77"/>
      <c r="M833" s="98"/>
      <c r="N833" s="77"/>
      <c r="O833" s="77"/>
      <c r="P833" s="77"/>
    </row>
    <row r="834" spans="1:16" ht="15.75" customHeight="1">
      <c r="A834" s="96"/>
      <c r="B834" s="75"/>
      <c r="C834" s="77"/>
      <c r="D834" s="75"/>
      <c r="E834" s="97"/>
      <c r="F834" s="77"/>
      <c r="G834" s="75"/>
      <c r="H834" s="97"/>
      <c r="I834" s="77"/>
      <c r="J834" s="77"/>
      <c r="K834" s="77"/>
      <c r="L834" s="77"/>
      <c r="M834" s="98"/>
      <c r="N834" s="77"/>
      <c r="O834" s="77"/>
      <c r="P834" s="77"/>
    </row>
    <row r="835" spans="1:16" ht="15.75" customHeight="1">
      <c r="A835" s="96"/>
      <c r="B835" s="75"/>
      <c r="C835" s="77"/>
      <c r="D835" s="75"/>
      <c r="E835" s="97"/>
      <c r="F835" s="77"/>
      <c r="G835" s="75"/>
      <c r="H835" s="97"/>
      <c r="I835" s="77"/>
      <c r="J835" s="77"/>
      <c r="K835" s="77"/>
      <c r="L835" s="77"/>
      <c r="M835" s="98"/>
      <c r="N835" s="77"/>
      <c r="O835" s="77"/>
      <c r="P835" s="77"/>
    </row>
    <row r="836" spans="1:16" ht="15.75" customHeight="1">
      <c r="A836" s="96"/>
      <c r="B836" s="75"/>
      <c r="C836" s="77"/>
      <c r="D836" s="75"/>
      <c r="E836" s="97"/>
      <c r="F836" s="77"/>
      <c r="G836" s="75"/>
      <c r="H836" s="97"/>
      <c r="I836" s="77"/>
      <c r="J836" s="77"/>
      <c r="K836" s="77"/>
      <c r="L836" s="77"/>
      <c r="M836" s="98"/>
      <c r="N836" s="77"/>
      <c r="O836" s="77"/>
      <c r="P836" s="77"/>
    </row>
    <row r="837" spans="1:16" ht="15.75" customHeight="1">
      <c r="A837" s="96"/>
      <c r="B837" s="75"/>
      <c r="C837" s="77"/>
      <c r="D837" s="75"/>
      <c r="E837" s="97"/>
      <c r="F837" s="77"/>
      <c r="G837" s="75"/>
      <c r="H837" s="97"/>
      <c r="I837" s="77"/>
      <c r="J837" s="77"/>
      <c r="K837" s="77"/>
      <c r="L837" s="77"/>
      <c r="M837" s="98"/>
      <c r="N837" s="77"/>
      <c r="O837" s="77"/>
      <c r="P837" s="77"/>
    </row>
    <row r="838" spans="1:16" ht="15.75" customHeight="1">
      <c r="A838" s="96"/>
      <c r="B838" s="75"/>
      <c r="C838" s="77"/>
      <c r="D838" s="75"/>
      <c r="E838" s="97"/>
      <c r="F838" s="77"/>
      <c r="G838" s="75"/>
      <c r="H838" s="97"/>
      <c r="I838" s="77"/>
      <c r="J838" s="77"/>
      <c r="K838" s="77"/>
      <c r="L838" s="77"/>
      <c r="M838" s="98"/>
      <c r="N838" s="77"/>
      <c r="O838" s="77"/>
      <c r="P838" s="77"/>
    </row>
    <row r="839" spans="1:16" ht="15.75" customHeight="1">
      <c r="A839" s="96"/>
      <c r="B839" s="75"/>
      <c r="C839" s="77"/>
      <c r="D839" s="75"/>
      <c r="E839" s="97"/>
      <c r="F839" s="77"/>
      <c r="G839" s="75"/>
      <c r="H839" s="97"/>
      <c r="I839" s="77"/>
      <c r="J839" s="77"/>
      <c r="K839" s="77"/>
      <c r="L839" s="77"/>
      <c r="M839" s="98"/>
      <c r="N839" s="77"/>
      <c r="O839" s="77"/>
      <c r="P839" s="77"/>
    </row>
    <row r="840" spans="1:16" ht="15.75" customHeight="1">
      <c r="A840" s="96"/>
      <c r="B840" s="75"/>
      <c r="C840" s="77"/>
      <c r="D840" s="75"/>
      <c r="E840" s="97"/>
      <c r="F840" s="77"/>
      <c r="G840" s="75"/>
      <c r="H840" s="97"/>
      <c r="I840" s="77"/>
      <c r="J840" s="77"/>
      <c r="K840" s="77"/>
      <c r="L840" s="77"/>
      <c r="M840" s="98"/>
      <c r="N840" s="77"/>
      <c r="O840" s="77"/>
      <c r="P840" s="77"/>
    </row>
    <row r="841" spans="1:16" ht="15.75" customHeight="1">
      <c r="A841" s="96"/>
      <c r="B841" s="75"/>
      <c r="C841" s="77"/>
      <c r="D841" s="75"/>
      <c r="E841" s="97"/>
      <c r="F841" s="77"/>
      <c r="G841" s="75"/>
      <c r="H841" s="97"/>
      <c r="I841" s="77"/>
      <c r="J841" s="77"/>
      <c r="K841" s="77"/>
      <c r="L841" s="77"/>
      <c r="M841" s="98"/>
      <c r="N841" s="77"/>
      <c r="O841" s="77"/>
      <c r="P841" s="77"/>
    </row>
    <row r="842" spans="1:16" ht="15.75" customHeight="1">
      <c r="A842" s="96"/>
      <c r="B842" s="75"/>
      <c r="C842" s="77"/>
      <c r="D842" s="75"/>
      <c r="E842" s="97"/>
      <c r="F842" s="77"/>
      <c r="G842" s="75"/>
      <c r="H842" s="97"/>
      <c r="I842" s="77"/>
      <c r="J842" s="77"/>
      <c r="K842" s="77"/>
      <c r="L842" s="77"/>
      <c r="M842" s="98"/>
      <c r="N842" s="77"/>
      <c r="O842" s="77"/>
      <c r="P842" s="77"/>
    </row>
    <row r="843" spans="1:16" ht="15.75" customHeight="1">
      <c r="A843" s="96"/>
      <c r="B843" s="75"/>
      <c r="C843" s="77"/>
      <c r="D843" s="75"/>
      <c r="E843" s="97"/>
      <c r="F843" s="77"/>
      <c r="G843" s="75"/>
      <c r="H843" s="97"/>
      <c r="I843" s="77"/>
      <c r="J843" s="77"/>
      <c r="K843" s="77"/>
      <c r="L843" s="77"/>
      <c r="M843" s="98"/>
      <c r="N843" s="77"/>
      <c r="O843" s="77"/>
      <c r="P843" s="77"/>
    </row>
    <row r="844" spans="1:16" ht="15.75" customHeight="1">
      <c r="A844" s="96"/>
      <c r="B844" s="75"/>
      <c r="C844" s="77"/>
      <c r="D844" s="75"/>
      <c r="E844" s="97"/>
      <c r="F844" s="77"/>
      <c r="G844" s="75"/>
      <c r="H844" s="97"/>
      <c r="I844" s="77"/>
      <c r="J844" s="77"/>
      <c r="K844" s="77"/>
      <c r="L844" s="77"/>
      <c r="M844" s="98"/>
      <c r="N844" s="77"/>
      <c r="O844" s="77"/>
      <c r="P844" s="77"/>
    </row>
    <row r="845" spans="1:16" ht="15.75" customHeight="1">
      <c r="A845" s="96"/>
      <c r="B845" s="75"/>
      <c r="C845" s="77"/>
      <c r="D845" s="75"/>
      <c r="E845" s="97"/>
      <c r="F845" s="77"/>
      <c r="G845" s="75"/>
      <c r="H845" s="97"/>
      <c r="I845" s="77"/>
      <c r="J845" s="77"/>
      <c r="K845" s="77"/>
      <c r="L845" s="77"/>
      <c r="M845" s="98"/>
      <c r="N845" s="77"/>
      <c r="O845" s="77"/>
      <c r="P845" s="77"/>
    </row>
    <row r="846" spans="1:16" ht="15.75" customHeight="1">
      <c r="A846" s="96"/>
      <c r="B846" s="75"/>
      <c r="C846" s="77"/>
      <c r="D846" s="75"/>
      <c r="E846" s="97"/>
      <c r="F846" s="77"/>
      <c r="G846" s="75"/>
      <c r="H846" s="97"/>
      <c r="I846" s="77"/>
      <c r="J846" s="77"/>
      <c r="K846" s="77"/>
      <c r="L846" s="77"/>
      <c r="M846" s="98"/>
      <c r="N846" s="77"/>
      <c r="O846" s="77"/>
      <c r="P846" s="77"/>
    </row>
    <row r="847" spans="1:16" ht="15.75" customHeight="1">
      <c r="A847" s="96"/>
      <c r="B847" s="75"/>
      <c r="C847" s="77"/>
      <c r="D847" s="75"/>
      <c r="E847" s="97"/>
      <c r="F847" s="77"/>
      <c r="G847" s="75"/>
      <c r="H847" s="97"/>
      <c r="I847" s="77"/>
      <c r="J847" s="77"/>
      <c r="K847" s="77"/>
      <c r="L847" s="77"/>
      <c r="M847" s="98"/>
      <c r="N847" s="77"/>
      <c r="O847" s="77"/>
      <c r="P847" s="77"/>
    </row>
    <row r="848" spans="1:16" ht="15.75" customHeight="1">
      <c r="A848" s="96"/>
      <c r="B848" s="75"/>
      <c r="C848" s="77"/>
      <c r="D848" s="75"/>
      <c r="E848" s="97"/>
      <c r="F848" s="77"/>
      <c r="G848" s="75"/>
      <c r="H848" s="97"/>
      <c r="I848" s="77"/>
      <c r="J848" s="77"/>
      <c r="K848" s="77"/>
      <c r="L848" s="77"/>
      <c r="M848" s="98"/>
      <c r="N848" s="77"/>
      <c r="O848" s="77"/>
      <c r="P848" s="77"/>
    </row>
    <row r="849" spans="1:16" ht="15.75" customHeight="1">
      <c r="A849" s="96"/>
      <c r="B849" s="75"/>
      <c r="C849" s="77"/>
      <c r="D849" s="75"/>
      <c r="E849" s="97"/>
      <c r="F849" s="77"/>
      <c r="G849" s="75"/>
      <c r="H849" s="97"/>
      <c r="I849" s="77"/>
      <c r="J849" s="77"/>
      <c r="K849" s="77"/>
      <c r="L849" s="77"/>
      <c r="M849" s="98"/>
      <c r="N849" s="77"/>
      <c r="O849" s="77"/>
      <c r="P849" s="77"/>
    </row>
    <row r="850" spans="1:16" ht="15.75" customHeight="1">
      <c r="A850" s="96"/>
      <c r="B850" s="75"/>
      <c r="C850" s="77"/>
      <c r="D850" s="75"/>
      <c r="E850" s="97"/>
      <c r="F850" s="77"/>
      <c r="G850" s="75"/>
      <c r="H850" s="97"/>
      <c r="I850" s="77"/>
      <c r="J850" s="77"/>
      <c r="K850" s="77"/>
      <c r="L850" s="77"/>
      <c r="M850" s="98"/>
      <c r="N850" s="77"/>
      <c r="O850" s="77"/>
      <c r="P850" s="77"/>
    </row>
    <row r="851" spans="1:16" ht="15.75" customHeight="1">
      <c r="A851" s="96"/>
      <c r="B851" s="75"/>
      <c r="C851" s="77"/>
      <c r="D851" s="75"/>
      <c r="E851" s="97"/>
      <c r="F851" s="77"/>
      <c r="G851" s="75"/>
      <c r="H851" s="97"/>
      <c r="I851" s="77"/>
      <c r="J851" s="77"/>
      <c r="K851" s="77"/>
      <c r="L851" s="77"/>
      <c r="M851" s="98"/>
      <c r="N851" s="77"/>
      <c r="O851" s="77"/>
      <c r="P851" s="77"/>
    </row>
    <row r="852" spans="1:16" ht="15.75" customHeight="1">
      <c r="A852" s="96"/>
      <c r="B852" s="75"/>
      <c r="C852" s="77"/>
      <c r="D852" s="75"/>
      <c r="E852" s="97"/>
      <c r="F852" s="77"/>
      <c r="G852" s="75"/>
      <c r="H852" s="97"/>
      <c r="I852" s="77"/>
      <c r="J852" s="77"/>
      <c r="K852" s="77"/>
      <c r="L852" s="77"/>
      <c r="M852" s="98"/>
      <c r="N852" s="77"/>
      <c r="O852" s="77"/>
      <c r="P852" s="77"/>
    </row>
    <row r="853" spans="1:16" ht="15.75" customHeight="1">
      <c r="A853" s="96"/>
      <c r="B853" s="75"/>
      <c r="C853" s="77"/>
      <c r="D853" s="75"/>
      <c r="E853" s="97"/>
      <c r="F853" s="77"/>
      <c r="G853" s="75"/>
      <c r="H853" s="97"/>
      <c r="I853" s="77"/>
      <c r="J853" s="77"/>
      <c r="K853" s="77"/>
      <c r="L853" s="77"/>
      <c r="M853" s="98"/>
      <c r="N853" s="77"/>
      <c r="O853" s="77"/>
      <c r="P853" s="77"/>
    </row>
    <row r="854" spans="1:16" ht="15.75" customHeight="1">
      <c r="A854" s="96"/>
      <c r="B854" s="75"/>
      <c r="C854" s="77"/>
      <c r="D854" s="75"/>
      <c r="E854" s="97"/>
      <c r="F854" s="77"/>
      <c r="G854" s="75"/>
      <c r="H854" s="97"/>
      <c r="I854" s="77"/>
      <c r="J854" s="77"/>
      <c r="K854" s="77"/>
      <c r="L854" s="77"/>
      <c r="M854" s="98"/>
      <c r="N854" s="77"/>
      <c r="O854" s="77"/>
      <c r="P854" s="77"/>
    </row>
    <row r="855" spans="1:16" ht="15.75" customHeight="1">
      <c r="A855" s="96"/>
      <c r="B855" s="75"/>
      <c r="C855" s="77"/>
      <c r="D855" s="75"/>
      <c r="E855" s="97"/>
      <c r="F855" s="77"/>
      <c r="G855" s="75"/>
      <c r="H855" s="97"/>
      <c r="I855" s="77"/>
      <c r="J855" s="77"/>
      <c r="K855" s="77"/>
      <c r="L855" s="77"/>
      <c r="M855" s="98"/>
      <c r="N855" s="77"/>
      <c r="O855" s="77"/>
      <c r="P855" s="77"/>
    </row>
    <row r="856" spans="1:16" ht="15.75" customHeight="1">
      <c r="A856" s="96"/>
      <c r="B856" s="75"/>
      <c r="C856" s="77"/>
      <c r="D856" s="75"/>
      <c r="E856" s="97"/>
      <c r="F856" s="77"/>
      <c r="G856" s="75"/>
      <c r="H856" s="97"/>
      <c r="I856" s="77"/>
      <c r="J856" s="77"/>
      <c r="K856" s="77"/>
      <c r="L856" s="77"/>
      <c r="M856" s="98"/>
      <c r="N856" s="77"/>
      <c r="O856" s="77"/>
      <c r="P856" s="77"/>
    </row>
    <row r="857" spans="1:16" ht="15.75" customHeight="1">
      <c r="A857" s="96"/>
      <c r="B857" s="75"/>
      <c r="C857" s="77"/>
      <c r="D857" s="75"/>
      <c r="E857" s="97"/>
      <c r="F857" s="77"/>
      <c r="G857" s="75"/>
      <c r="H857" s="97"/>
      <c r="I857" s="77"/>
      <c r="J857" s="77"/>
      <c r="K857" s="77"/>
      <c r="L857" s="77"/>
      <c r="M857" s="98"/>
      <c r="N857" s="77"/>
      <c r="O857" s="77"/>
      <c r="P857" s="77"/>
    </row>
    <row r="858" spans="1:16" ht="15.75" customHeight="1">
      <c r="A858" s="96"/>
      <c r="B858" s="75"/>
      <c r="C858" s="77"/>
      <c r="D858" s="75"/>
      <c r="E858" s="97"/>
      <c r="F858" s="77"/>
      <c r="G858" s="75"/>
      <c r="H858" s="97"/>
      <c r="I858" s="77"/>
      <c r="J858" s="77"/>
      <c r="K858" s="77"/>
      <c r="L858" s="77"/>
      <c r="M858" s="98"/>
      <c r="N858" s="77"/>
      <c r="O858" s="77"/>
      <c r="P858" s="77"/>
    </row>
    <row r="859" spans="1:16" ht="15.75" customHeight="1">
      <c r="A859" s="96"/>
      <c r="B859" s="75"/>
      <c r="C859" s="77"/>
      <c r="D859" s="75"/>
      <c r="E859" s="97"/>
      <c r="F859" s="77"/>
      <c r="G859" s="75"/>
      <c r="H859" s="97"/>
      <c r="I859" s="77"/>
      <c r="J859" s="77"/>
      <c r="K859" s="77"/>
      <c r="L859" s="77"/>
      <c r="M859" s="98"/>
      <c r="N859" s="77"/>
      <c r="O859" s="77"/>
      <c r="P859" s="77"/>
    </row>
    <row r="860" spans="1:16" ht="15.75" customHeight="1">
      <c r="A860" s="96"/>
      <c r="B860" s="75"/>
      <c r="C860" s="77"/>
      <c r="D860" s="75"/>
      <c r="E860" s="97"/>
      <c r="F860" s="77"/>
      <c r="G860" s="75"/>
      <c r="H860" s="97"/>
      <c r="I860" s="77"/>
      <c r="J860" s="77"/>
      <c r="K860" s="77"/>
      <c r="L860" s="77"/>
      <c r="M860" s="98"/>
      <c r="N860" s="77"/>
      <c r="O860" s="77"/>
      <c r="P860" s="77"/>
    </row>
    <row r="861" spans="1:16" ht="15.75" customHeight="1">
      <c r="A861" s="96"/>
      <c r="B861" s="75"/>
      <c r="C861" s="77"/>
      <c r="D861" s="75"/>
      <c r="E861" s="97"/>
      <c r="F861" s="77"/>
      <c r="G861" s="75"/>
      <c r="H861" s="97"/>
      <c r="I861" s="77"/>
      <c r="J861" s="77"/>
      <c r="K861" s="77"/>
      <c r="L861" s="77"/>
      <c r="M861" s="98"/>
      <c r="N861" s="77"/>
      <c r="O861" s="77"/>
      <c r="P861" s="77"/>
    </row>
    <row r="862" spans="1:16" ht="15.75" customHeight="1">
      <c r="A862" s="96"/>
      <c r="B862" s="75"/>
      <c r="C862" s="77"/>
      <c r="D862" s="75"/>
      <c r="E862" s="97"/>
      <c r="F862" s="77"/>
      <c r="G862" s="75"/>
      <c r="H862" s="97"/>
      <c r="I862" s="77"/>
      <c r="J862" s="77"/>
      <c r="K862" s="77"/>
      <c r="L862" s="77"/>
      <c r="M862" s="98"/>
      <c r="N862" s="77"/>
      <c r="O862" s="77"/>
      <c r="P862" s="77"/>
    </row>
    <row r="863" spans="1:16" ht="15.75" customHeight="1">
      <c r="A863" s="96"/>
      <c r="B863" s="75"/>
      <c r="C863" s="77"/>
      <c r="D863" s="75"/>
      <c r="E863" s="97"/>
      <c r="F863" s="77"/>
      <c r="G863" s="75"/>
      <c r="H863" s="97"/>
      <c r="I863" s="77"/>
      <c r="J863" s="77"/>
      <c r="K863" s="77"/>
      <c r="L863" s="77"/>
      <c r="M863" s="98"/>
      <c r="N863" s="77"/>
      <c r="O863" s="77"/>
      <c r="P863" s="77"/>
    </row>
    <row r="864" spans="1:16" ht="15.75" customHeight="1">
      <c r="A864" s="96"/>
      <c r="B864" s="75"/>
      <c r="C864" s="77"/>
      <c r="D864" s="75"/>
      <c r="E864" s="97"/>
      <c r="F864" s="77"/>
      <c r="G864" s="75"/>
      <c r="H864" s="97"/>
      <c r="I864" s="77"/>
      <c r="J864" s="77"/>
      <c r="K864" s="77"/>
      <c r="L864" s="77"/>
      <c r="M864" s="98"/>
      <c r="N864" s="77"/>
      <c r="O864" s="77"/>
      <c r="P864" s="77"/>
    </row>
    <row r="865" spans="1:16" ht="15.75" customHeight="1">
      <c r="A865" s="96"/>
      <c r="B865" s="75"/>
      <c r="C865" s="77"/>
      <c r="D865" s="75"/>
      <c r="E865" s="97"/>
      <c r="F865" s="77"/>
      <c r="G865" s="75"/>
      <c r="H865" s="97"/>
      <c r="I865" s="77"/>
      <c r="J865" s="77"/>
      <c r="K865" s="77"/>
      <c r="L865" s="77"/>
      <c r="M865" s="98"/>
      <c r="N865" s="77"/>
      <c r="O865" s="77"/>
      <c r="P865" s="77"/>
    </row>
    <row r="866" spans="1:16" ht="15.75" customHeight="1">
      <c r="A866" s="96"/>
      <c r="B866" s="75"/>
      <c r="C866" s="77"/>
      <c r="D866" s="75"/>
      <c r="E866" s="97"/>
      <c r="F866" s="77"/>
      <c r="G866" s="75"/>
      <c r="H866" s="97"/>
      <c r="I866" s="77"/>
      <c r="J866" s="77"/>
      <c r="K866" s="77"/>
      <c r="L866" s="77"/>
      <c r="M866" s="98"/>
      <c r="N866" s="77"/>
      <c r="O866" s="77"/>
      <c r="P866" s="77"/>
    </row>
    <row r="867" spans="1:16" ht="15.75" customHeight="1">
      <c r="A867" s="96"/>
      <c r="B867" s="75"/>
      <c r="C867" s="77"/>
      <c r="D867" s="75"/>
      <c r="E867" s="97"/>
      <c r="F867" s="77"/>
      <c r="G867" s="75"/>
      <c r="H867" s="97"/>
      <c r="I867" s="77"/>
      <c r="J867" s="77"/>
      <c r="K867" s="77"/>
      <c r="L867" s="77"/>
      <c r="M867" s="98"/>
      <c r="N867" s="77"/>
      <c r="O867" s="77"/>
      <c r="P867" s="77"/>
    </row>
    <row r="868" spans="1:16" ht="15.75" customHeight="1">
      <c r="A868" s="96"/>
      <c r="B868" s="75"/>
      <c r="C868" s="77"/>
      <c r="D868" s="75"/>
      <c r="E868" s="97"/>
      <c r="F868" s="77"/>
      <c r="G868" s="75"/>
      <c r="H868" s="97"/>
      <c r="I868" s="77"/>
      <c r="J868" s="77"/>
      <c r="K868" s="77"/>
      <c r="L868" s="77"/>
      <c r="M868" s="98"/>
      <c r="N868" s="77"/>
      <c r="O868" s="77"/>
      <c r="P868" s="77"/>
    </row>
    <row r="869" spans="1:16" ht="15.75" customHeight="1">
      <c r="A869" s="96"/>
      <c r="B869" s="75"/>
      <c r="C869" s="77"/>
      <c r="D869" s="75"/>
      <c r="E869" s="97"/>
      <c r="F869" s="77"/>
      <c r="G869" s="75"/>
      <c r="H869" s="97"/>
      <c r="I869" s="77"/>
      <c r="J869" s="77"/>
      <c r="K869" s="77"/>
      <c r="L869" s="77"/>
      <c r="M869" s="98"/>
      <c r="N869" s="77"/>
      <c r="O869" s="77"/>
      <c r="P869" s="77"/>
    </row>
    <row r="870" spans="1:16" ht="15.75" customHeight="1">
      <c r="A870" s="96"/>
      <c r="B870" s="75"/>
      <c r="C870" s="77"/>
      <c r="D870" s="75"/>
      <c r="E870" s="97"/>
      <c r="F870" s="77"/>
      <c r="G870" s="75"/>
      <c r="H870" s="97"/>
      <c r="I870" s="77"/>
      <c r="J870" s="77"/>
      <c r="K870" s="77"/>
      <c r="L870" s="77"/>
      <c r="M870" s="98"/>
      <c r="N870" s="77"/>
      <c r="O870" s="77"/>
      <c r="P870" s="77"/>
    </row>
    <row r="871" spans="1:16" ht="15.75" customHeight="1">
      <c r="A871" s="96"/>
      <c r="B871" s="75"/>
      <c r="C871" s="77"/>
      <c r="D871" s="75"/>
      <c r="E871" s="97"/>
      <c r="F871" s="77"/>
      <c r="G871" s="75"/>
      <c r="H871" s="97"/>
      <c r="I871" s="77"/>
      <c r="J871" s="77"/>
      <c r="K871" s="77"/>
      <c r="L871" s="77"/>
      <c r="M871" s="98"/>
      <c r="N871" s="77"/>
      <c r="O871" s="77"/>
      <c r="P871" s="77"/>
    </row>
    <row r="872" spans="1:16" ht="15.75" customHeight="1">
      <c r="A872" s="96"/>
      <c r="B872" s="75"/>
      <c r="C872" s="77"/>
      <c r="D872" s="75"/>
      <c r="E872" s="97"/>
      <c r="F872" s="77"/>
      <c r="G872" s="75"/>
      <c r="H872" s="97"/>
      <c r="I872" s="77"/>
      <c r="J872" s="77"/>
      <c r="K872" s="77"/>
      <c r="L872" s="77"/>
      <c r="M872" s="98"/>
      <c r="N872" s="77"/>
      <c r="O872" s="77"/>
      <c r="P872" s="77"/>
    </row>
    <row r="873" spans="1:16" ht="15.75" customHeight="1">
      <c r="A873" s="96"/>
      <c r="B873" s="75"/>
      <c r="C873" s="77"/>
      <c r="D873" s="75"/>
      <c r="E873" s="97"/>
      <c r="F873" s="77"/>
      <c r="G873" s="75"/>
      <c r="H873" s="97"/>
      <c r="I873" s="77"/>
      <c r="J873" s="77"/>
      <c r="K873" s="77"/>
      <c r="L873" s="77"/>
      <c r="M873" s="98"/>
      <c r="N873" s="77"/>
      <c r="O873" s="77"/>
      <c r="P873" s="77"/>
    </row>
    <row r="874" spans="1:16" ht="15.75" customHeight="1">
      <c r="A874" s="96"/>
      <c r="B874" s="75"/>
      <c r="C874" s="77"/>
      <c r="D874" s="75"/>
      <c r="E874" s="97"/>
      <c r="F874" s="77"/>
      <c r="G874" s="75"/>
      <c r="H874" s="97"/>
      <c r="I874" s="77"/>
      <c r="J874" s="77"/>
      <c r="K874" s="77"/>
      <c r="L874" s="77"/>
      <c r="M874" s="98"/>
      <c r="N874" s="77"/>
      <c r="O874" s="77"/>
      <c r="P874" s="77"/>
    </row>
    <row r="875" spans="1:16" ht="15.75" customHeight="1">
      <c r="A875" s="96"/>
      <c r="B875" s="75"/>
      <c r="C875" s="77"/>
      <c r="D875" s="75"/>
      <c r="E875" s="97"/>
      <c r="F875" s="77"/>
      <c r="G875" s="75"/>
      <c r="H875" s="97"/>
      <c r="I875" s="77"/>
      <c r="J875" s="77"/>
      <c r="K875" s="77"/>
      <c r="L875" s="77"/>
      <c r="M875" s="98"/>
      <c r="N875" s="77"/>
      <c r="O875" s="77"/>
      <c r="P875" s="77"/>
    </row>
    <row r="876" spans="1:16" ht="15.75" customHeight="1">
      <c r="A876" s="96"/>
      <c r="B876" s="75"/>
      <c r="C876" s="77"/>
      <c r="D876" s="75"/>
      <c r="E876" s="97"/>
      <c r="F876" s="77"/>
      <c r="G876" s="75"/>
      <c r="H876" s="97"/>
      <c r="I876" s="77"/>
      <c r="J876" s="77"/>
      <c r="K876" s="77"/>
      <c r="L876" s="77"/>
      <c r="M876" s="98"/>
      <c r="N876" s="77"/>
      <c r="O876" s="77"/>
      <c r="P876" s="77"/>
    </row>
    <row r="877" spans="1:16" ht="15.75" customHeight="1">
      <c r="A877" s="96"/>
      <c r="B877" s="75"/>
      <c r="C877" s="77"/>
      <c r="D877" s="75"/>
      <c r="E877" s="97"/>
      <c r="F877" s="77"/>
      <c r="G877" s="75"/>
      <c r="H877" s="97"/>
      <c r="I877" s="77"/>
      <c r="J877" s="77"/>
      <c r="K877" s="77"/>
      <c r="L877" s="77"/>
      <c r="M877" s="98"/>
      <c r="N877" s="77"/>
      <c r="O877" s="77"/>
      <c r="P877" s="77"/>
    </row>
    <row r="878" spans="1:16" ht="15.75" customHeight="1">
      <c r="A878" s="96"/>
      <c r="B878" s="75"/>
      <c r="C878" s="77"/>
      <c r="D878" s="75"/>
      <c r="E878" s="97"/>
      <c r="F878" s="77"/>
      <c r="G878" s="75"/>
      <c r="H878" s="97"/>
      <c r="I878" s="77"/>
      <c r="J878" s="77"/>
      <c r="K878" s="77"/>
      <c r="L878" s="77"/>
      <c r="M878" s="98"/>
      <c r="N878" s="77"/>
      <c r="O878" s="77"/>
      <c r="P878" s="77"/>
    </row>
    <row r="879" spans="1:16" ht="15.75" customHeight="1">
      <c r="A879" s="96"/>
      <c r="B879" s="75"/>
      <c r="C879" s="77"/>
      <c r="D879" s="75"/>
      <c r="E879" s="97"/>
      <c r="F879" s="77"/>
      <c r="G879" s="75"/>
      <c r="H879" s="97"/>
      <c r="I879" s="77"/>
      <c r="J879" s="77"/>
      <c r="K879" s="77"/>
      <c r="L879" s="77"/>
      <c r="M879" s="98"/>
      <c r="N879" s="77"/>
      <c r="O879" s="77"/>
      <c r="P879" s="77"/>
    </row>
    <row r="880" spans="1:16" ht="15.75" customHeight="1">
      <c r="A880" s="96"/>
      <c r="B880" s="75"/>
      <c r="C880" s="77"/>
      <c r="D880" s="75"/>
      <c r="E880" s="97"/>
      <c r="F880" s="77"/>
      <c r="G880" s="75"/>
      <c r="H880" s="97"/>
      <c r="I880" s="77"/>
      <c r="J880" s="77"/>
      <c r="K880" s="77"/>
      <c r="L880" s="77"/>
      <c r="M880" s="98"/>
      <c r="N880" s="77"/>
      <c r="O880" s="77"/>
      <c r="P880" s="77"/>
    </row>
    <row r="881" spans="1:16" ht="15.75" customHeight="1">
      <c r="A881" s="96"/>
      <c r="B881" s="75"/>
      <c r="C881" s="77"/>
      <c r="D881" s="75"/>
      <c r="E881" s="97"/>
      <c r="F881" s="77"/>
      <c r="G881" s="75"/>
      <c r="H881" s="97"/>
      <c r="I881" s="77"/>
      <c r="J881" s="77"/>
      <c r="K881" s="77"/>
      <c r="L881" s="77"/>
      <c r="M881" s="98"/>
      <c r="N881" s="77"/>
      <c r="O881" s="77"/>
      <c r="P881" s="77"/>
    </row>
    <row r="882" spans="1:16" ht="15.75" customHeight="1">
      <c r="A882" s="96"/>
      <c r="B882" s="75"/>
      <c r="C882" s="77"/>
      <c r="D882" s="75"/>
      <c r="E882" s="97"/>
      <c r="F882" s="77"/>
      <c r="G882" s="75"/>
      <c r="H882" s="97"/>
      <c r="I882" s="77"/>
      <c r="J882" s="77"/>
      <c r="K882" s="77"/>
      <c r="L882" s="77"/>
      <c r="M882" s="98"/>
      <c r="N882" s="77"/>
      <c r="O882" s="77"/>
      <c r="P882" s="77"/>
    </row>
    <row r="883" spans="1:16" ht="15.75" customHeight="1">
      <c r="A883" s="96"/>
      <c r="B883" s="75"/>
      <c r="C883" s="77"/>
      <c r="D883" s="75"/>
      <c r="E883" s="97"/>
      <c r="F883" s="77"/>
      <c r="G883" s="75"/>
      <c r="H883" s="97"/>
      <c r="I883" s="77"/>
      <c r="J883" s="77"/>
      <c r="K883" s="77"/>
      <c r="L883" s="77"/>
      <c r="M883" s="98"/>
      <c r="N883" s="77"/>
      <c r="O883" s="77"/>
      <c r="P883" s="77"/>
    </row>
    <row r="884" spans="1:16" ht="15.75" customHeight="1">
      <c r="A884" s="96"/>
      <c r="B884" s="75"/>
      <c r="C884" s="77"/>
      <c r="D884" s="75"/>
      <c r="E884" s="97"/>
      <c r="F884" s="77"/>
      <c r="G884" s="75"/>
      <c r="H884" s="97"/>
      <c r="I884" s="77"/>
      <c r="J884" s="77"/>
      <c r="K884" s="77"/>
      <c r="L884" s="77"/>
      <c r="M884" s="98"/>
      <c r="N884" s="77"/>
      <c r="O884" s="77"/>
      <c r="P884" s="77"/>
    </row>
    <row r="885" spans="1:16" ht="15.75" customHeight="1">
      <c r="A885" s="96"/>
      <c r="B885" s="75"/>
      <c r="C885" s="77"/>
      <c r="D885" s="75"/>
      <c r="E885" s="97"/>
      <c r="F885" s="77"/>
      <c r="G885" s="75"/>
      <c r="H885" s="97"/>
      <c r="I885" s="77"/>
      <c r="J885" s="77"/>
      <c r="K885" s="77"/>
      <c r="L885" s="77"/>
      <c r="M885" s="98"/>
      <c r="N885" s="77"/>
      <c r="O885" s="77"/>
      <c r="P885" s="77"/>
    </row>
    <row r="886" spans="1:16" ht="15.75" customHeight="1">
      <c r="A886" s="96"/>
      <c r="B886" s="75"/>
      <c r="C886" s="77"/>
      <c r="D886" s="75"/>
      <c r="E886" s="97"/>
      <c r="F886" s="77"/>
      <c r="G886" s="75"/>
      <c r="H886" s="97"/>
      <c r="I886" s="77"/>
      <c r="J886" s="77"/>
      <c r="K886" s="77"/>
      <c r="L886" s="77"/>
      <c r="M886" s="98"/>
      <c r="N886" s="77"/>
      <c r="O886" s="77"/>
      <c r="P886" s="77"/>
    </row>
    <row r="887" spans="1:16" ht="15.75" customHeight="1">
      <c r="A887" s="96"/>
      <c r="B887" s="75"/>
      <c r="C887" s="77"/>
      <c r="D887" s="75"/>
      <c r="E887" s="97"/>
      <c r="F887" s="77"/>
      <c r="G887" s="75"/>
      <c r="H887" s="97"/>
      <c r="I887" s="77"/>
      <c r="J887" s="77"/>
      <c r="K887" s="77"/>
      <c r="L887" s="77"/>
      <c r="M887" s="98"/>
      <c r="N887" s="77"/>
      <c r="O887" s="77"/>
      <c r="P887" s="77"/>
    </row>
    <row r="888" spans="1:16" ht="15.75" customHeight="1">
      <c r="A888" s="96"/>
      <c r="B888" s="75"/>
      <c r="C888" s="77"/>
      <c r="D888" s="75"/>
      <c r="E888" s="97"/>
      <c r="F888" s="77"/>
      <c r="G888" s="75"/>
      <c r="H888" s="97"/>
      <c r="I888" s="77"/>
      <c r="J888" s="77"/>
      <c r="K888" s="77"/>
      <c r="L888" s="77"/>
      <c r="M888" s="98"/>
      <c r="N888" s="77"/>
      <c r="O888" s="77"/>
      <c r="P888" s="77"/>
    </row>
    <row r="889" spans="1:16" ht="15.75" customHeight="1">
      <c r="A889" s="96"/>
      <c r="B889" s="75"/>
      <c r="C889" s="77"/>
      <c r="D889" s="75"/>
      <c r="E889" s="97"/>
      <c r="F889" s="77"/>
      <c r="G889" s="75"/>
      <c r="H889" s="97"/>
      <c r="I889" s="77"/>
      <c r="J889" s="77"/>
      <c r="K889" s="77"/>
      <c r="L889" s="77"/>
      <c r="M889" s="98"/>
      <c r="N889" s="77"/>
      <c r="O889" s="77"/>
      <c r="P889" s="77"/>
    </row>
    <row r="890" spans="1:16" ht="15.75" customHeight="1">
      <c r="A890" s="96"/>
      <c r="B890" s="75"/>
      <c r="C890" s="77"/>
      <c r="D890" s="75"/>
      <c r="E890" s="97"/>
      <c r="F890" s="77"/>
      <c r="G890" s="75"/>
      <c r="H890" s="97"/>
      <c r="I890" s="77"/>
      <c r="J890" s="77"/>
      <c r="K890" s="77"/>
      <c r="L890" s="77"/>
      <c r="M890" s="98"/>
      <c r="N890" s="77"/>
      <c r="O890" s="77"/>
      <c r="P890" s="77"/>
    </row>
    <row r="891" spans="1:16" ht="15.75" customHeight="1">
      <c r="A891" s="96"/>
      <c r="B891" s="75"/>
      <c r="C891" s="77"/>
      <c r="D891" s="75"/>
      <c r="E891" s="97"/>
      <c r="F891" s="77"/>
      <c r="G891" s="75"/>
      <c r="H891" s="97"/>
      <c r="I891" s="77"/>
      <c r="J891" s="77"/>
      <c r="K891" s="77"/>
      <c r="L891" s="77"/>
      <c r="M891" s="98"/>
      <c r="N891" s="77"/>
      <c r="O891" s="77"/>
      <c r="P891" s="77"/>
    </row>
    <row r="892" spans="1:16" ht="15.75" customHeight="1">
      <c r="A892" s="96"/>
      <c r="B892" s="75"/>
      <c r="C892" s="77"/>
      <c r="D892" s="75"/>
      <c r="E892" s="97"/>
      <c r="F892" s="77"/>
      <c r="G892" s="75"/>
      <c r="H892" s="97"/>
      <c r="I892" s="77"/>
      <c r="J892" s="77"/>
      <c r="K892" s="77"/>
      <c r="L892" s="77"/>
      <c r="M892" s="98"/>
      <c r="N892" s="77"/>
      <c r="O892" s="77"/>
      <c r="P892" s="77"/>
    </row>
    <row r="893" spans="1:16" ht="15.75" customHeight="1">
      <c r="A893" s="96"/>
      <c r="B893" s="75"/>
      <c r="C893" s="77"/>
      <c r="D893" s="75"/>
      <c r="E893" s="97"/>
      <c r="F893" s="77"/>
      <c r="G893" s="75"/>
      <c r="H893" s="97"/>
      <c r="I893" s="77"/>
      <c r="J893" s="77"/>
      <c r="K893" s="77"/>
      <c r="L893" s="77"/>
      <c r="M893" s="98"/>
      <c r="N893" s="77"/>
      <c r="O893" s="77"/>
      <c r="P893" s="77"/>
    </row>
    <row r="894" spans="1:16" ht="15.75" customHeight="1">
      <c r="A894" s="96"/>
      <c r="B894" s="75"/>
      <c r="C894" s="77"/>
      <c r="D894" s="75"/>
      <c r="E894" s="97"/>
      <c r="F894" s="77"/>
      <c r="G894" s="75"/>
      <c r="H894" s="97"/>
      <c r="I894" s="77"/>
      <c r="J894" s="77"/>
      <c r="K894" s="77"/>
      <c r="L894" s="77"/>
      <c r="M894" s="98"/>
      <c r="N894" s="77"/>
      <c r="O894" s="77"/>
      <c r="P894" s="77"/>
    </row>
    <row r="895" spans="1:16" ht="15.75" customHeight="1">
      <c r="A895" s="96"/>
      <c r="B895" s="75"/>
      <c r="C895" s="77"/>
      <c r="D895" s="75"/>
      <c r="E895" s="97"/>
      <c r="F895" s="77"/>
      <c r="G895" s="75"/>
      <c r="H895" s="97"/>
      <c r="I895" s="77"/>
      <c r="J895" s="77"/>
      <c r="K895" s="77"/>
      <c r="L895" s="77"/>
      <c r="M895" s="98"/>
      <c r="N895" s="77"/>
      <c r="O895" s="77"/>
      <c r="P895" s="77"/>
    </row>
    <row r="896" spans="1:16" ht="15.75" customHeight="1">
      <c r="A896" s="96"/>
      <c r="B896" s="75"/>
      <c r="C896" s="77"/>
      <c r="D896" s="75"/>
      <c r="E896" s="97"/>
      <c r="F896" s="77"/>
      <c r="G896" s="75"/>
      <c r="H896" s="97"/>
      <c r="I896" s="77"/>
      <c r="J896" s="77"/>
      <c r="K896" s="77"/>
      <c r="L896" s="77"/>
      <c r="M896" s="98"/>
      <c r="N896" s="77"/>
      <c r="O896" s="77"/>
      <c r="P896" s="77"/>
    </row>
    <row r="897" spans="1:16" ht="15.75" customHeight="1">
      <c r="A897" s="96"/>
      <c r="B897" s="75"/>
      <c r="C897" s="77"/>
      <c r="D897" s="75"/>
      <c r="E897" s="97"/>
      <c r="F897" s="77"/>
      <c r="G897" s="75"/>
      <c r="H897" s="97"/>
      <c r="I897" s="77"/>
      <c r="J897" s="77"/>
      <c r="K897" s="77"/>
      <c r="L897" s="77"/>
      <c r="M897" s="98"/>
      <c r="N897" s="77"/>
      <c r="O897" s="77"/>
      <c r="P897" s="77"/>
    </row>
    <row r="898" spans="1:16" ht="15.75" customHeight="1">
      <c r="A898" s="96"/>
      <c r="B898" s="75"/>
      <c r="C898" s="77"/>
      <c r="D898" s="75"/>
      <c r="E898" s="97"/>
      <c r="F898" s="77"/>
      <c r="G898" s="75"/>
      <c r="H898" s="97"/>
      <c r="I898" s="77"/>
      <c r="J898" s="77"/>
      <c r="K898" s="77"/>
      <c r="L898" s="77"/>
      <c r="M898" s="98"/>
      <c r="N898" s="77"/>
      <c r="O898" s="77"/>
      <c r="P898" s="77"/>
    </row>
    <row r="899" spans="1:16" ht="15.75" customHeight="1">
      <c r="A899" s="96"/>
      <c r="B899" s="75"/>
      <c r="C899" s="77"/>
      <c r="D899" s="75"/>
      <c r="E899" s="97"/>
      <c r="F899" s="77"/>
      <c r="G899" s="75"/>
      <c r="H899" s="97"/>
      <c r="I899" s="77"/>
      <c r="J899" s="77"/>
      <c r="K899" s="77"/>
      <c r="L899" s="77"/>
      <c r="M899" s="98"/>
      <c r="N899" s="77"/>
      <c r="O899" s="77"/>
      <c r="P899" s="77"/>
    </row>
    <row r="900" spans="1:16" ht="15.75" customHeight="1">
      <c r="A900" s="96"/>
      <c r="B900" s="75"/>
      <c r="C900" s="77"/>
      <c r="D900" s="75"/>
      <c r="E900" s="97"/>
      <c r="F900" s="77"/>
      <c r="G900" s="75"/>
      <c r="H900" s="97"/>
      <c r="I900" s="77"/>
      <c r="J900" s="77"/>
      <c r="K900" s="77"/>
      <c r="L900" s="77"/>
      <c r="M900" s="98"/>
      <c r="N900" s="77"/>
      <c r="O900" s="77"/>
      <c r="P900" s="77"/>
    </row>
    <row r="901" spans="1:16" ht="15.75" customHeight="1">
      <c r="A901" s="96"/>
      <c r="B901" s="75"/>
      <c r="C901" s="77"/>
      <c r="D901" s="75"/>
      <c r="E901" s="97"/>
      <c r="F901" s="77"/>
      <c r="G901" s="75"/>
      <c r="H901" s="97"/>
      <c r="I901" s="77"/>
      <c r="J901" s="77"/>
      <c r="K901" s="77"/>
      <c r="L901" s="77"/>
      <c r="M901" s="98"/>
      <c r="N901" s="77"/>
      <c r="O901" s="77"/>
      <c r="P901" s="77"/>
    </row>
    <row r="902" spans="1:16" ht="15.75" customHeight="1">
      <c r="A902" s="96"/>
      <c r="B902" s="75"/>
      <c r="C902" s="77"/>
      <c r="D902" s="75"/>
      <c r="E902" s="97"/>
      <c r="F902" s="77"/>
      <c r="G902" s="75"/>
      <c r="H902" s="97"/>
      <c r="I902" s="77"/>
      <c r="J902" s="77"/>
      <c r="K902" s="77"/>
      <c r="L902" s="77"/>
      <c r="M902" s="98"/>
      <c r="N902" s="77"/>
      <c r="O902" s="77"/>
      <c r="P902" s="77"/>
    </row>
    <row r="903" spans="1:16" ht="15.75" customHeight="1">
      <c r="A903" s="96"/>
      <c r="B903" s="75"/>
      <c r="C903" s="77"/>
      <c r="D903" s="75"/>
      <c r="E903" s="97"/>
      <c r="F903" s="77"/>
      <c r="G903" s="75"/>
      <c r="H903" s="97"/>
      <c r="I903" s="77"/>
      <c r="J903" s="77"/>
      <c r="K903" s="77"/>
      <c r="L903" s="77"/>
      <c r="M903" s="98"/>
      <c r="N903" s="77"/>
      <c r="O903" s="77"/>
      <c r="P903" s="77"/>
    </row>
    <row r="904" spans="1:16" ht="15.75" customHeight="1">
      <c r="A904" s="96"/>
      <c r="B904" s="75"/>
      <c r="C904" s="77"/>
      <c r="D904" s="75"/>
      <c r="E904" s="97"/>
      <c r="F904" s="77"/>
      <c r="G904" s="75"/>
      <c r="H904" s="97"/>
      <c r="I904" s="77"/>
      <c r="J904" s="77"/>
      <c r="K904" s="77"/>
      <c r="L904" s="77"/>
      <c r="M904" s="98"/>
      <c r="N904" s="77"/>
      <c r="O904" s="77"/>
      <c r="P904" s="77"/>
    </row>
    <row r="905" spans="1:16" ht="15.75" customHeight="1">
      <c r="A905" s="96"/>
      <c r="B905" s="75"/>
      <c r="C905" s="77"/>
      <c r="D905" s="75"/>
      <c r="E905" s="97"/>
      <c r="F905" s="77"/>
      <c r="G905" s="75"/>
      <c r="H905" s="97"/>
      <c r="I905" s="77"/>
      <c r="J905" s="77"/>
      <c r="K905" s="77"/>
      <c r="L905" s="77"/>
      <c r="M905" s="98"/>
      <c r="N905" s="77"/>
      <c r="O905" s="77"/>
      <c r="P905" s="77"/>
    </row>
    <row r="906" spans="1:16" ht="15.75" customHeight="1">
      <c r="A906" s="96"/>
      <c r="B906" s="75"/>
      <c r="C906" s="77"/>
      <c r="D906" s="75"/>
      <c r="E906" s="97"/>
      <c r="F906" s="77"/>
      <c r="G906" s="75"/>
      <c r="H906" s="97"/>
      <c r="I906" s="77"/>
      <c r="J906" s="77"/>
      <c r="K906" s="77"/>
      <c r="L906" s="77"/>
      <c r="M906" s="98"/>
      <c r="N906" s="77"/>
      <c r="O906" s="77"/>
      <c r="P906" s="77"/>
    </row>
    <row r="907" spans="1:16" ht="15.75" customHeight="1">
      <c r="A907" s="96"/>
      <c r="B907" s="75"/>
      <c r="C907" s="77"/>
      <c r="D907" s="75"/>
      <c r="E907" s="97"/>
      <c r="F907" s="77"/>
      <c r="G907" s="75"/>
      <c r="H907" s="97"/>
      <c r="I907" s="77"/>
      <c r="J907" s="77"/>
      <c r="K907" s="77"/>
      <c r="L907" s="77"/>
      <c r="M907" s="98"/>
      <c r="N907" s="77"/>
      <c r="O907" s="77"/>
      <c r="P907" s="77"/>
    </row>
    <row r="908" spans="1:16" ht="15.75" customHeight="1">
      <c r="A908" s="96"/>
      <c r="B908" s="75"/>
      <c r="C908" s="77"/>
      <c r="D908" s="75"/>
      <c r="E908" s="97"/>
      <c r="F908" s="77"/>
      <c r="G908" s="75"/>
      <c r="H908" s="97"/>
      <c r="I908" s="77"/>
      <c r="J908" s="77"/>
      <c r="K908" s="77"/>
      <c r="L908" s="77"/>
      <c r="M908" s="98"/>
      <c r="N908" s="77"/>
      <c r="O908" s="77"/>
      <c r="P908" s="77"/>
    </row>
    <row r="909" spans="1:16" ht="15.75" customHeight="1">
      <c r="A909" s="96"/>
      <c r="B909" s="75"/>
      <c r="C909" s="77"/>
      <c r="D909" s="75"/>
      <c r="E909" s="97"/>
      <c r="F909" s="77"/>
      <c r="G909" s="75"/>
      <c r="H909" s="97"/>
      <c r="I909" s="77"/>
      <c r="J909" s="77"/>
      <c r="K909" s="77"/>
      <c r="L909" s="77"/>
      <c r="M909" s="98"/>
      <c r="N909" s="77"/>
      <c r="O909" s="77"/>
      <c r="P909" s="77"/>
    </row>
    <row r="910" spans="1:16" ht="15.75" customHeight="1">
      <c r="A910" s="96"/>
      <c r="B910" s="75"/>
      <c r="C910" s="77"/>
      <c r="D910" s="75"/>
      <c r="E910" s="97"/>
      <c r="F910" s="77"/>
      <c r="G910" s="75"/>
      <c r="H910" s="97"/>
      <c r="I910" s="77"/>
      <c r="J910" s="77"/>
      <c r="K910" s="77"/>
      <c r="L910" s="77"/>
      <c r="M910" s="98"/>
      <c r="N910" s="77"/>
      <c r="O910" s="77"/>
      <c r="P910" s="77"/>
    </row>
    <row r="911" spans="1:16" ht="15.75" customHeight="1">
      <c r="A911" s="96"/>
      <c r="B911" s="75"/>
      <c r="C911" s="77"/>
      <c r="D911" s="75"/>
      <c r="E911" s="97"/>
      <c r="F911" s="77"/>
      <c r="G911" s="75"/>
      <c r="H911" s="97"/>
      <c r="I911" s="77"/>
      <c r="J911" s="77"/>
      <c r="K911" s="77"/>
      <c r="L911" s="77"/>
      <c r="M911" s="98"/>
      <c r="N911" s="77"/>
      <c r="O911" s="77"/>
      <c r="P911" s="77"/>
    </row>
    <row r="912" spans="1:16" ht="15.75" customHeight="1">
      <c r="A912" s="96"/>
      <c r="B912" s="75"/>
      <c r="C912" s="77"/>
      <c r="D912" s="75"/>
      <c r="E912" s="97"/>
      <c r="F912" s="77"/>
      <c r="G912" s="75"/>
      <c r="H912" s="97"/>
      <c r="I912" s="77"/>
      <c r="J912" s="77"/>
      <c r="K912" s="77"/>
      <c r="L912" s="77"/>
      <c r="M912" s="98"/>
      <c r="N912" s="77"/>
      <c r="O912" s="77"/>
      <c r="P912" s="77"/>
    </row>
    <row r="913" spans="1:16" ht="15.75" customHeight="1">
      <c r="A913" s="96"/>
      <c r="B913" s="75"/>
      <c r="C913" s="77"/>
      <c r="D913" s="75"/>
      <c r="E913" s="97"/>
      <c r="F913" s="77"/>
      <c r="G913" s="75"/>
      <c r="H913" s="97"/>
      <c r="I913" s="77"/>
      <c r="J913" s="77"/>
      <c r="K913" s="77"/>
      <c r="L913" s="77"/>
      <c r="M913" s="98"/>
      <c r="N913" s="77"/>
      <c r="O913" s="77"/>
      <c r="P913" s="77"/>
    </row>
    <row r="914" spans="1:16" ht="15.75" customHeight="1">
      <c r="A914" s="96"/>
      <c r="B914" s="75"/>
      <c r="C914" s="77"/>
      <c r="D914" s="75"/>
      <c r="E914" s="97"/>
      <c r="F914" s="77"/>
      <c r="G914" s="75"/>
      <c r="H914" s="97"/>
      <c r="I914" s="77"/>
      <c r="J914" s="77"/>
      <c r="K914" s="77"/>
      <c r="L914" s="77"/>
      <c r="M914" s="98"/>
      <c r="N914" s="77"/>
      <c r="O914" s="77"/>
      <c r="P914" s="77"/>
    </row>
    <row r="915" spans="1:16" ht="15.75" customHeight="1">
      <c r="A915" s="96"/>
      <c r="B915" s="75"/>
      <c r="C915" s="77"/>
      <c r="D915" s="75"/>
      <c r="E915" s="97"/>
      <c r="F915" s="77"/>
      <c r="G915" s="75"/>
      <c r="H915" s="97"/>
      <c r="I915" s="77"/>
      <c r="J915" s="77"/>
      <c r="K915" s="77"/>
      <c r="L915" s="77"/>
      <c r="M915" s="98"/>
      <c r="N915" s="77"/>
      <c r="O915" s="77"/>
      <c r="P915" s="77"/>
    </row>
    <row r="916" spans="1:16" ht="15.75" customHeight="1">
      <c r="A916" s="96"/>
      <c r="B916" s="75"/>
      <c r="C916" s="77"/>
      <c r="D916" s="75"/>
      <c r="E916" s="97"/>
      <c r="F916" s="77"/>
      <c r="G916" s="75"/>
      <c r="H916" s="97"/>
      <c r="I916" s="77"/>
      <c r="J916" s="77"/>
      <c r="K916" s="77"/>
      <c r="L916" s="77"/>
      <c r="M916" s="98"/>
      <c r="N916" s="77"/>
      <c r="O916" s="77"/>
      <c r="P916" s="77"/>
    </row>
    <row r="917" spans="1:16" ht="15.75" customHeight="1">
      <c r="A917" s="96"/>
      <c r="B917" s="75"/>
      <c r="C917" s="77"/>
      <c r="D917" s="75"/>
      <c r="E917" s="97"/>
      <c r="F917" s="77"/>
      <c r="G917" s="75"/>
      <c r="H917" s="97"/>
      <c r="I917" s="77"/>
      <c r="J917" s="77"/>
      <c r="K917" s="77"/>
      <c r="L917" s="77"/>
      <c r="M917" s="98"/>
      <c r="N917" s="77"/>
      <c r="O917" s="77"/>
      <c r="P917" s="77"/>
    </row>
    <row r="918" spans="1:16" ht="15.75" customHeight="1">
      <c r="A918" s="96"/>
      <c r="B918" s="75"/>
      <c r="C918" s="77"/>
      <c r="D918" s="75"/>
      <c r="E918" s="97"/>
      <c r="F918" s="77"/>
      <c r="G918" s="75"/>
      <c r="H918" s="97"/>
      <c r="I918" s="77"/>
      <c r="J918" s="77"/>
      <c r="K918" s="77"/>
      <c r="L918" s="77"/>
      <c r="M918" s="98"/>
      <c r="N918" s="77"/>
      <c r="O918" s="77"/>
      <c r="P918" s="77"/>
    </row>
    <row r="919" spans="1:16" ht="15.75" customHeight="1">
      <c r="A919" s="96"/>
      <c r="B919" s="75"/>
      <c r="C919" s="77"/>
      <c r="D919" s="75"/>
      <c r="E919" s="97"/>
      <c r="F919" s="77"/>
      <c r="G919" s="75"/>
      <c r="H919" s="97"/>
      <c r="I919" s="77"/>
      <c r="J919" s="77"/>
      <c r="K919" s="77"/>
      <c r="L919" s="77"/>
      <c r="M919" s="98"/>
      <c r="N919" s="77"/>
      <c r="O919" s="77"/>
      <c r="P919" s="77"/>
    </row>
    <row r="920" spans="1:16" ht="15.75" customHeight="1">
      <c r="A920" s="96"/>
      <c r="B920" s="75"/>
      <c r="C920" s="77"/>
      <c r="D920" s="75"/>
      <c r="E920" s="97"/>
      <c r="F920" s="77"/>
      <c r="G920" s="75"/>
      <c r="H920" s="97"/>
      <c r="I920" s="77"/>
      <c r="J920" s="77"/>
      <c r="K920" s="77"/>
      <c r="L920" s="77"/>
      <c r="M920" s="98"/>
      <c r="N920" s="77"/>
      <c r="O920" s="77"/>
      <c r="P920" s="77"/>
    </row>
    <row r="921" spans="1:16" ht="15.75" customHeight="1">
      <c r="A921" s="96"/>
      <c r="B921" s="75"/>
      <c r="C921" s="77"/>
      <c r="D921" s="75"/>
      <c r="E921" s="97"/>
      <c r="F921" s="77"/>
      <c r="G921" s="75"/>
      <c r="H921" s="97"/>
      <c r="I921" s="77"/>
      <c r="J921" s="77"/>
      <c r="K921" s="77"/>
      <c r="L921" s="77"/>
      <c r="M921" s="98"/>
      <c r="N921" s="77"/>
      <c r="O921" s="77"/>
      <c r="P921" s="77"/>
    </row>
    <row r="922" spans="1:16" ht="15.75" customHeight="1">
      <c r="A922" s="96"/>
      <c r="B922" s="75"/>
      <c r="C922" s="77"/>
      <c r="D922" s="75"/>
      <c r="E922" s="97"/>
      <c r="F922" s="77"/>
      <c r="G922" s="75"/>
      <c r="H922" s="97"/>
      <c r="I922" s="77"/>
      <c r="J922" s="77"/>
      <c r="K922" s="77"/>
      <c r="L922" s="77"/>
      <c r="M922" s="98"/>
      <c r="N922" s="77"/>
      <c r="O922" s="77"/>
      <c r="P922" s="77"/>
    </row>
    <row r="923" spans="1:16" ht="15.75" customHeight="1">
      <c r="A923" s="96"/>
      <c r="B923" s="75"/>
      <c r="C923" s="77"/>
      <c r="D923" s="75"/>
      <c r="E923" s="97"/>
      <c r="F923" s="77"/>
      <c r="G923" s="75"/>
      <c r="H923" s="97"/>
      <c r="I923" s="77"/>
      <c r="J923" s="77"/>
      <c r="K923" s="77"/>
      <c r="L923" s="77"/>
      <c r="M923" s="98"/>
      <c r="N923" s="77"/>
      <c r="O923" s="77"/>
      <c r="P923" s="77"/>
    </row>
    <row r="924" spans="1:16" ht="15.75" customHeight="1">
      <c r="A924" s="96"/>
      <c r="B924" s="75"/>
      <c r="C924" s="77"/>
      <c r="D924" s="75"/>
      <c r="E924" s="97"/>
      <c r="F924" s="77"/>
      <c r="G924" s="75"/>
      <c r="H924" s="97"/>
      <c r="I924" s="77"/>
      <c r="J924" s="77"/>
      <c r="K924" s="77"/>
      <c r="L924" s="77"/>
      <c r="M924" s="98"/>
      <c r="N924" s="77"/>
      <c r="O924" s="77"/>
      <c r="P924" s="77"/>
    </row>
    <row r="925" spans="1:16" ht="15.75" customHeight="1">
      <c r="A925" s="96"/>
      <c r="B925" s="75"/>
      <c r="C925" s="77"/>
      <c r="D925" s="75"/>
      <c r="E925" s="97"/>
      <c r="F925" s="77"/>
      <c r="G925" s="75"/>
      <c r="H925" s="97"/>
      <c r="I925" s="77"/>
      <c r="J925" s="77"/>
      <c r="K925" s="77"/>
      <c r="L925" s="77"/>
      <c r="M925" s="98"/>
      <c r="N925" s="77"/>
      <c r="O925" s="77"/>
      <c r="P925" s="77"/>
    </row>
    <row r="926" spans="1:16" ht="15.75" customHeight="1">
      <c r="A926" s="96"/>
      <c r="B926" s="75"/>
      <c r="C926" s="77"/>
      <c r="D926" s="75"/>
      <c r="E926" s="97"/>
      <c r="F926" s="77"/>
      <c r="G926" s="75"/>
      <c r="H926" s="97"/>
      <c r="I926" s="77"/>
      <c r="J926" s="77"/>
      <c r="K926" s="77"/>
      <c r="L926" s="77"/>
      <c r="M926" s="98"/>
      <c r="N926" s="77"/>
      <c r="O926" s="77"/>
      <c r="P926" s="77"/>
    </row>
    <row r="927" spans="1:16" ht="15.75" customHeight="1">
      <c r="A927" s="96"/>
      <c r="B927" s="75"/>
      <c r="C927" s="77"/>
      <c r="D927" s="75"/>
      <c r="E927" s="97"/>
      <c r="F927" s="77"/>
      <c r="G927" s="75"/>
      <c r="H927" s="97"/>
      <c r="I927" s="77"/>
      <c r="J927" s="77"/>
      <c r="K927" s="77"/>
      <c r="L927" s="77"/>
      <c r="M927" s="98"/>
      <c r="N927" s="77"/>
      <c r="O927" s="77"/>
      <c r="P927" s="77"/>
    </row>
    <row r="928" spans="1:16" ht="15.75" customHeight="1">
      <c r="A928" s="96"/>
      <c r="B928" s="75"/>
      <c r="C928" s="77"/>
      <c r="D928" s="75"/>
      <c r="E928" s="97"/>
      <c r="F928" s="77"/>
      <c r="G928" s="75"/>
      <c r="H928" s="97"/>
      <c r="I928" s="77"/>
      <c r="J928" s="77"/>
      <c r="K928" s="77"/>
      <c r="L928" s="77"/>
      <c r="M928" s="98"/>
      <c r="N928" s="77"/>
      <c r="O928" s="77"/>
      <c r="P928" s="77"/>
    </row>
    <row r="929" spans="1:16" ht="15.75" customHeight="1">
      <c r="A929" s="96"/>
      <c r="B929" s="75"/>
      <c r="C929" s="77"/>
      <c r="D929" s="75"/>
      <c r="E929" s="97"/>
      <c r="F929" s="77"/>
      <c r="G929" s="75"/>
      <c r="H929" s="97"/>
      <c r="I929" s="77"/>
      <c r="J929" s="77"/>
      <c r="K929" s="77"/>
      <c r="L929" s="77"/>
      <c r="M929" s="98"/>
      <c r="N929" s="77"/>
      <c r="O929" s="77"/>
      <c r="P929" s="77"/>
    </row>
    <row r="930" spans="1:16" ht="15.75" customHeight="1">
      <c r="A930" s="96"/>
      <c r="B930" s="75"/>
      <c r="C930" s="77"/>
      <c r="D930" s="75"/>
      <c r="E930" s="97"/>
      <c r="F930" s="77"/>
      <c r="G930" s="75"/>
      <c r="H930" s="97"/>
      <c r="I930" s="77"/>
      <c r="J930" s="77"/>
      <c r="K930" s="77"/>
      <c r="L930" s="77"/>
      <c r="M930" s="98"/>
      <c r="N930" s="77"/>
      <c r="O930" s="77"/>
      <c r="P930" s="77"/>
    </row>
    <row r="931" spans="1:16" ht="15.75" customHeight="1">
      <c r="A931" s="96"/>
      <c r="B931" s="75"/>
      <c r="C931" s="77"/>
      <c r="D931" s="75"/>
      <c r="E931" s="97"/>
      <c r="F931" s="77"/>
      <c r="G931" s="75"/>
      <c r="H931" s="97"/>
      <c r="I931" s="77"/>
      <c r="J931" s="77"/>
      <c r="K931" s="77"/>
      <c r="L931" s="77"/>
      <c r="M931" s="98"/>
      <c r="N931" s="77"/>
      <c r="O931" s="77"/>
      <c r="P931" s="77"/>
    </row>
    <row r="932" spans="1:16" ht="15.75" customHeight="1">
      <c r="A932" s="96"/>
      <c r="B932" s="75"/>
      <c r="C932" s="77"/>
      <c r="D932" s="75"/>
      <c r="E932" s="97"/>
      <c r="F932" s="77"/>
      <c r="G932" s="75"/>
      <c r="H932" s="97"/>
      <c r="I932" s="77"/>
      <c r="J932" s="77"/>
      <c r="K932" s="77"/>
      <c r="L932" s="77"/>
      <c r="M932" s="98"/>
      <c r="N932" s="77"/>
      <c r="O932" s="77"/>
      <c r="P932" s="77"/>
    </row>
    <row r="933" spans="1:16" ht="15.75" customHeight="1">
      <c r="A933" s="96"/>
      <c r="B933" s="75"/>
      <c r="C933" s="77"/>
      <c r="D933" s="75"/>
      <c r="E933" s="97"/>
      <c r="F933" s="77"/>
      <c r="G933" s="75"/>
      <c r="H933" s="97"/>
      <c r="I933" s="77"/>
      <c r="J933" s="77"/>
      <c r="K933" s="77"/>
      <c r="L933" s="77"/>
      <c r="M933" s="98"/>
      <c r="N933" s="77"/>
      <c r="O933" s="77"/>
      <c r="P933" s="77"/>
    </row>
    <row r="934" spans="1:16" ht="15.75" customHeight="1">
      <c r="A934" s="96"/>
      <c r="B934" s="75"/>
      <c r="C934" s="77"/>
      <c r="D934" s="75"/>
      <c r="E934" s="97"/>
      <c r="F934" s="77"/>
      <c r="G934" s="75"/>
      <c r="H934" s="97"/>
      <c r="I934" s="77"/>
      <c r="J934" s="77"/>
      <c r="K934" s="77"/>
      <c r="L934" s="77"/>
      <c r="M934" s="98"/>
      <c r="N934" s="77"/>
      <c r="O934" s="77"/>
      <c r="P934" s="77"/>
    </row>
    <row r="935" spans="1:16" ht="15.75" customHeight="1">
      <c r="A935" s="96"/>
      <c r="B935" s="75"/>
      <c r="C935" s="77"/>
      <c r="D935" s="75"/>
      <c r="E935" s="97"/>
      <c r="F935" s="77"/>
      <c r="G935" s="75"/>
      <c r="H935" s="97"/>
      <c r="I935" s="77"/>
      <c r="J935" s="77"/>
      <c r="K935" s="77"/>
      <c r="L935" s="77"/>
      <c r="M935" s="98"/>
      <c r="N935" s="77"/>
      <c r="O935" s="77"/>
      <c r="P935" s="77"/>
    </row>
    <row r="936" spans="1:16" ht="15.75" customHeight="1">
      <c r="A936" s="96"/>
      <c r="B936" s="75"/>
      <c r="C936" s="77"/>
      <c r="D936" s="75"/>
      <c r="E936" s="97"/>
      <c r="F936" s="77"/>
      <c r="G936" s="75"/>
      <c r="H936" s="97"/>
      <c r="I936" s="77"/>
      <c r="J936" s="77"/>
      <c r="K936" s="77"/>
      <c r="L936" s="77"/>
      <c r="M936" s="98"/>
      <c r="N936" s="77"/>
      <c r="O936" s="77"/>
      <c r="P936" s="77"/>
    </row>
    <row r="937" spans="1:16" ht="15.75" customHeight="1">
      <c r="A937" s="96"/>
      <c r="B937" s="75"/>
      <c r="C937" s="77"/>
      <c r="D937" s="75"/>
      <c r="E937" s="97"/>
      <c r="F937" s="77"/>
      <c r="G937" s="75"/>
      <c r="H937" s="97"/>
      <c r="I937" s="77"/>
      <c r="J937" s="77"/>
      <c r="K937" s="77"/>
      <c r="L937" s="77"/>
      <c r="M937" s="98"/>
      <c r="N937" s="77"/>
      <c r="O937" s="77"/>
      <c r="P937" s="77"/>
    </row>
    <row r="938" spans="1:16" ht="15.75" customHeight="1">
      <c r="A938" s="96"/>
      <c r="B938" s="75"/>
      <c r="C938" s="77"/>
      <c r="D938" s="75"/>
      <c r="E938" s="97"/>
      <c r="F938" s="77"/>
      <c r="G938" s="75"/>
      <c r="H938" s="97"/>
      <c r="I938" s="77"/>
      <c r="J938" s="77"/>
      <c r="K938" s="77"/>
      <c r="L938" s="77"/>
      <c r="M938" s="98"/>
      <c r="N938" s="77"/>
      <c r="O938" s="77"/>
      <c r="P938" s="77"/>
    </row>
    <row r="939" spans="1:16" ht="15.75" customHeight="1">
      <c r="A939" s="96"/>
      <c r="B939" s="75"/>
      <c r="C939" s="77"/>
      <c r="D939" s="75"/>
      <c r="E939" s="97"/>
      <c r="F939" s="77"/>
      <c r="G939" s="75"/>
      <c r="H939" s="97"/>
      <c r="I939" s="77"/>
      <c r="J939" s="77"/>
      <c r="K939" s="77"/>
      <c r="L939" s="77"/>
      <c r="M939" s="98"/>
      <c r="N939" s="77"/>
      <c r="O939" s="77"/>
      <c r="P939" s="77"/>
    </row>
    <row r="940" spans="1:16" ht="15.75" customHeight="1">
      <c r="A940" s="96"/>
      <c r="B940" s="75"/>
      <c r="C940" s="77"/>
      <c r="D940" s="75"/>
      <c r="E940" s="97"/>
      <c r="F940" s="77"/>
      <c r="G940" s="75"/>
      <c r="H940" s="97"/>
      <c r="I940" s="77"/>
      <c r="J940" s="77"/>
      <c r="K940" s="77"/>
      <c r="L940" s="77"/>
      <c r="M940" s="98"/>
      <c r="N940" s="77"/>
      <c r="O940" s="77"/>
      <c r="P940" s="77"/>
    </row>
    <row r="941" spans="1:16" ht="15.75" customHeight="1">
      <c r="A941" s="96"/>
      <c r="B941" s="75"/>
      <c r="C941" s="77"/>
      <c r="D941" s="75"/>
      <c r="E941" s="97"/>
      <c r="F941" s="77"/>
      <c r="G941" s="75"/>
      <c r="H941" s="97"/>
      <c r="I941" s="77"/>
      <c r="J941" s="77"/>
      <c r="K941" s="77"/>
      <c r="L941" s="77"/>
      <c r="M941" s="98"/>
      <c r="N941" s="77"/>
      <c r="O941" s="77"/>
      <c r="P941" s="77"/>
    </row>
    <row r="942" spans="1:16" ht="15.75" customHeight="1">
      <c r="A942" s="96"/>
      <c r="B942" s="75"/>
      <c r="C942" s="77"/>
      <c r="D942" s="75"/>
      <c r="E942" s="97"/>
      <c r="F942" s="77"/>
      <c r="G942" s="75"/>
      <c r="H942" s="97"/>
      <c r="I942" s="77"/>
      <c r="J942" s="77"/>
      <c r="K942" s="77"/>
      <c r="L942" s="77"/>
      <c r="M942" s="98"/>
      <c r="N942" s="77"/>
      <c r="O942" s="77"/>
      <c r="P942" s="77"/>
    </row>
    <row r="943" spans="1:16" ht="15.75" customHeight="1">
      <c r="A943" s="96"/>
      <c r="B943" s="75"/>
      <c r="C943" s="77"/>
      <c r="D943" s="75"/>
      <c r="E943" s="97"/>
      <c r="F943" s="77"/>
      <c r="G943" s="75"/>
      <c r="H943" s="97"/>
      <c r="I943" s="77"/>
      <c r="J943" s="77"/>
      <c r="K943" s="77"/>
      <c r="L943" s="77"/>
      <c r="M943" s="98"/>
      <c r="N943" s="77"/>
      <c r="O943" s="77"/>
      <c r="P943" s="77"/>
    </row>
    <row r="944" spans="1:16" ht="15.75" customHeight="1">
      <c r="A944" s="96"/>
      <c r="B944" s="75"/>
      <c r="C944" s="77"/>
      <c r="D944" s="75"/>
      <c r="E944" s="97"/>
      <c r="F944" s="77"/>
      <c r="G944" s="75"/>
      <c r="H944" s="97"/>
      <c r="I944" s="77"/>
      <c r="J944" s="77"/>
      <c r="K944" s="77"/>
      <c r="L944" s="77"/>
      <c r="M944" s="98"/>
      <c r="N944" s="77"/>
      <c r="O944" s="77"/>
      <c r="P944" s="77"/>
    </row>
    <row r="945" spans="1:16" ht="15.75" customHeight="1">
      <c r="A945" s="96"/>
      <c r="B945" s="75"/>
      <c r="C945" s="77"/>
      <c r="D945" s="75"/>
      <c r="E945" s="97"/>
      <c r="F945" s="77"/>
      <c r="G945" s="75"/>
      <c r="H945" s="97"/>
      <c r="I945" s="77"/>
      <c r="J945" s="77"/>
      <c r="K945" s="77"/>
      <c r="L945" s="77"/>
      <c r="M945" s="98"/>
      <c r="N945" s="77"/>
      <c r="O945" s="77"/>
      <c r="P945" s="77"/>
    </row>
    <row r="946" spans="1:16" ht="15.75" customHeight="1">
      <c r="A946" s="96"/>
      <c r="B946" s="75"/>
      <c r="C946" s="77"/>
      <c r="D946" s="75"/>
      <c r="E946" s="97"/>
      <c r="F946" s="77"/>
      <c r="G946" s="75"/>
      <c r="H946" s="97"/>
      <c r="I946" s="77"/>
      <c r="J946" s="77"/>
      <c r="K946" s="77"/>
      <c r="L946" s="77"/>
      <c r="M946" s="98"/>
      <c r="N946" s="77"/>
      <c r="O946" s="77"/>
      <c r="P946" s="77"/>
    </row>
    <row r="947" spans="1:16" ht="15.75" customHeight="1">
      <c r="A947" s="96"/>
      <c r="B947" s="75"/>
      <c r="C947" s="77"/>
      <c r="D947" s="75"/>
      <c r="E947" s="97"/>
      <c r="F947" s="77"/>
      <c r="G947" s="75"/>
      <c r="H947" s="97"/>
      <c r="I947" s="77"/>
      <c r="J947" s="77"/>
      <c r="K947" s="77"/>
      <c r="L947" s="77"/>
      <c r="M947" s="98"/>
      <c r="N947" s="77"/>
      <c r="O947" s="77"/>
      <c r="P947" s="77"/>
    </row>
    <row r="948" spans="1:16" ht="15.75" customHeight="1">
      <c r="A948" s="96"/>
      <c r="B948" s="75"/>
      <c r="C948" s="77"/>
      <c r="D948" s="75"/>
      <c r="E948" s="97"/>
      <c r="F948" s="77"/>
      <c r="G948" s="75"/>
      <c r="H948" s="97"/>
      <c r="I948" s="77"/>
      <c r="J948" s="77"/>
      <c r="K948" s="77"/>
      <c r="L948" s="77"/>
      <c r="M948" s="98"/>
      <c r="N948" s="77"/>
      <c r="O948" s="77"/>
      <c r="P948" s="77"/>
    </row>
    <row r="949" spans="1:16" ht="15.75" customHeight="1">
      <c r="A949" s="96"/>
      <c r="B949" s="75"/>
      <c r="C949" s="77"/>
      <c r="D949" s="75"/>
      <c r="E949" s="97"/>
      <c r="F949" s="77"/>
      <c r="G949" s="75"/>
      <c r="H949" s="97"/>
      <c r="I949" s="77"/>
      <c r="J949" s="77"/>
      <c r="K949" s="77"/>
      <c r="L949" s="77"/>
      <c r="M949" s="98"/>
      <c r="N949" s="77"/>
      <c r="O949" s="77"/>
      <c r="P949" s="77"/>
    </row>
    <row r="950" spans="1:16" ht="15.75" customHeight="1">
      <c r="A950" s="96"/>
      <c r="B950" s="75"/>
      <c r="C950" s="77"/>
      <c r="D950" s="75"/>
      <c r="E950" s="97"/>
      <c r="F950" s="77"/>
      <c r="G950" s="75"/>
      <c r="H950" s="97"/>
      <c r="I950" s="77"/>
      <c r="J950" s="77"/>
      <c r="K950" s="77"/>
      <c r="L950" s="77"/>
      <c r="M950" s="98"/>
      <c r="N950" s="77"/>
      <c r="O950" s="77"/>
      <c r="P950" s="77"/>
    </row>
    <row r="951" spans="1:16" ht="15.75" customHeight="1">
      <c r="A951" s="96"/>
      <c r="B951" s="75"/>
      <c r="C951" s="77"/>
      <c r="D951" s="75"/>
      <c r="E951" s="97"/>
      <c r="F951" s="77"/>
      <c r="G951" s="75"/>
      <c r="H951" s="97"/>
      <c r="I951" s="77"/>
      <c r="J951" s="77"/>
      <c r="K951" s="77"/>
      <c r="L951" s="77"/>
      <c r="M951" s="98"/>
      <c r="N951" s="77"/>
      <c r="O951" s="77"/>
      <c r="P951" s="77"/>
    </row>
    <row r="952" spans="1:16" ht="15.75" customHeight="1">
      <c r="A952" s="96"/>
      <c r="B952" s="75"/>
      <c r="C952" s="77"/>
      <c r="D952" s="75"/>
      <c r="E952" s="97"/>
      <c r="F952" s="77"/>
      <c r="G952" s="75"/>
      <c r="H952" s="97"/>
      <c r="I952" s="77"/>
      <c r="J952" s="77"/>
      <c r="K952" s="77"/>
      <c r="L952" s="77"/>
      <c r="M952" s="98"/>
      <c r="N952" s="77"/>
      <c r="O952" s="77"/>
      <c r="P952" s="77"/>
    </row>
    <row r="953" spans="1:16" ht="15.75" customHeight="1">
      <c r="A953" s="96"/>
      <c r="B953" s="75"/>
      <c r="C953" s="77"/>
      <c r="D953" s="75"/>
      <c r="E953" s="97"/>
      <c r="F953" s="77"/>
      <c r="G953" s="75"/>
      <c r="H953" s="97"/>
      <c r="I953" s="77"/>
      <c r="J953" s="77"/>
      <c r="K953" s="77"/>
      <c r="L953" s="77"/>
      <c r="M953" s="98"/>
      <c r="N953" s="77"/>
      <c r="O953" s="77"/>
      <c r="P953" s="77"/>
    </row>
    <row r="954" spans="1:16" ht="15.75" customHeight="1">
      <c r="A954" s="96"/>
      <c r="B954" s="75"/>
      <c r="C954" s="77"/>
      <c r="D954" s="75"/>
      <c r="E954" s="97"/>
      <c r="F954" s="77"/>
      <c r="G954" s="75"/>
      <c r="H954" s="97"/>
      <c r="I954" s="77"/>
      <c r="J954" s="77"/>
      <c r="K954" s="77"/>
      <c r="L954" s="77"/>
      <c r="M954" s="98"/>
      <c r="N954" s="77"/>
      <c r="O954" s="77"/>
      <c r="P954" s="77"/>
    </row>
    <row r="955" spans="1:16" ht="15.75" customHeight="1">
      <c r="A955" s="96"/>
      <c r="B955" s="75"/>
      <c r="C955" s="77"/>
      <c r="D955" s="75"/>
      <c r="E955" s="97"/>
      <c r="F955" s="77"/>
      <c r="G955" s="75"/>
      <c r="H955" s="97"/>
      <c r="I955" s="77"/>
      <c r="J955" s="77"/>
      <c r="K955" s="77"/>
      <c r="L955" s="77"/>
      <c r="M955" s="98"/>
      <c r="N955" s="77"/>
      <c r="O955" s="77"/>
      <c r="P955" s="77"/>
    </row>
    <row r="956" spans="1:16" ht="15.75" customHeight="1">
      <c r="A956" s="96"/>
      <c r="B956" s="75"/>
      <c r="C956" s="77"/>
      <c r="D956" s="75"/>
      <c r="E956" s="97"/>
      <c r="F956" s="77"/>
      <c r="G956" s="75"/>
      <c r="H956" s="97"/>
      <c r="I956" s="77"/>
      <c r="J956" s="77"/>
      <c r="K956" s="77"/>
      <c r="L956" s="77"/>
      <c r="M956" s="98"/>
      <c r="N956" s="77"/>
      <c r="O956" s="77"/>
      <c r="P956" s="77"/>
    </row>
    <row r="957" spans="1:16" ht="15.75" customHeight="1">
      <c r="A957" s="96"/>
      <c r="B957" s="75"/>
      <c r="C957" s="77"/>
      <c r="D957" s="75"/>
      <c r="E957" s="97"/>
      <c r="F957" s="77"/>
      <c r="G957" s="75"/>
      <c r="H957" s="97"/>
      <c r="I957" s="77"/>
      <c r="J957" s="77"/>
      <c r="K957" s="77"/>
      <c r="L957" s="77"/>
      <c r="M957" s="98"/>
      <c r="N957" s="77"/>
      <c r="O957" s="77"/>
      <c r="P957" s="77"/>
    </row>
    <row r="958" spans="1:16" ht="15.75" customHeight="1">
      <c r="A958" s="96"/>
      <c r="B958" s="75"/>
      <c r="C958" s="77"/>
      <c r="D958" s="75"/>
      <c r="E958" s="97"/>
      <c r="F958" s="77"/>
      <c r="G958" s="75"/>
      <c r="H958" s="97"/>
      <c r="I958" s="77"/>
      <c r="J958" s="77"/>
      <c r="K958" s="77"/>
      <c r="L958" s="77"/>
      <c r="M958" s="98"/>
      <c r="N958" s="77"/>
      <c r="O958" s="77"/>
      <c r="P958" s="77"/>
    </row>
    <row r="959" spans="1:16" ht="15.75" customHeight="1">
      <c r="A959" s="96"/>
      <c r="B959" s="75"/>
      <c r="C959" s="77"/>
      <c r="D959" s="75"/>
      <c r="E959" s="97"/>
      <c r="F959" s="77"/>
      <c r="G959" s="75"/>
      <c r="H959" s="97"/>
      <c r="I959" s="77"/>
      <c r="J959" s="77"/>
      <c r="K959" s="77"/>
      <c r="L959" s="77"/>
      <c r="M959" s="98"/>
      <c r="N959" s="77"/>
      <c r="O959" s="77"/>
      <c r="P959" s="77"/>
    </row>
    <row r="960" spans="1:16" ht="15.75" customHeight="1">
      <c r="A960" s="96"/>
      <c r="B960" s="75"/>
      <c r="C960" s="77"/>
      <c r="D960" s="75"/>
      <c r="E960" s="97"/>
      <c r="F960" s="77"/>
      <c r="G960" s="75"/>
      <c r="H960" s="97"/>
      <c r="I960" s="77"/>
      <c r="J960" s="77"/>
      <c r="K960" s="77"/>
      <c r="L960" s="77"/>
      <c r="M960" s="98"/>
      <c r="N960" s="77"/>
      <c r="O960" s="77"/>
      <c r="P960" s="77"/>
    </row>
    <row r="961" spans="1:16" ht="15.75" customHeight="1">
      <c r="A961" s="96"/>
      <c r="B961" s="75"/>
      <c r="C961" s="77"/>
      <c r="D961" s="75"/>
      <c r="E961" s="97"/>
      <c r="F961" s="77"/>
      <c r="G961" s="75"/>
      <c r="H961" s="97"/>
      <c r="I961" s="77"/>
      <c r="J961" s="77"/>
      <c r="K961" s="77"/>
      <c r="L961" s="77"/>
      <c r="M961" s="98"/>
      <c r="N961" s="77"/>
      <c r="O961" s="77"/>
      <c r="P961" s="77"/>
    </row>
    <row r="962" spans="1:16" ht="15.75" customHeight="1">
      <c r="A962" s="96"/>
      <c r="B962" s="75"/>
      <c r="C962" s="77"/>
      <c r="D962" s="75"/>
      <c r="E962" s="97"/>
      <c r="F962" s="77"/>
      <c r="G962" s="75"/>
      <c r="H962" s="97"/>
      <c r="I962" s="77"/>
      <c r="J962" s="77"/>
      <c r="K962" s="77"/>
      <c r="L962" s="77"/>
      <c r="M962" s="98"/>
      <c r="N962" s="77"/>
      <c r="O962" s="77"/>
      <c r="P962" s="77"/>
    </row>
    <row r="963" spans="1:16" ht="15.75" customHeight="1">
      <c r="A963" s="96"/>
      <c r="B963" s="75"/>
      <c r="C963" s="77"/>
      <c r="D963" s="75"/>
      <c r="E963" s="97"/>
      <c r="F963" s="77"/>
      <c r="G963" s="75"/>
      <c r="H963" s="97"/>
      <c r="I963" s="77"/>
      <c r="J963" s="77"/>
      <c r="K963" s="77"/>
      <c r="L963" s="77"/>
      <c r="M963" s="98"/>
      <c r="N963" s="77"/>
      <c r="O963" s="77"/>
      <c r="P963" s="77"/>
    </row>
    <row r="964" spans="1:16" ht="15.75" customHeight="1">
      <c r="A964" s="96"/>
      <c r="B964" s="75"/>
      <c r="C964" s="77"/>
      <c r="D964" s="75"/>
      <c r="E964" s="97"/>
      <c r="F964" s="77"/>
      <c r="G964" s="75"/>
      <c r="H964" s="97"/>
      <c r="I964" s="77"/>
      <c r="J964" s="77"/>
      <c r="K964" s="77"/>
      <c r="L964" s="77"/>
      <c r="M964" s="98"/>
      <c r="N964" s="77"/>
      <c r="O964" s="77"/>
      <c r="P964" s="77"/>
    </row>
    <row r="965" spans="1:16" ht="15.75" customHeight="1">
      <c r="A965" s="96"/>
      <c r="B965" s="75"/>
      <c r="C965" s="77"/>
      <c r="D965" s="75"/>
      <c r="E965" s="97"/>
      <c r="F965" s="77"/>
      <c r="G965" s="75"/>
      <c r="H965" s="97"/>
      <c r="I965" s="77"/>
      <c r="J965" s="77"/>
      <c r="K965" s="77"/>
      <c r="L965" s="77"/>
      <c r="M965" s="98"/>
      <c r="N965" s="77"/>
      <c r="O965" s="77"/>
      <c r="P965" s="77"/>
    </row>
    <row r="966" spans="1:16" ht="15.75" customHeight="1">
      <c r="A966" s="96"/>
      <c r="B966" s="75"/>
      <c r="C966" s="77"/>
      <c r="D966" s="75"/>
      <c r="E966" s="97"/>
      <c r="F966" s="77"/>
      <c r="G966" s="75"/>
      <c r="H966" s="97"/>
      <c r="I966" s="77"/>
      <c r="J966" s="77"/>
      <c r="K966" s="77"/>
      <c r="L966" s="77"/>
      <c r="M966" s="98"/>
      <c r="N966" s="77"/>
      <c r="O966" s="77"/>
      <c r="P966" s="77"/>
    </row>
    <row r="967" spans="1:16" ht="15.75" customHeight="1">
      <c r="A967" s="96"/>
      <c r="B967" s="75"/>
      <c r="C967" s="77"/>
      <c r="D967" s="75"/>
      <c r="E967" s="97"/>
      <c r="F967" s="77"/>
      <c r="G967" s="75"/>
      <c r="H967" s="97"/>
      <c r="I967" s="77"/>
      <c r="J967" s="77"/>
      <c r="K967" s="77"/>
      <c r="L967" s="77"/>
      <c r="M967" s="98"/>
      <c r="N967" s="77"/>
      <c r="O967" s="77"/>
      <c r="P967" s="77"/>
    </row>
    <row r="968" spans="1:16" ht="15.75" customHeight="1">
      <c r="A968" s="96"/>
      <c r="B968" s="75"/>
      <c r="C968" s="77"/>
      <c r="D968" s="75"/>
      <c r="E968" s="97"/>
      <c r="F968" s="77"/>
      <c r="G968" s="75"/>
      <c r="H968" s="97"/>
      <c r="I968" s="77"/>
      <c r="J968" s="77"/>
      <c r="K968" s="77"/>
      <c r="L968" s="77"/>
      <c r="M968" s="98"/>
      <c r="N968" s="77"/>
      <c r="O968" s="77"/>
      <c r="P968" s="77"/>
    </row>
    <row r="969" spans="1:16" ht="15.75" customHeight="1">
      <c r="A969" s="96"/>
      <c r="B969" s="75"/>
      <c r="C969" s="77"/>
      <c r="D969" s="75"/>
      <c r="E969" s="97"/>
      <c r="F969" s="77"/>
      <c r="G969" s="75"/>
      <c r="H969" s="97"/>
      <c r="I969" s="77"/>
      <c r="J969" s="77"/>
      <c r="K969" s="77"/>
      <c r="L969" s="77"/>
      <c r="M969" s="98"/>
      <c r="N969" s="77"/>
      <c r="O969" s="77"/>
      <c r="P969" s="77"/>
    </row>
    <row r="970" spans="1:16" ht="15.75" customHeight="1">
      <c r="A970" s="96"/>
      <c r="B970" s="75"/>
      <c r="C970" s="77"/>
      <c r="D970" s="75"/>
      <c r="E970" s="97"/>
      <c r="F970" s="77"/>
      <c r="G970" s="75"/>
      <c r="H970" s="97"/>
      <c r="I970" s="77"/>
      <c r="J970" s="77"/>
      <c r="K970" s="77"/>
      <c r="L970" s="77"/>
      <c r="M970" s="98"/>
      <c r="N970" s="77"/>
      <c r="O970" s="77"/>
      <c r="P970" s="77"/>
    </row>
    <row r="971" spans="1:16" ht="15.75" customHeight="1">
      <c r="A971" s="96"/>
      <c r="B971" s="75"/>
      <c r="C971" s="77"/>
      <c r="D971" s="75"/>
      <c r="E971" s="97"/>
      <c r="F971" s="77"/>
      <c r="G971" s="75"/>
      <c r="H971" s="97"/>
      <c r="I971" s="77"/>
      <c r="J971" s="77"/>
      <c r="K971" s="77"/>
      <c r="L971" s="77"/>
      <c r="M971" s="98"/>
      <c r="N971" s="77"/>
      <c r="O971" s="77"/>
      <c r="P971" s="77"/>
    </row>
    <row r="972" spans="1:16" ht="15.75" customHeight="1">
      <c r="A972" s="96"/>
      <c r="B972" s="75"/>
      <c r="C972" s="77"/>
      <c r="D972" s="75"/>
      <c r="E972" s="97"/>
      <c r="F972" s="77"/>
      <c r="G972" s="75"/>
      <c r="H972" s="97"/>
      <c r="I972" s="77"/>
      <c r="J972" s="77"/>
      <c r="K972" s="77"/>
      <c r="L972" s="77"/>
      <c r="M972" s="98"/>
      <c r="N972" s="77"/>
      <c r="O972" s="77"/>
      <c r="P972" s="77"/>
    </row>
    <row r="973" spans="1:16" ht="15.75" customHeight="1">
      <c r="A973" s="96"/>
      <c r="B973" s="75"/>
      <c r="C973" s="77"/>
      <c r="D973" s="75"/>
      <c r="E973" s="97"/>
      <c r="F973" s="77"/>
      <c r="G973" s="75"/>
      <c r="H973" s="97"/>
      <c r="I973" s="77"/>
      <c r="J973" s="77"/>
      <c r="K973" s="77"/>
      <c r="L973" s="77"/>
      <c r="M973" s="98"/>
      <c r="N973" s="77"/>
      <c r="O973" s="77"/>
      <c r="P973" s="77"/>
    </row>
    <row r="974" spans="1:16" ht="15.75" customHeight="1">
      <c r="A974" s="96"/>
      <c r="B974" s="75"/>
      <c r="C974" s="77"/>
      <c r="D974" s="75"/>
      <c r="E974" s="97"/>
      <c r="F974" s="77"/>
      <c r="G974" s="75"/>
      <c r="H974" s="97"/>
      <c r="I974" s="77"/>
      <c r="J974" s="77"/>
      <c r="K974" s="77"/>
      <c r="L974" s="77"/>
      <c r="M974" s="98"/>
      <c r="N974" s="77"/>
      <c r="O974" s="77"/>
      <c r="P974" s="77"/>
    </row>
    <row r="975" spans="1:16" ht="15.75" customHeight="1">
      <c r="A975" s="96"/>
      <c r="B975" s="75"/>
      <c r="C975" s="77"/>
      <c r="D975" s="75"/>
      <c r="E975" s="97"/>
      <c r="F975" s="77"/>
      <c r="G975" s="75"/>
      <c r="H975" s="97"/>
      <c r="I975" s="77"/>
      <c r="J975" s="77"/>
      <c r="K975" s="77"/>
      <c r="L975" s="77"/>
      <c r="M975" s="98"/>
      <c r="N975" s="77"/>
      <c r="O975" s="77"/>
      <c r="P975" s="77"/>
    </row>
    <row r="976" spans="1:16" ht="15.75" customHeight="1">
      <c r="A976" s="96"/>
      <c r="B976" s="75"/>
      <c r="C976" s="77"/>
      <c r="D976" s="75"/>
      <c r="E976" s="97"/>
      <c r="F976" s="77"/>
      <c r="G976" s="75"/>
      <c r="H976" s="97"/>
      <c r="I976" s="77"/>
      <c r="J976" s="77"/>
      <c r="K976" s="77"/>
      <c r="L976" s="77"/>
      <c r="M976" s="98"/>
      <c r="N976" s="77"/>
      <c r="O976" s="77"/>
      <c r="P976" s="77"/>
    </row>
    <row r="977" spans="1:16" ht="15.75" customHeight="1">
      <c r="A977" s="96"/>
      <c r="B977" s="75"/>
      <c r="C977" s="77"/>
      <c r="D977" s="75"/>
      <c r="E977" s="97"/>
      <c r="F977" s="77"/>
      <c r="G977" s="75"/>
      <c r="H977" s="97"/>
      <c r="I977" s="77"/>
      <c r="J977" s="77"/>
      <c r="K977" s="77"/>
      <c r="L977" s="77"/>
      <c r="M977" s="98"/>
      <c r="N977" s="77"/>
      <c r="O977" s="77"/>
      <c r="P977" s="77"/>
    </row>
    <row r="978" spans="1:16" ht="15.75" customHeight="1">
      <c r="A978" s="96"/>
      <c r="B978" s="75"/>
      <c r="C978" s="77"/>
      <c r="D978" s="75"/>
      <c r="E978" s="97"/>
      <c r="F978" s="77"/>
      <c r="G978" s="75"/>
      <c r="H978" s="97"/>
      <c r="I978" s="77"/>
      <c r="J978" s="77"/>
      <c r="K978" s="77"/>
      <c r="L978" s="77"/>
      <c r="M978" s="98"/>
      <c r="N978" s="77"/>
      <c r="O978" s="77"/>
      <c r="P978" s="77"/>
    </row>
    <row r="979" spans="1:16" ht="15.75" customHeight="1">
      <c r="A979" s="96"/>
      <c r="B979" s="75"/>
      <c r="C979" s="77"/>
      <c r="D979" s="75"/>
      <c r="E979" s="97"/>
      <c r="F979" s="77"/>
      <c r="G979" s="75"/>
      <c r="H979" s="97"/>
      <c r="I979" s="77"/>
      <c r="J979" s="77"/>
      <c r="K979" s="77"/>
      <c r="L979" s="77"/>
      <c r="M979" s="98"/>
      <c r="N979" s="77"/>
      <c r="O979" s="77"/>
      <c r="P979" s="77"/>
    </row>
    <row r="980" spans="1:16" ht="15.75" customHeight="1">
      <c r="A980" s="96"/>
      <c r="B980" s="75"/>
      <c r="C980" s="77"/>
      <c r="D980" s="75"/>
      <c r="E980" s="97"/>
      <c r="F980" s="77"/>
      <c r="G980" s="75"/>
      <c r="H980" s="97"/>
      <c r="I980" s="77"/>
      <c r="J980" s="77"/>
      <c r="K980" s="77"/>
      <c r="L980" s="77"/>
      <c r="M980" s="98"/>
      <c r="N980" s="77"/>
      <c r="O980" s="77"/>
      <c r="P980" s="77"/>
    </row>
    <row r="981" spans="1:16" ht="15.75" customHeight="1">
      <c r="A981" s="96"/>
      <c r="B981" s="75"/>
      <c r="C981" s="77"/>
      <c r="D981" s="75"/>
      <c r="E981" s="97"/>
      <c r="F981" s="77"/>
      <c r="G981" s="75"/>
      <c r="H981" s="97"/>
      <c r="I981" s="77"/>
      <c r="J981" s="77"/>
      <c r="K981" s="77"/>
      <c r="L981" s="77"/>
      <c r="M981" s="98"/>
      <c r="N981" s="77"/>
      <c r="O981" s="77"/>
      <c r="P981" s="77"/>
    </row>
    <row r="982" spans="1:16" ht="15.75" customHeight="1">
      <c r="A982" s="96"/>
      <c r="B982" s="75"/>
      <c r="C982" s="77"/>
      <c r="D982" s="75"/>
      <c r="E982" s="97"/>
      <c r="F982" s="77"/>
      <c r="G982" s="75"/>
      <c r="H982" s="97"/>
      <c r="I982" s="77"/>
      <c r="J982" s="77"/>
      <c r="K982" s="77"/>
      <c r="L982" s="77"/>
      <c r="M982" s="98"/>
      <c r="N982" s="77"/>
      <c r="O982" s="77"/>
      <c r="P982" s="77"/>
    </row>
    <row r="983" spans="1:16" ht="15.75" customHeight="1">
      <c r="A983" s="96"/>
      <c r="B983" s="75"/>
      <c r="C983" s="77"/>
      <c r="D983" s="75"/>
      <c r="E983" s="97"/>
      <c r="F983" s="77"/>
      <c r="G983" s="75"/>
      <c r="H983" s="97"/>
      <c r="I983" s="77"/>
      <c r="J983" s="77"/>
      <c r="K983" s="77"/>
      <c r="L983" s="77"/>
      <c r="M983" s="98"/>
      <c r="N983" s="77"/>
      <c r="O983" s="77"/>
      <c r="P983" s="77"/>
    </row>
    <row r="984" spans="1:16" ht="15.75" customHeight="1">
      <c r="A984" s="96"/>
      <c r="B984" s="75"/>
      <c r="C984" s="77"/>
      <c r="D984" s="75"/>
      <c r="E984" s="97"/>
      <c r="F984" s="77"/>
      <c r="G984" s="75"/>
      <c r="H984" s="97"/>
      <c r="I984" s="77"/>
      <c r="J984" s="77"/>
      <c r="K984" s="77"/>
      <c r="L984" s="77"/>
      <c r="M984" s="98"/>
      <c r="N984" s="77"/>
      <c r="O984" s="77"/>
      <c r="P984" s="77"/>
    </row>
    <row r="985" spans="1:16" ht="15.75" customHeight="1">
      <c r="A985" s="96"/>
      <c r="B985" s="75"/>
      <c r="C985" s="77"/>
      <c r="D985" s="75"/>
      <c r="E985" s="97"/>
      <c r="F985" s="77"/>
      <c r="G985" s="75"/>
      <c r="H985" s="97"/>
      <c r="I985" s="77"/>
      <c r="J985" s="77"/>
      <c r="K985" s="77"/>
      <c r="L985" s="77"/>
      <c r="M985" s="98"/>
      <c r="N985" s="77"/>
      <c r="O985" s="77"/>
      <c r="P985" s="77"/>
    </row>
    <row r="986" spans="1:16" ht="15.75" customHeight="1">
      <c r="A986" s="96"/>
      <c r="B986" s="75"/>
      <c r="C986" s="77"/>
      <c r="D986" s="75"/>
      <c r="E986" s="97"/>
      <c r="F986" s="77"/>
      <c r="G986" s="75"/>
      <c r="H986" s="97"/>
      <c r="I986" s="77"/>
      <c r="J986" s="77"/>
      <c r="K986" s="77"/>
      <c r="L986" s="77"/>
      <c r="M986" s="98"/>
      <c r="N986" s="77"/>
      <c r="O986" s="77"/>
      <c r="P986" s="77"/>
    </row>
    <row r="987" spans="1:16" ht="15.75" customHeight="1">
      <c r="A987" s="96"/>
      <c r="B987" s="75"/>
      <c r="C987" s="77"/>
      <c r="D987" s="75"/>
      <c r="E987" s="97"/>
      <c r="F987" s="77"/>
      <c r="G987" s="75"/>
      <c r="H987" s="97"/>
      <c r="I987" s="77"/>
      <c r="J987" s="77"/>
      <c r="K987" s="77"/>
      <c r="L987" s="77"/>
      <c r="M987" s="98"/>
      <c r="N987" s="77"/>
      <c r="O987" s="77"/>
      <c r="P987" s="77"/>
    </row>
    <row r="988" spans="1:16" ht="15.75" customHeight="1">
      <c r="A988" s="96"/>
      <c r="B988" s="75"/>
      <c r="C988" s="77"/>
      <c r="D988" s="75"/>
      <c r="E988" s="97"/>
      <c r="F988" s="77"/>
      <c r="G988" s="75"/>
      <c r="H988" s="97"/>
      <c r="I988" s="77"/>
      <c r="J988" s="77"/>
      <c r="K988" s="77"/>
      <c r="L988" s="77"/>
      <c r="M988" s="98"/>
      <c r="N988" s="77"/>
      <c r="O988" s="77"/>
      <c r="P988" s="77"/>
    </row>
    <row r="989" spans="1:16" ht="15.75" customHeight="1">
      <c r="A989" s="96"/>
      <c r="B989" s="75"/>
      <c r="C989" s="77"/>
      <c r="D989" s="75"/>
      <c r="E989" s="97"/>
      <c r="F989" s="77"/>
      <c r="G989" s="75"/>
      <c r="H989" s="97"/>
      <c r="I989" s="77"/>
      <c r="J989" s="77"/>
      <c r="K989" s="77"/>
      <c r="L989" s="77"/>
      <c r="M989" s="98"/>
      <c r="N989" s="77"/>
      <c r="O989" s="77"/>
      <c r="P989" s="77"/>
    </row>
    <row r="990" spans="1:16" ht="15.75" customHeight="1">
      <c r="A990" s="96"/>
      <c r="B990" s="75"/>
      <c r="C990" s="77"/>
      <c r="D990" s="75"/>
      <c r="E990" s="97"/>
      <c r="F990" s="77"/>
      <c r="G990" s="75"/>
      <c r="H990" s="97"/>
      <c r="I990" s="77"/>
      <c r="J990" s="77"/>
      <c r="K990" s="77"/>
      <c r="L990" s="77"/>
      <c r="M990" s="98"/>
      <c r="N990" s="77"/>
      <c r="O990" s="77"/>
      <c r="P990" s="77"/>
    </row>
    <row r="991" spans="1:16" ht="15.75" customHeight="1">
      <c r="A991" s="96"/>
      <c r="B991" s="75"/>
      <c r="C991" s="77"/>
      <c r="D991" s="75"/>
      <c r="E991" s="97"/>
      <c r="F991" s="77"/>
      <c r="G991" s="75"/>
      <c r="H991" s="97"/>
      <c r="I991" s="77"/>
      <c r="J991" s="77"/>
      <c r="K991" s="77"/>
      <c r="L991" s="77"/>
      <c r="M991" s="98"/>
      <c r="N991" s="77"/>
      <c r="O991" s="77"/>
      <c r="P991" s="77"/>
    </row>
    <row r="992" spans="1:16" ht="15.75" customHeight="1">
      <c r="A992" s="96"/>
      <c r="B992" s="75"/>
      <c r="C992" s="77"/>
      <c r="D992" s="75"/>
      <c r="E992" s="97"/>
      <c r="F992" s="77"/>
      <c r="G992" s="75"/>
      <c r="H992" s="97"/>
      <c r="I992" s="77"/>
      <c r="J992" s="77"/>
      <c r="K992" s="77"/>
      <c r="L992" s="77"/>
      <c r="M992" s="98"/>
      <c r="N992" s="77"/>
      <c r="O992" s="77"/>
      <c r="P992" s="77"/>
    </row>
    <row r="993" spans="1:16" ht="15.75" customHeight="1">
      <c r="A993" s="96"/>
      <c r="B993" s="75"/>
      <c r="C993" s="77"/>
      <c r="D993" s="75"/>
      <c r="E993" s="97"/>
      <c r="F993" s="77"/>
      <c r="G993" s="75"/>
      <c r="H993" s="97"/>
      <c r="I993" s="77"/>
      <c r="J993" s="77"/>
      <c r="K993" s="77"/>
      <c r="L993" s="77"/>
      <c r="M993" s="98"/>
      <c r="N993" s="77"/>
      <c r="O993" s="77"/>
      <c r="P993" s="77"/>
    </row>
    <row r="994" spans="1:16" ht="15.75" customHeight="1">
      <c r="A994" s="96"/>
      <c r="B994" s="75"/>
      <c r="C994" s="77"/>
      <c r="D994" s="75"/>
      <c r="E994" s="97"/>
      <c r="F994" s="77"/>
      <c r="G994" s="75"/>
      <c r="H994" s="97"/>
      <c r="I994" s="77"/>
      <c r="J994" s="77"/>
      <c r="K994" s="77"/>
      <c r="L994" s="77"/>
      <c r="M994" s="98"/>
      <c r="N994" s="77"/>
      <c r="O994" s="77"/>
      <c r="P994" s="77"/>
    </row>
    <row r="995" spans="1:16" ht="15.75" customHeight="1">
      <c r="A995" s="96"/>
      <c r="B995" s="75"/>
      <c r="C995" s="77"/>
      <c r="D995" s="75"/>
      <c r="E995" s="97"/>
      <c r="F995" s="77"/>
      <c r="G995" s="75"/>
      <c r="H995" s="97"/>
      <c r="I995" s="77"/>
      <c r="J995" s="77"/>
      <c r="K995" s="77"/>
      <c r="L995" s="77"/>
      <c r="M995" s="98"/>
      <c r="N995" s="77"/>
      <c r="O995" s="77"/>
      <c r="P995" s="77"/>
    </row>
    <row r="996" spans="1:16" ht="15.75" customHeight="1">
      <c r="A996" s="96"/>
      <c r="B996" s="75"/>
      <c r="C996" s="77"/>
      <c r="D996" s="75"/>
      <c r="E996" s="97"/>
      <c r="F996" s="77"/>
      <c r="G996" s="75"/>
      <c r="H996" s="97"/>
      <c r="I996" s="77"/>
      <c r="J996" s="77"/>
      <c r="K996" s="77"/>
      <c r="L996" s="77"/>
      <c r="M996" s="98"/>
      <c r="N996" s="77"/>
      <c r="O996" s="77"/>
      <c r="P996" s="77"/>
    </row>
    <row r="997" spans="1:16" ht="15.75" customHeight="1">
      <c r="A997" s="96"/>
      <c r="B997" s="75"/>
      <c r="C997" s="77"/>
      <c r="D997" s="75"/>
      <c r="E997" s="97"/>
      <c r="F997" s="77"/>
      <c r="G997" s="75"/>
      <c r="H997" s="97"/>
      <c r="I997" s="77"/>
      <c r="J997" s="77"/>
      <c r="K997" s="77"/>
      <c r="L997" s="77"/>
      <c r="M997" s="98"/>
      <c r="N997" s="77"/>
      <c r="O997" s="77"/>
      <c r="P997" s="77"/>
    </row>
    <row r="998" spans="1:16" ht="15.75" customHeight="1">
      <c r="A998" s="96"/>
      <c r="B998" s="75"/>
      <c r="C998" s="77"/>
      <c r="D998" s="75"/>
      <c r="E998" s="97"/>
      <c r="F998" s="77"/>
      <c r="G998" s="75"/>
      <c r="H998" s="97"/>
      <c r="I998" s="77"/>
      <c r="J998" s="77"/>
      <c r="K998" s="77"/>
      <c r="L998" s="77"/>
      <c r="M998" s="98"/>
      <c r="N998" s="77"/>
      <c r="O998" s="77"/>
      <c r="P998" s="77"/>
    </row>
  </sheetData>
  <mergeCells count="13">
    <mergeCell ref="P55:P56"/>
    <mergeCell ref="P2:P5"/>
    <mergeCell ref="P9:P11"/>
    <mergeCell ref="P13:P15"/>
    <mergeCell ref="P18:P26"/>
    <mergeCell ref="P27:P29"/>
    <mergeCell ref="P30:P35"/>
    <mergeCell ref="P36:P38"/>
    <mergeCell ref="P39:P41"/>
    <mergeCell ref="P42:P45"/>
    <mergeCell ref="P46:P49"/>
    <mergeCell ref="P50:P52"/>
    <mergeCell ref="P53:P54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995"/>
  <sheetViews>
    <sheetView workbookViewId="0"/>
  </sheetViews>
  <sheetFormatPr defaultColWidth="11.125" defaultRowHeight="15" customHeight="1"/>
  <cols>
    <col min="1" max="1" width="12.875" customWidth="1"/>
    <col min="2" max="5" width="10.875" customWidth="1"/>
    <col min="6" max="6" width="11.125" customWidth="1"/>
    <col min="7" max="9" width="10.875" customWidth="1"/>
    <col min="10" max="10" width="42.375" customWidth="1"/>
    <col min="11" max="27" width="10.5" customWidth="1"/>
  </cols>
  <sheetData>
    <row r="1" spans="1:27" ht="15.75" customHeight="1">
      <c r="A1" s="99" t="s">
        <v>0</v>
      </c>
      <c r="B1" s="100" t="s">
        <v>170</v>
      </c>
      <c r="C1" s="101" t="s">
        <v>3</v>
      </c>
      <c r="D1" s="100" t="s">
        <v>259</v>
      </c>
      <c r="E1" s="101" t="s">
        <v>260</v>
      </c>
      <c r="F1" s="101" t="s">
        <v>261</v>
      </c>
      <c r="G1" s="6" t="s">
        <v>262</v>
      </c>
      <c r="H1" s="6" t="s">
        <v>14</v>
      </c>
      <c r="I1" s="6" t="s">
        <v>12</v>
      </c>
      <c r="J1" s="86" t="s">
        <v>15</v>
      </c>
    </row>
    <row r="2" spans="1:27" ht="15.75" customHeight="1">
      <c r="A2" s="19" t="s">
        <v>263</v>
      </c>
      <c r="B2" s="12">
        <v>45012</v>
      </c>
      <c r="C2" s="13">
        <v>0.38472222222222224</v>
      </c>
      <c r="D2" s="12">
        <v>45012</v>
      </c>
      <c r="E2" s="13">
        <v>0.53402777777777777</v>
      </c>
      <c r="F2" s="19" t="s">
        <v>264</v>
      </c>
      <c r="G2" s="16" t="s">
        <v>265</v>
      </c>
      <c r="H2" s="16" t="s">
        <v>28</v>
      </c>
      <c r="I2" s="16" t="s">
        <v>20</v>
      </c>
      <c r="J2" s="102" t="s">
        <v>266</v>
      </c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spans="1:27" ht="15.75" customHeight="1">
      <c r="A3" s="19" t="s">
        <v>267</v>
      </c>
      <c r="B3" s="12">
        <v>45012</v>
      </c>
      <c r="C3" s="13">
        <v>0.38472222222222224</v>
      </c>
      <c r="D3" s="12">
        <v>45012</v>
      </c>
      <c r="E3" s="13">
        <v>0.53402777777777777</v>
      </c>
      <c r="F3" s="13">
        <v>0.53888888888888886</v>
      </c>
      <c r="G3" s="16" t="s">
        <v>268</v>
      </c>
      <c r="H3" s="16" t="s">
        <v>21</v>
      </c>
      <c r="I3" s="16" t="s">
        <v>20</v>
      </c>
      <c r="J3" s="102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1:27" ht="15.75" customHeight="1">
      <c r="A4" s="19" t="s">
        <v>269</v>
      </c>
      <c r="B4" s="12">
        <v>45058</v>
      </c>
      <c r="C4" s="13">
        <v>0.37222222222222223</v>
      </c>
      <c r="D4" s="12">
        <v>45058</v>
      </c>
      <c r="E4" s="13">
        <v>0.51111111111111107</v>
      </c>
      <c r="F4" s="13">
        <v>0.55277777777777781</v>
      </c>
      <c r="G4" s="16" t="s">
        <v>268</v>
      </c>
      <c r="H4" s="16" t="s">
        <v>21</v>
      </c>
      <c r="I4" s="16" t="s">
        <v>20</v>
      </c>
      <c r="J4" s="102" t="s">
        <v>270</v>
      </c>
    </row>
    <row r="5" spans="1:27" ht="15.75" customHeight="1">
      <c r="A5" s="19" t="s">
        <v>271</v>
      </c>
      <c r="B5" s="12">
        <v>45064</v>
      </c>
      <c r="C5" s="22">
        <v>0.32361111111111113</v>
      </c>
      <c r="D5" s="12">
        <v>45064</v>
      </c>
      <c r="E5" s="13">
        <v>0.5</v>
      </c>
      <c r="F5" s="13">
        <v>0.54166666666666663</v>
      </c>
      <c r="G5" s="14">
        <v>0.3</v>
      </c>
      <c r="H5" s="16" t="s">
        <v>21</v>
      </c>
      <c r="I5" s="16" t="s">
        <v>20</v>
      </c>
      <c r="J5" s="265" t="s">
        <v>272</v>
      </c>
    </row>
    <row r="6" spans="1:27" ht="15.75" customHeight="1">
      <c r="A6" s="19" t="s">
        <v>273</v>
      </c>
      <c r="B6" s="12">
        <v>45064</v>
      </c>
      <c r="C6" s="22">
        <v>0.32361111111111113</v>
      </c>
      <c r="D6" s="12">
        <v>45064</v>
      </c>
      <c r="E6" s="13">
        <v>0.50208333333333333</v>
      </c>
      <c r="F6" s="13">
        <v>0.54374999999999996</v>
      </c>
      <c r="G6" s="14">
        <v>0.2</v>
      </c>
      <c r="H6" s="16" t="s">
        <v>21</v>
      </c>
      <c r="I6" s="16" t="s">
        <v>20</v>
      </c>
      <c r="J6" s="253"/>
    </row>
    <row r="7" spans="1:27" ht="15.75" customHeight="1">
      <c r="A7" s="19" t="s">
        <v>274</v>
      </c>
      <c r="B7" s="12">
        <v>45064</v>
      </c>
      <c r="C7" s="22">
        <v>0.32361111111111113</v>
      </c>
      <c r="D7" s="12">
        <v>45064</v>
      </c>
      <c r="E7" s="13">
        <v>0.50347222222222221</v>
      </c>
      <c r="F7" s="13">
        <v>0.54513888888888884</v>
      </c>
      <c r="G7" s="14">
        <v>0.3</v>
      </c>
      <c r="H7" s="16" t="s">
        <v>21</v>
      </c>
      <c r="I7" s="16" t="s">
        <v>20</v>
      </c>
      <c r="J7" s="254"/>
    </row>
    <row r="8" spans="1:27" ht="15.75" customHeight="1">
      <c r="A8" s="19" t="s">
        <v>275</v>
      </c>
      <c r="B8" s="12">
        <v>45065</v>
      </c>
      <c r="C8" s="13">
        <v>0.40138888888888891</v>
      </c>
      <c r="D8" s="12">
        <v>45058</v>
      </c>
      <c r="E8" s="13">
        <v>0.51111111111111107</v>
      </c>
      <c r="F8" s="13">
        <v>0.55277777777777781</v>
      </c>
      <c r="G8" s="16" t="s">
        <v>268</v>
      </c>
      <c r="H8" s="16" t="s">
        <v>21</v>
      </c>
      <c r="I8" s="16" t="s">
        <v>20</v>
      </c>
      <c r="J8" s="265" t="s">
        <v>201</v>
      </c>
    </row>
    <row r="9" spans="1:27" ht="15.75" customHeight="1">
      <c r="A9" s="19" t="s">
        <v>276</v>
      </c>
      <c r="B9" s="12">
        <v>45065</v>
      </c>
      <c r="C9" s="13">
        <v>0.35486111111111113</v>
      </c>
      <c r="D9" s="12">
        <v>45065</v>
      </c>
      <c r="E9" s="13">
        <v>0.50138888888888888</v>
      </c>
      <c r="F9" s="13">
        <v>0.55277777777777781</v>
      </c>
      <c r="G9" s="16" t="s">
        <v>268</v>
      </c>
      <c r="H9" s="16" t="s">
        <v>21</v>
      </c>
      <c r="I9" s="16" t="s">
        <v>20</v>
      </c>
      <c r="J9" s="254"/>
    </row>
    <row r="10" spans="1:27" ht="15.75" customHeight="1">
      <c r="A10" s="19" t="s">
        <v>277</v>
      </c>
      <c r="B10" s="12">
        <v>45068</v>
      </c>
      <c r="C10" s="13">
        <v>0.3527777777777778</v>
      </c>
      <c r="D10" s="12">
        <v>45068</v>
      </c>
      <c r="E10" s="19" t="s">
        <v>278</v>
      </c>
      <c r="F10" s="13">
        <v>0.50138888888888888</v>
      </c>
      <c r="G10" s="16" t="s">
        <v>268</v>
      </c>
      <c r="H10" s="16" t="s">
        <v>21</v>
      </c>
      <c r="I10" s="16" t="s">
        <v>20</v>
      </c>
      <c r="J10" s="102" t="s">
        <v>279</v>
      </c>
    </row>
    <row r="11" spans="1:27" ht="15.75" customHeight="1">
      <c r="A11" s="19" t="s">
        <v>280</v>
      </c>
      <c r="B11" s="12">
        <v>45068</v>
      </c>
      <c r="C11" s="13">
        <v>0.38472222222222224</v>
      </c>
      <c r="D11" s="12">
        <v>45068</v>
      </c>
      <c r="E11" s="13">
        <v>0.9604166666666667</v>
      </c>
      <c r="F11" s="13">
        <v>0.50208333333333333</v>
      </c>
      <c r="G11" s="16" t="s">
        <v>268</v>
      </c>
      <c r="H11" s="16" t="s">
        <v>21</v>
      </c>
      <c r="I11" s="16" t="s">
        <v>20</v>
      </c>
      <c r="J11" s="102" t="s">
        <v>281</v>
      </c>
    </row>
    <row r="12" spans="1:27" ht="15.75" customHeight="1">
      <c r="A12" s="19" t="s">
        <v>282</v>
      </c>
      <c r="B12" s="12">
        <v>45070</v>
      </c>
      <c r="C12" s="13">
        <v>0.31944444444444442</v>
      </c>
      <c r="D12" s="12">
        <v>45070</v>
      </c>
      <c r="E12" s="13">
        <v>0.9604166666666667</v>
      </c>
      <c r="F12" s="13">
        <v>0.50208333333333333</v>
      </c>
      <c r="G12" s="16" t="s">
        <v>268</v>
      </c>
      <c r="H12" s="16" t="s">
        <v>21</v>
      </c>
      <c r="I12" s="16" t="s">
        <v>20</v>
      </c>
      <c r="J12" s="265" t="s">
        <v>283</v>
      </c>
    </row>
    <row r="13" spans="1:27" ht="15.75" customHeight="1">
      <c r="A13" s="19" t="s">
        <v>284</v>
      </c>
      <c r="B13" s="12">
        <v>45070</v>
      </c>
      <c r="C13" s="13">
        <v>0.41666666666666669</v>
      </c>
      <c r="D13" s="12">
        <v>45070</v>
      </c>
      <c r="E13" s="13">
        <v>0.9604166666666667</v>
      </c>
      <c r="F13" s="13">
        <v>0.50208333333333333</v>
      </c>
      <c r="G13" s="16" t="s">
        <v>268</v>
      </c>
      <c r="H13" s="16" t="s">
        <v>21</v>
      </c>
      <c r="I13" s="16" t="s">
        <v>20</v>
      </c>
      <c r="J13" s="253"/>
    </row>
    <row r="14" spans="1:27" ht="15.75" customHeight="1">
      <c r="A14" s="19" t="s">
        <v>285</v>
      </c>
      <c r="B14" s="12">
        <v>45070</v>
      </c>
      <c r="C14" s="13">
        <v>0.38472222222222224</v>
      </c>
      <c r="D14" s="12">
        <v>45070</v>
      </c>
      <c r="E14" s="13">
        <v>0.9604166666666667</v>
      </c>
      <c r="F14" s="13">
        <v>0.50208333333333333</v>
      </c>
      <c r="G14" s="16" t="s">
        <v>268</v>
      </c>
      <c r="H14" s="16" t="s">
        <v>21</v>
      </c>
      <c r="I14" s="16" t="s">
        <v>20</v>
      </c>
      <c r="J14" s="253"/>
    </row>
    <row r="15" spans="1:27" ht="15.75" customHeight="1">
      <c r="A15" s="19" t="s">
        <v>286</v>
      </c>
      <c r="B15" s="12">
        <v>45070</v>
      </c>
      <c r="C15" s="13">
        <v>0.39027777777777778</v>
      </c>
      <c r="D15" s="12">
        <v>45070</v>
      </c>
      <c r="E15" s="13">
        <v>0.9604166666666667</v>
      </c>
      <c r="F15" s="13">
        <v>0.50208333333333333</v>
      </c>
      <c r="G15" s="16" t="s">
        <v>268</v>
      </c>
      <c r="H15" s="16" t="s">
        <v>21</v>
      </c>
      <c r="I15" s="16" t="s">
        <v>20</v>
      </c>
      <c r="J15" s="253"/>
    </row>
    <row r="16" spans="1:27" ht="15.75" customHeight="1">
      <c r="A16" s="19" t="s">
        <v>287</v>
      </c>
      <c r="B16" s="12">
        <v>45070</v>
      </c>
      <c r="C16" s="13">
        <v>0.35833333333333334</v>
      </c>
      <c r="D16" s="12">
        <v>45070</v>
      </c>
      <c r="E16" s="13">
        <v>0.9604166666666667</v>
      </c>
      <c r="F16" s="13">
        <v>0.50208333333333333</v>
      </c>
      <c r="G16" s="16" t="s">
        <v>268</v>
      </c>
      <c r="H16" s="16" t="s">
        <v>21</v>
      </c>
      <c r="I16" s="16" t="s">
        <v>20</v>
      </c>
      <c r="J16" s="253"/>
    </row>
    <row r="17" spans="1:10" ht="15.75" customHeight="1">
      <c r="A17" s="19" t="s">
        <v>288</v>
      </c>
      <c r="B17" s="12">
        <v>45070</v>
      </c>
      <c r="C17" s="13">
        <v>0.44930555555555557</v>
      </c>
      <c r="D17" s="12">
        <v>45070</v>
      </c>
      <c r="E17" s="13">
        <v>0.9604166666666667</v>
      </c>
      <c r="F17" s="13">
        <v>0.50208333333333333</v>
      </c>
      <c r="G17" s="16" t="s">
        <v>268</v>
      </c>
      <c r="H17" s="16" t="s">
        <v>21</v>
      </c>
      <c r="I17" s="16" t="s">
        <v>20</v>
      </c>
      <c r="J17" s="253"/>
    </row>
    <row r="18" spans="1:10" ht="15.75" customHeight="1">
      <c r="A18" s="19" t="s">
        <v>289</v>
      </c>
      <c r="B18" s="12">
        <v>45070</v>
      </c>
      <c r="C18" s="13">
        <v>0.38472222222222224</v>
      </c>
      <c r="D18" s="12">
        <v>45070</v>
      </c>
      <c r="E18" s="13">
        <v>0.9604166666666667</v>
      </c>
      <c r="F18" s="13">
        <v>0.50208333333333333</v>
      </c>
      <c r="G18" s="16" t="s">
        <v>268</v>
      </c>
      <c r="H18" s="16" t="s">
        <v>21</v>
      </c>
      <c r="I18" s="16" t="s">
        <v>20</v>
      </c>
      <c r="J18" s="253"/>
    </row>
    <row r="19" spans="1:10" ht="15.75" customHeight="1">
      <c r="A19" s="19" t="s">
        <v>290</v>
      </c>
      <c r="B19" s="12">
        <v>45070</v>
      </c>
      <c r="C19" s="13">
        <v>5.8333333333333334E-2</v>
      </c>
      <c r="D19" s="12">
        <v>45070</v>
      </c>
      <c r="E19" s="13">
        <v>0.9604166666666667</v>
      </c>
      <c r="F19" s="13">
        <v>0.50208333333333333</v>
      </c>
      <c r="G19" s="16" t="s">
        <v>268</v>
      </c>
      <c r="H19" s="16" t="s">
        <v>21</v>
      </c>
      <c r="I19" s="16" t="s">
        <v>20</v>
      </c>
      <c r="J19" s="253"/>
    </row>
    <row r="20" spans="1:10" ht="15.75" customHeight="1">
      <c r="A20" s="19" t="s">
        <v>291</v>
      </c>
      <c r="B20" s="12">
        <v>45070</v>
      </c>
      <c r="C20" s="13">
        <v>0.5180555555555556</v>
      </c>
      <c r="D20" s="12">
        <v>45070</v>
      </c>
      <c r="E20" s="13">
        <v>0.9604166666666667</v>
      </c>
      <c r="F20" s="13">
        <v>0.50208333333333333</v>
      </c>
      <c r="G20" s="16" t="s">
        <v>268</v>
      </c>
      <c r="H20" s="16" t="s">
        <v>21</v>
      </c>
      <c r="I20" s="16" t="s">
        <v>20</v>
      </c>
      <c r="J20" s="254"/>
    </row>
    <row r="21" spans="1:10" ht="15.75" customHeight="1">
      <c r="A21" s="19" t="s">
        <v>292</v>
      </c>
      <c r="B21" s="12">
        <v>45071</v>
      </c>
      <c r="C21" s="13">
        <v>0.36319444444444443</v>
      </c>
      <c r="D21" s="12">
        <v>45071</v>
      </c>
      <c r="E21" s="13">
        <v>0.49166666666666664</v>
      </c>
      <c r="F21" s="13">
        <v>3.3333333333333333E-2</v>
      </c>
      <c r="G21" s="16" t="s">
        <v>268</v>
      </c>
      <c r="H21" s="16" t="s">
        <v>21</v>
      </c>
      <c r="I21" s="16" t="s">
        <v>20</v>
      </c>
      <c r="J21" s="265" t="s">
        <v>293</v>
      </c>
    </row>
    <row r="22" spans="1:10" ht="15.75" customHeight="1">
      <c r="A22" s="19" t="s">
        <v>294</v>
      </c>
      <c r="B22" s="12">
        <v>45071</v>
      </c>
      <c r="C22" s="13">
        <v>0.40208333333333335</v>
      </c>
      <c r="D22" s="12">
        <v>45071</v>
      </c>
      <c r="E22" s="13">
        <v>0.49236111111111114</v>
      </c>
      <c r="F22" s="13">
        <v>0.53402777777777777</v>
      </c>
      <c r="G22" s="16" t="s">
        <v>268</v>
      </c>
      <c r="H22" s="16" t="s">
        <v>21</v>
      </c>
      <c r="I22" s="16" t="s">
        <v>20</v>
      </c>
      <c r="J22" s="253"/>
    </row>
    <row r="23" spans="1:10" ht="15.75" customHeight="1">
      <c r="A23" s="19" t="s">
        <v>295</v>
      </c>
      <c r="B23" s="12">
        <v>45071</v>
      </c>
      <c r="C23" s="13">
        <v>0.42638888888888887</v>
      </c>
      <c r="D23" s="12">
        <v>45071</v>
      </c>
      <c r="E23" s="13">
        <v>0.49444444444444446</v>
      </c>
      <c r="F23" s="13">
        <v>0.53611111111111109</v>
      </c>
      <c r="G23" s="16" t="s">
        <v>268</v>
      </c>
      <c r="H23" s="16" t="s">
        <v>21</v>
      </c>
      <c r="I23" s="16" t="s">
        <v>20</v>
      </c>
      <c r="J23" s="254"/>
    </row>
    <row r="24" spans="1:10" ht="15.75">
      <c r="A24" s="10" t="s">
        <v>296</v>
      </c>
      <c r="B24" s="46">
        <v>45089</v>
      </c>
      <c r="C24" s="104">
        <v>0.42083333333333334</v>
      </c>
      <c r="D24" s="46">
        <v>45089</v>
      </c>
      <c r="E24" s="105">
        <v>0.65555555555555556</v>
      </c>
      <c r="F24" s="105">
        <v>0.69722222222222219</v>
      </c>
      <c r="G24" s="50" t="s">
        <v>268</v>
      </c>
      <c r="H24" s="50" t="s">
        <v>21</v>
      </c>
      <c r="I24" s="50" t="s">
        <v>20</v>
      </c>
      <c r="J24" s="265" t="s">
        <v>297</v>
      </c>
    </row>
    <row r="25" spans="1:10" ht="15.75" customHeight="1">
      <c r="A25" s="10" t="s">
        <v>298</v>
      </c>
      <c r="B25" s="46">
        <v>45089</v>
      </c>
      <c r="C25" s="104">
        <v>0.4548611111111111</v>
      </c>
      <c r="D25" s="46">
        <v>45089</v>
      </c>
      <c r="E25" s="105">
        <v>0.65625</v>
      </c>
      <c r="F25" s="105">
        <v>0.69791666666666663</v>
      </c>
      <c r="G25" s="50" t="s">
        <v>268</v>
      </c>
      <c r="H25" s="50" t="s">
        <v>21</v>
      </c>
      <c r="I25" s="50" t="s">
        <v>20</v>
      </c>
      <c r="J25" s="253"/>
    </row>
    <row r="26" spans="1:10" ht="15.75" customHeight="1">
      <c r="A26" s="10" t="s">
        <v>299</v>
      </c>
      <c r="B26" s="46">
        <v>45089</v>
      </c>
      <c r="C26" s="104">
        <v>0.61041666666666672</v>
      </c>
      <c r="D26" s="46">
        <v>45090</v>
      </c>
      <c r="E26" s="105">
        <v>0.91805555555555551</v>
      </c>
      <c r="F26" s="105">
        <v>0.95972222222222225</v>
      </c>
      <c r="G26" s="50" t="s">
        <v>268</v>
      </c>
      <c r="H26" s="50" t="s">
        <v>21</v>
      </c>
      <c r="I26" s="50" t="s">
        <v>20</v>
      </c>
      <c r="J26" s="253"/>
    </row>
    <row r="27" spans="1:10" ht="15.75" customHeight="1">
      <c r="A27" s="10" t="s">
        <v>300</v>
      </c>
      <c r="B27" s="46">
        <v>45089</v>
      </c>
      <c r="C27" s="104">
        <v>0.52013888888888893</v>
      </c>
      <c r="D27" s="46">
        <v>45089</v>
      </c>
      <c r="E27" s="105">
        <v>0.65694444444444444</v>
      </c>
      <c r="F27" s="105">
        <v>0.7</v>
      </c>
      <c r="G27" s="50" t="s">
        <v>268</v>
      </c>
      <c r="H27" s="50" t="s">
        <v>21</v>
      </c>
      <c r="I27" s="50" t="s">
        <v>20</v>
      </c>
      <c r="J27" s="253"/>
    </row>
    <row r="28" spans="1:10" ht="15.75" customHeight="1">
      <c r="A28" s="10" t="s">
        <v>301</v>
      </c>
      <c r="B28" s="46">
        <v>45089</v>
      </c>
      <c r="C28" s="104">
        <v>0.59236111111111112</v>
      </c>
      <c r="D28" s="46">
        <v>45090</v>
      </c>
      <c r="E28" s="105">
        <v>0.41666666666666669</v>
      </c>
      <c r="F28" s="105">
        <v>0.45833333333333331</v>
      </c>
      <c r="G28" s="50" t="s">
        <v>268</v>
      </c>
      <c r="H28" s="50" t="s">
        <v>21</v>
      </c>
      <c r="I28" s="50" t="s">
        <v>20</v>
      </c>
      <c r="J28" s="253"/>
    </row>
    <row r="29" spans="1:10" ht="15.75" customHeight="1">
      <c r="A29" s="10" t="s">
        <v>302</v>
      </c>
      <c r="B29" s="46">
        <v>45089</v>
      </c>
      <c r="C29" s="104">
        <v>0.47222222222222221</v>
      </c>
      <c r="D29" s="46">
        <v>45089</v>
      </c>
      <c r="E29" s="105">
        <v>0.65555555555555556</v>
      </c>
      <c r="F29" s="105">
        <v>0.69722222222222219</v>
      </c>
      <c r="G29" s="50" t="s">
        <v>268</v>
      </c>
      <c r="H29" s="50" t="s">
        <v>21</v>
      </c>
      <c r="I29" s="50" t="s">
        <v>20</v>
      </c>
      <c r="J29" s="254"/>
    </row>
    <row r="30" spans="1:10" ht="15.75" customHeight="1">
      <c r="A30" s="19" t="s">
        <v>303</v>
      </c>
      <c r="B30" s="12">
        <v>45091</v>
      </c>
      <c r="C30" s="57">
        <v>0.38055555555555554</v>
      </c>
      <c r="D30" s="12">
        <v>45091</v>
      </c>
      <c r="E30" s="38">
        <v>0.55000000000000004</v>
      </c>
      <c r="F30" s="38">
        <v>0.59166666666666667</v>
      </c>
      <c r="G30" s="16" t="s">
        <v>268</v>
      </c>
      <c r="H30" s="16" t="s">
        <v>21</v>
      </c>
      <c r="I30" s="23" t="s">
        <v>96</v>
      </c>
      <c r="J30" s="265" t="s">
        <v>304</v>
      </c>
    </row>
    <row r="31" spans="1:10" ht="15.75" customHeight="1">
      <c r="A31" s="19" t="s">
        <v>305</v>
      </c>
      <c r="B31" s="12">
        <v>45091</v>
      </c>
      <c r="C31" s="57">
        <v>0.3611111111111111</v>
      </c>
      <c r="D31" s="12">
        <v>45091</v>
      </c>
      <c r="E31" s="38">
        <v>0.55000000000000004</v>
      </c>
      <c r="F31" s="38">
        <v>0.59166666666666667</v>
      </c>
      <c r="G31" s="16" t="s">
        <v>268</v>
      </c>
      <c r="H31" s="16" t="s">
        <v>21</v>
      </c>
      <c r="I31" s="23" t="s">
        <v>96</v>
      </c>
      <c r="J31" s="253"/>
    </row>
    <row r="32" spans="1:10" ht="15.75" customHeight="1">
      <c r="A32" s="19" t="s">
        <v>306</v>
      </c>
      <c r="B32" s="12">
        <v>45091</v>
      </c>
      <c r="C32" s="57">
        <v>0.41666666666666669</v>
      </c>
      <c r="D32" s="12">
        <v>45091</v>
      </c>
      <c r="E32" s="38">
        <v>0.55069444444444449</v>
      </c>
      <c r="F32" s="38">
        <v>0.59236111111111112</v>
      </c>
      <c r="G32" s="16" t="s">
        <v>268</v>
      </c>
      <c r="H32" s="16" t="s">
        <v>21</v>
      </c>
      <c r="I32" s="23" t="s">
        <v>96</v>
      </c>
      <c r="J32" s="254"/>
    </row>
    <row r="33" spans="1:10" ht="15.75" customHeight="1">
      <c r="A33" s="19" t="s">
        <v>307</v>
      </c>
      <c r="B33" s="12">
        <v>45092</v>
      </c>
      <c r="C33" s="13">
        <v>0.42083333333333334</v>
      </c>
      <c r="D33" s="12">
        <v>45092</v>
      </c>
      <c r="E33" s="38">
        <v>0.54513888888888884</v>
      </c>
      <c r="F33" s="38">
        <v>0.58680555555555558</v>
      </c>
      <c r="G33" s="16" t="s">
        <v>268</v>
      </c>
      <c r="H33" s="16" t="s">
        <v>21</v>
      </c>
      <c r="I33" s="23" t="s">
        <v>96</v>
      </c>
      <c r="J33" s="265" t="s">
        <v>308</v>
      </c>
    </row>
    <row r="34" spans="1:10" ht="15.75" customHeight="1">
      <c r="A34" s="19" t="s">
        <v>309</v>
      </c>
      <c r="B34" s="12">
        <v>45092</v>
      </c>
      <c r="C34" s="13">
        <v>0.44305555555555554</v>
      </c>
      <c r="D34" s="12">
        <v>45092</v>
      </c>
      <c r="E34" s="38">
        <v>0.54652777777777772</v>
      </c>
      <c r="F34" s="38">
        <v>0.58819444444444446</v>
      </c>
      <c r="G34" s="16" t="s">
        <v>268</v>
      </c>
      <c r="H34" s="16" t="s">
        <v>21</v>
      </c>
      <c r="I34" s="23" t="s">
        <v>96</v>
      </c>
      <c r="J34" s="253"/>
    </row>
    <row r="35" spans="1:10" ht="15.75" customHeight="1">
      <c r="A35" s="19" t="s">
        <v>310</v>
      </c>
      <c r="B35" s="60">
        <v>45092</v>
      </c>
      <c r="C35" s="13">
        <v>0.46944444444444444</v>
      </c>
      <c r="D35" s="12">
        <v>45092</v>
      </c>
      <c r="E35" s="38">
        <v>0.54722222222222228</v>
      </c>
      <c r="F35" s="38">
        <v>0.58888888888888891</v>
      </c>
      <c r="G35" s="16" t="s">
        <v>268</v>
      </c>
      <c r="H35" s="16" t="s">
        <v>21</v>
      </c>
      <c r="I35" s="23" t="s">
        <v>96</v>
      </c>
      <c r="J35" s="254"/>
    </row>
    <row r="36" spans="1:10" ht="15.75" customHeight="1">
      <c r="A36" s="19" t="s">
        <v>311</v>
      </c>
      <c r="B36" s="60">
        <v>45098</v>
      </c>
      <c r="C36" s="22">
        <v>0.5083333333333333</v>
      </c>
      <c r="D36" s="60">
        <v>45099</v>
      </c>
      <c r="E36" s="36">
        <v>0.58333333333333337</v>
      </c>
      <c r="F36" s="36">
        <v>0.625</v>
      </c>
      <c r="G36" s="16" t="s">
        <v>268</v>
      </c>
      <c r="H36" s="16" t="s">
        <v>21</v>
      </c>
      <c r="I36" s="23" t="s">
        <v>96</v>
      </c>
      <c r="J36" s="265" t="s">
        <v>312</v>
      </c>
    </row>
    <row r="37" spans="1:10" ht="15.75" customHeight="1">
      <c r="A37" s="19" t="s">
        <v>313</v>
      </c>
      <c r="B37" s="60">
        <v>45098</v>
      </c>
      <c r="C37" s="22">
        <v>0.55555555555555558</v>
      </c>
      <c r="D37" s="60">
        <v>45099</v>
      </c>
      <c r="E37" s="36">
        <v>0.5854166666666667</v>
      </c>
      <c r="F37" s="36">
        <v>0.62708333333333333</v>
      </c>
      <c r="G37" s="16" t="s">
        <v>268</v>
      </c>
      <c r="H37" s="16" t="s">
        <v>21</v>
      </c>
      <c r="I37" s="23" t="s">
        <v>96</v>
      </c>
      <c r="J37" s="253"/>
    </row>
    <row r="38" spans="1:10" ht="15.75" customHeight="1">
      <c r="A38" s="19" t="s">
        <v>314</v>
      </c>
      <c r="B38" s="60">
        <v>45098</v>
      </c>
      <c r="C38" s="13">
        <v>0.58680555555555558</v>
      </c>
      <c r="D38" s="60">
        <v>45099</v>
      </c>
      <c r="E38" s="36">
        <v>0.58611111111111114</v>
      </c>
      <c r="F38" s="36">
        <v>0.62777777777777777</v>
      </c>
      <c r="G38" s="16" t="s">
        <v>268</v>
      </c>
      <c r="H38" s="16" t="s">
        <v>21</v>
      </c>
      <c r="I38" s="23" t="s">
        <v>96</v>
      </c>
      <c r="J38" s="253"/>
    </row>
    <row r="39" spans="1:10" ht="15.75" customHeight="1">
      <c r="A39" s="19" t="s">
        <v>315</v>
      </c>
      <c r="B39" s="60">
        <v>45098</v>
      </c>
      <c r="C39" s="22">
        <v>0.62847222222222221</v>
      </c>
      <c r="D39" s="60">
        <v>45099</v>
      </c>
      <c r="E39" s="36">
        <v>0.58750000000000002</v>
      </c>
      <c r="F39" s="36">
        <v>0.62916666666666665</v>
      </c>
      <c r="G39" s="16" t="s">
        <v>268</v>
      </c>
      <c r="H39" s="16" t="s">
        <v>21</v>
      </c>
      <c r="I39" s="23" t="s">
        <v>96</v>
      </c>
      <c r="J39" s="254"/>
    </row>
    <row r="40" spans="1:10" ht="15.75" customHeight="1">
      <c r="A40" s="61" t="s">
        <v>316</v>
      </c>
      <c r="B40" s="60">
        <v>45103</v>
      </c>
      <c r="C40" s="13">
        <v>0.32847222222222222</v>
      </c>
      <c r="D40" s="60">
        <v>45104</v>
      </c>
      <c r="E40" s="38">
        <v>0.41249999999999998</v>
      </c>
      <c r="F40" s="38">
        <v>0.45416666666666666</v>
      </c>
      <c r="G40" s="16" t="s">
        <v>268</v>
      </c>
      <c r="H40" s="16" t="s">
        <v>21</v>
      </c>
      <c r="I40" s="23" t="s">
        <v>96</v>
      </c>
      <c r="J40" s="265" t="s">
        <v>317</v>
      </c>
    </row>
    <row r="41" spans="1:10" ht="15.75" customHeight="1">
      <c r="A41" s="61" t="s">
        <v>318</v>
      </c>
      <c r="B41" s="60">
        <v>45103</v>
      </c>
      <c r="C41" s="13">
        <v>0.40277777777777779</v>
      </c>
      <c r="D41" s="60">
        <v>45104</v>
      </c>
      <c r="E41" s="38">
        <v>0.41388888888888886</v>
      </c>
      <c r="F41" s="38">
        <v>0.45555555555555555</v>
      </c>
      <c r="G41" s="16" t="s">
        <v>268</v>
      </c>
      <c r="H41" s="16" t="s">
        <v>21</v>
      </c>
      <c r="I41" s="23" t="s">
        <v>96</v>
      </c>
      <c r="J41" s="253"/>
    </row>
    <row r="42" spans="1:10" ht="15.75" customHeight="1">
      <c r="A42" s="61" t="s">
        <v>319</v>
      </c>
      <c r="B42" s="60">
        <v>45103</v>
      </c>
      <c r="C42" s="13">
        <v>0.44513888888888886</v>
      </c>
      <c r="D42" s="60">
        <v>45104</v>
      </c>
      <c r="E42" s="38">
        <v>0.41458333333333336</v>
      </c>
      <c r="F42" s="38">
        <v>0.45624999999999999</v>
      </c>
      <c r="G42" s="16" t="s">
        <v>268</v>
      </c>
      <c r="H42" s="16" t="s">
        <v>21</v>
      </c>
      <c r="I42" s="23" t="s">
        <v>96</v>
      </c>
      <c r="J42" s="253"/>
    </row>
    <row r="43" spans="1:10" ht="15.75" customHeight="1">
      <c r="A43" s="61" t="s">
        <v>320</v>
      </c>
      <c r="B43" s="60">
        <v>45103</v>
      </c>
      <c r="C43" s="13">
        <v>0.46666666666666667</v>
      </c>
      <c r="D43" s="60">
        <v>45104</v>
      </c>
      <c r="E43" s="36">
        <v>0.41666666666666669</v>
      </c>
      <c r="F43" s="38">
        <v>0.45833333333333331</v>
      </c>
      <c r="G43" s="16" t="s">
        <v>268</v>
      </c>
      <c r="H43" s="16" t="s">
        <v>21</v>
      </c>
      <c r="I43" s="23" t="s">
        <v>96</v>
      </c>
      <c r="J43" s="254"/>
    </row>
    <row r="44" spans="1:10" ht="15.75" customHeight="1">
      <c r="A44" s="61" t="s">
        <v>321</v>
      </c>
      <c r="B44" s="60">
        <v>45104</v>
      </c>
      <c r="C44" s="47">
        <v>0.30902777777777779</v>
      </c>
      <c r="D44" s="60">
        <v>45105</v>
      </c>
      <c r="E44" s="38">
        <v>0.45902777777777776</v>
      </c>
      <c r="F44" s="38">
        <v>0.50069444444444444</v>
      </c>
      <c r="G44" s="16" t="s">
        <v>268</v>
      </c>
      <c r="H44" s="16" t="s">
        <v>21</v>
      </c>
      <c r="I44" s="23" t="s">
        <v>322</v>
      </c>
      <c r="J44" s="265" t="s">
        <v>323</v>
      </c>
    </row>
    <row r="45" spans="1:10" ht="15.75" customHeight="1">
      <c r="A45" s="61" t="s">
        <v>324</v>
      </c>
      <c r="B45" s="60">
        <v>45104</v>
      </c>
      <c r="C45" s="47">
        <v>0.35416666666666669</v>
      </c>
      <c r="D45" s="60">
        <v>45105</v>
      </c>
      <c r="E45" s="38">
        <v>0.46041666666666664</v>
      </c>
      <c r="F45" s="38">
        <v>0.50208333333333333</v>
      </c>
      <c r="G45" s="16" t="s">
        <v>268</v>
      </c>
      <c r="H45" s="16" t="s">
        <v>21</v>
      </c>
      <c r="I45" s="23" t="s">
        <v>322</v>
      </c>
      <c r="J45" s="253"/>
    </row>
    <row r="46" spans="1:10" ht="15.75" customHeight="1">
      <c r="A46" s="61" t="s">
        <v>325</v>
      </c>
      <c r="B46" s="60">
        <v>45104</v>
      </c>
      <c r="C46" s="64">
        <v>0.42638888888888887</v>
      </c>
      <c r="D46" s="60">
        <v>45105</v>
      </c>
      <c r="E46" s="38">
        <v>0.46111111111111114</v>
      </c>
      <c r="F46" s="38">
        <v>0.50277777777777777</v>
      </c>
      <c r="G46" s="16" t="s">
        <v>268</v>
      </c>
      <c r="H46" s="16" t="s">
        <v>21</v>
      </c>
      <c r="I46" s="23" t="s">
        <v>322</v>
      </c>
      <c r="J46" s="254"/>
    </row>
    <row r="47" spans="1:10" ht="15.75" customHeight="1">
      <c r="A47" s="61" t="s">
        <v>326</v>
      </c>
      <c r="B47" s="60">
        <v>45105</v>
      </c>
      <c r="C47" s="64">
        <v>0.33263888888888887</v>
      </c>
      <c r="D47" s="60">
        <v>45106</v>
      </c>
      <c r="E47" s="36">
        <v>0.45833333333333331</v>
      </c>
      <c r="F47" s="36">
        <v>0.5</v>
      </c>
      <c r="G47" s="16" t="s">
        <v>268</v>
      </c>
      <c r="H47" s="16" t="s">
        <v>21</v>
      </c>
      <c r="I47" s="23" t="s">
        <v>96</v>
      </c>
      <c r="J47" s="265" t="s">
        <v>327</v>
      </c>
    </row>
    <row r="48" spans="1:10" ht="15.75" customHeight="1">
      <c r="A48" s="61" t="s">
        <v>328</v>
      </c>
      <c r="B48" s="60">
        <v>45105</v>
      </c>
      <c r="C48" s="64">
        <v>0.35416666666666669</v>
      </c>
      <c r="D48" s="60">
        <v>45106</v>
      </c>
      <c r="E48" s="38">
        <v>0.4597222222222222</v>
      </c>
      <c r="F48" s="38">
        <v>0.50138888888888888</v>
      </c>
      <c r="G48" s="16" t="s">
        <v>268</v>
      </c>
      <c r="H48" s="16" t="s">
        <v>21</v>
      </c>
      <c r="I48" s="23" t="s">
        <v>96</v>
      </c>
      <c r="J48" s="254"/>
    </row>
    <row r="49" spans="1:10" ht="15.75" customHeight="1">
      <c r="A49" s="61" t="s">
        <v>329</v>
      </c>
      <c r="B49" s="60">
        <v>45106</v>
      </c>
      <c r="C49" s="64">
        <v>0.29166666666666669</v>
      </c>
      <c r="D49" s="60">
        <v>45106</v>
      </c>
      <c r="E49" s="38">
        <v>0.66319444444444442</v>
      </c>
      <c r="F49" s="38">
        <v>0.70486111111111116</v>
      </c>
      <c r="G49" s="16" t="s">
        <v>268</v>
      </c>
      <c r="H49" s="16" t="s">
        <v>21</v>
      </c>
      <c r="I49" s="23" t="s">
        <v>20</v>
      </c>
      <c r="J49" s="265" t="s">
        <v>330</v>
      </c>
    </row>
    <row r="50" spans="1:10" ht="15.75" customHeight="1">
      <c r="A50" s="61" t="s">
        <v>331</v>
      </c>
      <c r="B50" s="60">
        <v>45106</v>
      </c>
      <c r="C50" s="64">
        <v>0.32569444444444445</v>
      </c>
      <c r="D50" s="60">
        <v>45106</v>
      </c>
      <c r="E50" s="38">
        <v>0.66388888888888886</v>
      </c>
      <c r="F50" s="38">
        <v>0.7055555555555556</v>
      </c>
      <c r="G50" s="16" t="s">
        <v>268</v>
      </c>
      <c r="H50" s="16" t="s">
        <v>21</v>
      </c>
      <c r="I50" s="23" t="s">
        <v>20</v>
      </c>
      <c r="J50" s="254"/>
    </row>
    <row r="51" spans="1:10" ht="15.75" customHeight="1">
      <c r="B51" s="106"/>
      <c r="C51" s="107"/>
      <c r="D51" s="108"/>
      <c r="E51" s="109"/>
      <c r="F51" s="109"/>
      <c r="G51" s="110"/>
      <c r="H51" s="110"/>
      <c r="I51" s="110"/>
      <c r="J51" s="18"/>
    </row>
    <row r="52" spans="1:10" ht="15.75" customHeight="1">
      <c r="B52" s="106"/>
      <c r="C52" s="107"/>
      <c r="D52" s="108"/>
      <c r="E52" s="109"/>
      <c r="F52" s="109"/>
      <c r="G52" s="110"/>
      <c r="H52" s="110"/>
      <c r="I52" s="110"/>
      <c r="J52" s="18"/>
    </row>
    <row r="53" spans="1:10" ht="15.75" customHeight="1">
      <c r="B53" s="106"/>
      <c r="C53" s="107"/>
      <c r="D53" s="108"/>
      <c r="E53" s="109"/>
      <c r="F53" s="109"/>
      <c r="G53" s="110"/>
      <c r="H53" s="110"/>
      <c r="I53" s="110"/>
      <c r="J53" s="18"/>
    </row>
    <row r="54" spans="1:10" ht="15.75" customHeight="1">
      <c r="B54" s="106"/>
      <c r="C54" s="107"/>
      <c r="D54" s="108"/>
      <c r="E54" s="109"/>
      <c r="F54" s="109"/>
      <c r="G54" s="110"/>
      <c r="H54" s="110"/>
      <c r="I54" s="110"/>
      <c r="J54" s="18"/>
    </row>
    <row r="55" spans="1:10" ht="15.75" customHeight="1">
      <c r="B55" s="106"/>
      <c r="C55" s="107"/>
      <c r="D55" s="108"/>
      <c r="E55" s="109"/>
      <c r="F55" s="109"/>
      <c r="G55" s="110"/>
      <c r="H55" s="110"/>
      <c r="I55" s="110"/>
      <c r="J55" s="18"/>
    </row>
    <row r="56" spans="1:10" ht="15.75" customHeight="1">
      <c r="B56" s="106"/>
      <c r="C56" s="107"/>
      <c r="D56" s="108"/>
      <c r="E56" s="109"/>
      <c r="F56" s="109"/>
      <c r="G56" s="110"/>
      <c r="H56" s="110"/>
      <c r="I56" s="110"/>
      <c r="J56" s="18"/>
    </row>
    <row r="57" spans="1:10" ht="15.75" customHeight="1">
      <c r="B57" s="106"/>
      <c r="C57" s="107"/>
      <c r="D57" s="108"/>
      <c r="E57" s="109"/>
      <c r="F57" s="109"/>
      <c r="G57" s="110"/>
      <c r="H57" s="110"/>
      <c r="I57" s="110"/>
      <c r="J57" s="18"/>
    </row>
    <row r="58" spans="1:10" ht="15.75" customHeight="1">
      <c r="B58" s="106"/>
      <c r="C58" s="107"/>
      <c r="D58" s="108"/>
      <c r="E58" s="109"/>
      <c r="F58" s="109"/>
      <c r="G58" s="110"/>
      <c r="H58" s="110"/>
      <c r="I58" s="110"/>
      <c r="J58" s="18"/>
    </row>
    <row r="59" spans="1:10" ht="15.75" customHeight="1">
      <c r="B59" s="106"/>
      <c r="C59" s="107"/>
      <c r="D59" s="108"/>
      <c r="E59" s="109"/>
      <c r="F59" s="109"/>
      <c r="G59" s="110"/>
      <c r="H59" s="110"/>
      <c r="I59" s="110"/>
      <c r="J59" s="18"/>
    </row>
    <row r="60" spans="1:10" ht="15.75" customHeight="1">
      <c r="B60" s="106"/>
      <c r="C60" s="107"/>
      <c r="D60" s="108"/>
      <c r="E60" s="109"/>
      <c r="F60" s="109"/>
      <c r="G60" s="110"/>
      <c r="H60" s="110"/>
      <c r="I60" s="110"/>
      <c r="J60" s="18"/>
    </row>
    <row r="61" spans="1:10" ht="15.75" customHeight="1">
      <c r="B61" s="106"/>
      <c r="C61" s="107"/>
      <c r="D61" s="108"/>
      <c r="E61" s="109"/>
      <c r="F61" s="109"/>
      <c r="G61" s="110"/>
      <c r="H61" s="110"/>
      <c r="I61" s="110"/>
      <c r="J61" s="18"/>
    </row>
    <row r="62" spans="1:10" ht="15.75" customHeight="1">
      <c r="B62" s="106"/>
      <c r="C62" s="107"/>
      <c r="D62" s="108"/>
      <c r="E62" s="109"/>
      <c r="F62" s="109"/>
      <c r="G62" s="110"/>
      <c r="H62" s="110"/>
      <c r="I62" s="110"/>
      <c r="J62" s="18"/>
    </row>
    <row r="63" spans="1:10" ht="15.75" customHeight="1">
      <c r="B63" s="106"/>
      <c r="C63" s="107"/>
      <c r="D63" s="108"/>
      <c r="E63" s="109"/>
      <c r="F63" s="109"/>
      <c r="G63" s="110"/>
      <c r="H63" s="110"/>
      <c r="I63" s="110"/>
      <c r="J63" s="18"/>
    </row>
    <row r="64" spans="1:10" ht="15.75" customHeight="1">
      <c r="B64" s="106"/>
      <c r="C64" s="107"/>
      <c r="D64" s="108"/>
      <c r="E64" s="109"/>
      <c r="F64" s="109"/>
      <c r="G64" s="110"/>
      <c r="H64" s="110"/>
      <c r="I64" s="110"/>
      <c r="J64" s="18"/>
    </row>
    <row r="65" spans="2:10" ht="15.75" customHeight="1">
      <c r="B65" s="106"/>
      <c r="C65" s="107"/>
      <c r="D65" s="108"/>
      <c r="E65" s="109"/>
      <c r="F65" s="109"/>
      <c r="G65" s="110"/>
      <c r="H65" s="110"/>
      <c r="I65" s="110"/>
      <c r="J65" s="18"/>
    </row>
    <row r="66" spans="2:10" ht="15.75" customHeight="1">
      <c r="B66" s="106"/>
      <c r="C66" s="107"/>
      <c r="D66" s="108"/>
      <c r="E66" s="109"/>
      <c r="F66" s="109"/>
      <c r="G66" s="110"/>
      <c r="H66" s="110"/>
      <c r="I66" s="110"/>
      <c r="J66" s="18"/>
    </row>
    <row r="67" spans="2:10" ht="15.75" customHeight="1">
      <c r="B67" s="106"/>
      <c r="C67" s="107"/>
      <c r="D67" s="108"/>
      <c r="E67" s="109"/>
      <c r="F67" s="109"/>
      <c r="G67" s="110"/>
      <c r="H67" s="110"/>
      <c r="I67" s="110"/>
      <c r="J67" s="18"/>
    </row>
    <row r="68" spans="2:10" ht="15.75" customHeight="1">
      <c r="B68" s="106"/>
      <c r="C68" s="107"/>
      <c r="D68" s="108"/>
      <c r="E68" s="109"/>
      <c r="F68" s="109"/>
      <c r="G68" s="110"/>
      <c r="H68" s="110"/>
      <c r="I68" s="110"/>
      <c r="J68" s="18"/>
    </row>
    <row r="69" spans="2:10" ht="15.75" customHeight="1">
      <c r="B69" s="106"/>
      <c r="C69" s="107"/>
      <c r="D69" s="108"/>
      <c r="E69" s="109"/>
      <c r="F69" s="109"/>
      <c r="G69" s="110"/>
      <c r="H69" s="110"/>
      <c r="I69" s="110"/>
      <c r="J69" s="18"/>
    </row>
    <row r="70" spans="2:10" ht="15.75" customHeight="1">
      <c r="B70" s="106"/>
      <c r="C70" s="107"/>
      <c r="D70" s="108"/>
      <c r="E70" s="109"/>
      <c r="F70" s="109"/>
      <c r="G70" s="110"/>
      <c r="H70" s="110"/>
      <c r="I70" s="110"/>
      <c r="J70" s="18"/>
    </row>
    <row r="71" spans="2:10" ht="15.75" customHeight="1">
      <c r="B71" s="106"/>
      <c r="C71" s="107"/>
      <c r="D71" s="108"/>
      <c r="E71" s="109"/>
      <c r="F71" s="109"/>
      <c r="G71" s="110"/>
      <c r="H71" s="110"/>
      <c r="I71" s="110"/>
      <c r="J71" s="18"/>
    </row>
    <row r="72" spans="2:10" ht="15.75" customHeight="1">
      <c r="B72" s="106"/>
      <c r="C72" s="107"/>
      <c r="D72" s="108"/>
      <c r="E72" s="109"/>
      <c r="F72" s="109"/>
      <c r="G72" s="110"/>
      <c r="H72" s="110"/>
      <c r="I72" s="110"/>
      <c r="J72" s="18"/>
    </row>
    <row r="73" spans="2:10" ht="15.75" customHeight="1">
      <c r="B73" s="106"/>
      <c r="C73" s="107"/>
      <c r="D73" s="108"/>
      <c r="E73" s="109"/>
      <c r="F73" s="109"/>
      <c r="G73" s="110"/>
      <c r="H73" s="110"/>
      <c r="I73" s="110"/>
      <c r="J73" s="18"/>
    </row>
    <row r="74" spans="2:10" ht="15.75" customHeight="1">
      <c r="B74" s="106"/>
      <c r="C74" s="107"/>
      <c r="D74" s="108"/>
      <c r="E74" s="109"/>
      <c r="F74" s="109"/>
      <c r="G74" s="110"/>
      <c r="H74" s="110"/>
      <c r="I74" s="110"/>
      <c r="J74" s="18"/>
    </row>
    <row r="75" spans="2:10" ht="15.75" customHeight="1">
      <c r="B75" s="106"/>
      <c r="C75" s="107"/>
      <c r="D75" s="108"/>
      <c r="E75" s="109"/>
      <c r="F75" s="109"/>
      <c r="G75" s="110"/>
      <c r="H75" s="110"/>
      <c r="I75" s="110"/>
      <c r="J75" s="18"/>
    </row>
    <row r="76" spans="2:10" ht="15.75" customHeight="1">
      <c r="B76" s="106"/>
      <c r="C76" s="107"/>
      <c r="D76" s="108"/>
      <c r="E76" s="109"/>
      <c r="F76" s="109"/>
      <c r="G76" s="110"/>
      <c r="H76" s="110"/>
      <c r="I76" s="110"/>
      <c r="J76" s="18"/>
    </row>
    <row r="77" spans="2:10" ht="15.75" customHeight="1">
      <c r="B77" s="106"/>
      <c r="C77" s="107"/>
      <c r="D77" s="108"/>
      <c r="E77" s="109"/>
      <c r="F77" s="109"/>
      <c r="G77" s="110"/>
      <c r="H77" s="110"/>
      <c r="I77" s="110"/>
      <c r="J77" s="18"/>
    </row>
    <row r="78" spans="2:10" ht="15.75" customHeight="1">
      <c r="B78" s="106"/>
      <c r="C78" s="107"/>
      <c r="D78" s="108"/>
      <c r="E78" s="109"/>
      <c r="F78" s="109"/>
      <c r="G78" s="110"/>
      <c r="H78" s="110"/>
      <c r="I78" s="110"/>
      <c r="J78" s="18"/>
    </row>
    <row r="79" spans="2:10" ht="15.75" customHeight="1">
      <c r="B79" s="106"/>
      <c r="C79" s="107"/>
      <c r="D79" s="108"/>
      <c r="E79" s="109"/>
      <c r="F79" s="109"/>
      <c r="G79" s="110"/>
      <c r="H79" s="110"/>
      <c r="I79" s="110"/>
      <c r="J79" s="18"/>
    </row>
    <row r="80" spans="2:10" ht="15.75" customHeight="1">
      <c r="B80" s="106"/>
      <c r="C80" s="107"/>
      <c r="D80" s="108"/>
      <c r="E80" s="109"/>
      <c r="F80" s="109"/>
      <c r="G80" s="110"/>
      <c r="H80" s="110"/>
      <c r="I80" s="110"/>
      <c r="J80" s="18"/>
    </row>
    <row r="81" spans="2:10" ht="15.75" customHeight="1">
      <c r="B81" s="106"/>
      <c r="C81" s="107"/>
      <c r="D81" s="108"/>
      <c r="E81" s="109"/>
      <c r="F81" s="109"/>
      <c r="G81" s="110"/>
      <c r="H81" s="110"/>
      <c r="I81" s="110"/>
      <c r="J81" s="18"/>
    </row>
    <row r="82" spans="2:10" ht="15.75" customHeight="1">
      <c r="B82" s="106"/>
      <c r="C82" s="107"/>
      <c r="D82" s="108"/>
      <c r="E82" s="109"/>
      <c r="F82" s="109"/>
      <c r="G82" s="110"/>
      <c r="H82" s="110"/>
      <c r="I82" s="110"/>
      <c r="J82" s="18"/>
    </row>
    <row r="83" spans="2:10" ht="15.75" customHeight="1">
      <c r="B83" s="106"/>
      <c r="C83" s="107"/>
      <c r="D83" s="108"/>
      <c r="E83" s="109"/>
      <c r="F83" s="109"/>
      <c r="G83" s="110"/>
      <c r="H83" s="110"/>
      <c r="I83" s="110"/>
      <c r="J83" s="18"/>
    </row>
    <row r="84" spans="2:10" ht="15.75" customHeight="1">
      <c r="B84" s="106"/>
      <c r="C84" s="107"/>
      <c r="D84" s="108"/>
      <c r="E84" s="109"/>
      <c r="F84" s="109"/>
      <c r="G84" s="110"/>
      <c r="H84" s="110"/>
      <c r="I84" s="110"/>
      <c r="J84" s="18"/>
    </row>
    <row r="85" spans="2:10" ht="15.75" customHeight="1">
      <c r="B85" s="106"/>
      <c r="C85" s="107"/>
      <c r="D85" s="108"/>
      <c r="E85" s="109"/>
      <c r="F85" s="109"/>
      <c r="G85" s="110"/>
      <c r="H85" s="110"/>
      <c r="I85" s="110"/>
      <c r="J85" s="18"/>
    </row>
    <row r="86" spans="2:10" ht="15.75" customHeight="1">
      <c r="B86" s="106"/>
      <c r="C86" s="107"/>
      <c r="D86" s="108"/>
      <c r="E86" s="109"/>
      <c r="F86" s="109"/>
      <c r="G86" s="110"/>
      <c r="H86" s="110"/>
      <c r="I86" s="110"/>
      <c r="J86" s="18"/>
    </row>
    <row r="87" spans="2:10" ht="15.75" customHeight="1">
      <c r="B87" s="106"/>
      <c r="C87" s="107"/>
      <c r="D87" s="108"/>
      <c r="E87" s="109"/>
      <c r="F87" s="109"/>
      <c r="G87" s="110"/>
      <c r="H87" s="110"/>
      <c r="I87" s="110"/>
      <c r="J87" s="18"/>
    </row>
    <row r="88" spans="2:10" ht="15.75" customHeight="1">
      <c r="B88" s="106"/>
      <c r="C88" s="107"/>
      <c r="D88" s="108"/>
      <c r="E88" s="109"/>
      <c r="F88" s="109"/>
      <c r="G88" s="110"/>
      <c r="H88" s="110"/>
      <c r="I88" s="110"/>
      <c r="J88" s="18"/>
    </row>
    <row r="89" spans="2:10" ht="15.75" customHeight="1">
      <c r="B89" s="106"/>
      <c r="C89" s="107"/>
      <c r="D89" s="108"/>
      <c r="E89" s="109"/>
      <c r="F89" s="109"/>
      <c r="G89" s="110"/>
      <c r="H89" s="110"/>
      <c r="I89" s="110"/>
      <c r="J89" s="18"/>
    </row>
    <row r="90" spans="2:10" ht="15.75" customHeight="1">
      <c r="B90" s="106"/>
      <c r="C90" s="107"/>
      <c r="D90" s="108"/>
      <c r="E90" s="109"/>
      <c r="F90" s="109"/>
      <c r="G90" s="110"/>
      <c r="H90" s="110"/>
      <c r="I90" s="110"/>
      <c r="J90" s="18"/>
    </row>
    <row r="91" spans="2:10" ht="15.75" customHeight="1">
      <c r="B91" s="106"/>
      <c r="C91" s="107"/>
      <c r="D91" s="108"/>
      <c r="E91" s="109"/>
      <c r="F91" s="109"/>
      <c r="G91" s="110"/>
      <c r="H91" s="110"/>
      <c r="I91" s="110"/>
      <c r="J91" s="18"/>
    </row>
    <row r="92" spans="2:10" ht="15.75" customHeight="1">
      <c r="B92" s="106"/>
      <c r="C92" s="107"/>
      <c r="D92" s="108"/>
      <c r="E92" s="109"/>
      <c r="F92" s="109"/>
      <c r="G92" s="110"/>
      <c r="H92" s="110"/>
      <c r="I92" s="110"/>
      <c r="J92" s="18"/>
    </row>
    <row r="93" spans="2:10" ht="15.75" customHeight="1">
      <c r="B93" s="106"/>
      <c r="C93" s="107"/>
      <c r="D93" s="108"/>
      <c r="E93" s="109"/>
      <c r="F93" s="109"/>
      <c r="G93" s="110"/>
      <c r="H93" s="110"/>
      <c r="I93" s="110"/>
      <c r="J93" s="18"/>
    </row>
    <row r="94" spans="2:10" ht="15.75" customHeight="1">
      <c r="B94" s="106"/>
      <c r="C94" s="107"/>
      <c r="D94" s="108"/>
      <c r="E94" s="109"/>
      <c r="F94" s="109"/>
      <c r="G94" s="110"/>
      <c r="H94" s="110"/>
      <c r="I94" s="110"/>
      <c r="J94" s="18"/>
    </row>
    <row r="95" spans="2:10" ht="15.75" customHeight="1">
      <c r="B95" s="106"/>
      <c r="C95" s="107"/>
      <c r="D95" s="108"/>
      <c r="E95" s="109"/>
      <c r="F95" s="109"/>
      <c r="G95" s="110"/>
      <c r="H95" s="110"/>
      <c r="I95" s="110"/>
      <c r="J95" s="18"/>
    </row>
    <row r="96" spans="2:10" ht="15.75" customHeight="1">
      <c r="B96" s="106"/>
      <c r="C96" s="107"/>
      <c r="D96" s="108"/>
      <c r="E96" s="109"/>
      <c r="F96" s="109"/>
      <c r="G96" s="110"/>
      <c r="H96" s="110"/>
      <c r="I96" s="110"/>
      <c r="J96" s="18"/>
    </row>
    <row r="97" spans="2:10" ht="15.75" customHeight="1">
      <c r="B97" s="106"/>
      <c r="C97" s="107"/>
      <c r="D97" s="108"/>
      <c r="E97" s="109"/>
      <c r="F97" s="109"/>
      <c r="G97" s="110"/>
      <c r="H97" s="110"/>
      <c r="I97" s="110"/>
      <c r="J97" s="18"/>
    </row>
    <row r="98" spans="2:10" ht="15.75" customHeight="1">
      <c r="B98" s="106"/>
      <c r="C98" s="107"/>
      <c r="D98" s="108"/>
      <c r="E98" s="109"/>
      <c r="F98" s="109"/>
      <c r="G98" s="110"/>
      <c r="H98" s="110"/>
      <c r="I98" s="110"/>
      <c r="J98" s="18"/>
    </row>
    <row r="99" spans="2:10" ht="15.75" customHeight="1">
      <c r="B99" s="106"/>
      <c r="C99" s="107"/>
      <c r="D99" s="108"/>
      <c r="E99" s="109"/>
      <c r="F99" s="109"/>
      <c r="G99" s="110"/>
      <c r="H99" s="110"/>
      <c r="I99" s="110"/>
      <c r="J99" s="18"/>
    </row>
    <row r="100" spans="2:10" ht="15.75" customHeight="1">
      <c r="B100" s="106"/>
      <c r="C100" s="107"/>
      <c r="D100" s="108"/>
      <c r="E100" s="109"/>
      <c r="F100" s="109"/>
      <c r="G100" s="110"/>
      <c r="H100" s="110"/>
      <c r="I100" s="110"/>
      <c r="J100" s="18"/>
    </row>
    <row r="101" spans="2:10" ht="15.75" customHeight="1">
      <c r="B101" s="106"/>
      <c r="C101" s="107"/>
      <c r="D101" s="108"/>
      <c r="E101" s="109"/>
      <c r="F101" s="109"/>
      <c r="G101" s="110"/>
      <c r="H101" s="110"/>
      <c r="I101" s="110"/>
      <c r="J101" s="18"/>
    </row>
    <row r="102" spans="2:10" ht="15.75" customHeight="1">
      <c r="B102" s="106"/>
      <c r="C102" s="107"/>
      <c r="D102" s="108"/>
      <c r="E102" s="109"/>
      <c r="F102" s="109"/>
      <c r="G102" s="110"/>
      <c r="H102" s="110"/>
      <c r="I102" s="110"/>
      <c r="J102" s="18"/>
    </row>
    <row r="103" spans="2:10" ht="15.75" customHeight="1">
      <c r="B103" s="106"/>
      <c r="C103" s="107"/>
      <c r="D103" s="108"/>
      <c r="E103" s="109"/>
      <c r="F103" s="109"/>
      <c r="G103" s="110"/>
      <c r="H103" s="110"/>
      <c r="I103" s="110"/>
      <c r="J103" s="18"/>
    </row>
    <row r="104" spans="2:10" ht="15.75" customHeight="1">
      <c r="B104" s="106"/>
      <c r="C104" s="107"/>
      <c r="D104" s="108"/>
      <c r="E104" s="109"/>
      <c r="F104" s="109"/>
      <c r="G104" s="110"/>
      <c r="H104" s="110"/>
      <c r="I104" s="110"/>
      <c r="J104" s="18"/>
    </row>
    <row r="105" spans="2:10" ht="15.75" customHeight="1">
      <c r="B105" s="106"/>
      <c r="C105" s="107"/>
      <c r="D105" s="108"/>
      <c r="E105" s="109"/>
      <c r="F105" s="109"/>
      <c r="G105" s="110"/>
      <c r="H105" s="110"/>
      <c r="I105" s="110"/>
      <c r="J105" s="18"/>
    </row>
    <row r="106" spans="2:10" ht="15.75" customHeight="1">
      <c r="B106" s="106"/>
      <c r="C106" s="107"/>
      <c r="D106" s="108"/>
      <c r="E106" s="109"/>
      <c r="F106" s="109"/>
      <c r="G106" s="110"/>
      <c r="H106" s="110"/>
      <c r="I106" s="110"/>
      <c r="J106" s="18"/>
    </row>
    <row r="107" spans="2:10" ht="15.75" customHeight="1">
      <c r="B107" s="106"/>
      <c r="C107" s="107"/>
      <c r="D107" s="108"/>
      <c r="E107" s="109"/>
      <c r="F107" s="109"/>
      <c r="G107" s="110"/>
      <c r="H107" s="110"/>
      <c r="I107" s="110"/>
      <c r="J107" s="18"/>
    </row>
    <row r="108" spans="2:10" ht="15.75" customHeight="1">
      <c r="B108" s="106"/>
      <c r="C108" s="107"/>
      <c r="D108" s="108"/>
      <c r="E108" s="109"/>
      <c r="F108" s="109"/>
      <c r="G108" s="110"/>
      <c r="H108" s="110"/>
      <c r="I108" s="110"/>
      <c r="J108" s="18"/>
    </row>
    <row r="109" spans="2:10" ht="15.75" customHeight="1">
      <c r="B109" s="106"/>
      <c r="C109" s="107"/>
      <c r="D109" s="108"/>
      <c r="E109" s="109"/>
      <c r="F109" s="109"/>
      <c r="G109" s="110"/>
      <c r="H109" s="110"/>
      <c r="I109" s="110"/>
      <c r="J109" s="18"/>
    </row>
    <row r="110" spans="2:10" ht="15.75" customHeight="1">
      <c r="B110" s="106"/>
      <c r="C110" s="107"/>
      <c r="D110" s="108"/>
      <c r="E110" s="109"/>
      <c r="F110" s="109"/>
      <c r="G110" s="110"/>
      <c r="H110" s="110"/>
      <c r="I110" s="110"/>
      <c r="J110" s="18"/>
    </row>
    <row r="111" spans="2:10" ht="15.75" customHeight="1">
      <c r="B111" s="106"/>
      <c r="C111" s="107"/>
      <c r="D111" s="108"/>
      <c r="E111" s="109"/>
      <c r="F111" s="109"/>
      <c r="G111" s="110"/>
      <c r="H111" s="110"/>
      <c r="I111" s="110"/>
      <c r="J111" s="18"/>
    </row>
    <row r="112" spans="2:10" ht="15.75" customHeight="1">
      <c r="B112" s="106"/>
      <c r="C112" s="107"/>
      <c r="D112" s="108"/>
      <c r="E112" s="109"/>
      <c r="F112" s="109"/>
      <c r="G112" s="110"/>
      <c r="H112" s="110"/>
      <c r="I112" s="110"/>
      <c r="J112" s="18"/>
    </row>
    <row r="113" spans="2:10" ht="15.75" customHeight="1">
      <c r="B113" s="106"/>
      <c r="C113" s="107"/>
      <c r="D113" s="108"/>
      <c r="E113" s="109"/>
      <c r="F113" s="109"/>
      <c r="G113" s="110"/>
      <c r="H113" s="110"/>
      <c r="I113" s="110"/>
      <c r="J113" s="18"/>
    </row>
    <row r="114" spans="2:10" ht="15.75" customHeight="1">
      <c r="B114" s="106"/>
      <c r="C114" s="107"/>
      <c r="D114" s="108"/>
      <c r="E114" s="109"/>
      <c r="F114" s="109"/>
      <c r="G114" s="110"/>
      <c r="H114" s="110"/>
      <c r="I114" s="110"/>
      <c r="J114" s="18"/>
    </row>
    <row r="115" spans="2:10" ht="15.75" customHeight="1">
      <c r="B115" s="106"/>
      <c r="C115" s="107"/>
      <c r="D115" s="108"/>
      <c r="E115" s="109"/>
      <c r="F115" s="109"/>
      <c r="G115" s="110"/>
      <c r="H115" s="110"/>
      <c r="I115" s="110"/>
      <c r="J115" s="18"/>
    </row>
    <row r="116" spans="2:10" ht="15.75" customHeight="1">
      <c r="B116" s="106"/>
      <c r="C116" s="107"/>
      <c r="D116" s="108"/>
      <c r="E116" s="109"/>
      <c r="F116" s="109"/>
      <c r="G116" s="110"/>
      <c r="H116" s="110"/>
      <c r="I116" s="110"/>
      <c r="J116" s="18"/>
    </row>
    <row r="117" spans="2:10" ht="15.75" customHeight="1">
      <c r="B117" s="106"/>
      <c r="C117" s="107"/>
      <c r="D117" s="108"/>
      <c r="E117" s="109"/>
      <c r="F117" s="109"/>
      <c r="G117" s="110"/>
      <c r="H117" s="110"/>
      <c r="I117" s="110"/>
      <c r="J117" s="18"/>
    </row>
    <row r="118" spans="2:10" ht="15.75" customHeight="1">
      <c r="B118" s="106"/>
      <c r="C118" s="107"/>
      <c r="D118" s="108"/>
      <c r="E118" s="109"/>
      <c r="F118" s="109"/>
      <c r="G118" s="110"/>
      <c r="H118" s="110"/>
      <c r="I118" s="110"/>
      <c r="J118" s="18"/>
    </row>
    <row r="119" spans="2:10" ht="15.75" customHeight="1">
      <c r="B119" s="106"/>
      <c r="C119" s="107"/>
      <c r="D119" s="108"/>
      <c r="E119" s="109"/>
      <c r="F119" s="109"/>
      <c r="G119" s="110"/>
      <c r="H119" s="110"/>
      <c r="I119" s="110"/>
      <c r="J119" s="18"/>
    </row>
    <row r="120" spans="2:10" ht="15.75" customHeight="1">
      <c r="B120" s="106"/>
      <c r="C120" s="107"/>
      <c r="D120" s="108"/>
      <c r="E120" s="109"/>
      <c r="F120" s="109"/>
      <c r="G120" s="110"/>
      <c r="H120" s="110"/>
      <c r="I120" s="110"/>
      <c r="J120" s="18"/>
    </row>
    <row r="121" spans="2:10" ht="15.75" customHeight="1">
      <c r="B121" s="106"/>
      <c r="C121" s="107"/>
      <c r="D121" s="108"/>
      <c r="E121" s="109"/>
      <c r="F121" s="109"/>
      <c r="G121" s="110"/>
      <c r="H121" s="110"/>
      <c r="I121" s="110"/>
      <c r="J121" s="18"/>
    </row>
    <row r="122" spans="2:10" ht="15.75" customHeight="1">
      <c r="B122" s="106"/>
      <c r="C122" s="107"/>
      <c r="D122" s="108"/>
      <c r="E122" s="109"/>
      <c r="F122" s="109"/>
      <c r="G122" s="110"/>
      <c r="H122" s="110"/>
      <c r="I122" s="110"/>
      <c r="J122" s="18"/>
    </row>
    <row r="123" spans="2:10" ht="15.75" customHeight="1">
      <c r="B123" s="106"/>
      <c r="C123" s="107"/>
      <c r="D123" s="108"/>
      <c r="E123" s="109"/>
      <c r="F123" s="109"/>
      <c r="G123" s="110"/>
      <c r="H123" s="110"/>
      <c r="I123" s="110"/>
      <c r="J123" s="18"/>
    </row>
    <row r="124" spans="2:10" ht="15.75" customHeight="1">
      <c r="B124" s="106"/>
      <c r="C124" s="107"/>
      <c r="D124" s="108"/>
      <c r="E124" s="109"/>
      <c r="F124" s="109"/>
      <c r="G124" s="110"/>
      <c r="H124" s="110"/>
      <c r="I124" s="110"/>
      <c r="J124" s="18"/>
    </row>
    <row r="125" spans="2:10" ht="15.75" customHeight="1">
      <c r="B125" s="106"/>
      <c r="C125" s="107"/>
      <c r="D125" s="108"/>
      <c r="E125" s="109"/>
      <c r="F125" s="109"/>
      <c r="G125" s="110"/>
      <c r="H125" s="110"/>
      <c r="I125" s="110"/>
      <c r="J125" s="18"/>
    </row>
    <row r="126" spans="2:10" ht="15.75" customHeight="1">
      <c r="B126" s="106"/>
      <c r="C126" s="107"/>
      <c r="D126" s="108"/>
      <c r="E126" s="109"/>
      <c r="F126" s="109"/>
      <c r="G126" s="110"/>
      <c r="H126" s="110"/>
      <c r="I126" s="110"/>
      <c r="J126" s="18"/>
    </row>
    <row r="127" spans="2:10" ht="15.75" customHeight="1">
      <c r="B127" s="106"/>
      <c r="C127" s="107"/>
      <c r="D127" s="108"/>
      <c r="E127" s="109"/>
      <c r="F127" s="109"/>
      <c r="G127" s="110"/>
      <c r="H127" s="110"/>
      <c r="I127" s="110"/>
      <c r="J127" s="18"/>
    </row>
    <row r="128" spans="2:10" ht="15.75" customHeight="1">
      <c r="B128" s="106"/>
      <c r="C128" s="107"/>
      <c r="D128" s="108"/>
      <c r="E128" s="109"/>
      <c r="F128" s="109"/>
      <c r="G128" s="110"/>
      <c r="H128" s="110"/>
      <c r="I128" s="110"/>
      <c r="J128" s="18"/>
    </row>
    <row r="129" spans="2:10" ht="15.75" customHeight="1">
      <c r="B129" s="106"/>
      <c r="C129" s="107"/>
      <c r="D129" s="108"/>
      <c r="E129" s="109"/>
      <c r="F129" s="109"/>
      <c r="G129" s="110"/>
      <c r="H129" s="110"/>
      <c r="I129" s="110"/>
      <c r="J129" s="18"/>
    </row>
    <row r="130" spans="2:10" ht="15.75" customHeight="1">
      <c r="B130" s="106"/>
      <c r="C130" s="107"/>
      <c r="D130" s="108"/>
      <c r="E130" s="109"/>
      <c r="F130" s="109"/>
      <c r="G130" s="110"/>
      <c r="H130" s="110"/>
      <c r="I130" s="110"/>
      <c r="J130" s="18"/>
    </row>
    <row r="131" spans="2:10" ht="15.75" customHeight="1">
      <c r="B131" s="106"/>
      <c r="C131" s="107"/>
      <c r="D131" s="108"/>
      <c r="E131" s="109"/>
      <c r="F131" s="109"/>
      <c r="G131" s="110"/>
      <c r="H131" s="110"/>
      <c r="I131" s="110"/>
      <c r="J131" s="18"/>
    </row>
    <row r="132" spans="2:10" ht="15.75" customHeight="1">
      <c r="B132" s="106"/>
      <c r="C132" s="107"/>
      <c r="D132" s="108"/>
      <c r="E132" s="109"/>
      <c r="F132" s="109"/>
      <c r="G132" s="110"/>
      <c r="H132" s="110"/>
      <c r="I132" s="110"/>
      <c r="J132" s="18"/>
    </row>
    <row r="133" spans="2:10" ht="15.75" customHeight="1">
      <c r="B133" s="106"/>
      <c r="C133" s="107"/>
      <c r="D133" s="108"/>
      <c r="E133" s="109"/>
      <c r="F133" s="109"/>
      <c r="G133" s="110"/>
      <c r="H133" s="110"/>
      <c r="I133" s="110"/>
      <c r="J133" s="18"/>
    </row>
    <row r="134" spans="2:10" ht="15.75" customHeight="1">
      <c r="B134" s="106"/>
      <c r="C134" s="107"/>
      <c r="D134" s="108"/>
      <c r="E134" s="109"/>
      <c r="F134" s="109"/>
      <c r="G134" s="110"/>
      <c r="H134" s="110"/>
      <c r="I134" s="110"/>
      <c r="J134" s="18"/>
    </row>
    <row r="135" spans="2:10" ht="15.75" customHeight="1">
      <c r="B135" s="106"/>
      <c r="C135" s="107"/>
      <c r="D135" s="108"/>
      <c r="E135" s="109"/>
      <c r="F135" s="109"/>
      <c r="G135" s="110"/>
      <c r="H135" s="110"/>
      <c r="I135" s="110"/>
      <c r="J135" s="18"/>
    </row>
    <row r="136" spans="2:10" ht="15.75" customHeight="1">
      <c r="B136" s="106"/>
      <c r="C136" s="107"/>
      <c r="D136" s="108"/>
      <c r="E136" s="109"/>
      <c r="F136" s="109"/>
      <c r="G136" s="110"/>
      <c r="H136" s="110"/>
      <c r="I136" s="110"/>
      <c r="J136" s="18"/>
    </row>
    <row r="137" spans="2:10" ht="15.75" customHeight="1">
      <c r="B137" s="106"/>
      <c r="C137" s="107"/>
      <c r="D137" s="108"/>
      <c r="E137" s="109"/>
      <c r="F137" s="109"/>
      <c r="G137" s="110"/>
      <c r="H137" s="110"/>
      <c r="I137" s="110"/>
      <c r="J137" s="18"/>
    </row>
    <row r="138" spans="2:10" ht="15.75" customHeight="1">
      <c r="B138" s="106"/>
      <c r="C138" s="107"/>
      <c r="D138" s="108"/>
      <c r="E138" s="109"/>
      <c r="F138" s="109"/>
      <c r="G138" s="110"/>
      <c r="H138" s="110"/>
      <c r="I138" s="110"/>
      <c r="J138" s="18"/>
    </row>
    <row r="139" spans="2:10" ht="15.75" customHeight="1">
      <c r="B139" s="106"/>
      <c r="C139" s="107"/>
      <c r="D139" s="108"/>
      <c r="E139" s="109"/>
      <c r="F139" s="109"/>
      <c r="G139" s="110"/>
      <c r="H139" s="110"/>
      <c r="I139" s="110"/>
      <c r="J139" s="18"/>
    </row>
    <row r="140" spans="2:10" ht="15.75" customHeight="1">
      <c r="B140" s="106"/>
      <c r="C140" s="107"/>
      <c r="D140" s="108"/>
      <c r="E140" s="109"/>
      <c r="F140" s="109"/>
      <c r="G140" s="110"/>
      <c r="H140" s="110"/>
      <c r="I140" s="110"/>
      <c r="J140" s="18"/>
    </row>
    <row r="141" spans="2:10" ht="15.75" customHeight="1">
      <c r="B141" s="106"/>
      <c r="C141" s="107"/>
      <c r="D141" s="108"/>
      <c r="E141" s="109"/>
      <c r="F141" s="109"/>
      <c r="G141" s="110"/>
      <c r="H141" s="110"/>
      <c r="I141" s="110"/>
      <c r="J141" s="18"/>
    </row>
    <row r="142" spans="2:10" ht="15.75" customHeight="1">
      <c r="B142" s="106"/>
      <c r="C142" s="107"/>
      <c r="D142" s="108"/>
      <c r="E142" s="109"/>
      <c r="F142" s="109"/>
      <c r="G142" s="110"/>
      <c r="H142" s="110"/>
      <c r="I142" s="110"/>
      <c r="J142" s="18"/>
    </row>
    <row r="143" spans="2:10" ht="15.75" customHeight="1">
      <c r="B143" s="106"/>
      <c r="C143" s="107"/>
      <c r="D143" s="108"/>
      <c r="E143" s="109"/>
      <c r="F143" s="109"/>
      <c r="G143" s="110"/>
      <c r="H143" s="110"/>
      <c r="I143" s="110"/>
      <c r="J143" s="18"/>
    </row>
    <row r="144" spans="2:10" ht="15.75" customHeight="1">
      <c r="B144" s="106"/>
      <c r="C144" s="107"/>
      <c r="D144" s="108"/>
      <c r="E144" s="109"/>
      <c r="F144" s="109"/>
      <c r="G144" s="110"/>
      <c r="H144" s="110"/>
      <c r="I144" s="110"/>
      <c r="J144" s="18"/>
    </row>
    <row r="145" spans="2:10" ht="15.75" customHeight="1">
      <c r="B145" s="106"/>
      <c r="C145" s="107"/>
      <c r="D145" s="108"/>
      <c r="E145" s="109"/>
      <c r="F145" s="109"/>
      <c r="G145" s="110"/>
      <c r="H145" s="110"/>
      <c r="I145" s="110"/>
      <c r="J145" s="18"/>
    </row>
    <row r="146" spans="2:10" ht="15.75" customHeight="1">
      <c r="B146" s="106"/>
      <c r="C146" s="107"/>
      <c r="D146" s="108"/>
      <c r="E146" s="109"/>
      <c r="F146" s="109"/>
      <c r="G146" s="110"/>
      <c r="H146" s="110"/>
      <c r="I146" s="110"/>
      <c r="J146" s="18"/>
    </row>
    <row r="147" spans="2:10" ht="15.75" customHeight="1">
      <c r="B147" s="106"/>
      <c r="C147" s="107"/>
      <c r="D147" s="108"/>
      <c r="E147" s="109"/>
      <c r="F147" s="109"/>
      <c r="G147" s="110"/>
      <c r="H147" s="110"/>
      <c r="I147" s="110"/>
      <c r="J147" s="18"/>
    </row>
    <row r="148" spans="2:10" ht="15.75" customHeight="1">
      <c r="B148" s="106"/>
      <c r="C148" s="107"/>
      <c r="D148" s="108"/>
      <c r="E148" s="109"/>
      <c r="F148" s="109"/>
      <c r="G148" s="110"/>
      <c r="H148" s="110"/>
      <c r="I148" s="110"/>
      <c r="J148" s="18"/>
    </row>
    <row r="149" spans="2:10" ht="15.75" customHeight="1">
      <c r="B149" s="106"/>
      <c r="C149" s="107"/>
      <c r="D149" s="108"/>
      <c r="E149" s="109"/>
      <c r="F149" s="109"/>
      <c r="G149" s="110"/>
      <c r="H149" s="110"/>
      <c r="I149" s="110"/>
      <c r="J149" s="18"/>
    </row>
    <row r="150" spans="2:10" ht="15.75" customHeight="1">
      <c r="B150" s="106"/>
      <c r="C150" s="107"/>
      <c r="D150" s="108"/>
      <c r="E150" s="109"/>
      <c r="F150" s="109"/>
      <c r="G150" s="110"/>
      <c r="H150" s="110"/>
      <c r="I150" s="110"/>
      <c r="J150" s="18"/>
    </row>
    <row r="151" spans="2:10" ht="15.75" customHeight="1">
      <c r="B151" s="106"/>
      <c r="C151" s="107"/>
      <c r="D151" s="108"/>
      <c r="E151" s="109"/>
      <c r="F151" s="109"/>
      <c r="G151" s="110"/>
      <c r="H151" s="110"/>
      <c r="I151" s="110"/>
      <c r="J151" s="18"/>
    </row>
    <row r="152" spans="2:10" ht="15.75" customHeight="1">
      <c r="B152" s="106"/>
      <c r="C152" s="107"/>
      <c r="D152" s="108"/>
      <c r="E152" s="109"/>
      <c r="F152" s="109"/>
      <c r="G152" s="110"/>
      <c r="H152" s="110"/>
      <c r="I152" s="110"/>
      <c r="J152" s="18"/>
    </row>
    <row r="153" spans="2:10" ht="15.75" customHeight="1">
      <c r="B153" s="106"/>
      <c r="C153" s="107"/>
      <c r="D153" s="108"/>
      <c r="E153" s="109"/>
      <c r="F153" s="109"/>
      <c r="G153" s="110"/>
      <c r="H153" s="110"/>
      <c r="I153" s="110"/>
      <c r="J153" s="18"/>
    </row>
    <row r="154" spans="2:10" ht="15.75" customHeight="1">
      <c r="B154" s="106"/>
      <c r="C154" s="107"/>
      <c r="D154" s="108"/>
      <c r="E154" s="109"/>
      <c r="F154" s="109"/>
      <c r="G154" s="110"/>
      <c r="H154" s="110"/>
      <c r="I154" s="110"/>
      <c r="J154" s="18"/>
    </row>
    <row r="155" spans="2:10" ht="15.75" customHeight="1">
      <c r="B155" s="106"/>
      <c r="C155" s="107"/>
      <c r="D155" s="108"/>
      <c r="E155" s="109"/>
      <c r="F155" s="109"/>
      <c r="G155" s="110"/>
      <c r="H155" s="110"/>
      <c r="I155" s="110"/>
      <c r="J155" s="18"/>
    </row>
    <row r="156" spans="2:10" ht="15.75" customHeight="1">
      <c r="B156" s="106"/>
      <c r="C156" s="107"/>
      <c r="D156" s="108"/>
      <c r="E156" s="109"/>
      <c r="F156" s="109"/>
      <c r="G156" s="110"/>
      <c r="H156" s="110"/>
      <c r="I156" s="110"/>
      <c r="J156" s="18"/>
    </row>
    <row r="157" spans="2:10" ht="15.75" customHeight="1">
      <c r="B157" s="106"/>
      <c r="C157" s="107"/>
      <c r="D157" s="108"/>
      <c r="E157" s="109"/>
      <c r="F157" s="109"/>
      <c r="G157" s="110"/>
      <c r="H157" s="110"/>
      <c r="I157" s="110"/>
      <c r="J157" s="18"/>
    </row>
    <row r="158" spans="2:10" ht="15.75" customHeight="1">
      <c r="B158" s="106"/>
      <c r="C158" s="107"/>
      <c r="D158" s="108"/>
      <c r="E158" s="109"/>
      <c r="F158" s="109"/>
      <c r="G158" s="110"/>
      <c r="H158" s="110"/>
      <c r="I158" s="110"/>
      <c r="J158" s="18"/>
    </row>
    <row r="159" spans="2:10" ht="15.75" customHeight="1">
      <c r="B159" s="106"/>
      <c r="C159" s="107"/>
      <c r="D159" s="108"/>
      <c r="E159" s="109"/>
      <c r="F159" s="109"/>
      <c r="G159" s="110"/>
      <c r="H159" s="110"/>
      <c r="I159" s="110"/>
      <c r="J159" s="18"/>
    </row>
    <row r="160" spans="2:10" ht="15.75" customHeight="1">
      <c r="B160" s="106"/>
      <c r="C160" s="107"/>
      <c r="D160" s="108"/>
      <c r="E160" s="109"/>
      <c r="F160" s="109"/>
      <c r="G160" s="110"/>
      <c r="H160" s="110"/>
      <c r="I160" s="110"/>
      <c r="J160" s="18"/>
    </row>
    <row r="161" spans="2:10" ht="15.75" customHeight="1">
      <c r="B161" s="106"/>
      <c r="C161" s="107"/>
      <c r="D161" s="108"/>
      <c r="E161" s="109"/>
      <c r="F161" s="109"/>
      <c r="G161" s="110"/>
      <c r="H161" s="110"/>
      <c r="I161" s="110"/>
      <c r="J161" s="18"/>
    </row>
    <row r="162" spans="2:10" ht="15.75" customHeight="1">
      <c r="B162" s="106"/>
      <c r="C162" s="107"/>
      <c r="D162" s="108"/>
      <c r="E162" s="109"/>
      <c r="F162" s="109"/>
      <c r="G162" s="110"/>
      <c r="H162" s="110"/>
      <c r="I162" s="110"/>
      <c r="J162" s="18"/>
    </row>
    <row r="163" spans="2:10" ht="15.75" customHeight="1">
      <c r="B163" s="106"/>
      <c r="C163" s="107"/>
      <c r="D163" s="108"/>
      <c r="E163" s="109"/>
      <c r="F163" s="109"/>
      <c r="G163" s="110"/>
      <c r="H163" s="110"/>
      <c r="I163" s="110"/>
      <c r="J163" s="18"/>
    </row>
    <row r="164" spans="2:10" ht="15.75" customHeight="1">
      <c r="B164" s="106"/>
      <c r="C164" s="107"/>
      <c r="D164" s="108"/>
      <c r="E164" s="109"/>
      <c r="F164" s="109"/>
      <c r="G164" s="110"/>
      <c r="H164" s="110"/>
      <c r="I164" s="110"/>
      <c r="J164" s="18"/>
    </row>
    <row r="165" spans="2:10" ht="15.75" customHeight="1">
      <c r="B165" s="106"/>
      <c r="C165" s="107"/>
      <c r="D165" s="108"/>
      <c r="E165" s="109"/>
      <c r="F165" s="109"/>
      <c r="G165" s="110"/>
      <c r="H165" s="110"/>
      <c r="I165" s="110"/>
      <c r="J165" s="18"/>
    </row>
    <row r="166" spans="2:10" ht="15.75" customHeight="1">
      <c r="B166" s="106"/>
      <c r="C166" s="107"/>
      <c r="D166" s="108"/>
      <c r="E166" s="109"/>
      <c r="F166" s="109"/>
      <c r="G166" s="110"/>
      <c r="H166" s="110"/>
      <c r="I166" s="110"/>
      <c r="J166" s="18"/>
    </row>
    <row r="167" spans="2:10" ht="15.75" customHeight="1">
      <c r="B167" s="106"/>
      <c r="C167" s="107"/>
      <c r="D167" s="108"/>
      <c r="E167" s="109"/>
      <c r="F167" s="109"/>
      <c r="G167" s="110"/>
      <c r="H167" s="110"/>
      <c r="I167" s="110"/>
      <c r="J167" s="18"/>
    </row>
    <row r="168" spans="2:10" ht="15.75" customHeight="1">
      <c r="B168" s="106"/>
      <c r="C168" s="107"/>
      <c r="D168" s="108"/>
      <c r="E168" s="109"/>
      <c r="F168" s="109"/>
      <c r="G168" s="110"/>
      <c r="H168" s="110"/>
      <c r="I168" s="110"/>
      <c r="J168" s="18"/>
    </row>
    <row r="169" spans="2:10" ht="15.75" customHeight="1">
      <c r="B169" s="106"/>
      <c r="C169" s="107"/>
      <c r="D169" s="108"/>
      <c r="E169" s="109"/>
      <c r="F169" s="109"/>
      <c r="G169" s="110"/>
      <c r="H169" s="110"/>
      <c r="I169" s="110"/>
      <c r="J169" s="18"/>
    </row>
    <row r="170" spans="2:10" ht="15.75" customHeight="1">
      <c r="B170" s="106"/>
      <c r="C170" s="107"/>
      <c r="D170" s="108"/>
      <c r="E170" s="109"/>
      <c r="F170" s="109"/>
      <c r="G170" s="110"/>
      <c r="H170" s="110"/>
      <c r="I170" s="110"/>
      <c r="J170" s="18"/>
    </row>
    <row r="171" spans="2:10" ht="15.75" customHeight="1">
      <c r="B171" s="106"/>
      <c r="C171" s="107"/>
      <c r="D171" s="108"/>
      <c r="E171" s="109"/>
      <c r="F171" s="109"/>
      <c r="G171" s="110"/>
      <c r="H171" s="110"/>
      <c r="I171" s="110"/>
      <c r="J171" s="18"/>
    </row>
    <row r="172" spans="2:10" ht="15.75" customHeight="1">
      <c r="B172" s="106"/>
      <c r="C172" s="107"/>
      <c r="D172" s="108"/>
      <c r="E172" s="109"/>
      <c r="F172" s="109"/>
      <c r="G172" s="110"/>
      <c r="H172" s="110"/>
      <c r="I172" s="110"/>
      <c r="J172" s="18"/>
    </row>
    <row r="173" spans="2:10" ht="15.75" customHeight="1">
      <c r="B173" s="106"/>
      <c r="C173" s="107"/>
      <c r="D173" s="108"/>
      <c r="E173" s="109"/>
      <c r="F173" s="109"/>
      <c r="G173" s="110"/>
      <c r="H173" s="110"/>
      <c r="I173" s="110"/>
      <c r="J173" s="18"/>
    </row>
    <row r="174" spans="2:10" ht="15.75" customHeight="1">
      <c r="B174" s="106"/>
      <c r="C174" s="107"/>
      <c r="D174" s="108"/>
      <c r="E174" s="109"/>
      <c r="F174" s="109"/>
      <c r="G174" s="110"/>
      <c r="H174" s="110"/>
      <c r="I174" s="110"/>
      <c r="J174" s="18"/>
    </row>
    <row r="175" spans="2:10" ht="15.75" customHeight="1">
      <c r="B175" s="106"/>
      <c r="C175" s="107"/>
      <c r="D175" s="108"/>
      <c r="E175" s="109"/>
      <c r="F175" s="109"/>
      <c r="G175" s="110"/>
      <c r="H175" s="110"/>
      <c r="I175" s="110"/>
      <c r="J175" s="18"/>
    </row>
    <row r="176" spans="2:10" ht="15.75" customHeight="1">
      <c r="B176" s="106"/>
      <c r="C176" s="107"/>
      <c r="D176" s="108"/>
      <c r="E176" s="109"/>
      <c r="F176" s="109"/>
      <c r="G176" s="110"/>
      <c r="H176" s="110"/>
      <c r="I176" s="110"/>
      <c r="J176" s="18"/>
    </row>
    <row r="177" spans="2:10" ht="15.75" customHeight="1">
      <c r="B177" s="106"/>
      <c r="C177" s="107"/>
      <c r="D177" s="108"/>
      <c r="E177" s="109"/>
      <c r="F177" s="109"/>
      <c r="G177" s="110"/>
      <c r="H177" s="110"/>
      <c r="I177" s="110"/>
      <c r="J177" s="18"/>
    </row>
    <row r="178" spans="2:10" ht="15.75" customHeight="1">
      <c r="B178" s="106"/>
      <c r="C178" s="107"/>
      <c r="D178" s="108"/>
      <c r="E178" s="109"/>
      <c r="F178" s="109"/>
      <c r="G178" s="110"/>
      <c r="H178" s="110"/>
      <c r="I178" s="110"/>
      <c r="J178" s="18"/>
    </row>
    <row r="179" spans="2:10" ht="15.75" customHeight="1">
      <c r="B179" s="106"/>
      <c r="C179" s="107"/>
      <c r="D179" s="108"/>
      <c r="E179" s="109"/>
      <c r="F179" s="109"/>
      <c r="G179" s="110"/>
      <c r="H179" s="110"/>
      <c r="I179" s="110"/>
      <c r="J179" s="18"/>
    </row>
    <row r="180" spans="2:10" ht="15.75" customHeight="1">
      <c r="B180" s="106"/>
      <c r="C180" s="107"/>
      <c r="D180" s="108"/>
      <c r="E180" s="109"/>
      <c r="F180" s="109"/>
      <c r="G180" s="110"/>
      <c r="H180" s="110"/>
      <c r="I180" s="110"/>
      <c r="J180" s="18"/>
    </row>
    <row r="181" spans="2:10" ht="15.75" customHeight="1">
      <c r="B181" s="106"/>
      <c r="C181" s="107"/>
      <c r="D181" s="108"/>
      <c r="E181" s="109"/>
      <c r="F181" s="109"/>
      <c r="G181" s="110"/>
      <c r="H181" s="110"/>
      <c r="I181" s="110"/>
      <c r="J181" s="18"/>
    </row>
    <row r="182" spans="2:10" ht="15.75" customHeight="1">
      <c r="B182" s="106"/>
      <c r="C182" s="107"/>
      <c r="D182" s="108"/>
      <c r="E182" s="109"/>
      <c r="F182" s="109"/>
      <c r="G182" s="110"/>
      <c r="H182" s="110"/>
      <c r="I182" s="110"/>
      <c r="J182" s="18"/>
    </row>
    <row r="183" spans="2:10" ht="15.75" customHeight="1">
      <c r="B183" s="106"/>
      <c r="C183" s="107"/>
      <c r="D183" s="108"/>
      <c r="E183" s="109"/>
      <c r="F183" s="109"/>
      <c r="G183" s="110"/>
      <c r="H183" s="110"/>
      <c r="I183" s="110"/>
      <c r="J183" s="18"/>
    </row>
    <row r="184" spans="2:10" ht="15.75" customHeight="1">
      <c r="B184" s="106"/>
      <c r="C184" s="107"/>
      <c r="D184" s="108"/>
      <c r="E184" s="109"/>
      <c r="F184" s="109"/>
      <c r="G184" s="110"/>
      <c r="H184" s="110"/>
      <c r="I184" s="110"/>
      <c r="J184" s="18"/>
    </row>
    <row r="185" spans="2:10" ht="15.75" customHeight="1">
      <c r="B185" s="106"/>
      <c r="C185" s="107"/>
      <c r="D185" s="108"/>
      <c r="E185" s="109"/>
      <c r="F185" s="109"/>
      <c r="G185" s="110"/>
      <c r="H185" s="110"/>
      <c r="I185" s="110"/>
      <c r="J185" s="18"/>
    </row>
    <row r="186" spans="2:10" ht="15.75" customHeight="1">
      <c r="B186" s="106"/>
      <c r="C186" s="107"/>
      <c r="D186" s="108"/>
      <c r="E186" s="109"/>
      <c r="F186" s="109"/>
      <c r="G186" s="110"/>
      <c r="H186" s="110"/>
      <c r="I186" s="110"/>
      <c r="J186" s="18"/>
    </row>
    <row r="187" spans="2:10" ht="15.75" customHeight="1">
      <c r="B187" s="106"/>
      <c r="C187" s="107"/>
      <c r="D187" s="108"/>
      <c r="E187" s="109"/>
      <c r="F187" s="109"/>
      <c r="G187" s="110"/>
      <c r="H187" s="110"/>
      <c r="I187" s="110"/>
      <c r="J187" s="18"/>
    </row>
    <row r="188" spans="2:10" ht="15.75" customHeight="1">
      <c r="B188" s="106"/>
      <c r="C188" s="107"/>
      <c r="D188" s="108"/>
      <c r="E188" s="109"/>
      <c r="F188" s="109"/>
      <c r="G188" s="110"/>
      <c r="H188" s="110"/>
      <c r="I188" s="110"/>
      <c r="J188" s="18"/>
    </row>
    <row r="189" spans="2:10" ht="15.75" customHeight="1">
      <c r="B189" s="106"/>
      <c r="C189" s="107"/>
      <c r="D189" s="108"/>
      <c r="E189" s="109"/>
      <c r="F189" s="109"/>
      <c r="G189" s="110"/>
      <c r="H189" s="110"/>
      <c r="I189" s="110"/>
      <c r="J189" s="18"/>
    </row>
    <row r="190" spans="2:10" ht="15.75" customHeight="1">
      <c r="B190" s="106"/>
      <c r="C190" s="107"/>
      <c r="D190" s="108"/>
      <c r="E190" s="109"/>
      <c r="F190" s="109"/>
      <c r="G190" s="110"/>
      <c r="H190" s="110"/>
      <c r="I190" s="110"/>
      <c r="J190" s="18"/>
    </row>
    <row r="191" spans="2:10" ht="15.75" customHeight="1">
      <c r="B191" s="106"/>
      <c r="C191" s="107"/>
      <c r="D191" s="108"/>
      <c r="E191" s="109"/>
      <c r="F191" s="109"/>
      <c r="G191" s="110"/>
      <c r="H191" s="110"/>
      <c r="I191" s="110"/>
      <c r="J191" s="18"/>
    </row>
    <row r="192" spans="2:10" ht="15.75" customHeight="1">
      <c r="B192" s="106"/>
      <c r="C192" s="107"/>
      <c r="D192" s="108"/>
      <c r="E192" s="109"/>
      <c r="F192" s="109"/>
      <c r="G192" s="110"/>
      <c r="H192" s="110"/>
      <c r="I192" s="110"/>
      <c r="J192" s="18"/>
    </row>
    <row r="193" spans="2:10" ht="15.75" customHeight="1">
      <c r="B193" s="106"/>
      <c r="C193" s="107"/>
      <c r="D193" s="108"/>
      <c r="E193" s="109"/>
      <c r="F193" s="109"/>
      <c r="G193" s="110"/>
      <c r="H193" s="110"/>
      <c r="I193" s="110"/>
      <c r="J193" s="18"/>
    </row>
    <row r="194" spans="2:10" ht="15.75" customHeight="1">
      <c r="B194" s="106"/>
      <c r="C194" s="107"/>
      <c r="D194" s="108"/>
      <c r="E194" s="109"/>
      <c r="F194" s="109"/>
      <c r="G194" s="110"/>
      <c r="H194" s="110"/>
      <c r="I194" s="110"/>
      <c r="J194" s="18"/>
    </row>
    <row r="195" spans="2:10" ht="15.75" customHeight="1">
      <c r="B195" s="106"/>
      <c r="C195" s="107"/>
      <c r="D195" s="108"/>
      <c r="E195" s="109"/>
      <c r="F195" s="109"/>
      <c r="G195" s="110"/>
      <c r="H195" s="110"/>
      <c r="I195" s="110"/>
      <c r="J195" s="18"/>
    </row>
    <row r="196" spans="2:10" ht="15.75" customHeight="1">
      <c r="B196" s="106"/>
      <c r="C196" s="107"/>
      <c r="D196" s="108"/>
      <c r="E196" s="109"/>
      <c r="F196" s="109"/>
      <c r="G196" s="110"/>
      <c r="H196" s="110"/>
      <c r="I196" s="110"/>
      <c r="J196" s="18"/>
    </row>
    <row r="197" spans="2:10" ht="15.75" customHeight="1">
      <c r="B197" s="106"/>
      <c r="C197" s="107"/>
      <c r="D197" s="108"/>
      <c r="E197" s="109"/>
      <c r="F197" s="109"/>
      <c r="G197" s="110"/>
      <c r="H197" s="110"/>
      <c r="I197" s="110"/>
      <c r="J197" s="18"/>
    </row>
    <row r="198" spans="2:10" ht="15.75" customHeight="1">
      <c r="B198" s="106"/>
      <c r="C198" s="107"/>
      <c r="D198" s="108"/>
      <c r="E198" s="109"/>
      <c r="F198" s="109"/>
      <c r="G198" s="110"/>
      <c r="H198" s="110"/>
      <c r="I198" s="110"/>
      <c r="J198" s="18"/>
    </row>
    <row r="199" spans="2:10" ht="15.75" customHeight="1">
      <c r="B199" s="106"/>
      <c r="C199" s="107"/>
      <c r="D199" s="108"/>
      <c r="E199" s="109"/>
      <c r="F199" s="109"/>
      <c r="G199" s="110"/>
      <c r="H199" s="110"/>
      <c r="I199" s="110"/>
      <c r="J199" s="18"/>
    </row>
    <row r="200" spans="2:10" ht="15.75" customHeight="1">
      <c r="B200" s="106"/>
      <c r="C200" s="107"/>
      <c r="D200" s="108"/>
      <c r="E200" s="109"/>
      <c r="F200" s="109"/>
      <c r="G200" s="110"/>
      <c r="H200" s="110"/>
      <c r="I200" s="110"/>
      <c r="J200" s="18"/>
    </row>
    <row r="201" spans="2:10" ht="15.75" customHeight="1">
      <c r="B201" s="106"/>
      <c r="C201" s="107"/>
      <c r="D201" s="108"/>
      <c r="E201" s="109"/>
      <c r="F201" s="109"/>
      <c r="G201" s="110"/>
      <c r="H201" s="110"/>
      <c r="I201" s="110"/>
      <c r="J201" s="18"/>
    </row>
    <row r="202" spans="2:10" ht="15.75" customHeight="1">
      <c r="B202" s="106"/>
      <c r="C202" s="107"/>
      <c r="D202" s="108"/>
      <c r="E202" s="109"/>
      <c r="F202" s="109"/>
      <c r="G202" s="110"/>
      <c r="H202" s="110"/>
      <c r="I202" s="110"/>
      <c r="J202" s="18"/>
    </row>
    <row r="203" spans="2:10" ht="15.75" customHeight="1">
      <c r="B203" s="106"/>
      <c r="C203" s="107"/>
      <c r="D203" s="108"/>
      <c r="E203" s="109"/>
      <c r="F203" s="109"/>
      <c r="G203" s="110"/>
      <c r="H203" s="110"/>
      <c r="I203" s="110"/>
      <c r="J203" s="18"/>
    </row>
    <row r="204" spans="2:10" ht="15.75" customHeight="1">
      <c r="B204" s="106"/>
      <c r="C204" s="107"/>
      <c r="D204" s="108"/>
      <c r="E204" s="109"/>
      <c r="F204" s="109"/>
      <c r="G204" s="110"/>
      <c r="H204" s="110"/>
      <c r="I204" s="110"/>
      <c r="J204" s="18"/>
    </row>
    <row r="205" spans="2:10" ht="15.75" customHeight="1">
      <c r="B205" s="106"/>
      <c r="C205" s="107"/>
      <c r="D205" s="108"/>
      <c r="E205" s="109"/>
      <c r="F205" s="109"/>
      <c r="G205" s="110"/>
      <c r="H205" s="110"/>
      <c r="I205" s="110"/>
      <c r="J205" s="18"/>
    </row>
    <row r="206" spans="2:10" ht="15.75" customHeight="1">
      <c r="B206" s="106"/>
      <c r="C206" s="107"/>
      <c r="D206" s="108"/>
      <c r="E206" s="109"/>
      <c r="F206" s="109"/>
      <c r="G206" s="110"/>
      <c r="H206" s="110"/>
      <c r="I206" s="110"/>
      <c r="J206" s="18"/>
    </row>
    <row r="207" spans="2:10" ht="15.75" customHeight="1">
      <c r="B207" s="106"/>
      <c r="C207" s="107"/>
      <c r="D207" s="108"/>
      <c r="E207" s="109"/>
      <c r="F207" s="109"/>
      <c r="G207" s="110"/>
      <c r="H207" s="110"/>
      <c r="I207" s="110"/>
      <c r="J207" s="18"/>
    </row>
    <row r="208" spans="2:10" ht="15.75" customHeight="1">
      <c r="B208" s="106"/>
      <c r="C208" s="107"/>
      <c r="D208" s="108"/>
      <c r="E208" s="109"/>
      <c r="F208" s="109"/>
      <c r="G208" s="110"/>
      <c r="H208" s="110"/>
      <c r="I208" s="110"/>
      <c r="J208" s="18"/>
    </row>
    <row r="209" spans="2:10" ht="15.75" customHeight="1">
      <c r="B209" s="106"/>
      <c r="C209" s="107"/>
      <c r="D209" s="108"/>
      <c r="E209" s="109"/>
      <c r="F209" s="109"/>
      <c r="G209" s="110"/>
      <c r="H209" s="110"/>
      <c r="I209" s="110"/>
      <c r="J209" s="18"/>
    </row>
    <row r="210" spans="2:10" ht="15.75" customHeight="1">
      <c r="B210" s="106"/>
      <c r="C210" s="107"/>
      <c r="D210" s="108"/>
      <c r="E210" s="109"/>
      <c r="F210" s="109"/>
      <c r="G210" s="110"/>
      <c r="H210" s="110"/>
      <c r="I210" s="110"/>
      <c r="J210" s="18"/>
    </row>
    <row r="211" spans="2:10" ht="15.75" customHeight="1">
      <c r="B211" s="106"/>
      <c r="C211" s="107"/>
      <c r="D211" s="108"/>
      <c r="E211" s="109"/>
      <c r="F211" s="109"/>
      <c r="G211" s="110"/>
      <c r="H211" s="110"/>
      <c r="I211" s="110"/>
      <c r="J211" s="18"/>
    </row>
    <row r="212" spans="2:10" ht="15.75" customHeight="1">
      <c r="B212" s="106"/>
      <c r="C212" s="107"/>
      <c r="D212" s="108"/>
      <c r="E212" s="109"/>
      <c r="F212" s="109"/>
      <c r="G212" s="110"/>
      <c r="H212" s="110"/>
      <c r="I212" s="110"/>
      <c r="J212" s="18"/>
    </row>
    <row r="213" spans="2:10" ht="15.75" customHeight="1">
      <c r="B213" s="106"/>
      <c r="C213" s="107"/>
      <c r="D213" s="108"/>
      <c r="E213" s="109"/>
      <c r="F213" s="109"/>
      <c r="G213" s="110"/>
      <c r="H213" s="110"/>
      <c r="I213" s="110"/>
      <c r="J213" s="18"/>
    </row>
    <row r="214" spans="2:10" ht="15.75" customHeight="1">
      <c r="B214" s="106"/>
      <c r="C214" s="107"/>
      <c r="D214" s="108"/>
      <c r="E214" s="109"/>
      <c r="F214" s="109"/>
      <c r="G214" s="110"/>
      <c r="H214" s="110"/>
      <c r="I214" s="110"/>
      <c r="J214" s="18"/>
    </row>
    <row r="215" spans="2:10" ht="15.75" customHeight="1">
      <c r="B215" s="106"/>
      <c r="C215" s="107"/>
      <c r="D215" s="108"/>
      <c r="E215" s="109"/>
      <c r="F215" s="109"/>
      <c r="G215" s="110"/>
      <c r="H215" s="110"/>
      <c r="I215" s="110"/>
      <c r="J215" s="18"/>
    </row>
    <row r="216" spans="2:10" ht="15.75" customHeight="1">
      <c r="B216" s="106"/>
      <c r="C216" s="107"/>
      <c r="D216" s="108"/>
      <c r="E216" s="109"/>
      <c r="F216" s="109"/>
      <c r="G216" s="110"/>
      <c r="H216" s="110"/>
      <c r="I216" s="110"/>
      <c r="J216" s="18"/>
    </row>
    <row r="217" spans="2:10" ht="15.75" customHeight="1">
      <c r="B217" s="106"/>
      <c r="C217" s="107"/>
      <c r="D217" s="108"/>
      <c r="E217" s="109"/>
      <c r="F217" s="109"/>
      <c r="G217" s="110"/>
      <c r="H217" s="110"/>
      <c r="I217" s="110"/>
      <c r="J217" s="18"/>
    </row>
    <row r="218" spans="2:10" ht="15.75" customHeight="1">
      <c r="B218" s="106"/>
      <c r="C218" s="107"/>
      <c r="D218" s="108"/>
      <c r="E218" s="109"/>
      <c r="F218" s="109"/>
      <c r="G218" s="110"/>
      <c r="H218" s="110"/>
      <c r="I218" s="110"/>
      <c r="J218" s="18"/>
    </row>
    <row r="219" spans="2:10" ht="15.75" customHeight="1">
      <c r="B219" s="106"/>
      <c r="C219" s="107"/>
      <c r="D219" s="108"/>
      <c r="E219" s="109"/>
      <c r="F219" s="109"/>
      <c r="G219" s="110"/>
      <c r="H219" s="110"/>
      <c r="I219" s="110"/>
      <c r="J219" s="18"/>
    </row>
    <row r="220" spans="2:10" ht="15.75" customHeight="1">
      <c r="B220" s="106"/>
      <c r="C220" s="107"/>
      <c r="D220" s="108"/>
      <c r="E220" s="109"/>
      <c r="F220" s="109"/>
      <c r="G220" s="110"/>
      <c r="H220" s="110"/>
      <c r="I220" s="110"/>
      <c r="J220" s="18"/>
    </row>
    <row r="221" spans="2:10" ht="15.75" customHeight="1">
      <c r="B221" s="106"/>
      <c r="C221" s="107"/>
      <c r="D221" s="108"/>
      <c r="E221" s="109"/>
      <c r="F221" s="109"/>
      <c r="G221" s="110"/>
      <c r="H221" s="110"/>
      <c r="I221" s="110"/>
      <c r="J221" s="18"/>
    </row>
    <row r="222" spans="2:10" ht="15.75" customHeight="1">
      <c r="B222" s="106"/>
      <c r="C222" s="107"/>
      <c r="D222" s="108"/>
      <c r="E222" s="109"/>
      <c r="F222" s="109"/>
      <c r="G222" s="110"/>
      <c r="H222" s="110"/>
      <c r="I222" s="110"/>
      <c r="J222" s="18"/>
    </row>
    <row r="223" spans="2:10" ht="15.75" customHeight="1">
      <c r="B223" s="106"/>
      <c r="C223" s="107"/>
      <c r="D223" s="108"/>
      <c r="E223" s="109"/>
      <c r="F223" s="109"/>
      <c r="G223" s="110"/>
      <c r="H223" s="110"/>
      <c r="I223" s="110"/>
      <c r="J223" s="18"/>
    </row>
    <row r="224" spans="2:10" ht="15.75" customHeight="1">
      <c r="B224" s="106"/>
      <c r="C224" s="107"/>
      <c r="D224" s="108"/>
      <c r="E224" s="109"/>
      <c r="F224" s="109"/>
      <c r="G224" s="110"/>
      <c r="H224" s="110"/>
      <c r="I224" s="110"/>
      <c r="J224" s="18"/>
    </row>
    <row r="225" spans="2:10" ht="15.75" customHeight="1">
      <c r="B225" s="106"/>
      <c r="C225" s="107"/>
      <c r="D225" s="108"/>
      <c r="E225" s="109"/>
      <c r="F225" s="109"/>
      <c r="G225" s="110"/>
      <c r="H225" s="110"/>
      <c r="I225" s="110"/>
      <c r="J225" s="18"/>
    </row>
    <row r="226" spans="2:10" ht="15.75" customHeight="1">
      <c r="B226" s="106"/>
      <c r="C226" s="107"/>
      <c r="D226" s="108"/>
      <c r="E226" s="109"/>
      <c r="F226" s="109"/>
      <c r="G226" s="110"/>
      <c r="H226" s="110"/>
      <c r="I226" s="110"/>
      <c r="J226" s="18"/>
    </row>
    <row r="227" spans="2:10" ht="15.75" customHeight="1">
      <c r="B227" s="106"/>
      <c r="C227" s="107"/>
      <c r="D227" s="108"/>
      <c r="E227" s="109"/>
      <c r="F227" s="109"/>
      <c r="G227" s="110"/>
      <c r="H227" s="110"/>
      <c r="I227" s="110"/>
      <c r="J227" s="18"/>
    </row>
    <row r="228" spans="2:10" ht="15.75" customHeight="1">
      <c r="B228" s="106"/>
      <c r="C228" s="107"/>
      <c r="D228" s="108"/>
      <c r="E228" s="109"/>
      <c r="F228" s="109"/>
      <c r="G228" s="110"/>
      <c r="H228" s="110"/>
      <c r="I228" s="110"/>
      <c r="J228" s="18"/>
    </row>
    <row r="229" spans="2:10" ht="15.75" customHeight="1">
      <c r="B229" s="106"/>
      <c r="C229" s="107"/>
      <c r="D229" s="108"/>
      <c r="E229" s="109"/>
      <c r="F229" s="109"/>
      <c r="G229" s="110"/>
      <c r="H229" s="110"/>
      <c r="I229" s="110"/>
      <c r="J229" s="18"/>
    </row>
    <row r="230" spans="2:10" ht="15.75" customHeight="1">
      <c r="B230" s="106"/>
      <c r="C230" s="107"/>
      <c r="D230" s="108"/>
      <c r="E230" s="109"/>
      <c r="F230" s="109"/>
      <c r="G230" s="110"/>
      <c r="H230" s="110"/>
      <c r="I230" s="110"/>
      <c r="J230" s="18"/>
    </row>
    <row r="231" spans="2:10" ht="15.75" customHeight="1">
      <c r="B231" s="106"/>
      <c r="C231" s="107"/>
      <c r="D231" s="108"/>
      <c r="E231" s="109"/>
      <c r="F231" s="109"/>
      <c r="G231" s="110"/>
      <c r="H231" s="110"/>
      <c r="I231" s="110"/>
      <c r="J231" s="18"/>
    </row>
    <row r="232" spans="2:10" ht="15.75" customHeight="1">
      <c r="B232" s="106"/>
      <c r="C232" s="107"/>
      <c r="D232" s="108"/>
      <c r="E232" s="109"/>
      <c r="F232" s="109"/>
      <c r="G232" s="110"/>
      <c r="H232" s="110"/>
      <c r="I232" s="110"/>
      <c r="J232" s="18"/>
    </row>
    <row r="233" spans="2:10" ht="15.75" customHeight="1">
      <c r="B233" s="106"/>
      <c r="C233" s="107"/>
      <c r="D233" s="108"/>
      <c r="E233" s="109"/>
      <c r="F233" s="109"/>
      <c r="G233" s="110"/>
      <c r="H233" s="110"/>
      <c r="I233" s="110"/>
      <c r="J233" s="18"/>
    </row>
    <row r="234" spans="2:10" ht="15.75" customHeight="1">
      <c r="B234" s="106"/>
      <c r="C234" s="107"/>
      <c r="D234" s="108"/>
      <c r="E234" s="109"/>
      <c r="F234" s="109"/>
      <c r="G234" s="110"/>
      <c r="H234" s="110"/>
      <c r="I234" s="110"/>
      <c r="J234" s="18"/>
    </row>
    <row r="235" spans="2:10" ht="15.75" customHeight="1">
      <c r="B235" s="106"/>
      <c r="C235" s="107"/>
      <c r="D235" s="108"/>
      <c r="E235" s="109"/>
      <c r="F235" s="109"/>
      <c r="G235" s="110"/>
      <c r="H235" s="110"/>
      <c r="I235" s="110"/>
      <c r="J235" s="18"/>
    </row>
    <row r="236" spans="2:10" ht="15.75" customHeight="1">
      <c r="B236" s="106"/>
      <c r="C236" s="107"/>
      <c r="D236" s="108"/>
      <c r="E236" s="109"/>
      <c r="F236" s="109"/>
      <c r="G236" s="110"/>
      <c r="H236" s="110"/>
      <c r="I236" s="110"/>
      <c r="J236" s="18"/>
    </row>
    <row r="237" spans="2:10" ht="15.75" customHeight="1">
      <c r="B237" s="106"/>
      <c r="C237" s="107"/>
      <c r="D237" s="108"/>
      <c r="E237" s="109"/>
      <c r="F237" s="109"/>
      <c r="G237" s="110"/>
      <c r="H237" s="110"/>
      <c r="I237" s="110"/>
      <c r="J237" s="18"/>
    </row>
    <row r="238" spans="2:10" ht="15.75" customHeight="1">
      <c r="B238" s="106"/>
      <c r="C238" s="107"/>
      <c r="D238" s="108"/>
      <c r="E238" s="109"/>
      <c r="F238" s="109"/>
      <c r="G238" s="110"/>
      <c r="H238" s="110"/>
      <c r="I238" s="110"/>
      <c r="J238" s="18"/>
    </row>
    <row r="239" spans="2:10" ht="15.75" customHeight="1">
      <c r="B239" s="106"/>
      <c r="C239" s="107"/>
      <c r="D239" s="108"/>
      <c r="E239" s="109"/>
      <c r="F239" s="109"/>
      <c r="G239" s="110"/>
      <c r="H239" s="110"/>
      <c r="I239" s="110"/>
      <c r="J239" s="18"/>
    </row>
    <row r="240" spans="2:10" ht="15.75" customHeight="1">
      <c r="B240" s="106"/>
      <c r="C240" s="107"/>
      <c r="D240" s="108"/>
      <c r="E240" s="109"/>
      <c r="F240" s="109"/>
      <c r="G240" s="110"/>
      <c r="H240" s="110"/>
      <c r="I240" s="110"/>
      <c r="J240" s="18"/>
    </row>
    <row r="241" spans="2:10" ht="15.75" customHeight="1">
      <c r="B241" s="106"/>
      <c r="C241" s="107"/>
      <c r="D241" s="108"/>
      <c r="E241" s="109"/>
      <c r="F241" s="109"/>
      <c r="G241" s="110"/>
      <c r="H241" s="110"/>
      <c r="I241" s="110"/>
      <c r="J241" s="18"/>
    </row>
    <row r="242" spans="2:10" ht="15.75" customHeight="1">
      <c r="B242" s="106"/>
      <c r="C242" s="107"/>
      <c r="D242" s="108"/>
      <c r="E242" s="109"/>
      <c r="F242" s="109"/>
      <c r="G242" s="110"/>
      <c r="H242" s="110"/>
      <c r="I242" s="110"/>
      <c r="J242" s="18"/>
    </row>
    <row r="243" spans="2:10" ht="15.75" customHeight="1">
      <c r="B243" s="106"/>
      <c r="C243" s="107"/>
      <c r="D243" s="108"/>
      <c r="E243" s="109"/>
      <c r="F243" s="109"/>
      <c r="G243" s="110"/>
      <c r="H243" s="110"/>
      <c r="I243" s="110"/>
      <c r="J243" s="18"/>
    </row>
    <row r="244" spans="2:10" ht="15.75" customHeight="1">
      <c r="B244" s="106"/>
      <c r="C244" s="107"/>
      <c r="D244" s="108"/>
      <c r="E244" s="109"/>
      <c r="F244" s="109"/>
      <c r="G244" s="110"/>
      <c r="H244" s="110"/>
      <c r="I244" s="110"/>
      <c r="J244" s="18"/>
    </row>
    <row r="245" spans="2:10" ht="15.75" customHeight="1">
      <c r="B245" s="106"/>
      <c r="C245" s="107"/>
      <c r="D245" s="108"/>
      <c r="E245" s="109"/>
      <c r="F245" s="109"/>
      <c r="G245" s="110"/>
      <c r="H245" s="110"/>
      <c r="I245" s="110"/>
      <c r="J245" s="18"/>
    </row>
    <row r="246" spans="2:10" ht="15.75" customHeight="1">
      <c r="B246" s="106"/>
      <c r="C246" s="107"/>
      <c r="D246" s="108"/>
      <c r="E246" s="109"/>
      <c r="F246" s="109"/>
      <c r="G246" s="110"/>
      <c r="H246" s="110"/>
      <c r="I246" s="110"/>
      <c r="J246" s="18"/>
    </row>
    <row r="247" spans="2:10" ht="15.75" customHeight="1">
      <c r="B247" s="106"/>
      <c r="C247" s="107"/>
      <c r="D247" s="108"/>
      <c r="E247" s="109"/>
      <c r="F247" s="109"/>
      <c r="G247" s="110"/>
      <c r="H247" s="110"/>
      <c r="I247" s="110"/>
      <c r="J247" s="18"/>
    </row>
    <row r="248" spans="2:10" ht="15.75" customHeight="1">
      <c r="B248" s="106"/>
      <c r="C248" s="107"/>
      <c r="D248" s="108"/>
      <c r="E248" s="109"/>
      <c r="F248" s="109"/>
      <c r="G248" s="110"/>
      <c r="H248" s="110"/>
      <c r="I248" s="110"/>
      <c r="J248" s="18"/>
    </row>
    <row r="249" spans="2:10" ht="15.75" customHeight="1">
      <c r="B249" s="106"/>
      <c r="C249" s="107"/>
      <c r="D249" s="108"/>
      <c r="E249" s="109"/>
      <c r="F249" s="109"/>
      <c r="G249" s="110"/>
      <c r="H249" s="110"/>
      <c r="I249" s="110"/>
      <c r="J249" s="18"/>
    </row>
    <row r="250" spans="2:10" ht="15.75" customHeight="1">
      <c r="B250" s="106"/>
      <c r="C250" s="107"/>
      <c r="D250" s="108"/>
      <c r="E250" s="109"/>
      <c r="F250" s="109"/>
      <c r="G250" s="110"/>
      <c r="H250" s="110"/>
      <c r="I250" s="110"/>
      <c r="J250" s="18"/>
    </row>
    <row r="251" spans="2:10" ht="15.75" customHeight="1">
      <c r="B251" s="106"/>
      <c r="C251" s="107"/>
      <c r="D251" s="108"/>
      <c r="E251" s="109"/>
      <c r="F251" s="109"/>
      <c r="G251" s="110"/>
      <c r="H251" s="110"/>
      <c r="I251" s="110"/>
      <c r="J251" s="18"/>
    </row>
    <row r="252" spans="2:10" ht="15.75" customHeight="1">
      <c r="B252" s="106"/>
      <c r="C252" s="107"/>
      <c r="D252" s="108"/>
      <c r="E252" s="109"/>
      <c r="F252" s="109"/>
      <c r="G252" s="110"/>
      <c r="H252" s="110"/>
      <c r="I252" s="110"/>
      <c r="J252" s="18"/>
    </row>
    <row r="253" spans="2:10" ht="15.75" customHeight="1">
      <c r="B253" s="106"/>
      <c r="C253" s="107"/>
      <c r="D253" s="108"/>
      <c r="E253" s="109"/>
      <c r="F253" s="109"/>
      <c r="G253" s="110"/>
      <c r="H253" s="110"/>
      <c r="I253" s="110"/>
      <c r="J253" s="18"/>
    </row>
    <row r="254" spans="2:10" ht="15.75" customHeight="1">
      <c r="B254" s="106"/>
      <c r="C254" s="107"/>
      <c r="D254" s="108"/>
      <c r="E254" s="109"/>
      <c r="F254" s="109"/>
      <c r="G254" s="110"/>
      <c r="H254" s="110"/>
      <c r="I254" s="110"/>
      <c r="J254" s="18"/>
    </row>
    <row r="255" spans="2:10" ht="15.75" customHeight="1">
      <c r="B255" s="106"/>
      <c r="C255" s="107"/>
      <c r="D255" s="108"/>
      <c r="E255" s="109"/>
      <c r="F255" s="109"/>
      <c r="G255" s="110"/>
      <c r="H255" s="110"/>
      <c r="I255" s="110"/>
      <c r="J255" s="18"/>
    </row>
    <row r="256" spans="2:10" ht="15.75" customHeight="1">
      <c r="B256" s="106"/>
      <c r="C256" s="107"/>
      <c r="D256" s="108"/>
      <c r="E256" s="109"/>
      <c r="F256" s="109"/>
      <c r="G256" s="110"/>
      <c r="H256" s="110"/>
      <c r="I256" s="110"/>
      <c r="J256" s="18"/>
    </row>
    <row r="257" spans="2:10" ht="15.75" customHeight="1">
      <c r="B257" s="106"/>
      <c r="C257" s="107"/>
      <c r="D257" s="108"/>
      <c r="E257" s="109"/>
      <c r="F257" s="109"/>
      <c r="G257" s="110"/>
      <c r="H257" s="110"/>
      <c r="I257" s="110"/>
      <c r="J257" s="18"/>
    </row>
    <row r="258" spans="2:10" ht="15.75" customHeight="1">
      <c r="B258" s="106"/>
      <c r="C258" s="107"/>
      <c r="D258" s="108"/>
      <c r="E258" s="109"/>
      <c r="F258" s="109"/>
      <c r="G258" s="110"/>
      <c r="H258" s="110"/>
      <c r="I258" s="110"/>
      <c r="J258" s="18"/>
    </row>
    <row r="259" spans="2:10" ht="15.75" customHeight="1">
      <c r="B259" s="106"/>
      <c r="C259" s="107"/>
      <c r="D259" s="108"/>
      <c r="E259" s="109"/>
      <c r="F259" s="109"/>
      <c r="G259" s="110"/>
      <c r="H259" s="110"/>
      <c r="I259" s="110"/>
      <c r="J259" s="18"/>
    </row>
    <row r="260" spans="2:10" ht="15.75" customHeight="1">
      <c r="B260" s="106"/>
      <c r="C260" s="107"/>
      <c r="D260" s="108"/>
      <c r="E260" s="109"/>
      <c r="F260" s="109"/>
      <c r="G260" s="110"/>
      <c r="H260" s="110"/>
      <c r="I260" s="110"/>
      <c r="J260" s="18"/>
    </row>
    <row r="261" spans="2:10" ht="15.75" customHeight="1">
      <c r="B261" s="106"/>
      <c r="C261" s="107"/>
      <c r="D261" s="108"/>
      <c r="E261" s="109"/>
      <c r="F261" s="109"/>
      <c r="G261" s="110"/>
      <c r="H261" s="110"/>
      <c r="I261" s="110"/>
      <c r="J261" s="18"/>
    </row>
    <row r="262" spans="2:10" ht="15.75" customHeight="1">
      <c r="B262" s="106"/>
      <c r="C262" s="107"/>
      <c r="D262" s="108"/>
      <c r="E262" s="109"/>
      <c r="F262" s="109"/>
      <c r="G262" s="110"/>
      <c r="H262" s="110"/>
      <c r="I262" s="110"/>
      <c r="J262" s="18"/>
    </row>
    <row r="263" spans="2:10" ht="15.75" customHeight="1">
      <c r="B263" s="106"/>
      <c r="C263" s="107"/>
      <c r="D263" s="108"/>
      <c r="E263" s="109"/>
      <c r="F263" s="109"/>
      <c r="G263" s="110"/>
      <c r="H263" s="110"/>
      <c r="I263" s="110"/>
      <c r="J263" s="18"/>
    </row>
    <row r="264" spans="2:10" ht="15.75" customHeight="1">
      <c r="B264" s="106"/>
      <c r="C264" s="107"/>
      <c r="D264" s="108"/>
      <c r="E264" s="109"/>
      <c r="F264" s="109"/>
      <c r="G264" s="110"/>
      <c r="H264" s="110"/>
      <c r="I264" s="110"/>
      <c r="J264" s="18"/>
    </row>
    <row r="265" spans="2:10" ht="15.75" customHeight="1">
      <c r="B265" s="106"/>
      <c r="C265" s="107"/>
      <c r="D265" s="108"/>
      <c r="E265" s="109"/>
      <c r="F265" s="109"/>
      <c r="G265" s="110"/>
      <c r="H265" s="110"/>
      <c r="I265" s="110"/>
      <c r="J265" s="18"/>
    </row>
    <row r="266" spans="2:10" ht="15.75" customHeight="1">
      <c r="B266" s="106"/>
      <c r="C266" s="107"/>
      <c r="D266" s="108"/>
      <c r="E266" s="109"/>
      <c r="F266" s="109"/>
      <c r="G266" s="110"/>
      <c r="H266" s="110"/>
      <c r="I266" s="110"/>
      <c r="J266" s="18"/>
    </row>
    <row r="267" spans="2:10" ht="15.75" customHeight="1">
      <c r="B267" s="106"/>
      <c r="C267" s="107"/>
      <c r="D267" s="108"/>
      <c r="E267" s="109"/>
      <c r="F267" s="109"/>
      <c r="G267" s="110"/>
      <c r="H267" s="110"/>
      <c r="I267" s="110"/>
      <c r="J267" s="18"/>
    </row>
    <row r="268" spans="2:10" ht="15.75" customHeight="1">
      <c r="B268" s="106"/>
      <c r="C268" s="107"/>
      <c r="D268" s="108"/>
      <c r="E268" s="109"/>
      <c r="F268" s="109"/>
      <c r="G268" s="110"/>
      <c r="H268" s="110"/>
      <c r="I268" s="110"/>
      <c r="J268" s="18"/>
    </row>
    <row r="269" spans="2:10" ht="15.75" customHeight="1">
      <c r="B269" s="106"/>
      <c r="C269" s="107"/>
      <c r="D269" s="108"/>
      <c r="E269" s="109"/>
      <c r="F269" s="109"/>
      <c r="G269" s="110"/>
      <c r="H269" s="110"/>
      <c r="I269" s="110"/>
      <c r="J269" s="18"/>
    </row>
    <row r="270" spans="2:10" ht="15.75" customHeight="1">
      <c r="B270" s="106"/>
      <c r="C270" s="107"/>
      <c r="D270" s="108"/>
      <c r="E270" s="109"/>
      <c r="F270" s="109"/>
      <c r="G270" s="110"/>
      <c r="H270" s="110"/>
      <c r="I270" s="110"/>
      <c r="J270" s="18"/>
    </row>
    <row r="271" spans="2:10" ht="15.75" customHeight="1">
      <c r="B271" s="106"/>
      <c r="C271" s="107"/>
      <c r="D271" s="108"/>
      <c r="E271" s="109"/>
      <c r="F271" s="109"/>
      <c r="G271" s="110"/>
      <c r="H271" s="110"/>
      <c r="I271" s="110"/>
      <c r="J271" s="18"/>
    </row>
    <row r="272" spans="2:10" ht="15.75" customHeight="1">
      <c r="B272" s="106"/>
      <c r="C272" s="107"/>
      <c r="D272" s="108"/>
      <c r="E272" s="109"/>
      <c r="F272" s="109"/>
      <c r="G272" s="110"/>
      <c r="H272" s="110"/>
      <c r="I272" s="110"/>
      <c r="J272" s="18"/>
    </row>
    <row r="273" spans="2:10" ht="15.75" customHeight="1">
      <c r="B273" s="106"/>
      <c r="C273" s="107"/>
      <c r="D273" s="108"/>
      <c r="E273" s="109"/>
      <c r="F273" s="109"/>
      <c r="G273" s="110"/>
      <c r="H273" s="110"/>
      <c r="I273" s="110"/>
      <c r="J273" s="18"/>
    </row>
    <row r="274" spans="2:10" ht="15.75" customHeight="1">
      <c r="B274" s="106"/>
      <c r="C274" s="107"/>
      <c r="D274" s="108"/>
      <c r="E274" s="109"/>
      <c r="F274" s="109"/>
      <c r="G274" s="110"/>
      <c r="H274" s="110"/>
      <c r="I274" s="110"/>
      <c r="J274" s="18"/>
    </row>
    <row r="275" spans="2:10" ht="15.75" customHeight="1">
      <c r="B275" s="106"/>
      <c r="C275" s="107"/>
      <c r="D275" s="108"/>
      <c r="E275" s="109"/>
      <c r="F275" s="109"/>
      <c r="G275" s="110"/>
      <c r="H275" s="110"/>
      <c r="I275" s="110"/>
      <c r="J275" s="18"/>
    </row>
    <row r="276" spans="2:10" ht="15.75" customHeight="1">
      <c r="B276" s="106"/>
      <c r="C276" s="107"/>
      <c r="D276" s="108"/>
      <c r="E276" s="109"/>
      <c r="F276" s="109"/>
      <c r="G276" s="110"/>
      <c r="H276" s="110"/>
      <c r="I276" s="110"/>
      <c r="J276" s="18"/>
    </row>
    <row r="277" spans="2:10" ht="15.75" customHeight="1">
      <c r="B277" s="106"/>
      <c r="C277" s="107"/>
      <c r="D277" s="108"/>
      <c r="E277" s="109"/>
      <c r="F277" s="109"/>
      <c r="G277" s="110"/>
      <c r="H277" s="110"/>
      <c r="I277" s="110"/>
      <c r="J277" s="18"/>
    </row>
    <row r="278" spans="2:10" ht="15.75" customHeight="1">
      <c r="B278" s="106"/>
      <c r="C278" s="107"/>
      <c r="D278" s="108"/>
      <c r="E278" s="109"/>
      <c r="F278" s="109"/>
      <c r="G278" s="110"/>
      <c r="H278" s="110"/>
      <c r="I278" s="110"/>
      <c r="J278" s="18"/>
    </row>
    <row r="279" spans="2:10" ht="15.75" customHeight="1">
      <c r="B279" s="106"/>
      <c r="C279" s="107"/>
      <c r="D279" s="108"/>
      <c r="E279" s="109"/>
      <c r="F279" s="109"/>
      <c r="G279" s="110"/>
      <c r="H279" s="110"/>
      <c r="I279" s="110"/>
      <c r="J279" s="18"/>
    </row>
    <row r="280" spans="2:10" ht="15.75" customHeight="1">
      <c r="B280" s="106"/>
      <c r="C280" s="107"/>
      <c r="D280" s="108"/>
      <c r="E280" s="109"/>
      <c r="F280" s="109"/>
      <c r="G280" s="110"/>
      <c r="H280" s="110"/>
      <c r="I280" s="110"/>
      <c r="J280" s="18"/>
    </row>
    <row r="281" spans="2:10" ht="15.75" customHeight="1">
      <c r="B281" s="106"/>
      <c r="C281" s="107"/>
      <c r="D281" s="108"/>
      <c r="E281" s="109"/>
      <c r="F281" s="109"/>
      <c r="G281" s="110"/>
      <c r="H281" s="110"/>
      <c r="I281" s="110"/>
      <c r="J281" s="18"/>
    </row>
    <row r="282" spans="2:10" ht="15.75" customHeight="1">
      <c r="B282" s="106"/>
      <c r="C282" s="107"/>
      <c r="D282" s="108"/>
      <c r="E282" s="109"/>
      <c r="F282" s="109"/>
      <c r="G282" s="110"/>
      <c r="H282" s="110"/>
      <c r="I282" s="110"/>
      <c r="J282" s="18"/>
    </row>
    <row r="283" spans="2:10" ht="15.75" customHeight="1">
      <c r="B283" s="106"/>
      <c r="C283" s="107"/>
      <c r="D283" s="108"/>
      <c r="E283" s="109"/>
      <c r="F283" s="109"/>
      <c r="G283" s="110"/>
      <c r="H283" s="110"/>
      <c r="I283" s="110"/>
      <c r="J283" s="18"/>
    </row>
    <row r="284" spans="2:10" ht="15.75" customHeight="1">
      <c r="B284" s="106"/>
      <c r="C284" s="107"/>
      <c r="D284" s="108"/>
      <c r="E284" s="109"/>
      <c r="F284" s="109"/>
      <c r="G284" s="110"/>
      <c r="H284" s="110"/>
      <c r="I284" s="110"/>
      <c r="J284" s="18"/>
    </row>
    <row r="285" spans="2:10" ht="15.75" customHeight="1">
      <c r="B285" s="106"/>
      <c r="C285" s="107"/>
      <c r="D285" s="108"/>
      <c r="E285" s="109"/>
      <c r="F285" s="109"/>
      <c r="G285" s="110"/>
      <c r="H285" s="110"/>
      <c r="I285" s="110"/>
      <c r="J285" s="18"/>
    </row>
    <row r="286" spans="2:10" ht="15.75" customHeight="1">
      <c r="B286" s="106"/>
      <c r="C286" s="107"/>
      <c r="D286" s="108"/>
      <c r="E286" s="109"/>
      <c r="F286" s="109"/>
      <c r="G286" s="110"/>
      <c r="H286" s="110"/>
      <c r="I286" s="110"/>
      <c r="J286" s="18"/>
    </row>
    <row r="287" spans="2:10" ht="15.75" customHeight="1">
      <c r="B287" s="106"/>
      <c r="C287" s="107"/>
      <c r="D287" s="108"/>
      <c r="E287" s="109"/>
      <c r="F287" s="109"/>
      <c r="G287" s="110"/>
      <c r="H287" s="110"/>
      <c r="I287" s="110"/>
      <c r="J287" s="18"/>
    </row>
    <row r="288" spans="2:10" ht="15.75" customHeight="1">
      <c r="B288" s="106"/>
      <c r="C288" s="107"/>
      <c r="D288" s="108"/>
      <c r="E288" s="109"/>
      <c r="F288" s="109"/>
      <c r="G288" s="110"/>
      <c r="H288" s="110"/>
      <c r="I288" s="110"/>
      <c r="J288" s="18"/>
    </row>
    <row r="289" spans="2:10" ht="15.75" customHeight="1">
      <c r="B289" s="106"/>
      <c r="C289" s="107"/>
      <c r="D289" s="108"/>
      <c r="E289" s="109"/>
      <c r="F289" s="109"/>
      <c r="G289" s="110"/>
      <c r="H289" s="110"/>
      <c r="I289" s="110"/>
      <c r="J289" s="18"/>
    </row>
    <row r="290" spans="2:10" ht="15.75" customHeight="1">
      <c r="B290" s="106"/>
      <c r="C290" s="107"/>
      <c r="D290" s="108"/>
      <c r="E290" s="109"/>
      <c r="F290" s="109"/>
      <c r="G290" s="110"/>
      <c r="H290" s="110"/>
      <c r="I290" s="110"/>
      <c r="J290" s="18"/>
    </row>
    <row r="291" spans="2:10" ht="15.75" customHeight="1">
      <c r="B291" s="106"/>
      <c r="C291" s="107"/>
      <c r="D291" s="108"/>
      <c r="E291" s="109"/>
      <c r="F291" s="109"/>
      <c r="G291" s="110"/>
      <c r="H291" s="110"/>
      <c r="I291" s="110"/>
      <c r="J291" s="18"/>
    </row>
    <row r="292" spans="2:10" ht="15.75" customHeight="1">
      <c r="B292" s="106"/>
      <c r="C292" s="107"/>
      <c r="D292" s="108"/>
      <c r="E292" s="109"/>
      <c r="F292" s="109"/>
      <c r="G292" s="110"/>
      <c r="H292" s="110"/>
      <c r="I292" s="110"/>
      <c r="J292" s="18"/>
    </row>
    <row r="293" spans="2:10" ht="15.75" customHeight="1">
      <c r="B293" s="106"/>
      <c r="C293" s="107"/>
      <c r="D293" s="108"/>
      <c r="E293" s="109"/>
      <c r="F293" s="109"/>
      <c r="G293" s="110"/>
      <c r="H293" s="110"/>
      <c r="I293" s="110"/>
      <c r="J293" s="18"/>
    </row>
    <row r="294" spans="2:10" ht="15.75" customHeight="1">
      <c r="B294" s="106"/>
      <c r="C294" s="107"/>
      <c r="D294" s="108"/>
      <c r="E294" s="109"/>
      <c r="F294" s="109"/>
      <c r="G294" s="110"/>
      <c r="H294" s="110"/>
      <c r="I294" s="110"/>
      <c r="J294" s="18"/>
    </row>
    <row r="295" spans="2:10" ht="15.75" customHeight="1">
      <c r="B295" s="106"/>
      <c r="C295" s="107"/>
      <c r="D295" s="108"/>
      <c r="E295" s="109"/>
      <c r="F295" s="109"/>
      <c r="G295" s="110"/>
      <c r="H295" s="110"/>
      <c r="I295" s="110"/>
      <c r="J295" s="18"/>
    </row>
    <row r="296" spans="2:10" ht="15.75" customHeight="1">
      <c r="B296" s="106"/>
      <c r="C296" s="107"/>
      <c r="D296" s="108"/>
      <c r="E296" s="109"/>
      <c r="F296" s="109"/>
      <c r="G296" s="110"/>
      <c r="H296" s="110"/>
      <c r="I296" s="110"/>
      <c r="J296" s="18"/>
    </row>
    <row r="297" spans="2:10" ht="15.75" customHeight="1">
      <c r="B297" s="106"/>
      <c r="C297" s="107"/>
      <c r="D297" s="108"/>
      <c r="E297" s="109"/>
      <c r="F297" s="109"/>
      <c r="G297" s="110"/>
      <c r="H297" s="110"/>
      <c r="I297" s="110"/>
      <c r="J297" s="18"/>
    </row>
    <row r="298" spans="2:10" ht="15.75" customHeight="1">
      <c r="B298" s="106"/>
      <c r="C298" s="107"/>
      <c r="D298" s="108"/>
      <c r="E298" s="109"/>
      <c r="F298" s="109"/>
      <c r="G298" s="110"/>
      <c r="H298" s="110"/>
      <c r="I298" s="110"/>
      <c r="J298" s="18"/>
    </row>
    <row r="299" spans="2:10" ht="15.75" customHeight="1">
      <c r="B299" s="106"/>
      <c r="C299" s="107"/>
      <c r="D299" s="108"/>
      <c r="E299" s="109"/>
      <c r="F299" s="109"/>
      <c r="G299" s="110"/>
      <c r="H299" s="110"/>
      <c r="I299" s="110"/>
      <c r="J299" s="18"/>
    </row>
    <row r="300" spans="2:10" ht="15.75" customHeight="1">
      <c r="B300" s="106"/>
      <c r="C300" s="107"/>
      <c r="D300" s="108"/>
      <c r="E300" s="109"/>
      <c r="F300" s="109"/>
      <c r="G300" s="110"/>
      <c r="H300" s="110"/>
      <c r="I300" s="110"/>
      <c r="J300" s="18"/>
    </row>
    <row r="301" spans="2:10" ht="15.75" customHeight="1">
      <c r="B301" s="106"/>
      <c r="C301" s="107"/>
      <c r="D301" s="108"/>
      <c r="E301" s="109"/>
      <c r="F301" s="109"/>
      <c r="G301" s="110"/>
      <c r="H301" s="110"/>
      <c r="I301" s="110"/>
      <c r="J301" s="18"/>
    </row>
    <row r="302" spans="2:10" ht="15.75" customHeight="1">
      <c r="B302" s="106"/>
      <c r="C302" s="107"/>
      <c r="D302" s="108"/>
      <c r="E302" s="109"/>
      <c r="F302" s="109"/>
      <c r="G302" s="110"/>
      <c r="H302" s="110"/>
      <c r="I302" s="110"/>
      <c r="J302" s="18"/>
    </row>
    <row r="303" spans="2:10" ht="15.75" customHeight="1">
      <c r="B303" s="106"/>
      <c r="C303" s="107"/>
      <c r="D303" s="108"/>
      <c r="E303" s="109"/>
      <c r="F303" s="109"/>
      <c r="G303" s="110"/>
      <c r="H303" s="110"/>
      <c r="I303" s="110"/>
      <c r="J303" s="18"/>
    </row>
    <row r="304" spans="2:10" ht="15.75" customHeight="1">
      <c r="B304" s="106"/>
      <c r="C304" s="107"/>
      <c r="D304" s="108"/>
      <c r="E304" s="109"/>
      <c r="F304" s="109"/>
      <c r="G304" s="110"/>
      <c r="H304" s="110"/>
      <c r="I304" s="110"/>
      <c r="J304" s="18"/>
    </row>
    <row r="305" spans="2:10" ht="15.75" customHeight="1">
      <c r="B305" s="106"/>
      <c r="C305" s="107"/>
      <c r="D305" s="108"/>
      <c r="E305" s="109"/>
      <c r="F305" s="109"/>
      <c r="G305" s="110"/>
      <c r="H305" s="110"/>
      <c r="I305" s="110"/>
      <c r="J305" s="18"/>
    </row>
    <row r="306" spans="2:10" ht="15.75" customHeight="1">
      <c r="B306" s="106"/>
      <c r="C306" s="107"/>
      <c r="D306" s="108"/>
      <c r="E306" s="109"/>
      <c r="F306" s="109"/>
      <c r="G306" s="110"/>
      <c r="H306" s="110"/>
      <c r="I306" s="110"/>
      <c r="J306" s="18"/>
    </row>
    <row r="307" spans="2:10" ht="15.75" customHeight="1">
      <c r="B307" s="106"/>
      <c r="C307" s="107"/>
      <c r="D307" s="108"/>
      <c r="E307" s="109"/>
      <c r="F307" s="109"/>
      <c r="G307" s="110"/>
      <c r="H307" s="110"/>
      <c r="I307" s="110"/>
      <c r="J307" s="18"/>
    </row>
    <row r="308" spans="2:10" ht="15.75" customHeight="1">
      <c r="B308" s="106"/>
      <c r="C308" s="107"/>
      <c r="D308" s="108"/>
      <c r="E308" s="109"/>
      <c r="F308" s="109"/>
      <c r="G308" s="110"/>
      <c r="H308" s="110"/>
      <c r="I308" s="110"/>
      <c r="J308" s="18"/>
    </row>
    <row r="309" spans="2:10" ht="15.75" customHeight="1">
      <c r="B309" s="106"/>
      <c r="C309" s="107"/>
      <c r="D309" s="108"/>
      <c r="E309" s="109"/>
      <c r="F309" s="109"/>
      <c r="G309" s="110"/>
      <c r="H309" s="110"/>
      <c r="I309" s="110"/>
      <c r="J309" s="18"/>
    </row>
    <row r="310" spans="2:10" ht="15.75" customHeight="1">
      <c r="B310" s="106"/>
      <c r="C310" s="107"/>
      <c r="D310" s="108"/>
      <c r="E310" s="109"/>
      <c r="F310" s="109"/>
      <c r="G310" s="110"/>
      <c r="H310" s="110"/>
      <c r="I310" s="110"/>
      <c r="J310" s="18"/>
    </row>
    <row r="311" spans="2:10" ht="15.75" customHeight="1">
      <c r="B311" s="106"/>
      <c r="C311" s="107"/>
      <c r="D311" s="108"/>
      <c r="E311" s="109"/>
      <c r="F311" s="109"/>
      <c r="G311" s="110"/>
      <c r="H311" s="110"/>
      <c r="I311" s="110"/>
      <c r="J311" s="18"/>
    </row>
    <row r="312" spans="2:10" ht="15.75" customHeight="1">
      <c r="B312" s="106"/>
      <c r="C312" s="107"/>
      <c r="D312" s="108"/>
      <c r="E312" s="109"/>
      <c r="F312" s="109"/>
      <c r="G312" s="110"/>
      <c r="H312" s="110"/>
      <c r="I312" s="110"/>
      <c r="J312" s="18"/>
    </row>
    <row r="313" spans="2:10" ht="15.75" customHeight="1">
      <c r="B313" s="106"/>
      <c r="C313" s="107"/>
      <c r="D313" s="108"/>
      <c r="E313" s="109"/>
      <c r="F313" s="109"/>
      <c r="G313" s="110"/>
      <c r="H313" s="110"/>
      <c r="I313" s="110"/>
      <c r="J313" s="18"/>
    </row>
    <row r="314" spans="2:10" ht="15.75" customHeight="1">
      <c r="B314" s="106"/>
      <c r="C314" s="107"/>
      <c r="D314" s="108"/>
      <c r="E314" s="109"/>
      <c r="F314" s="109"/>
      <c r="G314" s="110"/>
      <c r="H314" s="110"/>
      <c r="I314" s="110"/>
      <c r="J314" s="18"/>
    </row>
    <row r="315" spans="2:10" ht="15.75" customHeight="1">
      <c r="B315" s="106"/>
      <c r="C315" s="107"/>
      <c r="D315" s="108"/>
      <c r="E315" s="109"/>
      <c r="F315" s="109"/>
      <c r="G315" s="110"/>
      <c r="H315" s="110"/>
      <c r="I315" s="110"/>
      <c r="J315" s="18"/>
    </row>
    <row r="316" spans="2:10" ht="15.75" customHeight="1">
      <c r="B316" s="106"/>
      <c r="C316" s="107"/>
      <c r="D316" s="108"/>
      <c r="E316" s="109"/>
      <c r="F316" s="109"/>
      <c r="G316" s="110"/>
      <c r="H316" s="110"/>
      <c r="I316" s="110"/>
      <c r="J316" s="18"/>
    </row>
    <row r="317" spans="2:10" ht="15.75" customHeight="1">
      <c r="B317" s="106"/>
      <c r="C317" s="107"/>
      <c r="D317" s="108"/>
      <c r="E317" s="109"/>
      <c r="F317" s="109"/>
      <c r="G317" s="110"/>
      <c r="H317" s="110"/>
      <c r="I317" s="110"/>
      <c r="J317" s="18"/>
    </row>
    <row r="318" spans="2:10" ht="15.75" customHeight="1">
      <c r="B318" s="106"/>
      <c r="C318" s="107"/>
      <c r="D318" s="108"/>
      <c r="E318" s="109"/>
      <c r="F318" s="109"/>
      <c r="G318" s="110"/>
      <c r="H318" s="110"/>
      <c r="I318" s="110"/>
      <c r="J318" s="18"/>
    </row>
    <row r="319" spans="2:10" ht="15.75" customHeight="1">
      <c r="B319" s="106"/>
      <c r="C319" s="107"/>
      <c r="D319" s="108"/>
      <c r="E319" s="109"/>
      <c r="F319" s="109"/>
      <c r="G319" s="110"/>
      <c r="H319" s="110"/>
      <c r="I319" s="110"/>
      <c r="J319" s="18"/>
    </row>
    <row r="320" spans="2:10" ht="15.75" customHeight="1">
      <c r="B320" s="106"/>
      <c r="C320" s="107"/>
      <c r="D320" s="108"/>
      <c r="E320" s="109"/>
      <c r="F320" s="109"/>
      <c r="G320" s="110"/>
      <c r="H320" s="110"/>
      <c r="I320" s="110"/>
      <c r="J320" s="18"/>
    </row>
    <row r="321" spans="2:10" ht="15.75" customHeight="1">
      <c r="B321" s="106"/>
      <c r="C321" s="107"/>
      <c r="D321" s="108"/>
      <c r="E321" s="109"/>
      <c r="F321" s="109"/>
      <c r="G321" s="110"/>
      <c r="H321" s="110"/>
      <c r="I321" s="110"/>
      <c r="J321" s="18"/>
    </row>
    <row r="322" spans="2:10" ht="15.75" customHeight="1">
      <c r="B322" s="106"/>
      <c r="C322" s="107"/>
      <c r="D322" s="108"/>
      <c r="E322" s="109"/>
      <c r="F322" s="109"/>
      <c r="G322" s="110"/>
      <c r="H322" s="110"/>
      <c r="I322" s="110"/>
      <c r="J322" s="18"/>
    </row>
    <row r="323" spans="2:10" ht="15.75" customHeight="1">
      <c r="B323" s="106"/>
      <c r="C323" s="107"/>
      <c r="D323" s="108"/>
      <c r="E323" s="109"/>
      <c r="F323" s="109"/>
      <c r="G323" s="110"/>
      <c r="H323" s="110"/>
      <c r="I323" s="110"/>
      <c r="J323" s="18"/>
    </row>
    <row r="324" spans="2:10" ht="15.75" customHeight="1">
      <c r="B324" s="106"/>
      <c r="C324" s="107"/>
      <c r="D324" s="108"/>
      <c r="E324" s="109"/>
      <c r="F324" s="109"/>
      <c r="G324" s="110"/>
      <c r="H324" s="110"/>
      <c r="I324" s="110"/>
      <c r="J324" s="18"/>
    </row>
    <row r="325" spans="2:10" ht="15.75" customHeight="1">
      <c r="B325" s="106"/>
      <c r="C325" s="107"/>
      <c r="D325" s="108"/>
      <c r="E325" s="109"/>
      <c r="F325" s="109"/>
      <c r="G325" s="110"/>
      <c r="H325" s="110"/>
      <c r="I325" s="110"/>
      <c r="J325" s="18"/>
    </row>
    <row r="326" spans="2:10" ht="15.75" customHeight="1">
      <c r="B326" s="106"/>
      <c r="C326" s="107"/>
      <c r="D326" s="108"/>
      <c r="E326" s="109"/>
      <c r="F326" s="109"/>
      <c r="G326" s="110"/>
      <c r="H326" s="110"/>
      <c r="I326" s="110"/>
      <c r="J326" s="18"/>
    </row>
    <row r="327" spans="2:10" ht="15.75" customHeight="1">
      <c r="B327" s="106"/>
      <c r="C327" s="107"/>
      <c r="D327" s="108"/>
      <c r="E327" s="109"/>
      <c r="F327" s="109"/>
      <c r="G327" s="110"/>
      <c r="H327" s="110"/>
      <c r="I327" s="110"/>
      <c r="J327" s="18"/>
    </row>
    <row r="328" spans="2:10" ht="15.75" customHeight="1">
      <c r="B328" s="106"/>
      <c r="C328" s="107"/>
      <c r="D328" s="108"/>
      <c r="E328" s="109"/>
      <c r="F328" s="109"/>
      <c r="G328" s="110"/>
      <c r="H328" s="110"/>
      <c r="I328" s="110"/>
      <c r="J328" s="18"/>
    </row>
    <row r="329" spans="2:10" ht="15.75" customHeight="1">
      <c r="B329" s="106"/>
      <c r="C329" s="107"/>
      <c r="D329" s="108"/>
      <c r="E329" s="109"/>
      <c r="F329" s="109"/>
      <c r="G329" s="110"/>
      <c r="H329" s="110"/>
      <c r="I329" s="110"/>
      <c r="J329" s="18"/>
    </row>
    <row r="330" spans="2:10" ht="15.75" customHeight="1">
      <c r="B330" s="106"/>
      <c r="C330" s="107"/>
      <c r="D330" s="108"/>
      <c r="E330" s="109"/>
      <c r="F330" s="109"/>
      <c r="G330" s="110"/>
      <c r="H330" s="110"/>
      <c r="I330" s="110"/>
      <c r="J330" s="18"/>
    </row>
    <row r="331" spans="2:10" ht="15.75" customHeight="1">
      <c r="B331" s="106"/>
      <c r="C331" s="107"/>
      <c r="D331" s="108"/>
      <c r="E331" s="109"/>
      <c r="F331" s="109"/>
      <c r="G331" s="110"/>
      <c r="H331" s="110"/>
      <c r="I331" s="110"/>
      <c r="J331" s="18"/>
    </row>
    <row r="332" spans="2:10" ht="15.75" customHeight="1">
      <c r="B332" s="106"/>
      <c r="C332" s="107"/>
      <c r="D332" s="108"/>
      <c r="E332" s="109"/>
      <c r="F332" s="109"/>
      <c r="G332" s="110"/>
      <c r="H332" s="110"/>
      <c r="I332" s="110"/>
      <c r="J332" s="18"/>
    </row>
    <row r="333" spans="2:10" ht="15.75" customHeight="1">
      <c r="B333" s="106"/>
      <c r="C333" s="107"/>
      <c r="D333" s="108"/>
      <c r="E333" s="109"/>
      <c r="F333" s="109"/>
      <c r="G333" s="110"/>
      <c r="H333" s="110"/>
      <c r="I333" s="110"/>
      <c r="J333" s="18"/>
    </row>
    <row r="334" spans="2:10" ht="15.75" customHeight="1">
      <c r="B334" s="106"/>
      <c r="C334" s="107"/>
      <c r="D334" s="108"/>
      <c r="E334" s="109"/>
      <c r="F334" s="109"/>
      <c r="G334" s="110"/>
      <c r="H334" s="110"/>
      <c r="I334" s="110"/>
      <c r="J334" s="18"/>
    </row>
    <row r="335" spans="2:10" ht="15.75" customHeight="1">
      <c r="B335" s="106"/>
      <c r="C335" s="107"/>
      <c r="D335" s="108"/>
      <c r="E335" s="109"/>
      <c r="F335" s="109"/>
      <c r="G335" s="110"/>
      <c r="H335" s="110"/>
      <c r="I335" s="110"/>
      <c r="J335" s="18"/>
    </row>
    <row r="336" spans="2:10" ht="15.75" customHeight="1">
      <c r="B336" s="106"/>
      <c r="C336" s="107"/>
      <c r="D336" s="108"/>
      <c r="E336" s="109"/>
      <c r="F336" s="109"/>
      <c r="G336" s="110"/>
      <c r="H336" s="110"/>
      <c r="I336" s="110"/>
      <c r="J336" s="18"/>
    </row>
    <row r="337" spans="2:10" ht="15.75" customHeight="1">
      <c r="B337" s="106"/>
      <c r="C337" s="107"/>
      <c r="D337" s="108"/>
      <c r="E337" s="109"/>
      <c r="F337" s="109"/>
      <c r="G337" s="110"/>
      <c r="H337" s="110"/>
      <c r="I337" s="110"/>
      <c r="J337" s="18"/>
    </row>
    <row r="338" spans="2:10" ht="15.75" customHeight="1">
      <c r="B338" s="106"/>
      <c r="C338" s="107"/>
      <c r="D338" s="108"/>
      <c r="E338" s="109"/>
      <c r="F338" s="109"/>
      <c r="G338" s="110"/>
      <c r="H338" s="110"/>
      <c r="I338" s="110"/>
      <c r="J338" s="18"/>
    </row>
    <row r="339" spans="2:10" ht="15.75" customHeight="1">
      <c r="B339" s="106"/>
      <c r="C339" s="107"/>
      <c r="D339" s="108"/>
      <c r="E339" s="109"/>
      <c r="F339" s="109"/>
      <c r="G339" s="110"/>
      <c r="H339" s="110"/>
      <c r="I339" s="110"/>
      <c r="J339" s="18"/>
    </row>
    <row r="340" spans="2:10" ht="15.75" customHeight="1">
      <c r="B340" s="106"/>
      <c r="C340" s="107"/>
      <c r="D340" s="108"/>
      <c r="E340" s="109"/>
      <c r="F340" s="109"/>
      <c r="G340" s="110"/>
      <c r="H340" s="110"/>
      <c r="I340" s="110"/>
      <c r="J340" s="18"/>
    </row>
    <row r="341" spans="2:10" ht="15.75" customHeight="1">
      <c r="B341" s="106"/>
      <c r="C341" s="107"/>
      <c r="D341" s="108"/>
      <c r="E341" s="109"/>
      <c r="F341" s="109"/>
      <c r="G341" s="110"/>
      <c r="H341" s="110"/>
      <c r="I341" s="110"/>
      <c r="J341" s="18"/>
    </row>
    <row r="342" spans="2:10" ht="15.75" customHeight="1">
      <c r="B342" s="106"/>
      <c r="C342" s="107"/>
      <c r="D342" s="108"/>
      <c r="E342" s="109"/>
      <c r="F342" s="109"/>
      <c r="G342" s="110"/>
      <c r="H342" s="110"/>
      <c r="I342" s="110"/>
      <c r="J342" s="18"/>
    </row>
    <row r="343" spans="2:10" ht="15.75" customHeight="1">
      <c r="B343" s="106"/>
      <c r="C343" s="107"/>
      <c r="D343" s="108"/>
      <c r="E343" s="109"/>
      <c r="F343" s="109"/>
      <c r="G343" s="110"/>
      <c r="H343" s="110"/>
      <c r="I343" s="110"/>
      <c r="J343" s="18"/>
    </row>
    <row r="344" spans="2:10" ht="15.75" customHeight="1">
      <c r="B344" s="106"/>
      <c r="C344" s="107"/>
      <c r="D344" s="108"/>
      <c r="E344" s="109"/>
      <c r="F344" s="109"/>
      <c r="G344" s="110"/>
      <c r="H344" s="110"/>
      <c r="I344" s="110"/>
      <c r="J344" s="18"/>
    </row>
    <row r="345" spans="2:10" ht="15.75" customHeight="1">
      <c r="B345" s="106"/>
      <c r="C345" s="107"/>
      <c r="D345" s="108"/>
      <c r="E345" s="109"/>
      <c r="F345" s="109"/>
      <c r="G345" s="110"/>
      <c r="H345" s="110"/>
      <c r="I345" s="110"/>
      <c r="J345" s="18"/>
    </row>
    <row r="346" spans="2:10" ht="15.75" customHeight="1">
      <c r="B346" s="106"/>
      <c r="C346" s="107"/>
      <c r="D346" s="108"/>
      <c r="E346" s="109"/>
      <c r="F346" s="109"/>
      <c r="G346" s="110"/>
      <c r="H346" s="110"/>
      <c r="I346" s="110"/>
      <c r="J346" s="18"/>
    </row>
    <row r="347" spans="2:10" ht="15.75" customHeight="1">
      <c r="B347" s="106"/>
      <c r="C347" s="107"/>
      <c r="D347" s="108"/>
      <c r="E347" s="109"/>
      <c r="F347" s="109"/>
      <c r="G347" s="110"/>
      <c r="H347" s="110"/>
      <c r="I347" s="110"/>
      <c r="J347" s="18"/>
    </row>
    <row r="348" spans="2:10" ht="15.75" customHeight="1">
      <c r="B348" s="106"/>
      <c r="C348" s="107"/>
      <c r="D348" s="108"/>
      <c r="E348" s="109"/>
      <c r="F348" s="109"/>
      <c r="G348" s="110"/>
      <c r="H348" s="110"/>
      <c r="I348" s="110"/>
      <c r="J348" s="18"/>
    </row>
    <row r="349" spans="2:10" ht="15.75" customHeight="1">
      <c r="B349" s="106"/>
      <c r="C349" s="107"/>
      <c r="D349" s="108"/>
      <c r="E349" s="109"/>
      <c r="F349" s="109"/>
      <c r="G349" s="110"/>
      <c r="H349" s="110"/>
      <c r="I349" s="110"/>
      <c r="J349" s="18"/>
    </row>
    <row r="350" spans="2:10" ht="15.75" customHeight="1">
      <c r="B350" s="106"/>
      <c r="C350" s="107"/>
      <c r="D350" s="108"/>
      <c r="E350" s="109"/>
      <c r="F350" s="109"/>
      <c r="G350" s="110"/>
      <c r="H350" s="110"/>
      <c r="I350" s="110"/>
      <c r="J350" s="18"/>
    </row>
    <row r="351" spans="2:10" ht="15.75" customHeight="1">
      <c r="B351" s="106"/>
      <c r="C351" s="107"/>
      <c r="D351" s="108"/>
      <c r="E351" s="109"/>
      <c r="F351" s="109"/>
      <c r="G351" s="110"/>
      <c r="H351" s="110"/>
      <c r="I351" s="110"/>
      <c r="J351" s="18"/>
    </row>
    <row r="352" spans="2:10" ht="15.75" customHeight="1">
      <c r="B352" s="106"/>
      <c r="C352" s="107"/>
      <c r="D352" s="108"/>
      <c r="E352" s="109"/>
      <c r="F352" s="109"/>
      <c r="G352" s="110"/>
      <c r="H352" s="110"/>
      <c r="I352" s="110"/>
      <c r="J352" s="18"/>
    </row>
    <row r="353" spans="2:10" ht="15.75" customHeight="1">
      <c r="B353" s="106"/>
      <c r="C353" s="107"/>
      <c r="D353" s="108"/>
      <c r="E353" s="109"/>
      <c r="F353" s="109"/>
      <c r="G353" s="110"/>
      <c r="H353" s="110"/>
      <c r="I353" s="110"/>
      <c r="J353" s="18"/>
    </row>
    <row r="354" spans="2:10" ht="15.75" customHeight="1">
      <c r="B354" s="106"/>
      <c r="C354" s="107"/>
      <c r="D354" s="108"/>
      <c r="E354" s="109"/>
      <c r="F354" s="109"/>
      <c r="G354" s="110"/>
      <c r="H354" s="110"/>
      <c r="I354" s="110"/>
      <c r="J354" s="18"/>
    </row>
    <row r="355" spans="2:10" ht="15.75" customHeight="1">
      <c r="B355" s="106"/>
      <c r="C355" s="107"/>
      <c r="D355" s="108"/>
      <c r="E355" s="109"/>
      <c r="F355" s="109"/>
      <c r="G355" s="110"/>
      <c r="H355" s="110"/>
      <c r="I355" s="110"/>
      <c r="J355" s="18"/>
    </row>
    <row r="356" spans="2:10" ht="15.75" customHeight="1">
      <c r="B356" s="106"/>
      <c r="C356" s="107"/>
      <c r="D356" s="108"/>
      <c r="E356" s="109"/>
      <c r="F356" s="109"/>
      <c r="G356" s="110"/>
      <c r="H356" s="110"/>
      <c r="I356" s="110"/>
      <c r="J356" s="18"/>
    </row>
    <row r="357" spans="2:10" ht="15.75" customHeight="1">
      <c r="B357" s="106"/>
      <c r="C357" s="107"/>
      <c r="D357" s="108"/>
      <c r="E357" s="109"/>
      <c r="F357" s="109"/>
      <c r="G357" s="110"/>
      <c r="H357" s="110"/>
      <c r="I357" s="110"/>
      <c r="J357" s="18"/>
    </row>
    <row r="358" spans="2:10" ht="15.75" customHeight="1">
      <c r="B358" s="106"/>
      <c r="C358" s="107"/>
      <c r="D358" s="108"/>
      <c r="E358" s="109"/>
      <c r="F358" s="109"/>
      <c r="G358" s="110"/>
      <c r="H358" s="110"/>
      <c r="I358" s="110"/>
      <c r="J358" s="18"/>
    </row>
    <row r="359" spans="2:10" ht="15.75" customHeight="1">
      <c r="B359" s="106"/>
      <c r="C359" s="107"/>
      <c r="D359" s="108"/>
      <c r="E359" s="109"/>
      <c r="F359" s="109"/>
      <c r="G359" s="110"/>
      <c r="H359" s="110"/>
      <c r="I359" s="110"/>
      <c r="J359" s="18"/>
    </row>
    <row r="360" spans="2:10" ht="15.75" customHeight="1">
      <c r="B360" s="106"/>
      <c r="C360" s="107"/>
      <c r="D360" s="108"/>
      <c r="E360" s="109"/>
      <c r="F360" s="109"/>
      <c r="G360" s="110"/>
      <c r="H360" s="110"/>
      <c r="I360" s="110"/>
      <c r="J360" s="18"/>
    </row>
    <row r="361" spans="2:10" ht="15.75" customHeight="1">
      <c r="B361" s="106"/>
      <c r="C361" s="107"/>
      <c r="D361" s="108"/>
      <c r="E361" s="109"/>
      <c r="F361" s="109"/>
      <c r="G361" s="110"/>
      <c r="H361" s="110"/>
      <c r="I361" s="110"/>
      <c r="J361" s="18"/>
    </row>
    <row r="362" spans="2:10" ht="15.75" customHeight="1">
      <c r="B362" s="106"/>
      <c r="C362" s="107"/>
      <c r="D362" s="108"/>
      <c r="E362" s="109"/>
      <c r="F362" s="109"/>
      <c r="G362" s="110"/>
      <c r="H362" s="110"/>
      <c r="I362" s="110"/>
      <c r="J362" s="18"/>
    </row>
    <row r="363" spans="2:10" ht="15.75" customHeight="1">
      <c r="B363" s="106"/>
      <c r="C363" s="107"/>
      <c r="D363" s="108"/>
      <c r="E363" s="109"/>
      <c r="F363" s="109"/>
      <c r="G363" s="110"/>
      <c r="H363" s="110"/>
      <c r="I363" s="110"/>
      <c r="J363" s="18"/>
    </row>
    <row r="364" spans="2:10" ht="15.75" customHeight="1">
      <c r="B364" s="106"/>
      <c r="C364" s="107"/>
      <c r="D364" s="108"/>
      <c r="E364" s="109"/>
      <c r="F364" s="109"/>
      <c r="G364" s="110"/>
      <c r="H364" s="110"/>
      <c r="I364" s="110"/>
      <c r="J364" s="18"/>
    </row>
    <row r="365" spans="2:10" ht="15.75" customHeight="1">
      <c r="B365" s="106"/>
      <c r="C365" s="107"/>
      <c r="D365" s="108"/>
      <c r="E365" s="109"/>
      <c r="F365" s="109"/>
      <c r="G365" s="110"/>
      <c r="H365" s="110"/>
      <c r="I365" s="110"/>
      <c r="J365" s="18"/>
    </row>
    <row r="366" spans="2:10" ht="15.75" customHeight="1">
      <c r="B366" s="106"/>
      <c r="C366" s="107"/>
      <c r="D366" s="108"/>
      <c r="E366" s="109"/>
      <c r="F366" s="109"/>
      <c r="G366" s="110"/>
      <c r="H366" s="110"/>
      <c r="I366" s="110"/>
      <c r="J366" s="18"/>
    </row>
    <row r="367" spans="2:10" ht="15.75" customHeight="1">
      <c r="B367" s="106"/>
      <c r="C367" s="107"/>
      <c r="D367" s="108"/>
      <c r="E367" s="109"/>
      <c r="F367" s="109"/>
      <c r="G367" s="110"/>
      <c r="H367" s="110"/>
      <c r="I367" s="110"/>
      <c r="J367" s="18"/>
    </row>
    <row r="368" spans="2:10" ht="15.75" customHeight="1">
      <c r="B368" s="106"/>
      <c r="C368" s="107"/>
      <c r="D368" s="108"/>
      <c r="E368" s="109"/>
      <c r="F368" s="109"/>
      <c r="G368" s="110"/>
      <c r="H368" s="110"/>
      <c r="I368" s="110"/>
      <c r="J368" s="18"/>
    </row>
    <row r="369" spans="2:10" ht="15.75" customHeight="1">
      <c r="B369" s="106"/>
      <c r="C369" s="107"/>
      <c r="D369" s="108"/>
      <c r="E369" s="109"/>
      <c r="F369" s="109"/>
      <c r="G369" s="110"/>
      <c r="H369" s="110"/>
      <c r="I369" s="110"/>
      <c r="J369" s="18"/>
    </row>
    <row r="370" spans="2:10" ht="15.75" customHeight="1">
      <c r="B370" s="106"/>
      <c r="C370" s="107"/>
      <c r="D370" s="108"/>
      <c r="E370" s="109"/>
      <c r="F370" s="109"/>
      <c r="G370" s="110"/>
      <c r="H370" s="110"/>
      <c r="I370" s="110"/>
      <c r="J370" s="18"/>
    </row>
    <row r="371" spans="2:10" ht="15.75" customHeight="1">
      <c r="B371" s="106"/>
      <c r="C371" s="107"/>
      <c r="D371" s="108"/>
      <c r="E371" s="109"/>
      <c r="F371" s="109"/>
      <c r="G371" s="110"/>
      <c r="H371" s="110"/>
      <c r="I371" s="110"/>
      <c r="J371" s="18"/>
    </row>
    <row r="372" spans="2:10" ht="15.75" customHeight="1">
      <c r="B372" s="106"/>
      <c r="C372" s="107"/>
      <c r="D372" s="108"/>
      <c r="E372" s="109"/>
      <c r="F372" s="109"/>
      <c r="G372" s="110"/>
      <c r="H372" s="110"/>
      <c r="I372" s="110"/>
      <c r="J372" s="18"/>
    </row>
    <row r="373" spans="2:10" ht="15.75" customHeight="1">
      <c r="B373" s="106"/>
      <c r="C373" s="107"/>
      <c r="D373" s="108"/>
      <c r="E373" s="109"/>
      <c r="F373" s="109"/>
      <c r="G373" s="110"/>
      <c r="H373" s="110"/>
      <c r="I373" s="110"/>
      <c r="J373" s="18"/>
    </row>
    <row r="374" spans="2:10" ht="15.75" customHeight="1">
      <c r="B374" s="106"/>
      <c r="C374" s="107"/>
      <c r="D374" s="108"/>
      <c r="E374" s="109"/>
      <c r="F374" s="109"/>
      <c r="G374" s="110"/>
      <c r="H374" s="110"/>
      <c r="I374" s="110"/>
      <c r="J374" s="18"/>
    </row>
    <row r="375" spans="2:10" ht="15.75" customHeight="1">
      <c r="B375" s="106"/>
      <c r="C375" s="107"/>
      <c r="D375" s="108"/>
      <c r="E375" s="109"/>
      <c r="F375" s="109"/>
      <c r="G375" s="110"/>
      <c r="H375" s="110"/>
      <c r="I375" s="110"/>
      <c r="J375" s="18"/>
    </row>
    <row r="376" spans="2:10" ht="15.75" customHeight="1">
      <c r="B376" s="106"/>
      <c r="C376" s="107"/>
      <c r="D376" s="108"/>
      <c r="E376" s="109"/>
      <c r="F376" s="109"/>
      <c r="G376" s="110"/>
      <c r="H376" s="110"/>
      <c r="I376" s="110"/>
      <c r="J376" s="18"/>
    </row>
    <row r="377" spans="2:10" ht="15.75" customHeight="1">
      <c r="B377" s="106"/>
      <c r="C377" s="107"/>
      <c r="D377" s="108"/>
      <c r="E377" s="109"/>
      <c r="F377" s="109"/>
      <c r="G377" s="110"/>
      <c r="H377" s="110"/>
      <c r="I377" s="110"/>
      <c r="J377" s="18"/>
    </row>
    <row r="378" spans="2:10" ht="15.75" customHeight="1">
      <c r="B378" s="106"/>
      <c r="C378" s="107"/>
      <c r="D378" s="108"/>
      <c r="E378" s="109"/>
      <c r="F378" s="109"/>
      <c r="G378" s="110"/>
      <c r="H378" s="110"/>
      <c r="I378" s="110"/>
      <c r="J378" s="18"/>
    </row>
    <row r="379" spans="2:10" ht="15.75" customHeight="1">
      <c r="B379" s="106"/>
      <c r="C379" s="107"/>
      <c r="D379" s="108"/>
      <c r="E379" s="109"/>
      <c r="F379" s="109"/>
      <c r="G379" s="110"/>
      <c r="H379" s="110"/>
      <c r="I379" s="110"/>
      <c r="J379" s="18"/>
    </row>
    <row r="380" spans="2:10" ht="15.75" customHeight="1">
      <c r="B380" s="106"/>
      <c r="C380" s="107"/>
      <c r="D380" s="108"/>
      <c r="E380" s="109"/>
      <c r="F380" s="109"/>
      <c r="G380" s="110"/>
      <c r="H380" s="110"/>
      <c r="I380" s="110"/>
      <c r="J380" s="18"/>
    </row>
    <row r="381" spans="2:10" ht="15.75" customHeight="1">
      <c r="B381" s="106"/>
      <c r="C381" s="107"/>
      <c r="D381" s="108"/>
      <c r="E381" s="109"/>
      <c r="F381" s="109"/>
      <c r="G381" s="110"/>
      <c r="H381" s="110"/>
      <c r="I381" s="110"/>
      <c r="J381" s="18"/>
    </row>
    <row r="382" spans="2:10" ht="15.75" customHeight="1">
      <c r="B382" s="106"/>
      <c r="C382" s="107"/>
      <c r="D382" s="108"/>
      <c r="E382" s="109"/>
      <c r="F382" s="109"/>
      <c r="G382" s="110"/>
      <c r="H382" s="110"/>
      <c r="I382" s="110"/>
      <c r="J382" s="18"/>
    </row>
    <row r="383" spans="2:10" ht="15.75" customHeight="1">
      <c r="B383" s="106"/>
      <c r="C383" s="107"/>
      <c r="D383" s="108"/>
      <c r="E383" s="109"/>
      <c r="F383" s="109"/>
      <c r="G383" s="110"/>
      <c r="H383" s="110"/>
      <c r="I383" s="110"/>
      <c r="J383" s="18"/>
    </row>
    <row r="384" spans="2:10" ht="15.75" customHeight="1">
      <c r="B384" s="106"/>
      <c r="C384" s="107"/>
      <c r="D384" s="108"/>
      <c r="E384" s="109"/>
      <c r="F384" s="109"/>
      <c r="G384" s="110"/>
      <c r="H384" s="110"/>
      <c r="I384" s="110"/>
      <c r="J384" s="18"/>
    </row>
    <row r="385" spans="2:10" ht="15.75" customHeight="1">
      <c r="B385" s="106"/>
      <c r="C385" s="107"/>
      <c r="D385" s="108"/>
      <c r="E385" s="109"/>
      <c r="F385" s="109"/>
      <c r="G385" s="110"/>
      <c r="H385" s="110"/>
      <c r="I385" s="110"/>
      <c r="J385" s="18"/>
    </row>
    <row r="386" spans="2:10" ht="15.75" customHeight="1">
      <c r="B386" s="106"/>
      <c r="C386" s="107"/>
      <c r="D386" s="108"/>
      <c r="E386" s="109"/>
      <c r="F386" s="109"/>
      <c r="G386" s="110"/>
      <c r="H386" s="110"/>
      <c r="I386" s="110"/>
      <c r="J386" s="18"/>
    </row>
    <row r="387" spans="2:10" ht="15.75" customHeight="1">
      <c r="B387" s="106"/>
      <c r="C387" s="107"/>
      <c r="D387" s="108"/>
      <c r="E387" s="109"/>
      <c r="F387" s="109"/>
      <c r="G387" s="110"/>
      <c r="H387" s="110"/>
      <c r="I387" s="110"/>
      <c r="J387" s="18"/>
    </row>
    <row r="388" spans="2:10" ht="15.75" customHeight="1">
      <c r="B388" s="106"/>
      <c r="C388" s="107"/>
      <c r="D388" s="108"/>
      <c r="E388" s="109"/>
      <c r="F388" s="109"/>
      <c r="G388" s="110"/>
      <c r="H388" s="110"/>
      <c r="I388" s="110"/>
      <c r="J388" s="18"/>
    </row>
    <row r="389" spans="2:10" ht="15.75" customHeight="1">
      <c r="B389" s="106"/>
      <c r="C389" s="107"/>
      <c r="D389" s="108"/>
      <c r="E389" s="109"/>
      <c r="F389" s="109"/>
      <c r="G389" s="110"/>
      <c r="H389" s="110"/>
      <c r="I389" s="110"/>
      <c r="J389" s="18"/>
    </row>
    <row r="390" spans="2:10" ht="15.75" customHeight="1">
      <c r="B390" s="106"/>
      <c r="C390" s="107"/>
      <c r="D390" s="108"/>
      <c r="E390" s="109"/>
      <c r="F390" s="109"/>
      <c r="G390" s="110"/>
      <c r="H390" s="110"/>
      <c r="I390" s="110"/>
      <c r="J390" s="18"/>
    </row>
    <row r="391" spans="2:10" ht="15.75" customHeight="1">
      <c r="B391" s="106"/>
      <c r="C391" s="107"/>
      <c r="D391" s="108"/>
      <c r="E391" s="109"/>
      <c r="F391" s="109"/>
      <c r="G391" s="110"/>
      <c r="H391" s="110"/>
      <c r="I391" s="110"/>
      <c r="J391" s="18"/>
    </row>
    <row r="392" spans="2:10" ht="15.75" customHeight="1">
      <c r="B392" s="106"/>
      <c r="C392" s="107"/>
      <c r="D392" s="108"/>
      <c r="E392" s="109"/>
      <c r="F392" s="109"/>
      <c r="G392" s="110"/>
      <c r="H392" s="110"/>
      <c r="I392" s="110"/>
      <c r="J392" s="18"/>
    </row>
    <row r="393" spans="2:10" ht="15.75" customHeight="1">
      <c r="B393" s="106"/>
      <c r="C393" s="107"/>
      <c r="D393" s="108"/>
      <c r="E393" s="109"/>
      <c r="F393" s="109"/>
      <c r="G393" s="110"/>
      <c r="H393" s="110"/>
      <c r="I393" s="110"/>
      <c r="J393" s="18"/>
    </row>
    <row r="394" spans="2:10" ht="15.75" customHeight="1">
      <c r="B394" s="106"/>
      <c r="C394" s="107"/>
      <c r="D394" s="108"/>
      <c r="E394" s="109"/>
      <c r="F394" s="109"/>
      <c r="G394" s="110"/>
      <c r="H394" s="110"/>
      <c r="I394" s="110"/>
      <c r="J394" s="18"/>
    </row>
    <row r="395" spans="2:10" ht="15.75" customHeight="1">
      <c r="B395" s="106"/>
      <c r="C395" s="107"/>
      <c r="D395" s="108"/>
      <c r="E395" s="109"/>
      <c r="F395" s="109"/>
      <c r="G395" s="110"/>
      <c r="H395" s="110"/>
      <c r="I395" s="110"/>
      <c r="J395" s="18"/>
    </row>
    <row r="396" spans="2:10" ht="15.75" customHeight="1">
      <c r="B396" s="106"/>
      <c r="C396" s="107"/>
      <c r="D396" s="108"/>
      <c r="E396" s="109"/>
      <c r="F396" s="109"/>
      <c r="G396" s="110"/>
      <c r="H396" s="110"/>
      <c r="I396" s="110"/>
      <c r="J396" s="18"/>
    </row>
    <row r="397" spans="2:10" ht="15.75" customHeight="1">
      <c r="B397" s="106"/>
      <c r="C397" s="107"/>
      <c r="D397" s="108"/>
      <c r="E397" s="109"/>
      <c r="F397" s="109"/>
      <c r="G397" s="110"/>
      <c r="H397" s="110"/>
      <c r="I397" s="110"/>
      <c r="J397" s="18"/>
    </row>
    <row r="398" spans="2:10" ht="15.75" customHeight="1">
      <c r="B398" s="106"/>
      <c r="C398" s="107"/>
      <c r="D398" s="108"/>
      <c r="E398" s="109"/>
      <c r="F398" s="109"/>
      <c r="G398" s="110"/>
      <c r="H398" s="110"/>
      <c r="I398" s="110"/>
      <c r="J398" s="18"/>
    </row>
    <row r="399" spans="2:10" ht="15.75" customHeight="1">
      <c r="B399" s="106"/>
      <c r="C399" s="107"/>
      <c r="D399" s="108"/>
      <c r="E399" s="109"/>
      <c r="F399" s="109"/>
      <c r="G399" s="110"/>
      <c r="H399" s="110"/>
      <c r="I399" s="110"/>
      <c r="J399" s="18"/>
    </row>
    <row r="400" spans="2:10" ht="15.75" customHeight="1">
      <c r="B400" s="106"/>
      <c r="C400" s="107"/>
      <c r="D400" s="108"/>
      <c r="E400" s="109"/>
      <c r="F400" s="109"/>
      <c r="G400" s="110"/>
      <c r="H400" s="110"/>
      <c r="I400" s="110"/>
      <c r="J400" s="18"/>
    </row>
    <row r="401" spans="2:10" ht="15.75" customHeight="1">
      <c r="B401" s="106"/>
      <c r="C401" s="107"/>
      <c r="D401" s="108"/>
      <c r="E401" s="109"/>
      <c r="F401" s="109"/>
      <c r="G401" s="110"/>
      <c r="H401" s="110"/>
      <c r="I401" s="110"/>
      <c r="J401" s="18"/>
    </row>
    <row r="402" spans="2:10" ht="15.75" customHeight="1">
      <c r="B402" s="106"/>
      <c r="C402" s="107"/>
      <c r="D402" s="108"/>
      <c r="E402" s="109"/>
      <c r="F402" s="109"/>
      <c r="G402" s="110"/>
      <c r="H402" s="110"/>
      <c r="I402" s="110"/>
      <c r="J402" s="18"/>
    </row>
    <row r="403" spans="2:10" ht="15.75" customHeight="1">
      <c r="B403" s="106"/>
      <c r="C403" s="107"/>
      <c r="D403" s="108"/>
      <c r="E403" s="109"/>
      <c r="F403" s="109"/>
      <c r="G403" s="110"/>
      <c r="H403" s="110"/>
      <c r="I403" s="110"/>
      <c r="J403" s="18"/>
    </row>
    <row r="404" spans="2:10" ht="15.75" customHeight="1">
      <c r="B404" s="106"/>
      <c r="C404" s="107"/>
      <c r="D404" s="108"/>
      <c r="E404" s="109"/>
      <c r="F404" s="109"/>
      <c r="G404" s="110"/>
      <c r="H404" s="110"/>
      <c r="I404" s="110"/>
      <c r="J404" s="18"/>
    </row>
    <row r="405" spans="2:10" ht="15.75" customHeight="1">
      <c r="B405" s="106"/>
      <c r="C405" s="107"/>
      <c r="D405" s="108"/>
      <c r="E405" s="109"/>
      <c r="F405" s="109"/>
      <c r="G405" s="110"/>
      <c r="H405" s="110"/>
      <c r="I405" s="110"/>
      <c r="J405" s="18"/>
    </row>
    <row r="406" spans="2:10" ht="15.75" customHeight="1">
      <c r="B406" s="106"/>
      <c r="C406" s="107"/>
      <c r="D406" s="108"/>
      <c r="E406" s="109"/>
      <c r="F406" s="109"/>
      <c r="G406" s="110"/>
      <c r="H406" s="110"/>
      <c r="I406" s="110"/>
      <c r="J406" s="18"/>
    </row>
    <row r="407" spans="2:10" ht="15.75" customHeight="1">
      <c r="B407" s="106"/>
      <c r="C407" s="107"/>
      <c r="D407" s="108"/>
      <c r="E407" s="109"/>
      <c r="F407" s="109"/>
      <c r="G407" s="110"/>
      <c r="H407" s="110"/>
      <c r="I407" s="110"/>
      <c r="J407" s="18"/>
    </row>
    <row r="408" spans="2:10" ht="15.75" customHeight="1">
      <c r="B408" s="106"/>
      <c r="C408" s="107"/>
      <c r="D408" s="108"/>
      <c r="E408" s="109"/>
      <c r="F408" s="109"/>
      <c r="G408" s="110"/>
      <c r="H408" s="110"/>
      <c r="I408" s="110"/>
      <c r="J408" s="18"/>
    </row>
    <row r="409" spans="2:10" ht="15.75" customHeight="1">
      <c r="B409" s="106"/>
      <c r="C409" s="107"/>
      <c r="D409" s="108"/>
      <c r="E409" s="109"/>
      <c r="F409" s="109"/>
      <c r="G409" s="110"/>
      <c r="H409" s="110"/>
      <c r="I409" s="110"/>
      <c r="J409" s="18"/>
    </row>
    <row r="410" spans="2:10" ht="15.75" customHeight="1">
      <c r="B410" s="106"/>
      <c r="C410" s="107"/>
      <c r="D410" s="108"/>
      <c r="E410" s="109"/>
      <c r="F410" s="109"/>
      <c r="G410" s="110"/>
      <c r="H410" s="110"/>
      <c r="I410" s="110"/>
      <c r="J410" s="18"/>
    </row>
    <row r="411" spans="2:10" ht="15.75" customHeight="1">
      <c r="B411" s="106"/>
      <c r="C411" s="107"/>
      <c r="D411" s="108"/>
      <c r="E411" s="109"/>
      <c r="F411" s="109"/>
      <c r="G411" s="110"/>
      <c r="H411" s="110"/>
      <c r="I411" s="110"/>
      <c r="J411" s="18"/>
    </row>
    <row r="412" spans="2:10" ht="15.75" customHeight="1">
      <c r="B412" s="106"/>
      <c r="C412" s="107"/>
      <c r="D412" s="108"/>
      <c r="E412" s="109"/>
      <c r="F412" s="109"/>
      <c r="G412" s="110"/>
      <c r="H412" s="110"/>
      <c r="I412" s="110"/>
      <c r="J412" s="18"/>
    </row>
    <row r="413" spans="2:10" ht="15.75" customHeight="1">
      <c r="B413" s="106"/>
      <c r="C413" s="107"/>
      <c r="D413" s="108"/>
      <c r="E413" s="109"/>
      <c r="F413" s="109"/>
      <c r="G413" s="110"/>
      <c r="H413" s="110"/>
      <c r="I413" s="110"/>
      <c r="J413" s="18"/>
    </row>
    <row r="414" spans="2:10" ht="15.75" customHeight="1">
      <c r="B414" s="106"/>
      <c r="C414" s="107"/>
      <c r="D414" s="108"/>
      <c r="E414" s="109"/>
      <c r="F414" s="109"/>
      <c r="G414" s="110"/>
      <c r="H414" s="110"/>
      <c r="I414" s="110"/>
      <c r="J414" s="18"/>
    </row>
    <row r="415" spans="2:10" ht="15.75" customHeight="1">
      <c r="B415" s="106"/>
      <c r="C415" s="107"/>
      <c r="D415" s="108"/>
      <c r="E415" s="109"/>
      <c r="F415" s="109"/>
      <c r="G415" s="110"/>
      <c r="H415" s="110"/>
      <c r="I415" s="110"/>
      <c r="J415" s="18"/>
    </row>
    <row r="416" spans="2:10" ht="15.75" customHeight="1">
      <c r="B416" s="106"/>
      <c r="C416" s="107"/>
      <c r="D416" s="108"/>
      <c r="E416" s="109"/>
      <c r="F416" s="109"/>
      <c r="G416" s="110"/>
      <c r="H416" s="110"/>
      <c r="I416" s="110"/>
      <c r="J416" s="18"/>
    </row>
    <row r="417" spans="2:10" ht="15.75" customHeight="1">
      <c r="B417" s="106"/>
      <c r="C417" s="107"/>
      <c r="D417" s="108"/>
      <c r="E417" s="109"/>
      <c r="F417" s="109"/>
      <c r="G417" s="110"/>
      <c r="H417" s="110"/>
      <c r="I417" s="110"/>
      <c r="J417" s="18"/>
    </row>
    <row r="418" spans="2:10" ht="15.75" customHeight="1">
      <c r="B418" s="106"/>
      <c r="C418" s="107"/>
      <c r="D418" s="108"/>
      <c r="E418" s="109"/>
      <c r="F418" s="109"/>
      <c r="G418" s="110"/>
      <c r="H418" s="110"/>
      <c r="I418" s="110"/>
      <c r="J418" s="18"/>
    </row>
    <row r="419" spans="2:10" ht="15.75" customHeight="1">
      <c r="B419" s="106"/>
      <c r="C419" s="107"/>
      <c r="D419" s="108"/>
      <c r="E419" s="109"/>
      <c r="F419" s="109"/>
      <c r="G419" s="110"/>
      <c r="H419" s="110"/>
      <c r="I419" s="110"/>
      <c r="J419" s="18"/>
    </row>
    <row r="420" spans="2:10" ht="15.75" customHeight="1">
      <c r="B420" s="106"/>
      <c r="C420" s="107"/>
      <c r="D420" s="108"/>
      <c r="E420" s="109"/>
      <c r="F420" s="109"/>
      <c r="G420" s="110"/>
      <c r="H420" s="110"/>
      <c r="I420" s="110"/>
      <c r="J420" s="18"/>
    </row>
    <row r="421" spans="2:10" ht="15.75" customHeight="1">
      <c r="B421" s="106"/>
      <c r="C421" s="107"/>
      <c r="D421" s="108"/>
      <c r="E421" s="109"/>
      <c r="F421" s="109"/>
      <c r="G421" s="110"/>
      <c r="H421" s="110"/>
      <c r="I421" s="110"/>
      <c r="J421" s="18"/>
    </row>
    <row r="422" spans="2:10" ht="15.75" customHeight="1">
      <c r="B422" s="106"/>
      <c r="C422" s="107"/>
      <c r="D422" s="108"/>
      <c r="E422" s="109"/>
      <c r="F422" s="109"/>
      <c r="G422" s="110"/>
      <c r="H422" s="110"/>
      <c r="I422" s="110"/>
      <c r="J422" s="18"/>
    </row>
    <row r="423" spans="2:10" ht="15.75" customHeight="1">
      <c r="B423" s="106"/>
      <c r="C423" s="107"/>
      <c r="D423" s="108"/>
      <c r="E423" s="109"/>
      <c r="F423" s="109"/>
      <c r="G423" s="110"/>
      <c r="H423" s="110"/>
      <c r="I423" s="110"/>
      <c r="J423" s="18"/>
    </row>
    <row r="424" spans="2:10" ht="15.75" customHeight="1">
      <c r="B424" s="106"/>
      <c r="C424" s="107"/>
      <c r="D424" s="108"/>
      <c r="E424" s="109"/>
      <c r="F424" s="109"/>
      <c r="G424" s="110"/>
      <c r="H424" s="110"/>
      <c r="I424" s="110"/>
      <c r="J424" s="18"/>
    </row>
    <row r="425" spans="2:10" ht="15.75" customHeight="1">
      <c r="B425" s="106"/>
      <c r="C425" s="107"/>
      <c r="D425" s="108"/>
      <c r="E425" s="109"/>
      <c r="F425" s="109"/>
      <c r="G425" s="110"/>
      <c r="H425" s="110"/>
      <c r="I425" s="110"/>
      <c r="J425" s="18"/>
    </row>
    <row r="426" spans="2:10" ht="15.75" customHeight="1">
      <c r="B426" s="106"/>
      <c r="C426" s="107"/>
      <c r="D426" s="108"/>
      <c r="E426" s="109"/>
      <c r="F426" s="109"/>
      <c r="G426" s="110"/>
      <c r="H426" s="110"/>
      <c r="I426" s="110"/>
      <c r="J426" s="18"/>
    </row>
    <row r="427" spans="2:10" ht="15.75" customHeight="1">
      <c r="B427" s="106"/>
      <c r="C427" s="107"/>
      <c r="D427" s="108"/>
      <c r="E427" s="109"/>
      <c r="F427" s="109"/>
      <c r="G427" s="110"/>
      <c r="H427" s="110"/>
      <c r="I427" s="110"/>
      <c r="J427" s="18"/>
    </row>
    <row r="428" spans="2:10" ht="15.75" customHeight="1">
      <c r="B428" s="106"/>
      <c r="C428" s="107"/>
      <c r="D428" s="108"/>
      <c r="E428" s="109"/>
      <c r="F428" s="109"/>
      <c r="G428" s="110"/>
      <c r="H428" s="110"/>
      <c r="I428" s="110"/>
      <c r="J428" s="18"/>
    </row>
    <row r="429" spans="2:10" ht="15.75" customHeight="1">
      <c r="B429" s="106"/>
      <c r="C429" s="107"/>
      <c r="D429" s="108"/>
      <c r="E429" s="109"/>
      <c r="F429" s="109"/>
      <c r="G429" s="110"/>
      <c r="H429" s="110"/>
      <c r="I429" s="110"/>
      <c r="J429" s="18"/>
    </row>
    <row r="430" spans="2:10" ht="15.75" customHeight="1">
      <c r="B430" s="106"/>
      <c r="C430" s="107"/>
      <c r="D430" s="108"/>
      <c r="E430" s="109"/>
      <c r="F430" s="109"/>
      <c r="G430" s="110"/>
      <c r="H430" s="110"/>
      <c r="I430" s="110"/>
      <c r="J430" s="18"/>
    </row>
    <row r="431" spans="2:10" ht="15.75" customHeight="1">
      <c r="B431" s="106"/>
      <c r="C431" s="107"/>
      <c r="D431" s="108"/>
      <c r="E431" s="109"/>
      <c r="F431" s="109"/>
      <c r="G431" s="110"/>
      <c r="H431" s="110"/>
      <c r="I431" s="110"/>
      <c r="J431" s="18"/>
    </row>
    <row r="432" spans="2:10" ht="15.75" customHeight="1">
      <c r="B432" s="106"/>
      <c r="C432" s="107"/>
      <c r="D432" s="108"/>
      <c r="E432" s="109"/>
      <c r="F432" s="109"/>
      <c r="G432" s="110"/>
      <c r="H432" s="110"/>
      <c r="I432" s="110"/>
      <c r="J432" s="18"/>
    </row>
    <row r="433" spans="2:10" ht="15.75" customHeight="1">
      <c r="B433" s="106"/>
      <c r="C433" s="107"/>
      <c r="D433" s="108"/>
      <c r="E433" s="109"/>
      <c r="F433" s="109"/>
      <c r="G433" s="110"/>
      <c r="H433" s="110"/>
      <c r="I433" s="110"/>
      <c r="J433" s="18"/>
    </row>
    <row r="434" spans="2:10" ht="15.75" customHeight="1">
      <c r="B434" s="106"/>
      <c r="C434" s="107"/>
      <c r="D434" s="108"/>
      <c r="E434" s="109"/>
      <c r="F434" s="109"/>
      <c r="G434" s="110"/>
      <c r="H434" s="110"/>
      <c r="I434" s="110"/>
      <c r="J434" s="18"/>
    </row>
    <row r="435" spans="2:10" ht="15.75" customHeight="1">
      <c r="B435" s="106"/>
      <c r="C435" s="107"/>
      <c r="D435" s="108"/>
      <c r="E435" s="109"/>
      <c r="F435" s="109"/>
      <c r="G435" s="110"/>
      <c r="H435" s="110"/>
      <c r="I435" s="110"/>
      <c r="J435" s="18"/>
    </row>
    <row r="436" spans="2:10" ht="15.75" customHeight="1">
      <c r="B436" s="106"/>
      <c r="C436" s="107"/>
      <c r="D436" s="108"/>
      <c r="E436" s="109"/>
      <c r="F436" s="109"/>
      <c r="G436" s="110"/>
      <c r="H436" s="110"/>
      <c r="I436" s="110"/>
      <c r="J436" s="18"/>
    </row>
    <row r="437" spans="2:10" ht="15.75" customHeight="1">
      <c r="B437" s="106"/>
      <c r="C437" s="107"/>
      <c r="D437" s="108"/>
      <c r="E437" s="109"/>
      <c r="F437" s="109"/>
      <c r="G437" s="110"/>
      <c r="H437" s="110"/>
      <c r="I437" s="110"/>
      <c r="J437" s="18"/>
    </row>
    <row r="438" spans="2:10" ht="15.75" customHeight="1">
      <c r="B438" s="106"/>
      <c r="C438" s="107"/>
      <c r="D438" s="108"/>
      <c r="E438" s="109"/>
      <c r="F438" s="109"/>
      <c r="G438" s="110"/>
      <c r="H438" s="110"/>
      <c r="I438" s="110"/>
      <c r="J438" s="18"/>
    </row>
    <row r="439" spans="2:10" ht="15.75" customHeight="1">
      <c r="B439" s="106"/>
      <c r="C439" s="107"/>
      <c r="D439" s="108"/>
      <c r="E439" s="109"/>
      <c r="F439" s="109"/>
      <c r="G439" s="110"/>
      <c r="H439" s="110"/>
      <c r="I439" s="110"/>
      <c r="J439" s="18"/>
    </row>
    <row r="440" spans="2:10" ht="15.75" customHeight="1">
      <c r="B440" s="106"/>
      <c r="C440" s="107"/>
      <c r="D440" s="108"/>
      <c r="E440" s="109"/>
      <c r="F440" s="109"/>
      <c r="G440" s="110"/>
      <c r="H440" s="110"/>
      <c r="I440" s="110"/>
      <c r="J440" s="18"/>
    </row>
    <row r="441" spans="2:10" ht="15.75" customHeight="1">
      <c r="B441" s="106"/>
      <c r="C441" s="107"/>
      <c r="D441" s="108"/>
      <c r="E441" s="109"/>
      <c r="F441" s="109"/>
      <c r="G441" s="110"/>
      <c r="H441" s="110"/>
      <c r="I441" s="110"/>
      <c r="J441" s="18"/>
    </row>
    <row r="442" spans="2:10" ht="15.75" customHeight="1">
      <c r="B442" s="106"/>
      <c r="C442" s="107"/>
      <c r="D442" s="108"/>
      <c r="E442" s="109"/>
      <c r="F442" s="109"/>
      <c r="G442" s="110"/>
      <c r="H442" s="110"/>
      <c r="I442" s="110"/>
      <c r="J442" s="18"/>
    </row>
    <row r="443" spans="2:10" ht="15.75" customHeight="1">
      <c r="B443" s="106"/>
      <c r="C443" s="107"/>
      <c r="D443" s="108"/>
      <c r="E443" s="109"/>
      <c r="F443" s="109"/>
      <c r="G443" s="110"/>
      <c r="H443" s="110"/>
      <c r="I443" s="110"/>
      <c r="J443" s="18"/>
    </row>
    <row r="444" spans="2:10" ht="15.75" customHeight="1">
      <c r="B444" s="106"/>
      <c r="C444" s="107"/>
      <c r="D444" s="108"/>
      <c r="E444" s="109"/>
      <c r="F444" s="109"/>
      <c r="G444" s="110"/>
      <c r="H444" s="110"/>
      <c r="I444" s="110"/>
      <c r="J444" s="18"/>
    </row>
    <row r="445" spans="2:10" ht="15.75" customHeight="1">
      <c r="B445" s="106"/>
      <c r="C445" s="107"/>
      <c r="D445" s="108"/>
      <c r="E445" s="109"/>
      <c r="F445" s="109"/>
      <c r="G445" s="110"/>
      <c r="H445" s="110"/>
      <c r="I445" s="110"/>
      <c r="J445" s="18"/>
    </row>
    <row r="446" spans="2:10" ht="15.75" customHeight="1">
      <c r="B446" s="106"/>
      <c r="C446" s="107"/>
      <c r="D446" s="108"/>
      <c r="E446" s="109"/>
      <c r="F446" s="109"/>
      <c r="G446" s="110"/>
      <c r="H446" s="110"/>
      <c r="I446" s="110"/>
      <c r="J446" s="18"/>
    </row>
    <row r="447" spans="2:10" ht="15.75" customHeight="1">
      <c r="B447" s="106"/>
      <c r="C447" s="107"/>
      <c r="D447" s="108"/>
      <c r="E447" s="109"/>
      <c r="F447" s="109"/>
      <c r="G447" s="110"/>
      <c r="H447" s="110"/>
      <c r="I447" s="110"/>
      <c r="J447" s="18"/>
    </row>
    <row r="448" spans="2:10" ht="15.75" customHeight="1">
      <c r="B448" s="106"/>
      <c r="C448" s="107"/>
      <c r="D448" s="108"/>
      <c r="E448" s="109"/>
      <c r="F448" s="109"/>
      <c r="G448" s="110"/>
      <c r="H448" s="110"/>
      <c r="I448" s="110"/>
      <c r="J448" s="18"/>
    </row>
    <row r="449" spans="2:10" ht="15.75" customHeight="1">
      <c r="B449" s="106"/>
      <c r="C449" s="107"/>
      <c r="D449" s="108"/>
      <c r="E449" s="109"/>
      <c r="F449" s="109"/>
      <c r="G449" s="110"/>
      <c r="H449" s="110"/>
      <c r="I449" s="110"/>
      <c r="J449" s="18"/>
    </row>
    <row r="450" spans="2:10" ht="15.75" customHeight="1">
      <c r="B450" s="106"/>
      <c r="C450" s="107"/>
      <c r="D450" s="108"/>
      <c r="E450" s="109"/>
      <c r="F450" s="109"/>
      <c r="G450" s="110"/>
      <c r="H450" s="110"/>
      <c r="I450" s="110"/>
      <c r="J450" s="18"/>
    </row>
    <row r="451" spans="2:10" ht="15.75" customHeight="1">
      <c r="B451" s="106"/>
      <c r="C451" s="107"/>
      <c r="D451" s="108"/>
      <c r="E451" s="109"/>
      <c r="F451" s="109"/>
      <c r="G451" s="110"/>
      <c r="H451" s="110"/>
      <c r="I451" s="110"/>
      <c r="J451" s="18"/>
    </row>
    <row r="452" spans="2:10" ht="15.75" customHeight="1">
      <c r="B452" s="106"/>
      <c r="C452" s="107"/>
      <c r="D452" s="108"/>
      <c r="E452" s="109"/>
      <c r="F452" s="109"/>
      <c r="G452" s="110"/>
      <c r="H452" s="110"/>
      <c r="I452" s="110"/>
      <c r="J452" s="18"/>
    </row>
    <row r="453" spans="2:10" ht="15.75" customHeight="1">
      <c r="B453" s="106"/>
      <c r="C453" s="107"/>
      <c r="D453" s="108"/>
      <c r="E453" s="109"/>
      <c r="F453" s="109"/>
      <c r="G453" s="110"/>
      <c r="H453" s="110"/>
      <c r="I453" s="110"/>
      <c r="J453" s="18"/>
    </row>
    <row r="454" spans="2:10" ht="15.75" customHeight="1">
      <c r="B454" s="106"/>
      <c r="C454" s="107"/>
      <c r="D454" s="108"/>
      <c r="E454" s="109"/>
      <c r="F454" s="109"/>
      <c r="G454" s="110"/>
      <c r="H454" s="110"/>
      <c r="I454" s="110"/>
      <c r="J454" s="18"/>
    </row>
    <row r="455" spans="2:10" ht="15.75" customHeight="1">
      <c r="B455" s="106"/>
      <c r="C455" s="107"/>
      <c r="D455" s="108"/>
      <c r="E455" s="109"/>
      <c r="F455" s="109"/>
      <c r="G455" s="110"/>
      <c r="H455" s="110"/>
      <c r="I455" s="110"/>
      <c r="J455" s="18"/>
    </row>
    <row r="456" spans="2:10" ht="15.75" customHeight="1">
      <c r="B456" s="106"/>
      <c r="C456" s="107"/>
      <c r="D456" s="108"/>
      <c r="E456" s="109"/>
      <c r="F456" s="109"/>
      <c r="G456" s="110"/>
      <c r="H456" s="110"/>
      <c r="I456" s="110"/>
      <c r="J456" s="18"/>
    </row>
    <row r="457" spans="2:10" ht="15.75" customHeight="1">
      <c r="B457" s="106"/>
      <c r="C457" s="107"/>
      <c r="D457" s="108"/>
      <c r="E457" s="109"/>
      <c r="F457" s="109"/>
      <c r="G457" s="110"/>
      <c r="H457" s="110"/>
      <c r="I457" s="110"/>
      <c r="J457" s="18"/>
    </row>
    <row r="458" spans="2:10" ht="15.75" customHeight="1">
      <c r="B458" s="106"/>
      <c r="C458" s="107"/>
      <c r="D458" s="108"/>
      <c r="E458" s="109"/>
      <c r="F458" s="109"/>
      <c r="G458" s="110"/>
      <c r="H458" s="110"/>
      <c r="I458" s="110"/>
      <c r="J458" s="18"/>
    </row>
    <row r="459" spans="2:10" ht="15.75" customHeight="1">
      <c r="B459" s="106"/>
      <c r="C459" s="107"/>
      <c r="D459" s="108"/>
      <c r="E459" s="109"/>
      <c r="F459" s="109"/>
      <c r="G459" s="110"/>
      <c r="H459" s="110"/>
      <c r="I459" s="110"/>
      <c r="J459" s="18"/>
    </row>
    <row r="460" spans="2:10" ht="15.75" customHeight="1">
      <c r="B460" s="106"/>
      <c r="C460" s="107"/>
      <c r="D460" s="108"/>
      <c r="E460" s="109"/>
      <c r="F460" s="109"/>
      <c r="G460" s="110"/>
      <c r="H460" s="110"/>
      <c r="I460" s="110"/>
      <c r="J460" s="18"/>
    </row>
    <row r="461" spans="2:10" ht="15.75" customHeight="1">
      <c r="B461" s="106"/>
      <c r="C461" s="107"/>
      <c r="D461" s="108"/>
      <c r="E461" s="109"/>
      <c r="F461" s="109"/>
      <c r="G461" s="110"/>
      <c r="H461" s="110"/>
      <c r="I461" s="110"/>
      <c r="J461" s="18"/>
    </row>
    <row r="462" spans="2:10" ht="15.75" customHeight="1">
      <c r="B462" s="106"/>
      <c r="C462" s="107"/>
      <c r="D462" s="108"/>
      <c r="E462" s="109"/>
      <c r="F462" s="109"/>
      <c r="G462" s="110"/>
      <c r="H462" s="110"/>
      <c r="I462" s="110"/>
      <c r="J462" s="18"/>
    </row>
    <row r="463" spans="2:10" ht="15.75" customHeight="1">
      <c r="B463" s="106"/>
      <c r="C463" s="107"/>
      <c r="D463" s="108"/>
      <c r="E463" s="109"/>
      <c r="F463" s="109"/>
      <c r="G463" s="110"/>
      <c r="H463" s="110"/>
      <c r="I463" s="110"/>
      <c r="J463" s="18"/>
    </row>
    <row r="464" spans="2:10" ht="15.75" customHeight="1">
      <c r="B464" s="106"/>
      <c r="C464" s="107"/>
      <c r="D464" s="108"/>
      <c r="E464" s="109"/>
      <c r="F464" s="109"/>
      <c r="G464" s="110"/>
      <c r="H464" s="110"/>
      <c r="I464" s="110"/>
      <c r="J464" s="18"/>
    </row>
    <row r="465" spans="2:10" ht="15.75" customHeight="1">
      <c r="B465" s="106"/>
      <c r="C465" s="107"/>
      <c r="D465" s="108"/>
      <c r="E465" s="109"/>
      <c r="F465" s="109"/>
      <c r="G465" s="110"/>
      <c r="H465" s="110"/>
      <c r="I465" s="110"/>
      <c r="J465" s="18"/>
    </row>
    <row r="466" spans="2:10" ht="15.75" customHeight="1">
      <c r="B466" s="106"/>
      <c r="C466" s="107"/>
      <c r="D466" s="108"/>
      <c r="E466" s="109"/>
      <c r="F466" s="109"/>
      <c r="G466" s="110"/>
      <c r="H466" s="110"/>
      <c r="I466" s="110"/>
      <c r="J466" s="18"/>
    </row>
    <row r="467" spans="2:10" ht="15.75" customHeight="1">
      <c r="B467" s="106"/>
      <c r="C467" s="107"/>
      <c r="D467" s="108"/>
      <c r="E467" s="109"/>
      <c r="F467" s="109"/>
      <c r="G467" s="110"/>
      <c r="H467" s="110"/>
      <c r="I467" s="110"/>
      <c r="J467" s="18"/>
    </row>
    <row r="468" spans="2:10" ht="15.75" customHeight="1">
      <c r="B468" s="106"/>
      <c r="C468" s="107"/>
      <c r="D468" s="108"/>
      <c r="E468" s="109"/>
      <c r="F468" s="109"/>
      <c r="G468" s="110"/>
      <c r="H468" s="110"/>
      <c r="I468" s="110"/>
      <c r="J468" s="18"/>
    </row>
    <row r="469" spans="2:10" ht="15.75" customHeight="1">
      <c r="B469" s="106"/>
      <c r="C469" s="107"/>
      <c r="D469" s="108"/>
      <c r="E469" s="109"/>
      <c r="F469" s="109"/>
      <c r="G469" s="110"/>
      <c r="H469" s="110"/>
      <c r="I469" s="110"/>
      <c r="J469" s="18"/>
    </row>
    <row r="470" spans="2:10" ht="15.75" customHeight="1">
      <c r="B470" s="106"/>
      <c r="C470" s="107"/>
      <c r="D470" s="108"/>
      <c r="E470" s="109"/>
      <c r="F470" s="109"/>
      <c r="G470" s="110"/>
      <c r="H470" s="110"/>
      <c r="I470" s="110"/>
      <c r="J470" s="18"/>
    </row>
    <row r="471" spans="2:10" ht="15.75" customHeight="1">
      <c r="B471" s="106"/>
      <c r="C471" s="107"/>
      <c r="D471" s="108"/>
      <c r="E471" s="109"/>
      <c r="F471" s="109"/>
      <c r="G471" s="110"/>
      <c r="H471" s="110"/>
      <c r="I471" s="110"/>
      <c r="J471" s="18"/>
    </row>
    <row r="472" spans="2:10" ht="15.75" customHeight="1">
      <c r="B472" s="106"/>
      <c r="C472" s="107"/>
      <c r="D472" s="108"/>
      <c r="E472" s="109"/>
      <c r="F472" s="109"/>
      <c r="G472" s="110"/>
      <c r="H472" s="110"/>
      <c r="I472" s="110"/>
      <c r="J472" s="18"/>
    </row>
    <row r="473" spans="2:10" ht="15.75" customHeight="1">
      <c r="B473" s="106"/>
      <c r="C473" s="107"/>
      <c r="D473" s="108"/>
      <c r="E473" s="109"/>
      <c r="F473" s="109"/>
      <c r="G473" s="110"/>
      <c r="H473" s="110"/>
      <c r="I473" s="110"/>
      <c r="J473" s="18"/>
    </row>
    <row r="474" spans="2:10" ht="15.75" customHeight="1">
      <c r="B474" s="106"/>
      <c r="C474" s="107"/>
      <c r="D474" s="108"/>
      <c r="E474" s="109"/>
      <c r="F474" s="109"/>
      <c r="G474" s="110"/>
      <c r="H474" s="110"/>
      <c r="I474" s="110"/>
      <c r="J474" s="18"/>
    </row>
    <row r="475" spans="2:10" ht="15.75" customHeight="1">
      <c r="B475" s="106"/>
      <c r="C475" s="107"/>
      <c r="D475" s="108"/>
      <c r="E475" s="109"/>
      <c r="F475" s="109"/>
      <c r="G475" s="110"/>
      <c r="H475" s="110"/>
      <c r="I475" s="110"/>
      <c r="J475" s="18"/>
    </row>
    <row r="476" spans="2:10" ht="15.75" customHeight="1">
      <c r="B476" s="106"/>
      <c r="C476" s="107"/>
      <c r="D476" s="108"/>
      <c r="E476" s="109"/>
      <c r="F476" s="109"/>
      <c r="G476" s="110"/>
      <c r="H476" s="110"/>
      <c r="I476" s="110"/>
      <c r="J476" s="18"/>
    </row>
    <row r="477" spans="2:10" ht="15.75" customHeight="1">
      <c r="B477" s="106"/>
      <c r="C477" s="107"/>
      <c r="D477" s="108"/>
      <c r="E477" s="109"/>
      <c r="F477" s="109"/>
      <c r="G477" s="110"/>
      <c r="H477" s="110"/>
      <c r="I477" s="110"/>
      <c r="J477" s="18"/>
    </row>
    <row r="478" spans="2:10" ht="15.75" customHeight="1">
      <c r="B478" s="106"/>
      <c r="C478" s="107"/>
      <c r="D478" s="108"/>
      <c r="E478" s="109"/>
      <c r="F478" s="109"/>
      <c r="G478" s="110"/>
      <c r="H478" s="110"/>
      <c r="I478" s="110"/>
      <c r="J478" s="18"/>
    </row>
    <row r="479" spans="2:10" ht="15.75" customHeight="1">
      <c r="B479" s="106"/>
      <c r="C479" s="107"/>
      <c r="D479" s="108"/>
      <c r="E479" s="109"/>
      <c r="F479" s="109"/>
      <c r="G479" s="110"/>
      <c r="H479" s="110"/>
      <c r="I479" s="110"/>
      <c r="J479" s="18"/>
    </row>
    <row r="480" spans="2:10" ht="15.75" customHeight="1">
      <c r="B480" s="106"/>
      <c r="C480" s="107"/>
      <c r="D480" s="108"/>
      <c r="E480" s="109"/>
      <c r="F480" s="109"/>
      <c r="G480" s="110"/>
      <c r="H480" s="110"/>
      <c r="I480" s="110"/>
      <c r="J480" s="18"/>
    </row>
    <row r="481" spans="2:10" ht="15.75" customHeight="1">
      <c r="B481" s="106"/>
      <c r="C481" s="107"/>
      <c r="D481" s="108"/>
      <c r="E481" s="109"/>
      <c r="F481" s="109"/>
      <c r="G481" s="110"/>
      <c r="H481" s="110"/>
      <c r="I481" s="110"/>
      <c r="J481" s="18"/>
    </row>
    <row r="482" spans="2:10" ht="15.75" customHeight="1">
      <c r="B482" s="106"/>
      <c r="C482" s="107"/>
      <c r="D482" s="108"/>
      <c r="E482" s="109"/>
      <c r="F482" s="109"/>
      <c r="G482" s="110"/>
      <c r="H482" s="110"/>
      <c r="I482" s="110"/>
      <c r="J482" s="18"/>
    </row>
    <row r="483" spans="2:10" ht="15.75" customHeight="1">
      <c r="B483" s="106"/>
      <c r="C483" s="107"/>
      <c r="D483" s="108"/>
      <c r="E483" s="109"/>
      <c r="F483" s="109"/>
      <c r="G483" s="110"/>
      <c r="H483" s="110"/>
      <c r="I483" s="110"/>
      <c r="J483" s="18"/>
    </row>
    <row r="484" spans="2:10" ht="15.75" customHeight="1">
      <c r="B484" s="106"/>
      <c r="C484" s="107"/>
      <c r="D484" s="108"/>
      <c r="E484" s="109"/>
      <c r="F484" s="109"/>
      <c r="G484" s="110"/>
      <c r="H484" s="110"/>
      <c r="I484" s="110"/>
      <c r="J484" s="18"/>
    </row>
    <row r="485" spans="2:10" ht="15.75" customHeight="1">
      <c r="B485" s="106"/>
      <c r="C485" s="107"/>
      <c r="D485" s="108"/>
      <c r="E485" s="109"/>
      <c r="F485" s="109"/>
      <c r="G485" s="110"/>
      <c r="H485" s="110"/>
      <c r="I485" s="110"/>
      <c r="J485" s="18"/>
    </row>
    <row r="486" spans="2:10" ht="15.75" customHeight="1">
      <c r="B486" s="106"/>
      <c r="C486" s="107"/>
      <c r="D486" s="108"/>
      <c r="E486" s="109"/>
      <c r="F486" s="109"/>
      <c r="G486" s="110"/>
      <c r="H486" s="110"/>
      <c r="I486" s="110"/>
      <c r="J486" s="18"/>
    </row>
    <row r="487" spans="2:10" ht="15.75" customHeight="1">
      <c r="B487" s="106"/>
      <c r="C487" s="107"/>
      <c r="D487" s="108"/>
      <c r="E487" s="109"/>
      <c r="F487" s="109"/>
      <c r="G487" s="110"/>
      <c r="H487" s="110"/>
      <c r="I487" s="110"/>
      <c r="J487" s="18"/>
    </row>
    <row r="488" spans="2:10" ht="15.75" customHeight="1">
      <c r="B488" s="106"/>
      <c r="C488" s="107"/>
      <c r="D488" s="108"/>
      <c r="E488" s="109"/>
      <c r="F488" s="109"/>
      <c r="G488" s="110"/>
      <c r="H488" s="110"/>
      <c r="I488" s="110"/>
      <c r="J488" s="18"/>
    </row>
    <row r="489" spans="2:10" ht="15.75" customHeight="1">
      <c r="B489" s="106"/>
      <c r="C489" s="107"/>
      <c r="D489" s="108"/>
      <c r="E489" s="109"/>
      <c r="F489" s="109"/>
      <c r="G489" s="110"/>
      <c r="H489" s="110"/>
      <c r="I489" s="110"/>
      <c r="J489" s="18"/>
    </row>
    <row r="490" spans="2:10" ht="15.75" customHeight="1">
      <c r="B490" s="106"/>
      <c r="C490" s="107"/>
      <c r="D490" s="108"/>
      <c r="E490" s="109"/>
      <c r="F490" s="109"/>
      <c r="G490" s="110"/>
      <c r="H490" s="110"/>
      <c r="I490" s="110"/>
      <c r="J490" s="18"/>
    </row>
    <row r="491" spans="2:10" ht="15.75" customHeight="1">
      <c r="B491" s="106"/>
      <c r="C491" s="107"/>
      <c r="D491" s="108"/>
      <c r="E491" s="109"/>
      <c r="F491" s="109"/>
      <c r="G491" s="110"/>
      <c r="H491" s="110"/>
      <c r="I491" s="110"/>
      <c r="J491" s="18"/>
    </row>
    <row r="492" spans="2:10" ht="15.75" customHeight="1">
      <c r="B492" s="106"/>
      <c r="C492" s="107"/>
      <c r="D492" s="108"/>
      <c r="E492" s="109"/>
      <c r="F492" s="109"/>
      <c r="G492" s="110"/>
      <c r="H492" s="110"/>
      <c r="I492" s="110"/>
      <c r="J492" s="18"/>
    </row>
    <row r="493" spans="2:10" ht="15.75" customHeight="1">
      <c r="B493" s="106"/>
      <c r="C493" s="107"/>
      <c r="D493" s="108"/>
      <c r="E493" s="109"/>
      <c r="F493" s="109"/>
      <c r="G493" s="110"/>
      <c r="H493" s="110"/>
      <c r="I493" s="110"/>
      <c r="J493" s="18"/>
    </row>
    <row r="494" spans="2:10" ht="15.75" customHeight="1">
      <c r="B494" s="106"/>
      <c r="C494" s="107"/>
      <c r="D494" s="108"/>
      <c r="E494" s="109"/>
      <c r="F494" s="109"/>
      <c r="G494" s="110"/>
      <c r="H494" s="110"/>
      <c r="I494" s="110"/>
      <c r="J494" s="18"/>
    </row>
    <row r="495" spans="2:10" ht="15.75" customHeight="1">
      <c r="B495" s="106"/>
      <c r="C495" s="107"/>
      <c r="D495" s="108"/>
      <c r="E495" s="109"/>
      <c r="F495" s="109"/>
      <c r="G495" s="110"/>
      <c r="H495" s="110"/>
      <c r="I495" s="110"/>
      <c r="J495" s="18"/>
    </row>
    <row r="496" spans="2:10" ht="15.75" customHeight="1">
      <c r="B496" s="106"/>
      <c r="C496" s="107"/>
      <c r="D496" s="108"/>
      <c r="E496" s="109"/>
      <c r="F496" s="109"/>
      <c r="G496" s="110"/>
      <c r="H496" s="110"/>
      <c r="I496" s="110"/>
      <c r="J496" s="18"/>
    </row>
    <row r="497" spans="2:10" ht="15.75" customHeight="1">
      <c r="B497" s="106"/>
      <c r="C497" s="107"/>
      <c r="D497" s="108"/>
      <c r="E497" s="109"/>
      <c r="F497" s="109"/>
      <c r="G497" s="110"/>
      <c r="H497" s="110"/>
      <c r="I497" s="110"/>
      <c r="J497" s="18"/>
    </row>
    <row r="498" spans="2:10" ht="15.75" customHeight="1">
      <c r="B498" s="106"/>
      <c r="C498" s="107"/>
      <c r="D498" s="108"/>
      <c r="E498" s="109"/>
      <c r="F498" s="109"/>
      <c r="G498" s="110"/>
      <c r="H498" s="110"/>
      <c r="I498" s="110"/>
      <c r="J498" s="18"/>
    </row>
    <row r="499" spans="2:10" ht="15.75" customHeight="1">
      <c r="B499" s="106"/>
      <c r="C499" s="107"/>
      <c r="D499" s="108"/>
      <c r="E499" s="109"/>
      <c r="F499" s="109"/>
      <c r="G499" s="110"/>
      <c r="H499" s="110"/>
      <c r="I499" s="110"/>
      <c r="J499" s="18"/>
    </row>
    <row r="500" spans="2:10" ht="15.75" customHeight="1">
      <c r="B500" s="106"/>
      <c r="C500" s="107"/>
      <c r="D500" s="108"/>
      <c r="E500" s="109"/>
      <c r="F500" s="109"/>
      <c r="G500" s="110"/>
      <c r="H500" s="110"/>
      <c r="I500" s="110"/>
      <c r="J500" s="18"/>
    </row>
    <row r="501" spans="2:10" ht="15.75" customHeight="1">
      <c r="B501" s="106"/>
      <c r="C501" s="107"/>
      <c r="D501" s="108"/>
      <c r="E501" s="109"/>
      <c r="F501" s="109"/>
      <c r="G501" s="110"/>
      <c r="H501" s="110"/>
      <c r="I501" s="110"/>
      <c r="J501" s="18"/>
    </row>
    <row r="502" spans="2:10" ht="15.75" customHeight="1">
      <c r="B502" s="106"/>
      <c r="C502" s="107"/>
      <c r="D502" s="108"/>
      <c r="E502" s="109"/>
      <c r="F502" s="109"/>
      <c r="G502" s="110"/>
      <c r="H502" s="110"/>
      <c r="I502" s="110"/>
      <c r="J502" s="18"/>
    </row>
    <row r="503" spans="2:10" ht="15.75" customHeight="1">
      <c r="B503" s="106"/>
      <c r="C503" s="107"/>
      <c r="D503" s="108"/>
      <c r="E503" s="109"/>
      <c r="F503" s="109"/>
      <c r="G503" s="110"/>
      <c r="H503" s="110"/>
      <c r="I503" s="110"/>
      <c r="J503" s="18"/>
    </row>
    <row r="504" spans="2:10" ht="15.75" customHeight="1">
      <c r="B504" s="106"/>
      <c r="C504" s="107"/>
      <c r="D504" s="108"/>
      <c r="E504" s="109"/>
      <c r="F504" s="109"/>
      <c r="G504" s="110"/>
      <c r="H504" s="110"/>
      <c r="I504" s="110"/>
      <c r="J504" s="18"/>
    </row>
    <row r="505" spans="2:10" ht="15.75" customHeight="1">
      <c r="B505" s="106"/>
      <c r="C505" s="107"/>
      <c r="D505" s="108"/>
      <c r="E505" s="109"/>
      <c r="F505" s="109"/>
      <c r="G505" s="110"/>
      <c r="H505" s="110"/>
      <c r="I505" s="110"/>
      <c r="J505" s="18"/>
    </row>
    <row r="506" spans="2:10" ht="15.75" customHeight="1">
      <c r="B506" s="106"/>
      <c r="C506" s="107"/>
      <c r="D506" s="108"/>
      <c r="E506" s="109"/>
      <c r="F506" s="109"/>
      <c r="G506" s="110"/>
      <c r="H506" s="110"/>
      <c r="I506" s="110"/>
      <c r="J506" s="18"/>
    </row>
    <row r="507" spans="2:10" ht="15.75" customHeight="1">
      <c r="B507" s="106"/>
      <c r="C507" s="107"/>
      <c r="D507" s="108"/>
      <c r="E507" s="109"/>
      <c r="F507" s="109"/>
      <c r="G507" s="110"/>
      <c r="H507" s="110"/>
      <c r="I507" s="110"/>
      <c r="J507" s="18"/>
    </row>
    <row r="508" spans="2:10" ht="15.75" customHeight="1">
      <c r="B508" s="106"/>
      <c r="C508" s="107"/>
      <c r="D508" s="108"/>
      <c r="E508" s="109"/>
      <c r="F508" s="109"/>
      <c r="G508" s="110"/>
      <c r="H508" s="110"/>
      <c r="I508" s="110"/>
      <c r="J508" s="18"/>
    </row>
    <row r="509" spans="2:10" ht="15.75" customHeight="1">
      <c r="B509" s="106"/>
      <c r="C509" s="107"/>
      <c r="D509" s="108"/>
      <c r="E509" s="109"/>
      <c r="F509" s="109"/>
      <c r="G509" s="110"/>
      <c r="H509" s="110"/>
      <c r="I509" s="110"/>
      <c r="J509" s="18"/>
    </row>
    <row r="510" spans="2:10" ht="15.75" customHeight="1">
      <c r="B510" s="106"/>
      <c r="C510" s="107"/>
      <c r="D510" s="108"/>
      <c r="E510" s="109"/>
      <c r="F510" s="109"/>
      <c r="G510" s="110"/>
      <c r="H510" s="110"/>
      <c r="I510" s="110"/>
      <c r="J510" s="18"/>
    </row>
    <row r="511" spans="2:10" ht="15.75" customHeight="1">
      <c r="B511" s="106"/>
      <c r="C511" s="107"/>
      <c r="D511" s="108"/>
      <c r="E511" s="109"/>
      <c r="F511" s="109"/>
      <c r="G511" s="110"/>
      <c r="H511" s="110"/>
      <c r="I511" s="110"/>
      <c r="J511" s="18"/>
    </row>
    <row r="512" spans="2:10" ht="15.75" customHeight="1">
      <c r="B512" s="106"/>
      <c r="C512" s="107"/>
      <c r="D512" s="108"/>
      <c r="E512" s="109"/>
      <c r="F512" s="109"/>
      <c r="G512" s="110"/>
      <c r="H512" s="110"/>
      <c r="I512" s="110"/>
      <c r="J512" s="18"/>
    </row>
    <row r="513" spans="2:10" ht="15.75" customHeight="1">
      <c r="B513" s="106"/>
      <c r="C513" s="107"/>
      <c r="D513" s="108"/>
      <c r="E513" s="109"/>
      <c r="F513" s="109"/>
      <c r="G513" s="110"/>
      <c r="H513" s="110"/>
      <c r="I513" s="110"/>
      <c r="J513" s="18"/>
    </row>
    <row r="514" spans="2:10" ht="15.75" customHeight="1">
      <c r="B514" s="106"/>
      <c r="C514" s="107"/>
      <c r="D514" s="108"/>
      <c r="E514" s="109"/>
      <c r="F514" s="109"/>
      <c r="G514" s="110"/>
      <c r="H514" s="110"/>
      <c r="I514" s="110"/>
      <c r="J514" s="18"/>
    </row>
    <row r="515" spans="2:10" ht="15.75" customHeight="1">
      <c r="B515" s="106"/>
      <c r="C515" s="107"/>
      <c r="D515" s="108"/>
      <c r="E515" s="109"/>
      <c r="F515" s="109"/>
      <c r="G515" s="110"/>
      <c r="H515" s="110"/>
      <c r="I515" s="110"/>
      <c r="J515" s="18"/>
    </row>
    <row r="516" spans="2:10" ht="15.75" customHeight="1">
      <c r="B516" s="106"/>
      <c r="C516" s="107"/>
      <c r="D516" s="108"/>
      <c r="E516" s="109"/>
      <c r="F516" s="109"/>
      <c r="G516" s="110"/>
      <c r="H516" s="110"/>
      <c r="I516" s="110"/>
      <c r="J516" s="18"/>
    </row>
    <row r="517" spans="2:10" ht="15.75" customHeight="1">
      <c r="B517" s="106"/>
      <c r="C517" s="107"/>
      <c r="D517" s="108"/>
      <c r="E517" s="109"/>
      <c r="F517" s="109"/>
      <c r="G517" s="110"/>
      <c r="H517" s="110"/>
      <c r="I517" s="110"/>
      <c r="J517" s="18"/>
    </row>
    <row r="518" spans="2:10" ht="15.75" customHeight="1">
      <c r="B518" s="106"/>
      <c r="C518" s="107"/>
      <c r="D518" s="108"/>
      <c r="E518" s="109"/>
      <c r="F518" s="109"/>
      <c r="G518" s="110"/>
      <c r="H518" s="110"/>
      <c r="I518" s="110"/>
      <c r="J518" s="18"/>
    </row>
    <row r="519" spans="2:10" ht="15.75" customHeight="1">
      <c r="B519" s="106"/>
      <c r="C519" s="107"/>
      <c r="D519" s="108"/>
      <c r="E519" s="109"/>
      <c r="F519" s="109"/>
      <c r="G519" s="110"/>
      <c r="H519" s="110"/>
      <c r="I519" s="110"/>
      <c r="J519" s="18"/>
    </row>
    <row r="520" spans="2:10" ht="15.75" customHeight="1">
      <c r="B520" s="106"/>
      <c r="C520" s="107"/>
      <c r="D520" s="108"/>
      <c r="E520" s="109"/>
      <c r="F520" s="109"/>
      <c r="G520" s="110"/>
      <c r="H520" s="110"/>
      <c r="I520" s="110"/>
      <c r="J520" s="18"/>
    </row>
    <row r="521" spans="2:10" ht="15.75" customHeight="1">
      <c r="B521" s="106"/>
      <c r="C521" s="107"/>
      <c r="D521" s="108"/>
      <c r="E521" s="109"/>
      <c r="F521" s="109"/>
      <c r="G521" s="110"/>
      <c r="H521" s="110"/>
      <c r="I521" s="110"/>
      <c r="J521" s="18"/>
    </row>
    <row r="522" spans="2:10" ht="15.75" customHeight="1">
      <c r="B522" s="106"/>
      <c r="C522" s="107"/>
      <c r="D522" s="108"/>
      <c r="E522" s="109"/>
      <c r="F522" s="109"/>
      <c r="G522" s="110"/>
      <c r="H522" s="110"/>
      <c r="I522" s="110"/>
      <c r="J522" s="18"/>
    </row>
    <row r="523" spans="2:10" ht="15.75" customHeight="1">
      <c r="B523" s="106"/>
      <c r="C523" s="107"/>
      <c r="D523" s="108"/>
      <c r="E523" s="109"/>
      <c r="F523" s="109"/>
      <c r="G523" s="110"/>
      <c r="H523" s="110"/>
      <c r="I523" s="110"/>
      <c r="J523" s="18"/>
    </row>
    <row r="524" spans="2:10" ht="15.75" customHeight="1">
      <c r="B524" s="106"/>
      <c r="C524" s="107"/>
      <c r="D524" s="108"/>
      <c r="E524" s="109"/>
      <c r="F524" s="109"/>
      <c r="G524" s="110"/>
      <c r="H524" s="110"/>
      <c r="I524" s="110"/>
      <c r="J524" s="18"/>
    </row>
    <row r="525" spans="2:10" ht="15.75" customHeight="1">
      <c r="B525" s="106"/>
      <c r="C525" s="107"/>
      <c r="D525" s="108"/>
      <c r="E525" s="109"/>
      <c r="F525" s="109"/>
      <c r="G525" s="110"/>
      <c r="H525" s="110"/>
      <c r="I525" s="110"/>
      <c r="J525" s="18"/>
    </row>
    <row r="526" spans="2:10" ht="15.75" customHeight="1">
      <c r="B526" s="106"/>
      <c r="C526" s="107"/>
      <c r="D526" s="108"/>
      <c r="E526" s="109"/>
      <c r="F526" s="109"/>
      <c r="G526" s="110"/>
      <c r="H526" s="110"/>
      <c r="I526" s="110"/>
      <c r="J526" s="18"/>
    </row>
    <row r="527" spans="2:10" ht="15.75" customHeight="1">
      <c r="B527" s="106"/>
      <c r="C527" s="107"/>
      <c r="D527" s="108"/>
      <c r="E527" s="109"/>
      <c r="F527" s="109"/>
      <c r="G527" s="110"/>
      <c r="H527" s="110"/>
      <c r="I527" s="110"/>
      <c r="J527" s="18"/>
    </row>
    <row r="528" spans="2:10" ht="15.75" customHeight="1">
      <c r="B528" s="106"/>
      <c r="C528" s="107"/>
      <c r="D528" s="108"/>
      <c r="E528" s="109"/>
      <c r="F528" s="109"/>
      <c r="G528" s="110"/>
      <c r="H528" s="110"/>
      <c r="I528" s="110"/>
      <c r="J528" s="18"/>
    </row>
    <row r="529" spans="2:10" ht="15.75" customHeight="1">
      <c r="B529" s="106"/>
      <c r="C529" s="107"/>
      <c r="D529" s="108"/>
      <c r="E529" s="109"/>
      <c r="F529" s="109"/>
      <c r="G529" s="110"/>
      <c r="H529" s="110"/>
      <c r="I529" s="110"/>
      <c r="J529" s="18"/>
    </row>
    <row r="530" spans="2:10" ht="15.75" customHeight="1">
      <c r="B530" s="106"/>
      <c r="C530" s="107"/>
      <c r="D530" s="108"/>
      <c r="E530" s="109"/>
      <c r="F530" s="109"/>
      <c r="G530" s="110"/>
      <c r="H530" s="110"/>
      <c r="I530" s="110"/>
      <c r="J530" s="18"/>
    </row>
    <row r="531" spans="2:10" ht="15.75" customHeight="1">
      <c r="B531" s="106"/>
      <c r="C531" s="107"/>
      <c r="D531" s="108"/>
      <c r="E531" s="109"/>
      <c r="F531" s="109"/>
      <c r="G531" s="110"/>
      <c r="H531" s="110"/>
      <c r="I531" s="110"/>
      <c r="J531" s="18"/>
    </row>
    <row r="532" spans="2:10" ht="15.75" customHeight="1">
      <c r="B532" s="106"/>
      <c r="C532" s="107"/>
      <c r="D532" s="108"/>
      <c r="E532" s="109"/>
      <c r="F532" s="109"/>
      <c r="G532" s="110"/>
      <c r="H532" s="110"/>
      <c r="I532" s="110"/>
      <c r="J532" s="18"/>
    </row>
    <row r="533" spans="2:10" ht="15.75" customHeight="1">
      <c r="B533" s="106"/>
      <c r="C533" s="107"/>
      <c r="D533" s="108"/>
      <c r="E533" s="109"/>
      <c r="F533" s="109"/>
      <c r="G533" s="110"/>
      <c r="H533" s="110"/>
      <c r="I533" s="110"/>
      <c r="J533" s="18"/>
    </row>
    <row r="534" spans="2:10" ht="15.75" customHeight="1">
      <c r="B534" s="106"/>
      <c r="C534" s="107"/>
      <c r="D534" s="108"/>
      <c r="E534" s="109"/>
      <c r="F534" s="109"/>
      <c r="G534" s="110"/>
      <c r="H534" s="110"/>
      <c r="I534" s="110"/>
      <c r="J534" s="18"/>
    </row>
    <row r="535" spans="2:10" ht="15.75" customHeight="1">
      <c r="B535" s="106"/>
      <c r="C535" s="107"/>
      <c r="D535" s="108"/>
      <c r="E535" s="109"/>
      <c r="F535" s="109"/>
      <c r="G535" s="110"/>
      <c r="H535" s="110"/>
      <c r="I535" s="110"/>
      <c r="J535" s="18"/>
    </row>
    <row r="536" spans="2:10" ht="15.75" customHeight="1">
      <c r="B536" s="106"/>
      <c r="C536" s="107"/>
      <c r="D536" s="108"/>
      <c r="E536" s="109"/>
      <c r="F536" s="109"/>
      <c r="G536" s="110"/>
      <c r="H536" s="110"/>
      <c r="I536" s="110"/>
      <c r="J536" s="18"/>
    </row>
    <row r="537" spans="2:10" ht="15.75" customHeight="1">
      <c r="B537" s="106"/>
      <c r="C537" s="107"/>
      <c r="D537" s="108"/>
      <c r="E537" s="109"/>
      <c r="F537" s="109"/>
      <c r="G537" s="110"/>
      <c r="H537" s="110"/>
      <c r="I537" s="110"/>
      <c r="J537" s="18"/>
    </row>
    <row r="538" spans="2:10" ht="15.75" customHeight="1">
      <c r="B538" s="106"/>
      <c r="C538" s="107"/>
      <c r="D538" s="108"/>
      <c r="E538" s="109"/>
      <c r="F538" s="109"/>
      <c r="G538" s="110"/>
      <c r="H538" s="110"/>
      <c r="I538" s="110"/>
      <c r="J538" s="18"/>
    </row>
    <row r="539" spans="2:10" ht="15.75" customHeight="1">
      <c r="B539" s="106"/>
      <c r="C539" s="107"/>
      <c r="D539" s="108"/>
      <c r="E539" s="109"/>
      <c r="F539" s="109"/>
      <c r="G539" s="110"/>
      <c r="H539" s="110"/>
      <c r="I539" s="110"/>
      <c r="J539" s="18"/>
    </row>
    <row r="540" spans="2:10" ht="15.75" customHeight="1">
      <c r="B540" s="106"/>
      <c r="C540" s="107"/>
      <c r="D540" s="108"/>
      <c r="E540" s="109"/>
      <c r="F540" s="109"/>
      <c r="G540" s="110"/>
      <c r="H540" s="110"/>
      <c r="I540" s="110"/>
      <c r="J540" s="18"/>
    </row>
    <row r="541" spans="2:10" ht="15.75" customHeight="1">
      <c r="B541" s="106"/>
      <c r="C541" s="107"/>
      <c r="D541" s="108"/>
      <c r="E541" s="109"/>
      <c r="F541" s="109"/>
      <c r="G541" s="110"/>
      <c r="H541" s="110"/>
      <c r="I541" s="110"/>
      <c r="J541" s="18"/>
    </row>
    <row r="542" spans="2:10" ht="15.75" customHeight="1">
      <c r="B542" s="106"/>
      <c r="C542" s="107"/>
      <c r="D542" s="108"/>
      <c r="E542" s="109"/>
      <c r="F542" s="109"/>
      <c r="G542" s="110"/>
      <c r="H542" s="110"/>
      <c r="I542" s="110"/>
      <c r="J542" s="18"/>
    </row>
    <row r="543" spans="2:10" ht="15.75" customHeight="1">
      <c r="B543" s="106"/>
      <c r="C543" s="107"/>
      <c r="D543" s="108"/>
      <c r="E543" s="109"/>
      <c r="F543" s="109"/>
      <c r="G543" s="110"/>
      <c r="H543" s="110"/>
      <c r="I543" s="110"/>
      <c r="J543" s="18"/>
    </row>
    <row r="544" spans="2:10" ht="15.75" customHeight="1">
      <c r="B544" s="106"/>
      <c r="C544" s="107"/>
      <c r="D544" s="108"/>
      <c r="E544" s="109"/>
      <c r="F544" s="109"/>
      <c r="G544" s="110"/>
      <c r="H544" s="110"/>
      <c r="I544" s="110"/>
      <c r="J544" s="18"/>
    </row>
    <row r="545" spans="2:10" ht="15.75" customHeight="1">
      <c r="B545" s="106"/>
      <c r="C545" s="107"/>
      <c r="D545" s="108"/>
      <c r="E545" s="109"/>
      <c r="F545" s="109"/>
      <c r="G545" s="110"/>
      <c r="H545" s="110"/>
      <c r="I545" s="110"/>
      <c r="J545" s="18"/>
    </row>
    <row r="546" spans="2:10" ht="15.75" customHeight="1">
      <c r="B546" s="106"/>
      <c r="C546" s="107"/>
      <c r="D546" s="108"/>
      <c r="E546" s="109"/>
      <c r="F546" s="109"/>
      <c r="G546" s="110"/>
      <c r="H546" s="110"/>
      <c r="I546" s="110"/>
      <c r="J546" s="18"/>
    </row>
    <row r="547" spans="2:10" ht="15.75" customHeight="1">
      <c r="B547" s="106"/>
      <c r="C547" s="107"/>
      <c r="D547" s="108"/>
      <c r="E547" s="109"/>
      <c r="F547" s="109"/>
      <c r="G547" s="110"/>
      <c r="H547" s="110"/>
      <c r="I547" s="110"/>
      <c r="J547" s="18"/>
    </row>
    <row r="548" spans="2:10" ht="15.75" customHeight="1">
      <c r="B548" s="106"/>
      <c r="C548" s="107"/>
      <c r="D548" s="108"/>
      <c r="E548" s="109"/>
      <c r="F548" s="109"/>
      <c r="G548" s="110"/>
      <c r="H548" s="110"/>
      <c r="I548" s="110"/>
      <c r="J548" s="18"/>
    </row>
    <row r="549" spans="2:10" ht="15.75" customHeight="1">
      <c r="B549" s="106"/>
      <c r="C549" s="107"/>
      <c r="D549" s="108"/>
      <c r="E549" s="109"/>
      <c r="F549" s="109"/>
      <c r="G549" s="110"/>
      <c r="H549" s="110"/>
      <c r="I549" s="110"/>
      <c r="J549" s="18"/>
    </row>
    <row r="550" spans="2:10" ht="15.75" customHeight="1">
      <c r="B550" s="106"/>
      <c r="C550" s="107"/>
      <c r="D550" s="108"/>
      <c r="E550" s="109"/>
      <c r="F550" s="109"/>
      <c r="G550" s="110"/>
      <c r="H550" s="110"/>
      <c r="I550" s="110"/>
      <c r="J550" s="18"/>
    </row>
    <row r="551" spans="2:10" ht="15.75" customHeight="1">
      <c r="B551" s="106"/>
      <c r="C551" s="107"/>
      <c r="D551" s="108"/>
      <c r="E551" s="109"/>
      <c r="F551" s="109"/>
      <c r="G551" s="110"/>
      <c r="H551" s="110"/>
      <c r="I551" s="110"/>
      <c r="J551" s="18"/>
    </row>
    <row r="552" spans="2:10" ht="15.75" customHeight="1">
      <c r="B552" s="106"/>
      <c r="C552" s="107"/>
      <c r="D552" s="108"/>
      <c r="E552" s="109"/>
      <c r="F552" s="109"/>
      <c r="G552" s="110"/>
      <c r="H552" s="110"/>
      <c r="I552" s="110"/>
      <c r="J552" s="18"/>
    </row>
    <row r="553" spans="2:10" ht="15.75" customHeight="1">
      <c r="B553" s="106"/>
      <c r="C553" s="107"/>
      <c r="D553" s="108"/>
      <c r="E553" s="109"/>
      <c r="F553" s="109"/>
      <c r="G553" s="110"/>
      <c r="H553" s="110"/>
      <c r="I553" s="110"/>
      <c r="J553" s="18"/>
    </row>
    <row r="554" spans="2:10" ht="15.75" customHeight="1">
      <c r="B554" s="106"/>
      <c r="C554" s="107"/>
      <c r="D554" s="108"/>
      <c r="E554" s="109"/>
      <c r="F554" s="109"/>
      <c r="G554" s="110"/>
      <c r="H554" s="110"/>
      <c r="I554" s="110"/>
      <c r="J554" s="18"/>
    </row>
    <row r="555" spans="2:10" ht="15.75" customHeight="1">
      <c r="B555" s="106"/>
      <c r="C555" s="107"/>
      <c r="D555" s="108"/>
      <c r="E555" s="109"/>
      <c r="F555" s="109"/>
      <c r="G555" s="110"/>
      <c r="H555" s="110"/>
      <c r="I555" s="110"/>
      <c r="J555" s="18"/>
    </row>
    <row r="556" spans="2:10" ht="15.75" customHeight="1">
      <c r="B556" s="106"/>
      <c r="C556" s="107"/>
      <c r="D556" s="108"/>
      <c r="E556" s="109"/>
      <c r="F556" s="109"/>
      <c r="G556" s="110"/>
      <c r="H556" s="110"/>
      <c r="I556" s="110"/>
      <c r="J556" s="18"/>
    </row>
    <row r="557" spans="2:10" ht="15.75" customHeight="1">
      <c r="B557" s="106"/>
      <c r="C557" s="107"/>
      <c r="D557" s="108"/>
      <c r="E557" s="109"/>
      <c r="F557" s="109"/>
      <c r="G557" s="110"/>
      <c r="H557" s="110"/>
      <c r="I557" s="110"/>
      <c r="J557" s="18"/>
    </row>
    <row r="558" spans="2:10" ht="15.75" customHeight="1">
      <c r="B558" s="106"/>
      <c r="C558" s="107"/>
      <c r="D558" s="108"/>
      <c r="E558" s="109"/>
      <c r="F558" s="109"/>
      <c r="G558" s="110"/>
      <c r="H558" s="110"/>
      <c r="I558" s="110"/>
      <c r="J558" s="18"/>
    </row>
    <row r="559" spans="2:10" ht="15.75" customHeight="1">
      <c r="B559" s="106"/>
      <c r="C559" s="107"/>
      <c r="D559" s="108"/>
      <c r="E559" s="109"/>
      <c r="F559" s="109"/>
      <c r="G559" s="110"/>
      <c r="H559" s="110"/>
      <c r="I559" s="110"/>
      <c r="J559" s="18"/>
    </row>
    <row r="560" spans="2:10" ht="15.75" customHeight="1">
      <c r="B560" s="106"/>
      <c r="C560" s="107"/>
      <c r="D560" s="108"/>
      <c r="E560" s="109"/>
      <c r="F560" s="109"/>
      <c r="G560" s="110"/>
      <c r="H560" s="110"/>
      <c r="I560" s="110"/>
      <c r="J560" s="18"/>
    </row>
    <row r="561" spans="2:10" ht="15.75" customHeight="1">
      <c r="B561" s="106"/>
      <c r="C561" s="107"/>
      <c r="D561" s="108"/>
      <c r="E561" s="109"/>
      <c r="F561" s="109"/>
      <c r="G561" s="110"/>
      <c r="H561" s="110"/>
      <c r="I561" s="110"/>
      <c r="J561" s="18"/>
    </row>
    <row r="562" spans="2:10" ht="15.75" customHeight="1">
      <c r="B562" s="106"/>
      <c r="C562" s="107"/>
      <c r="D562" s="108"/>
      <c r="E562" s="109"/>
      <c r="F562" s="109"/>
      <c r="G562" s="110"/>
      <c r="H562" s="110"/>
      <c r="I562" s="110"/>
      <c r="J562" s="18"/>
    </row>
    <row r="563" spans="2:10" ht="15.75" customHeight="1">
      <c r="B563" s="106"/>
      <c r="C563" s="107"/>
      <c r="D563" s="108"/>
      <c r="E563" s="109"/>
      <c r="F563" s="109"/>
      <c r="G563" s="110"/>
      <c r="H563" s="110"/>
      <c r="I563" s="110"/>
      <c r="J563" s="18"/>
    </row>
    <row r="564" spans="2:10" ht="15.75" customHeight="1">
      <c r="B564" s="106"/>
      <c r="C564" s="107"/>
      <c r="D564" s="108"/>
      <c r="E564" s="109"/>
      <c r="F564" s="109"/>
      <c r="G564" s="110"/>
      <c r="H564" s="110"/>
      <c r="I564" s="110"/>
      <c r="J564" s="18"/>
    </row>
    <row r="565" spans="2:10" ht="15.75" customHeight="1">
      <c r="B565" s="106"/>
      <c r="C565" s="107"/>
      <c r="D565" s="108"/>
      <c r="E565" s="109"/>
      <c r="F565" s="109"/>
      <c r="G565" s="110"/>
      <c r="H565" s="110"/>
      <c r="I565" s="110"/>
      <c r="J565" s="18"/>
    </row>
    <row r="566" spans="2:10" ht="15.75" customHeight="1">
      <c r="B566" s="106"/>
      <c r="C566" s="107"/>
      <c r="D566" s="108"/>
      <c r="E566" s="109"/>
      <c r="F566" s="109"/>
      <c r="G566" s="110"/>
      <c r="H566" s="110"/>
      <c r="I566" s="110"/>
      <c r="J566" s="18"/>
    </row>
    <row r="567" spans="2:10" ht="15.75" customHeight="1">
      <c r="B567" s="106"/>
      <c r="C567" s="107"/>
      <c r="D567" s="108"/>
      <c r="E567" s="109"/>
      <c r="F567" s="109"/>
      <c r="G567" s="110"/>
      <c r="H567" s="110"/>
      <c r="I567" s="110"/>
      <c r="J567" s="18"/>
    </row>
    <row r="568" spans="2:10" ht="15.75" customHeight="1">
      <c r="B568" s="106"/>
      <c r="C568" s="107"/>
      <c r="D568" s="108"/>
      <c r="E568" s="109"/>
      <c r="F568" s="109"/>
      <c r="G568" s="110"/>
      <c r="H568" s="110"/>
      <c r="I568" s="110"/>
      <c r="J568" s="18"/>
    </row>
    <row r="569" spans="2:10" ht="15.75" customHeight="1">
      <c r="B569" s="106"/>
      <c r="C569" s="107"/>
      <c r="D569" s="108"/>
      <c r="E569" s="109"/>
      <c r="F569" s="109"/>
      <c r="G569" s="110"/>
      <c r="H569" s="110"/>
      <c r="I569" s="110"/>
      <c r="J569" s="18"/>
    </row>
    <row r="570" spans="2:10" ht="15.75" customHeight="1">
      <c r="B570" s="106"/>
      <c r="C570" s="107"/>
      <c r="D570" s="108"/>
      <c r="E570" s="109"/>
      <c r="F570" s="109"/>
      <c r="G570" s="110"/>
      <c r="H570" s="110"/>
      <c r="I570" s="110"/>
      <c r="J570" s="18"/>
    </row>
    <row r="571" spans="2:10" ht="15.75" customHeight="1">
      <c r="B571" s="106"/>
      <c r="C571" s="107"/>
      <c r="D571" s="108"/>
      <c r="E571" s="109"/>
      <c r="F571" s="109"/>
      <c r="G571" s="110"/>
      <c r="H571" s="110"/>
      <c r="I571" s="110"/>
      <c r="J571" s="18"/>
    </row>
    <row r="572" spans="2:10" ht="15.75" customHeight="1">
      <c r="B572" s="106"/>
      <c r="C572" s="107"/>
      <c r="D572" s="108"/>
      <c r="E572" s="109"/>
      <c r="F572" s="109"/>
      <c r="G572" s="110"/>
      <c r="H572" s="110"/>
      <c r="I572" s="110"/>
      <c r="J572" s="18"/>
    </row>
    <row r="573" spans="2:10" ht="15.75" customHeight="1">
      <c r="B573" s="106"/>
      <c r="C573" s="107"/>
      <c r="D573" s="108"/>
      <c r="E573" s="109"/>
      <c r="F573" s="109"/>
      <c r="G573" s="110"/>
      <c r="H573" s="110"/>
      <c r="I573" s="110"/>
      <c r="J573" s="18"/>
    </row>
    <row r="574" spans="2:10" ht="15.75" customHeight="1">
      <c r="B574" s="106"/>
      <c r="C574" s="107"/>
      <c r="D574" s="108"/>
      <c r="E574" s="109"/>
      <c r="F574" s="109"/>
      <c r="G574" s="110"/>
      <c r="H574" s="110"/>
      <c r="I574" s="110"/>
      <c r="J574" s="18"/>
    </row>
    <row r="575" spans="2:10" ht="15.75" customHeight="1">
      <c r="B575" s="106"/>
      <c r="C575" s="107"/>
      <c r="D575" s="108"/>
      <c r="E575" s="109"/>
      <c r="F575" s="109"/>
      <c r="G575" s="110"/>
      <c r="H575" s="110"/>
      <c r="I575" s="110"/>
      <c r="J575" s="18"/>
    </row>
    <row r="576" spans="2:10" ht="15.75" customHeight="1">
      <c r="B576" s="106"/>
      <c r="C576" s="107"/>
      <c r="D576" s="108"/>
      <c r="E576" s="109"/>
      <c r="F576" s="109"/>
      <c r="G576" s="110"/>
      <c r="H576" s="110"/>
      <c r="I576" s="110"/>
      <c r="J576" s="18"/>
    </row>
    <row r="577" spans="2:10" ht="15.75" customHeight="1">
      <c r="B577" s="106"/>
      <c r="C577" s="107"/>
      <c r="D577" s="108"/>
      <c r="E577" s="109"/>
      <c r="F577" s="109"/>
      <c r="G577" s="110"/>
      <c r="H577" s="110"/>
      <c r="I577" s="110"/>
      <c r="J577" s="18"/>
    </row>
    <row r="578" spans="2:10" ht="15.75" customHeight="1">
      <c r="B578" s="106"/>
      <c r="C578" s="107"/>
      <c r="D578" s="108"/>
      <c r="E578" s="109"/>
      <c r="F578" s="109"/>
      <c r="G578" s="110"/>
      <c r="H578" s="110"/>
      <c r="I578" s="110"/>
      <c r="J578" s="18"/>
    </row>
    <row r="579" spans="2:10" ht="15.75" customHeight="1">
      <c r="B579" s="106"/>
      <c r="C579" s="107"/>
      <c r="D579" s="108"/>
      <c r="E579" s="109"/>
      <c r="F579" s="109"/>
      <c r="G579" s="110"/>
      <c r="H579" s="110"/>
      <c r="I579" s="110"/>
      <c r="J579" s="18"/>
    </row>
    <row r="580" spans="2:10" ht="15.75" customHeight="1">
      <c r="B580" s="106"/>
      <c r="C580" s="107"/>
      <c r="D580" s="108"/>
      <c r="E580" s="109"/>
      <c r="F580" s="109"/>
      <c r="G580" s="110"/>
      <c r="H580" s="110"/>
      <c r="I580" s="110"/>
      <c r="J580" s="18"/>
    </row>
    <row r="581" spans="2:10" ht="15.75" customHeight="1">
      <c r="B581" s="106"/>
      <c r="C581" s="107"/>
      <c r="D581" s="108"/>
      <c r="E581" s="109"/>
      <c r="F581" s="109"/>
      <c r="G581" s="110"/>
      <c r="H581" s="110"/>
      <c r="I581" s="110"/>
      <c r="J581" s="18"/>
    </row>
    <row r="582" spans="2:10" ht="15.75" customHeight="1">
      <c r="B582" s="106"/>
      <c r="C582" s="107"/>
      <c r="D582" s="108"/>
      <c r="E582" s="109"/>
      <c r="F582" s="109"/>
      <c r="G582" s="110"/>
      <c r="H582" s="110"/>
      <c r="I582" s="110"/>
      <c r="J582" s="18"/>
    </row>
    <row r="583" spans="2:10" ht="15.75" customHeight="1">
      <c r="B583" s="106"/>
      <c r="C583" s="107"/>
      <c r="D583" s="108"/>
      <c r="E583" s="109"/>
      <c r="F583" s="109"/>
      <c r="G583" s="110"/>
      <c r="H583" s="110"/>
      <c r="I583" s="110"/>
      <c r="J583" s="18"/>
    </row>
    <row r="584" spans="2:10" ht="15.75" customHeight="1">
      <c r="B584" s="106"/>
      <c r="C584" s="107"/>
      <c r="D584" s="108"/>
      <c r="E584" s="109"/>
      <c r="F584" s="109"/>
      <c r="G584" s="110"/>
      <c r="H584" s="110"/>
      <c r="I584" s="110"/>
      <c r="J584" s="18"/>
    </row>
    <row r="585" spans="2:10" ht="15.75" customHeight="1">
      <c r="B585" s="106"/>
      <c r="C585" s="107"/>
      <c r="D585" s="108"/>
      <c r="E585" s="109"/>
      <c r="F585" s="109"/>
      <c r="G585" s="110"/>
      <c r="H585" s="110"/>
      <c r="I585" s="110"/>
      <c r="J585" s="18"/>
    </row>
    <row r="586" spans="2:10" ht="15.75" customHeight="1">
      <c r="B586" s="106"/>
      <c r="C586" s="107"/>
      <c r="D586" s="108"/>
      <c r="E586" s="109"/>
      <c r="F586" s="109"/>
      <c r="G586" s="110"/>
      <c r="H586" s="110"/>
      <c r="I586" s="110"/>
      <c r="J586" s="18"/>
    </row>
    <row r="587" spans="2:10" ht="15.75" customHeight="1">
      <c r="B587" s="106"/>
      <c r="C587" s="107"/>
      <c r="D587" s="108"/>
      <c r="E587" s="109"/>
      <c r="F587" s="109"/>
      <c r="G587" s="110"/>
      <c r="H587" s="110"/>
      <c r="I587" s="110"/>
      <c r="J587" s="18"/>
    </row>
    <row r="588" spans="2:10" ht="15.75" customHeight="1">
      <c r="B588" s="106"/>
      <c r="C588" s="107"/>
      <c r="D588" s="108"/>
      <c r="E588" s="109"/>
      <c r="F588" s="109"/>
      <c r="G588" s="110"/>
      <c r="H588" s="110"/>
      <c r="I588" s="110"/>
      <c r="J588" s="18"/>
    </row>
    <row r="589" spans="2:10" ht="15.75" customHeight="1">
      <c r="B589" s="106"/>
      <c r="C589" s="107"/>
      <c r="D589" s="108"/>
      <c r="E589" s="109"/>
      <c r="F589" s="109"/>
      <c r="G589" s="110"/>
      <c r="H589" s="110"/>
      <c r="I589" s="110"/>
      <c r="J589" s="18"/>
    </row>
    <row r="590" spans="2:10" ht="15.75" customHeight="1">
      <c r="B590" s="106"/>
      <c r="C590" s="107"/>
      <c r="D590" s="108"/>
      <c r="E590" s="109"/>
      <c r="F590" s="109"/>
      <c r="G590" s="110"/>
      <c r="H590" s="110"/>
      <c r="I590" s="110"/>
      <c r="J590" s="18"/>
    </row>
    <row r="591" spans="2:10" ht="15.75" customHeight="1">
      <c r="B591" s="106"/>
      <c r="C591" s="107"/>
      <c r="D591" s="108"/>
      <c r="E591" s="109"/>
      <c r="F591" s="109"/>
      <c r="G591" s="110"/>
      <c r="H591" s="110"/>
      <c r="I591" s="110"/>
      <c r="J591" s="18"/>
    </row>
    <row r="592" spans="2:10" ht="15.75" customHeight="1">
      <c r="B592" s="106"/>
      <c r="C592" s="107"/>
      <c r="D592" s="108"/>
      <c r="E592" s="109"/>
      <c r="F592" s="109"/>
      <c r="G592" s="110"/>
      <c r="H592" s="110"/>
      <c r="I592" s="110"/>
      <c r="J592" s="18"/>
    </row>
    <row r="593" spans="2:10" ht="15.75" customHeight="1">
      <c r="B593" s="106"/>
      <c r="C593" s="107"/>
      <c r="D593" s="108"/>
      <c r="E593" s="109"/>
      <c r="F593" s="109"/>
      <c r="G593" s="110"/>
      <c r="H593" s="110"/>
      <c r="I593" s="110"/>
      <c r="J593" s="18"/>
    </row>
    <row r="594" spans="2:10" ht="15.75" customHeight="1">
      <c r="B594" s="106"/>
      <c r="C594" s="107"/>
      <c r="D594" s="108"/>
      <c r="E594" s="109"/>
      <c r="F594" s="109"/>
      <c r="G594" s="110"/>
      <c r="H594" s="110"/>
      <c r="I594" s="110"/>
      <c r="J594" s="18"/>
    </row>
    <row r="595" spans="2:10" ht="15.75" customHeight="1">
      <c r="B595" s="106"/>
      <c r="C595" s="107"/>
      <c r="D595" s="108"/>
      <c r="E595" s="109"/>
      <c r="F595" s="109"/>
      <c r="G595" s="110"/>
      <c r="H595" s="110"/>
      <c r="I595" s="110"/>
      <c r="J595" s="18"/>
    </row>
    <row r="596" spans="2:10" ht="15.75" customHeight="1">
      <c r="B596" s="106"/>
      <c r="C596" s="107"/>
      <c r="D596" s="108"/>
      <c r="E596" s="109"/>
      <c r="F596" s="109"/>
      <c r="G596" s="110"/>
      <c r="H596" s="110"/>
      <c r="I596" s="110"/>
      <c r="J596" s="18"/>
    </row>
    <row r="597" spans="2:10" ht="15.75" customHeight="1">
      <c r="B597" s="106"/>
      <c r="C597" s="107"/>
      <c r="D597" s="108"/>
      <c r="E597" s="109"/>
      <c r="F597" s="109"/>
      <c r="G597" s="110"/>
      <c r="H597" s="110"/>
      <c r="I597" s="110"/>
      <c r="J597" s="18"/>
    </row>
    <row r="598" spans="2:10" ht="15.75" customHeight="1">
      <c r="B598" s="106"/>
      <c r="C598" s="107"/>
      <c r="D598" s="108"/>
      <c r="E598" s="109"/>
      <c r="F598" s="109"/>
      <c r="G598" s="110"/>
      <c r="H598" s="110"/>
      <c r="I598" s="110"/>
      <c r="J598" s="18"/>
    </row>
    <row r="599" spans="2:10" ht="15.75" customHeight="1">
      <c r="B599" s="106"/>
      <c r="C599" s="107"/>
      <c r="D599" s="108"/>
      <c r="E599" s="109"/>
      <c r="F599" s="109"/>
      <c r="G599" s="110"/>
      <c r="H599" s="110"/>
      <c r="I599" s="110"/>
      <c r="J599" s="18"/>
    </row>
    <row r="600" spans="2:10" ht="15.75" customHeight="1">
      <c r="B600" s="106"/>
      <c r="C600" s="107"/>
      <c r="D600" s="108"/>
      <c r="E600" s="109"/>
      <c r="F600" s="109"/>
      <c r="G600" s="110"/>
      <c r="H600" s="110"/>
      <c r="I600" s="110"/>
      <c r="J600" s="18"/>
    </row>
    <row r="601" spans="2:10" ht="15.75" customHeight="1">
      <c r="B601" s="106"/>
      <c r="C601" s="107"/>
      <c r="D601" s="108"/>
      <c r="E601" s="109"/>
      <c r="F601" s="109"/>
      <c r="G601" s="110"/>
      <c r="H601" s="110"/>
      <c r="I601" s="110"/>
      <c r="J601" s="18"/>
    </row>
    <row r="602" spans="2:10" ht="15.75" customHeight="1">
      <c r="B602" s="106"/>
      <c r="C602" s="107"/>
      <c r="D602" s="108"/>
      <c r="E602" s="109"/>
      <c r="F602" s="109"/>
      <c r="G602" s="110"/>
      <c r="H602" s="110"/>
      <c r="I602" s="110"/>
      <c r="J602" s="18"/>
    </row>
    <row r="603" spans="2:10" ht="15.75" customHeight="1">
      <c r="B603" s="106"/>
      <c r="C603" s="107"/>
      <c r="D603" s="108"/>
      <c r="E603" s="109"/>
      <c r="F603" s="109"/>
      <c r="G603" s="110"/>
      <c r="H603" s="110"/>
      <c r="I603" s="110"/>
      <c r="J603" s="18"/>
    </row>
    <row r="604" spans="2:10" ht="15.75" customHeight="1">
      <c r="B604" s="106"/>
      <c r="C604" s="107"/>
      <c r="D604" s="108"/>
      <c r="E604" s="109"/>
      <c r="F604" s="109"/>
      <c r="G604" s="110"/>
      <c r="H604" s="110"/>
      <c r="I604" s="110"/>
      <c r="J604" s="18"/>
    </row>
    <row r="605" spans="2:10" ht="15.75" customHeight="1">
      <c r="B605" s="106"/>
      <c r="C605" s="107"/>
      <c r="D605" s="108"/>
      <c r="E605" s="109"/>
      <c r="F605" s="109"/>
      <c r="G605" s="110"/>
      <c r="H605" s="110"/>
      <c r="I605" s="110"/>
      <c r="J605" s="18"/>
    </row>
    <row r="606" spans="2:10" ht="15.75" customHeight="1">
      <c r="B606" s="106"/>
      <c r="C606" s="107"/>
      <c r="D606" s="108"/>
      <c r="E606" s="109"/>
      <c r="F606" s="109"/>
      <c r="G606" s="110"/>
      <c r="H606" s="110"/>
      <c r="I606" s="110"/>
      <c r="J606" s="18"/>
    </row>
    <row r="607" spans="2:10" ht="15.75" customHeight="1">
      <c r="B607" s="106"/>
      <c r="C607" s="107"/>
      <c r="D607" s="108"/>
      <c r="E607" s="109"/>
      <c r="F607" s="109"/>
      <c r="G607" s="110"/>
      <c r="H607" s="110"/>
      <c r="I607" s="110"/>
      <c r="J607" s="18"/>
    </row>
    <row r="608" spans="2:10" ht="15.75" customHeight="1">
      <c r="B608" s="106"/>
      <c r="C608" s="107"/>
      <c r="D608" s="108"/>
      <c r="E608" s="109"/>
      <c r="F608" s="109"/>
      <c r="G608" s="110"/>
      <c r="H608" s="110"/>
      <c r="I608" s="110"/>
      <c r="J608" s="18"/>
    </row>
    <row r="609" spans="2:10" ht="15.75" customHeight="1">
      <c r="B609" s="106"/>
      <c r="C609" s="107"/>
      <c r="D609" s="108"/>
      <c r="E609" s="109"/>
      <c r="F609" s="109"/>
      <c r="G609" s="110"/>
      <c r="H609" s="110"/>
      <c r="I609" s="110"/>
      <c r="J609" s="18"/>
    </row>
    <row r="610" spans="2:10" ht="15.75" customHeight="1">
      <c r="B610" s="106"/>
      <c r="C610" s="107"/>
      <c r="D610" s="108"/>
      <c r="E610" s="109"/>
      <c r="F610" s="109"/>
      <c r="G610" s="110"/>
      <c r="H610" s="110"/>
      <c r="I610" s="110"/>
      <c r="J610" s="18"/>
    </row>
    <row r="611" spans="2:10" ht="15.75" customHeight="1">
      <c r="B611" s="106"/>
      <c r="C611" s="107"/>
      <c r="D611" s="108"/>
      <c r="E611" s="109"/>
      <c r="F611" s="109"/>
      <c r="G611" s="110"/>
      <c r="H611" s="110"/>
      <c r="I611" s="110"/>
      <c r="J611" s="18"/>
    </row>
    <row r="612" spans="2:10" ht="15.75" customHeight="1">
      <c r="B612" s="106"/>
      <c r="C612" s="107"/>
      <c r="D612" s="108"/>
      <c r="E612" s="109"/>
      <c r="F612" s="109"/>
      <c r="G612" s="110"/>
      <c r="H612" s="110"/>
      <c r="I612" s="110"/>
      <c r="J612" s="18"/>
    </row>
    <row r="613" spans="2:10" ht="15.75" customHeight="1">
      <c r="B613" s="106"/>
      <c r="C613" s="107"/>
      <c r="D613" s="108"/>
      <c r="E613" s="109"/>
      <c r="F613" s="109"/>
      <c r="G613" s="110"/>
      <c r="H613" s="110"/>
      <c r="I613" s="110"/>
      <c r="J613" s="18"/>
    </row>
    <row r="614" spans="2:10" ht="15.75" customHeight="1">
      <c r="B614" s="106"/>
      <c r="C614" s="107"/>
      <c r="D614" s="108"/>
      <c r="E614" s="109"/>
      <c r="F614" s="109"/>
      <c r="G614" s="110"/>
      <c r="H614" s="110"/>
      <c r="I614" s="110"/>
      <c r="J614" s="18"/>
    </row>
    <row r="615" spans="2:10" ht="15.75" customHeight="1">
      <c r="B615" s="106"/>
      <c r="C615" s="107"/>
      <c r="D615" s="108"/>
      <c r="E615" s="109"/>
      <c r="F615" s="109"/>
      <c r="G615" s="110"/>
      <c r="H615" s="110"/>
      <c r="I615" s="110"/>
      <c r="J615" s="18"/>
    </row>
    <row r="616" spans="2:10" ht="15.75" customHeight="1">
      <c r="B616" s="106"/>
      <c r="C616" s="107"/>
      <c r="D616" s="108"/>
      <c r="E616" s="109"/>
      <c r="F616" s="109"/>
      <c r="G616" s="110"/>
      <c r="H616" s="110"/>
      <c r="I616" s="110"/>
      <c r="J616" s="18"/>
    </row>
    <row r="617" spans="2:10" ht="15.75" customHeight="1">
      <c r="B617" s="106"/>
      <c r="C617" s="107"/>
      <c r="D617" s="108"/>
      <c r="E617" s="109"/>
      <c r="F617" s="109"/>
      <c r="G617" s="110"/>
      <c r="H617" s="110"/>
      <c r="I617" s="110"/>
      <c r="J617" s="18"/>
    </row>
    <row r="618" spans="2:10" ht="15.75" customHeight="1">
      <c r="B618" s="106"/>
      <c r="C618" s="107"/>
      <c r="D618" s="108"/>
      <c r="E618" s="109"/>
      <c r="F618" s="109"/>
      <c r="G618" s="110"/>
      <c r="H618" s="110"/>
      <c r="I618" s="110"/>
      <c r="J618" s="18"/>
    </row>
    <row r="619" spans="2:10" ht="15.75" customHeight="1">
      <c r="B619" s="106"/>
      <c r="C619" s="107"/>
      <c r="D619" s="108"/>
      <c r="E619" s="109"/>
      <c r="F619" s="109"/>
      <c r="G619" s="110"/>
      <c r="H619" s="110"/>
      <c r="I619" s="110"/>
      <c r="J619" s="18"/>
    </row>
    <row r="620" spans="2:10" ht="15.75" customHeight="1">
      <c r="B620" s="106"/>
      <c r="C620" s="107"/>
      <c r="D620" s="108"/>
      <c r="E620" s="109"/>
      <c r="F620" s="109"/>
      <c r="G620" s="110"/>
      <c r="H620" s="110"/>
      <c r="I620" s="110"/>
      <c r="J620" s="18"/>
    </row>
    <row r="621" spans="2:10" ht="15.75" customHeight="1">
      <c r="B621" s="106"/>
      <c r="C621" s="107"/>
      <c r="D621" s="108"/>
      <c r="E621" s="109"/>
      <c r="F621" s="109"/>
      <c r="G621" s="110"/>
      <c r="H621" s="110"/>
      <c r="I621" s="110"/>
      <c r="J621" s="18"/>
    </row>
    <row r="622" spans="2:10" ht="15.75" customHeight="1">
      <c r="B622" s="106"/>
      <c r="C622" s="107"/>
      <c r="D622" s="108"/>
      <c r="E622" s="109"/>
      <c r="F622" s="109"/>
      <c r="G622" s="110"/>
      <c r="H622" s="110"/>
      <c r="I622" s="110"/>
      <c r="J622" s="18"/>
    </row>
    <row r="623" spans="2:10" ht="15.75" customHeight="1">
      <c r="B623" s="106"/>
      <c r="C623" s="107"/>
      <c r="D623" s="108"/>
      <c r="E623" s="109"/>
      <c r="F623" s="109"/>
      <c r="G623" s="110"/>
      <c r="H623" s="110"/>
      <c r="I623" s="110"/>
      <c r="J623" s="18"/>
    </row>
    <row r="624" spans="2:10" ht="15.75" customHeight="1">
      <c r="B624" s="106"/>
      <c r="C624" s="107"/>
      <c r="D624" s="108"/>
      <c r="E624" s="109"/>
      <c r="F624" s="109"/>
      <c r="G624" s="110"/>
      <c r="H624" s="110"/>
      <c r="I624" s="110"/>
      <c r="J624" s="18"/>
    </row>
    <row r="625" spans="2:10" ht="15.75" customHeight="1">
      <c r="B625" s="106"/>
      <c r="C625" s="107"/>
      <c r="D625" s="108"/>
      <c r="E625" s="109"/>
      <c r="F625" s="109"/>
      <c r="G625" s="110"/>
      <c r="H625" s="110"/>
      <c r="I625" s="110"/>
      <c r="J625" s="18"/>
    </row>
    <row r="626" spans="2:10" ht="15.75" customHeight="1">
      <c r="B626" s="106"/>
      <c r="C626" s="107"/>
      <c r="D626" s="108"/>
      <c r="E626" s="109"/>
      <c r="F626" s="109"/>
      <c r="G626" s="110"/>
      <c r="H626" s="110"/>
      <c r="I626" s="110"/>
      <c r="J626" s="18"/>
    </row>
    <row r="627" spans="2:10" ht="15.75" customHeight="1">
      <c r="B627" s="106"/>
      <c r="C627" s="107"/>
      <c r="D627" s="108"/>
      <c r="E627" s="109"/>
      <c r="F627" s="109"/>
      <c r="G627" s="110"/>
      <c r="H627" s="110"/>
      <c r="I627" s="110"/>
      <c r="J627" s="18"/>
    </row>
    <row r="628" spans="2:10" ht="15.75" customHeight="1">
      <c r="B628" s="106"/>
      <c r="C628" s="107"/>
      <c r="D628" s="108"/>
      <c r="E628" s="109"/>
      <c r="F628" s="109"/>
      <c r="G628" s="110"/>
      <c r="H628" s="110"/>
      <c r="I628" s="110"/>
      <c r="J628" s="18"/>
    </row>
    <row r="629" spans="2:10" ht="15.75" customHeight="1">
      <c r="B629" s="106"/>
      <c r="C629" s="107"/>
      <c r="D629" s="108"/>
      <c r="E629" s="109"/>
      <c r="F629" s="109"/>
      <c r="G629" s="110"/>
      <c r="H629" s="110"/>
      <c r="I629" s="110"/>
      <c r="J629" s="18"/>
    </row>
    <row r="630" spans="2:10" ht="15.75" customHeight="1">
      <c r="B630" s="106"/>
      <c r="C630" s="107"/>
      <c r="D630" s="108"/>
      <c r="E630" s="109"/>
      <c r="F630" s="109"/>
      <c r="G630" s="110"/>
      <c r="H630" s="110"/>
      <c r="I630" s="110"/>
      <c r="J630" s="18"/>
    </row>
    <row r="631" spans="2:10" ht="15.75" customHeight="1">
      <c r="B631" s="106"/>
      <c r="C631" s="107"/>
      <c r="D631" s="108"/>
      <c r="E631" s="109"/>
      <c r="F631" s="109"/>
      <c r="G631" s="110"/>
      <c r="H631" s="110"/>
      <c r="I631" s="110"/>
      <c r="J631" s="18"/>
    </row>
    <row r="632" spans="2:10" ht="15.75" customHeight="1">
      <c r="B632" s="106"/>
      <c r="C632" s="107"/>
      <c r="D632" s="108"/>
      <c r="E632" s="109"/>
      <c r="F632" s="109"/>
      <c r="G632" s="110"/>
      <c r="H632" s="110"/>
      <c r="I632" s="110"/>
      <c r="J632" s="18"/>
    </row>
    <row r="633" spans="2:10" ht="15.75" customHeight="1">
      <c r="B633" s="106"/>
      <c r="C633" s="107"/>
      <c r="D633" s="108"/>
      <c r="E633" s="109"/>
      <c r="F633" s="109"/>
      <c r="G633" s="110"/>
      <c r="H633" s="110"/>
      <c r="I633" s="110"/>
      <c r="J633" s="18"/>
    </row>
    <row r="634" spans="2:10" ht="15.75" customHeight="1">
      <c r="B634" s="106"/>
      <c r="C634" s="107"/>
      <c r="D634" s="108"/>
      <c r="E634" s="109"/>
      <c r="F634" s="109"/>
      <c r="G634" s="110"/>
      <c r="H634" s="110"/>
      <c r="I634" s="110"/>
      <c r="J634" s="18"/>
    </row>
    <row r="635" spans="2:10" ht="15.75" customHeight="1">
      <c r="B635" s="106"/>
      <c r="C635" s="107"/>
      <c r="D635" s="108"/>
      <c r="E635" s="109"/>
      <c r="F635" s="109"/>
      <c r="G635" s="110"/>
      <c r="H635" s="110"/>
      <c r="I635" s="110"/>
      <c r="J635" s="18"/>
    </row>
    <row r="636" spans="2:10" ht="15.75" customHeight="1">
      <c r="B636" s="106"/>
      <c r="C636" s="107"/>
      <c r="D636" s="108"/>
      <c r="E636" s="109"/>
      <c r="F636" s="109"/>
      <c r="G636" s="110"/>
      <c r="H636" s="110"/>
      <c r="I636" s="110"/>
      <c r="J636" s="18"/>
    </row>
    <row r="637" spans="2:10" ht="15.75" customHeight="1">
      <c r="B637" s="106"/>
      <c r="C637" s="107"/>
      <c r="D637" s="108"/>
      <c r="E637" s="109"/>
      <c r="F637" s="109"/>
      <c r="G637" s="110"/>
      <c r="H637" s="110"/>
      <c r="I637" s="110"/>
      <c r="J637" s="18"/>
    </row>
    <row r="638" spans="2:10" ht="15.75" customHeight="1">
      <c r="B638" s="106"/>
      <c r="C638" s="107"/>
      <c r="D638" s="108"/>
      <c r="E638" s="109"/>
      <c r="F638" s="109"/>
      <c r="G638" s="110"/>
      <c r="H638" s="110"/>
      <c r="I638" s="110"/>
      <c r="J638" s="18"/>
    </row>
    <row r="639" spans="2:10" ht="15.75" customHeight="1">
      <c r="B639" s="106"/>
      <c r="C639" s="107"/>
      <c r="D639" s="108"/>
      <c r="E639" s="109"/>
      <c r="F639" s="109"/>
      <c r="G639" s="110"/>
      <c r="H639" s="110"/>
      <c r="I639" s="110"/>
      <c r="J639" s="18"/>
    </row>
    <row r="640" spans="2:10" ht="15.75" customHeight="1">
      <c r="B640" s="106"/>
      <c r="C640" s="107"/>
      <c r="D640" s="108"/>
      <c r="E640" s="109"/>
      <c r="F640" s="109"/>
      <c r="G640" s="110"/>
      <c r="H640" s="110"/>
      <c r="I640" s="110"/>
      <c r="J640" s="18"/>
    </row>
    <row r="641" spans="2:10" ht="15.75" customHeight="1">
      <c r="B641" s="106"/>
      <c r="C641" s="107"/>
      <c r="D641" s="108"/>
      <c r="E641" s="109"/>
      <c r="F641" s="109"/>
      <c r="G641" s="110"/>
      <c r="H641" s="110"/>
      <c r="I641" s="110"/>
      <c r="J641" s="18"/>
    </row>
    <row r="642" spans="2:10" ht="15.75" customHeight="1">
      <c r="B642" s="106"/>
      <c r="C642" s="107"/>
      <c r="D642" s="108"/>
      <c r="E642" s="109"/>
      <c r="F642" s="109"/>
      <c r="G642" s="110"/>
      <c r="H642" s="110"/>
      <c r="I642" s="110"/>
      <c r="J642" s="18"/>
    </row>
    <row r="643" spans="2:10" ht="15.75" customHeight="1">
      <c r="B643" s="106"/>
      <c r="C643" s="107"/>
      <c r="D643" s="108"/>
      <c r="E643" s="109"/>
      <c r="F643" s="109"/>
      <c r="G643" s="110"/>
      <c r="H643" s="110"/>
      <c r="I643" s="110"/>
      <c r="J643" s="18"/>
    </row>
    <row r="644" spans="2:10" ht="15.75" customHeight="1">
      <c r="B644" s="106"/>
      <c r="C644" s="107"/>
      <c r="D644" s="108"/>
      <c r="E644" s="109"/>
      <c r="F644" s="109"/>
      <c r="G644" s="110"/>
      <c r="H644" s="110"/>
      <c r="I644" s="110"/>
      <c r="J644" s="18"/>
    </row>
    <row r="645" spans="2:10" ht="15.75" customHeight="1">
      <c r="B645" s="106"/>
      <c r="C645" s="107"/>
      <c r="D645" s="108"/>
      <c r="E645" s="109"/>
      <c r="F645" s="109"/>
      <c r="G645" s="110"/>
      <c r="H645" s="110"/>
      <c r="I645" s="110"/>
      <c r="J645" s="18"/>
    </row>
    <row r="646" spans="2:10" ht="15.75" customHeight="1">
      <c r="B646" s="106"/>
      <c r="C646" s="107"/>
      <c r="D646" s="108"/>
      <c r="E646" s="109"/>
      <c r="F646" s="109"/>
      <c r="G646" s="110"/>
      <c r="H646" s="110"/>
      <c r="I646" s="110"/>
      <c r="J646" s="18"/>
    </row>
    <row r="647" spans="2:10" ht="15.75" customHeight="1">
      <c r="B647" s="106"/>
      <c r="C647" s="107"/>
      <c r="D647" s="108"/>
      <c r="E647" s="109"/>
      <c r="F647" s="109"/>
      <c r="G647" s="110"/>
      <c r="H647" s="110"/>
      <c r="I647" s="110"/>
      <c r="J647" s="18"/>
    </row>
    <row r="648" spans="2:10" ht="15.75" customHeight="1">
      <c r="B648" s="106"/>
      <c r="C648" s="107"/>
      <c r="D648" s="108"/>
      <c r="E648" s="109"/>
      <c r="F648" s="109"/>
      <c r="G648" s="110"/>
      <c r="H648" s="110"/>
      <c r="I648" s="110"/>
      <c r="J648" s="18"/>
    </row>
    <row r="649" spans="2:10" ht="15.75" customHeight="1">
      <c r="B649" s="106"/>
      <c r="C649" s="107"/>
      <c r="D649" s="108"/>
      <c r="E649" s="109"/>
      <c r="F649" s="109"/>
      <c r="G649" s="110"/>
      <c r="H649" s="110"/>
      <c r="I649" s="110"/>
      <c r="J649" s="18"/>
    </row>
    <row r="650" spans="2:10" ht="15.75" customHeight="1">
      <c r="B650" s="106"/>
      <c r="C650" s="107"/>
      <c r="D650" s="108"/>
      <c r="E650" s="109"/>
      <c r="F650" s="109"/>
      <c r="G650" s="110"/>
      <c r="H650" s="110"/>
      <c r="I650" s="110"/>
      <c r="J650" s="18"/>
    </row>
    <row r="651" spans="2:10" ht="15.75" customHeight="1">
      <c r="B651" s="106"/>
      <c r="C651" s="107"/>
      <c r="D651" s="108"/>
      <c r="E651" s="109"/>
      <c r="F651" s="109"/>
      <c r="G651" s="110"/>
      <c r="H651" s="110"/>
      <c r="I651" s="110"/>
      <c r="J651" s="18"/>
    </row>
    <row r="652" spans="2:10" ht="15.75" customHeight="1">
      <c r="B652" s="106"/>
      <c r="C652" s="107"/>
      <c r="D652" s="108"/>
      <c r="E652" s="109"/>
      <c r="F652" s="109"/>
      <c r="G652" s="110"/>
      <c r="H652" s="110"/>
      <c r="I652" s="110"/>
      <c r="J652" s="18"/>
    </row>
    <row r="653" spans="2:10" ht="15.75" customHeight="1">
      <c r="B653" s="106"/>
      <c r="C653" s="107"/>
      <c r="D653" s="108"/>
      <c r="E653" s="109"/>
      <c r="F653" s="109"/>
      <c r="G653" s="110"/>
      <c r="H653" s="110"/>
      <c r="I653" s="110"/>
      <c r="J653" s="18"/>
    </row>
    <row r="654" spans="2:10" ht="15.75" customHeight="1">
      <c r="B654" s="106"/>
      <c r="C654" s="107"/>
      <c r="D654" s="108"/>
      <c r="E654" s="109"/>
      <c r="F654" s="109"/>
      <c r="G654" s="110"/>
      <c r="H654" s="110"/>
      <c r="I654" s="110"/>
      <c r="J654" s="18"/>
    </row>
    <row r="655" spans="2:10" ht="15.75" customHeight="1">
      <c r="B655" s="106"/>
      <c r="C655" s="107"/>
      <c r="D655" s="108"/>
      <c r="E655" s="109"/>
      <c r="F655" s="109"/>
      <c r="G655" s="110"/>
      <c r="H655" s="110"/>
      <c r="I655" s="110"/>
      <c r="J655" s="18"/>
    </row>
    <row r="656" spans="2:10" ht="15.75" customHeight="1">
      <c r="B656" s="106"/>
      <c r="C656" s="107"/>
      <c r="D656" s="108"/>
      <c r="E656" s="109"/>
      <c r="F656" s="109"/>
      <c r="G656" s="110"/>
      <c r="H656" s="110"/>
      <c r="I656" s="110"/>
      <c r="J656" s="18"/>
    </row>
    <row r="657" spans="2:10" ht="15.75" customHeight="1">
      <c r="B657" s="106"/>
      <c r="C657" s="107"/>
      <c r="D657" s="108"/>
      <c r="E657" s="109"/>
      <c r="F657" s="109"/>
      <c r="G657" s="110"/>
      <c r="H657" s="110"/>
      <c r="I657" s="110"/>
      <c r="J657" s="18"/>
    </row>
    <row r="658" spans="2:10" ht="15.75" customHeight="1">
      <c r="B658" s="106"/>
      <c r="C658" s="107"/>
      <c r="D658" s="108"/>
      <c r="E658" s="109"/>
      <c r="F658" s="109"/>
      <c r="G658" s="110"/>
      <c r="H658" s="110"/>
      <c r="I658" s="110"/>
      <c r="J658" s="18"/>
    </row>
    <row r="659" spans="2:10" ht="15.75" customHeight="1">
      <c r="B659" s="106"/>
      <c r="C659" s="107"/>
      <c r="D659" s="108"/>
      <c r="E659" s="109"/>
      <c r="F659" s="109"/>
      <c r="G659" s="110"/>
      <c r="H659" s="110"/>
      <c r="I659" s="110"/>
      <c r="J659" s="18"/>
    </row>
    <row r="660" spans="2:10" ht="15.75" customHeight="1">
      <c r="B660" s="106"/>
      <c r="C660" s="107"/>
      <c r="D660" s="108"/>
      <c r="E660" s="109"/>
      <c r="F660" s="109"/>
      <c r="G660" s="110"/>
      <c r="H660" s="110"/>
      <c r="I660" s="110"/>
      <c r="J660" s="18"/>
    </row>
    <row r="661" spans="2:10" ht="15.75" customHeight="1">
      <c r="B661" s="106"/>
      <c r="C661" s="107"/>
      <c r="D661" s="108"/>
      <c r="E661" s="109"/>
      <c r="F661" s="109"/>
      <c r="G661" s="110"/>
      <c r="H661" s="110"/>
      <c r="I661" s="110"/>
      <c r="J661" s="18"/>
    </row>
    <row r="662" spans="2:10" ht="15.75" customHeight="1">
      <c r="B662" s="106"/>
      <c r="C662" s="107"/>
      <c r="D662" s="108"/>
      <c r="E662" s="109"/>
      <c r="F662" s="109"/>
      <c r="G662" s="110"/>
      <c r="H662" s="110"/>
      <c r="I662" s="110"/>
      <c r="J662" s="18"/>
    </row>
    <row r="663" spans="2:10" ht="15.75" customHeight="1">
      <c r="B663" s="106"/>
      <c r="C663" s="107"/>
      <c r="D663" s="108"/>
      <c r="E663" s="109"/>
      <c r="F663" s="109"/>
      <c r="G663" s="110"/>
      <c r="H663" s="110"/>
      <c r="I663" s="110"/>
      <c r="J663" s="18"/>
    </row>
    <row r="664" spans="2:10" ht="15.75" customHeight="1">
      <c r="B664" s="106"/>
      <c r="C664" s="107"/>
      <c r="D664" s="108"/>
      <c r="E664" s="109"/>
      <c r="F664" s="109"/>
      <c r="G664" s="110"/>
      <c r="H664" s="110"/>
      <c r="I664" s="110"/>
      <c r="J664" s="18"/>
    </row>
    <row r="665" spans="2:10" ht="15.75" customHeight="1">
      <c r="B665" s="106"/>
      <c r="C665" s="107"/>
      <c r="D665" s="108"/>
      <c r="E665" s="109"/>
      <c r="F665" s="109"/>
      <c r="G665" s="110"/>
      <c r="H665" s="110"/>
      <c r="I665" s="110"/>
      <c r="J665" s="18"/>
    </row>
    <row r="666" spans="2:10" ht="15.75" customHeight="1">
      <c r="B666" s="106"/>
      <c r="C666" s="107"/>
      <c r="D666" s="108"/>
      <c r="E666" s="109"/>
      <c r="F666" s="109"/>
      <c r="G666" s="110"/>
      <c r="H666" s="110"/>
      <c r="I666" s="110"/>
      <c r="J666" s="18"/>
    </row>
    <row r="667" spans="2:10" ht="15.75" customHeight="1">
      <c r="B667" s="106"/>
      <c r="C667" s="107"/>
      <c r="D667" s="108"/>
      <c r="E667" s="109"/>
      <c r="F667" s="109"/>
      <c r="G667" s="110"/>
      <c r="H667" s="110"/>
      <c r="I667" s="110"/>
      <c r="J667" s="18"/>
    </row>
    <row r="668" spans="2:10" ht="15.75" customHeight="1">
      <c r="B668" s="106"/>
      <c r="C668" s="107"/>
      <c r="D668" s="108"/>
      <c r="E668" s="109"/>
      <c r="F668" s="109"/>
      <c r="G668" s="110"/>
      <c r="H668" s="110"/>
      <c r="I668" s="110"/>
      <c r="J668" s="18"/>
    </row>
    <row r="669" spans="2:10" ht="15.75" customHeight="1">
      <c r="B669" s="106"/>
      <c r="C669" s="107"/>
      <c r="D669" s="108"/>
      <c r="E669" s="109"/>
      <c r="F669" s="109"/>
      <c r="G669" s="110"/>
      <c r="H669" s="110"/>
      <c r="I669" s="110"/>
      <c r="J669" s="18"/>
    </row>
    <row r="670" spans="2:10" ht="15.75" customHeight="1">
      <c r="B670" s="106"/>
      <c r="C670" s="107"/>
      <c r="D670" s="108"/>
      <c r="E670" s="109"/>
      <c r="F670" s="109"/>
      <c r="G670" s="110"/>
      <c r="H670" s="110"/>
      <c r="I670" s="110"/>
      <c r="J670" s="18"/>
    </row>
    <row r="671" spans="2:10" ht="15.75" customHeight="1">
      <c r="B671" s="106"/>
      <c r="C671" s="107"/>
      <c r="D671" s="108"/>
      <c r="E671" s="109"/>
      <c r="F671" s="109"/>
      <c r="G671" s="110"/>
      <c r="H671" s="110"/>
      <c r="I671" s="110"/>
      <c r="J671" s="18"/>
    </row>
    <row r="672" spans="2:10" ht="15.75" customHeight="1">
      <c r="B672" s="106"/>
      <c r="C672" s="107"/>
      <c r="D672" s="108"/>
      <c r="E672" s="109"/>
      <c r="F672" s="109"/>
      <c r="G672" s="110"/>
      <c r="H672" s="110"/>
      <c r="I672" s="110"/>
      <c r="J672" s="18"/>
    </row>
    <row r="673" spans="2:10" ht="15.75" customHeight="1">
      <c r="B673" s="106"/>
      <c r="C673" s="107"/>
      <c r="D673" s="108"/>
      <c r="E673" s="109"/>
      <c r="F673" s="109"/>
      <c r="G673" s="110"/>
      <c r="H673" s="110"/>
      <c r="I673" s="110"/>
      <c r="J673" s="18"/>
    </row>
    <row r="674" spans="2:10" ht="15.75" customHeight="1">
      <c r="B674" s="106"/>
      <c r="C674" s="107"/>
      <c r="D674" s="108"/>
      <c r="E674" s="109"/>
      <c r="F674" s="109"/>
      <c r="G674" s="110"/>
      <c r="H674" s="110"/>
      <c r="I674" s="110"/>
      <c r="J674" s="18"/>
    </row>
    <row r="675" spans="2:10" ht="15.75" customHeight="1">
      <c r="B675" s="106"/>
      <c r="C675" s="107"/>
      <c r="D675" s="108"/>
      <c r="E675" s="109"/>
      <c r="F675" s="109"/>
      <c r="G675" s="110"/>
      <c r="H675" s="110"/>
      <c r="I675" s="110"/>
      <c r="J675" s="18"/>
    </row>
    <row r="676" spans="2:10" ht="15.75" customHeight="1">
      <c r="B676" s="106"/>
      <c r="C676" s="107"/>
      <c r="D676" s="108"/>
      <c r="E676" s="109"/>
      <c r="F676" s="109"/>
      <c r="G676" s="110"/>
      <c r="H676" s="110"/>
      <c r="I676" s="110"/>
      <c r="J676" s="18"/>
    </row>
    <row r="677" spans="2:10" ht="15.75" customHeight="1">
      <c r="B677" s="106"/>
      <c r="C677" s="107"/>
      <c r="D677" s="108"/>
      <c r="E677" s="109"/>
      <c r="F677" s="109"/>
      <c r="G677" s="110"/>
      <c r="H677" s="110"/>
      <c r="I677" s="110"/>
      <c r="J677" s="18"/>
    </row>
    <row r="678" spans="2:10" ht="15.75" customHeight="1">
      <c r="B678" s="106"/>
      <c r="C678" s="107"/>
      <c r="D678" s="108"/>
      <c r="E678" s="109"/>
      <c r="F678" s="109"/>
      <c r="G678" s="110"/>
      <c r="H678" s="110"/>
      <c r="I678" s="110"/>
      <c r="J678" s="18"/>
    </row>
    <row r="679" spans="2:10" ht="15.75" customHeight="1">
      <c r="B679" s="106"/>
      <c r="C679" s="107"/>
      <c r="D679" s="108"/>
      <c r="E679" s="109"/>
      <c r="F679" s="109"/>
      <c r="G679" s="110"/>
      <c r="H679" s="110"/>
      <c r="I679" s="110"/>
      <c r="J679" s="18"/>
    </row>
    <row r="680" spans="2:10" ht="15.75" customHeight="1">
      <c r="B680" s="106"/>
      <c r="C680" s="107"/>
      <c r="D680" s="108"/>
      <c r="E680" s="109"/>
      <c r="F680" s="109"/>
      <c r="G680" s="110"/>
      <c r="H680" s="110"/>
      <c r="I680" s="110"/>
      <c r="J680" s="18"/>
    </row>
    <row r="681" spans="2:10" ht="15.75" customHeight="1">
      <c r="B681" s="106"/>
      <c r="C681" s="107"/>
      <c r="D681" s="108"/>
      <c r="E681" s="109"/>
      <c r="F681" s="109"/>
      <c r="G681" s="110"/>
      <c r="H681" s="110"/>
      <c r="I681" s="110"/>
      <c r="J681" s="18"/>
    </row>
    <row r="682" spans="2:10" ht="15.75" customHeight="1">
      <c r="B682" s="106"/>
      <c r="C682" s="107"/>
      <c r="D682" s="108"/>
      <c r="E682" s="109"/>
      <c r="F682" s="109"/>
      <c r="G682" s="110"/>
      <c r="H682" s="110"/>
      <c r="I682" s="110"/>
      <c r="J682" s="18"/>
    </row>
    <row r="683" spans="2:10" ht="15.75" customHeight="1">
      <c r="B683" s="106"/>
      <c r="C683" s="107"/>
      <c r="D683" s="108"/>
      <c r="E683" s="109"/>
      <c r="F683" s="109"/>
      <c r="G683" s="110"/>
      <c r="H683" s="110"/>
      <c r="I683" s="110"/>
      <c r="J683" s="18"/>
    </row>
    <row r="684" spans="2:10" ht="15.75" customHeight="1">
      <c r="B684" s="106"/>
      <c r="C684" s="107"/>
      <c r="D684" s="108"/>
      <c r="E684" s="109"/>
      <c r="F684" s="109"/>
      <c r="G684" s="110"/>
      <c r="H684" s="110"/>
      <c r="I684" s="110"/>
      <c r="J684" s="18"/>
    </row>
    <row r="685" spans="2:10" ht="15.75" customHeight="1">
      <c r="B685" s="106"/>
      <c r="C685" s="107"/>
      <c r="D685" s="108"/>
      <c r="E685" s="109"/>
      <c r="F685" s="109"/>
      <c r="G685" s="110"/>
      <c r="H685" s="110"/>
      <c r="I685" s="110"/>
      <c r="J685" s="18"/>
    </row>
    <row r="686" spans="2:10" ht="15.75" customHeight="1">
      <c r="B686" s="106"/>
      <c r="C686" s="107"/>
      <c r="D686" s="108"/>
      <c r="E686" s="109"/>
      <c r="F686" s="109"/>
      <c r="G686" s="110"/>
      <c r="H686" s="110"/>
      <c r="I686" s="110"/>
      <c r="J686" s="18"/>
    </row>
    <row r="687" spans="2:10" ht="15.75" customHeight="1">
      <c r="B687" s="106"/>
      <c r="C687" s="107"/>
      <c r="D687" s="108"/>
      <c r="E687" s="109"/>
      <c r="F687" s="109"/>
      <c r="G687" s="110"/>
      <c r="H687" s="110"/>
      <c r="I687" s="110"/>
      <c r="J687" s="18"/>
    </row>
    <row r="688" spans="2:10" ht="15.75" customHeight="1">
      <c r="B688" s="106"/>
      <c r="C688" s="107"/>
      <c r="D688" s="108"/>
      <c r="E688" s="109"/>
      <c r="F688" s="109"/>
      <c r="G688" s="110"/>
      <c r="H688" s="110"/>
      <c r="I688" s="110"/>
      <c r="J688" s="18"/>
    </row>
    <row r="689" spans="2:10" ht="15.75" customHeight="1">
      <c r="B689" s="106"/>
      <c r="C689" s="107"/>
      <c r="D689" s="108"/>
      <c r="E689" s="109"/>
      <c r="F689" s="109"/>
      <c r="G689" s="110"/>
      <c r="H689" s="110"/>
      <c r="I689" s="110"/>
      <c r="J689" s="18"/>
    </row>
    <row r="690" spans="2:10" ht="15.75" customHeight="1">
      <c r="B690" s="106"/>
      <c r="C690" s="107"/>
      <c r="D690" s="108"/>
      <c r="E690" s="109"/>
      <c r="F690" s="109"/>
      <c r="G690" s="110"/>
      <c r="H690" s="110"/>
      <c r="I690" s="110"/>
      <c r="J690" s="18"/>
    </row>
    <row r="691" spans="2:10" ht="15.75" customHeight="1">
      <c r="B691" s="106"/>
      <c r="C691" s="107"/>
      <c r="D691" s="108"/>
      <c r="E691" s="109"/>
      <c r="F691" s="109"/>
      <c r="G691" s="110"/>
      <c r="H691" s="110"/>
      <c r="I691" s="110"/>
      <c r="J691" s="18"/>
    </row>
    <row r="692" spans="2:10" ht="15.75" customHeight="1">
      <c r="B692" s="106"/>
      <c r="C692" s="107"/>
      <c r="D692" s="108"/>
      <c r="E692" s="109"/>
      <c r="F692" s="109"/>
      <c r="G692" s="110"/>
      <c r="H692" s="110"/>
      <c r="I692" s="110"/>
      <c r="J692" s="18"/>
    </row>
    <row r="693" spans="2:10" ht="15.75" customHeight="1">
      <c r="B693" s="106"/>
      <c r="C693" s="107"/>
      <c r="D693" s="108"/>
      <c r="E693" s="109"/>
      <c r="F693" s="109"/>
      <c r="G693" s="110"/>
      <c r="H693" s="110"/>
      <c r="I693" s="110"/>
      <c r="J693" s="18"/>
    </row>
    <row r="694" spans="2:10" ht="15.75" customHeight="1">
      <c r="B694" s="106"/>
      <c r="C694" s="107"/>
      <c r="D694" s="108"/>
      <c r="E694" s="109"/>
      <c r="F694" s="109"/>
      <c r="G694" s="110"/>
      <c r="H694" s="110"/>
      <c r="I694" s="110"/>
      <c r="J694" s="18"/>
    </row>
    <row r="695" spans="2:10" ht="15.75" customHeight="1">
      <c r="B695" s="106"/>
      <c r="C695" s="107"/>
      <c r="D695" s="108"/>
      <c r="E695" s="109"/>
      <c r="F695" s="109"/>
      <c r="G695" s="110"/>
      <c r="H695" s="110"/>
      <c r="I695" s="110"/>
      <c r="J695" s="18"/>
    </row>
    <row r="696" spans="2:10" ht="15.75" customHeight="1">
      <c r="B696" s="106"/>
      <c r="C696" s="107"/>
      <c r="D696" s="108"/>
      <c r="E696" s="109"/>
      <c r="F696" s="109"/>
      <c r="G696" s="110"/>
      <c r="H696" s="110"/>
      <c r="I696" s="110"/>
      <c r="J696" s="18"/>
    </row>
    <row r="697" spans="2:10" ht="15.75" customHeight="1">
      <c r="B697" s="106"/>
      <c r="C697" s="107"/>
      <c r="D697" s="108"/>
      <c r="E697" s="109"/>
      <c r="F697" s="109"/>
      <c r="G697" s="110"/>
      <c r="H697" s="110"/>
      <c r="I697" s="110"/>
      <c r="J697" s="18"/>
    </row>
    <row r="698" spans="2:10" ht="15.75" customHeight="1">
      <c r="B698" s="106"/>
      <c r="C698" s="107"/>
      <c r="D698" s="108"/>
      <c r="E698" s="109"/>
      <c r="F698" s="109"/>
      <c r="G698" s="110"/>
      <c r="H698" s="110"/>
      <c r="I698" s="110"/>
      <c r="J698" s="18"/>
    </row>
    <row r="699" spans="2:10" ht="15.75" customHeight="1">
      <c r="B699" s="106"/>
      <c r="C699" s="107"/>
      <c r="D699" s="108"/>
      <c r="E699" s="109"/>
      <c r="F699" s="109"/>
      <c r="G699" s="110"/>
      <c r="H699" s="110"/>
      <c r="I699" s="110"/>
      <c r="J699" s="18"/>
    </row>
    <row r="700" spans="2:10" ht="15.75" customHeight="1">
      <c r="B700" s="106"/>
      <c r="C700" s="107"/>
      <c r="D700" s="108"/>
      <c r="E700" s="109"/>
      <c r="F700" s="109"/>
      <c r="G700" s="110"/>
      <c r="H700" s="110"/>
      <c r="I700" s="110"/>
      <c r="J700" s="18"/>
    </row>
    <row r="701" spans="2:10" ht="15.75" customHeight="1">
      <c r="B701" s="106"/>
      <c r="C701" s="107"/>
      <c r="D701" s="108"/>
      <c r="E701" s="109"/>
      <c r="F701" s="109"/>
      <c r="G701" s="110"/>
      <c r="H701" s="110"/>
      <c r="I701" s="110"/>
      <c r="J701" s="18"/>
    </row>
    <row r="702" spans="2:10" ht="15.75" customHeight="1">
      <c r="B702" s="106"/>
      <c r="C702" s="107"/>
      <c r="D702" s="108"/>
      <c r="E702" s="109"/>
      <c r="F702" s="109"/>
      <c r="G702" s="110"/>
      <c r="H702" s="110"/>
      <c r="I702" s="110"/>
      <c r="J702" s="18"/>
    </row>
    <row r="703" spans="2:10" ht="15.75" customHeight="1">
      <c r="B703" s="106"/>
      <c r="C703" s="107"/>
      <c r="D703" s="108"/>
      <c r="E703" s="109"/>
      <c r="F703" s="109"/>
      <c r="G703" s="110"/>
      <c r="H703" s="110"/>
      <c r="I703" s="110"/>
      <c r="J703" s="18"/>
    </row>
    <row r="704" spans="2:10" ht="15.75" customHeight="1">
      <c r="B704" s="106"/>
      <c r="C704" s="107"/>
      <c r="D704" s="108"/>
      <c r="E704" s="109"/>
      <c r="F704" s="109"/>
      <c r="G704" s="110"/>
      <c r="H704" s="110"/>
      <c r="I704" s="110"/>
      <c r="J704" s="18"/>
    </row>
    <row r="705" spans="2:10" ht="15.75" customHeight="1">
      <c r="B705" s="106"/>
      <c r="C705" s="107"/>
      <c r="D705" s="108"/>
      <c r="E705" s="109"/>
      <c r="F705" s="109"/>
      <c r="G705" s="110"/>
      <c r="H705" s="110"/>
      <c r="I705" s="110"/>
      <c r="J705" s="18"/>
    </row>
    <row r="706" spans="2:10" ht="15.75" customHeight="1">
      <c r="B706" s="106"/>
      <c r="C706" s="107"/>
      <c r="D706" s="108"/>
      <c r="E706" s="109"/>
      <c r="F706" s="109"/>
      <c r="G706" s="110"/>
      <c r="H706" s="110"/>
      <c r="I706" s="110"/>
      <c r="J706" s="18"/>
    </row>
    <row r="707" spans="2:10" ht="15.75" customHeight="1">
      <c r="B707" s="106"/>
      <c r="C707" s="107"/>
      <c r="D707" s="108"/>
      <c r="E707" s="109"/>
      <c r="F707" s="109"/>
      <c r="G707" s="110"/>
      <c r="H707" s="110"/>
      <c r="I707" s="110"/>
      <c r="J707" s="18"/>
    </row>
    <row r="708" spans="2:10" ht="15.75" customHeight="1">
      <c r="B708" s="106"/>
      <c r="C708" s="107"/>
      <c r="D708" s="108"/>
      <c r="E708" s="109"/>
      <c r="F708" s="109"/>
      <c r="G708" s="110"/>
      <c r="H708" s="110"/>
      <c r="I708" s="110"/>
      <c r="J708" s="18"/>
    </row>
    <row r="709" spans="2:10" ht="15.75" customHeight="1">
      <c r="B709" s="106"/>
      <c r="C709" s="107"/>
      <c r="D709" s="108"/>
      <c r="E709" s="109"/>
      <c r="F709" s="109"/>
      <c r="G709" s="110"/>
      <c r="H709" s="110"/>
      <c r="I709" s="110"/>
      <c r="J709" s="18"/>
    </row>
    <row r="710" spans="2:10" ht="15.75" customHeight="1">
      <c r="B710" s="106"/>
      <c r="C710" s="107"/>
      <c r="D710" s="108"/>
      <c r="E710" s="109"/>
      <c r="F710" s="109"/>
      <c r="G710" s="110"/>
      <c r="H710" s="110"/>
      <c r="I710" s="110"/>
      <c r="J710" s="18"/>
    </row>
    <row r="711" spans="2:10" ht="15.75" customHeight="1">
      <c r="B711" s="106"/>
      <c r="C711" s="107"/>
      <c r="D711" s="108"/>
      <c r="E711" s="109"/>
      <c r="F711" s="109"/>
      <c r="G711" s="110"/>
      <c r="H711" s="110"/>
      <c r="I711" s="110"/>
      <c r="J711" s="18"/>
    </row>
    <row r="712" spans="2:10" ht="15.75" customHeight="1">
      <c r="B712" s="106"/>
      <c r="C712" s="107"/>
      <c r="D712" s="108"/>
      <c r="E712" s="109"/>
      <c r="F712" s="109"/>
      <c r="G712" s="110"/>
      <c r="H712" s="110"/>
      <c r="I712" s="110"/>
      <c r="J712" s="18"/>
    </row>
    <row r="713" spans="2:10" ht="15.75" customHeight="1">
      <c r="B713" s="106"/>
      <c r="C713" s="107"/>
      <c r="D713" s="108"/>
      <c r="E713" s="109"/>
      <c r="F713" s="109"/>
      <c r="G713" s="110"/>
      <c r="H713" s="110"/>
      <c r="I713" s="110"/>
      <c r="J713" s="18"/>
    </row>
    <row r="714" spans="2:10" ht="15.75" customHeight="1">
      <c r="B714" s="106"/>
      <c r="C714" s="107"/>
      <c r="D714" s="108"/>
      <c r="E714" s="109"/>
      <c r="F714" s="109"/>
      <c r="G714" s="110"/>
      <c r="H714" s="110"/>
      <c r="I714" s="110"/>
      <c r="J714" s="18"/>
    </row>
    <row r="715" spans="2:10" ht="15.75" customHeight="1">
      <c r="B715" s="106"/>
      <c r="C715" s="107"/>
      <c r="D715" s="108"/>
      <c r="E715" s="109"/>
      <c r="F715" s="109"/>
      <c r="G715" s="110"/>
      <c r="H715" s="110"/>
      <c r="I715" s="110"/>
      <c r="J715" s="18"/>
    </row>
    <row r="716" spans="2:10" ht="15.75" customHeight="1">
      <c r="B716" s="106"/>
      <c r="C716" s="107"/>
      <c r="D716" s="108"/>
      <c r="E716" s="109"/>
      <c r="F716" s="109"/>
      <c r="G716" s="110"/>
      <c r="H716" s="110"/>
      <c r="I716" s="110"/>
      <c r="J716" s="18"/>
    </row>
    <row r="717" spans="2:10" ht="15.75" customHeight="1">
      <c r="B717" s="106"/>
      <c r="C717" s="107"/>
      <c r="D717" s="108"/>
      <c r="E717" s="109"/>
      <c r="F717" s="109"/>
      <c r="G717" s="110"/>
      <c r="H717" s="110"/>
      <c r="I717" s="110"/>
      <c r="J717" s="18"/>
    </row>
    <row r="718" spans="2:10" ht="15.75" customHeight="1">
      <c r="B718" s="106"/>
      <c r="C718" s="107"/>
      <c r="D718" s="108"/>
      <c r="E718" s="109"/>
      <c r="F718" s="109"/>
      <c r="G718" s="110"/>
      <c r="H718" s="110"/>
      <c r="I718" s="110"/>
      <c r="J718" s="18"/>
    </row>
    <row r="719" spans="2:10" ht="15.75" customHeight="1">
      <c r="B719" s="106"/>
      <c r="C719" s="107"/>
      <c r="D719" s="108"/>
      <c r="E719" s="109"/>
      <c r="F719" s="109"/>
      <c r="G719" s="110"/>
      <c r="H719" s="110"/>
      <c r="I719" s="110"/>
      <c r="J719" s="18"/>
    </row>
    <row r="720" spans="2:10" ht="15.75" customHeight="1">
      <c r="B720" s="106"/>
      <c r="C720" s="107"/>
      <c r="D720" s="108"/>
      <c r="E720" s="109"/>
      <c r="F720" s="109"/>
      <c r="G720" s="110"/>
      <c r="H720" s="110"/>
      <c r="I720" s="110"/>
      <c r="J720" s="18"/>
    </row>
    <row r="721" spans="2:10" ht="15.75" customHeight="1">
      <c r="B721" s="106"/>
      <c r="C721" s="107"/>
      <c r="D721" s="108"/>
      <c r="E721" s="109"/>
      <c r="F721" s="109"/>
      <c r="G721" s="110"/>
      <c r="H721" s="110"/>
      <c r="I721" s="110"/>
      <c r="J721" s="18"/>
    </row>
    <row r="722" spans="2:10" ht="15.75" customHeight="1">
      <c r="B722" s="106"/>
      <c r="C722" s="107"/>
      <c r="D722" s="108"/>
      <c r="E722" s="109"/>
      <c r="F722" s="109"/>
      <c r="G722" s="110"/>
      <c r="H722" s="110"/>
      <c r="I722" s="110"/>
      <c r="J722" s="18"/>
    </row>
    <row r="723" spans="2:10" ht="15.75" customHeight="1">
      <c r="B723" s="106"/>
      <c r="C723" s="107"/>
      <c r="D723" s="108"/>
      <c r="E723" s="109"/>
      <c r="F723" s="109"/>
      <c r="G723" s="110"/>
      <c r="H723" s="110"/>
      <c r="I723" s="110"/>
      <c r="J723" s="18"/>
    </row>
    <row r="724" spans="2:10" ht="15.75" customHeight="1">
      <c r="B724" s="106"/>
      <c r="C724" s="107"/>
      <c r="D724" s="108"/>
      <c r="E724" s="109"/>
      <c r="F724" s="109"/>
      <c r="G724" s="110"/>
      <c r="H724" s="110"/>
      <c r="I724" s="110"/>
      <c r="J724" s="18"/>
    </row>
    <row r="725" spans="2:10" ht="15.75" customHeight="1">
      <c r="B725" s="106"/>
      <c r="C725" s="107"/>
      <c r="D725" s="108"/>
      <c r="E725" s="109"/>
      <c r="F725" s="109"/>
      <c r="G725" s="110"/>
      <c r="H725" s="110"/>
      <c r="I725" s="110"/>
      <c r="J725" s="18"/>
    </row>
    <row r="726" spans="2:10" ht="15.75" customHeight="1">
      <c r="B726" s="106"/>
      <c r="C726" s="107"/>
      <c r="D726" s="108"/>
      <c r="E726" s="109"/>
      <c r="F726" s="109"/>
      <c r="G726" s="110"/>
      <c r="H726" s="110"/>
      <c r="I726" s="110"/>
      <c r="J726" s="18"/>
    </row>
    <row r="727" spans="2:10" ht="15.75" customHeight="1">
      <c r="B727" s="106"/>
      <c r="C727" s="107"/>
      <c r="D727" s="108"/>
      <c r="E727" s="109"/>
      <c r="F727" s="109"/>
      <c r="G727" s="110"/>
      <c r="H727" s="110"/>
      <c r="I727" s="110"/>
      <c r="J727" s="18"/>
    </row>
    <row r="728" spans="2:10" ht="15.75" customHeight="1">
      <c r="B728" s="106"/>
      <c r="C728" s="107"/>
      <c r="D728" s="108"/>
      <c r="E728" s="109"/>
      <c r="F728" s="109"/>
      <c r="G728" s="110"/>
      <c r="H728" s="110"/>
      <c r="I728" s="110"/>
      <c r="J728" s="18"/>
    </row>
    <row r="729" spans="2:10" ht="15.75" customHeight="1">
      <c r="B729" s="106"/>
      <c r="C729" s="107"/>
      <c r="D729" s="108"/>
      <c r="E729" s="109"/>
      <c r="F729" s="109"/>
      <c r="G729" s="110"/>
      <c r="H729" s="110"/>
      <c r="I729" s="110"/>
      <c r="J729" s="18"/>
    </row>
    <row r="730" spans="2:10" ht="15.75" customHeight="1">
      <c r="B730" s="106"/>
      <c r="C730" s="107"/>
      <c r="D730" s="108"/>
      <c r="E730" s="109"/>
      <c r="F730" s="109"/>
      <c r="G730" s="110"/>
      <c r="H730" s="110"/>
      <c r="I730" s="110"/>
      <c r="J730" s="18"/>
    </row>
    <row r="731" spans="2:10" ht="15.75" customHeight="1">
      <c r="B731" s="106"/>
      <c r="C731" s="107"/>
      <c r="D731" s="108"/>
      <c r="E731" s="109"/>
      <c r="F731" s="109"/>
      <c r="G731" s="110"/>
      <c r="H731" s="110"/>
      <c r="I731" s="110"/>
      <c r="J731" s="18"/>
    </row>
    <row r="732" spans="2:10" ht="15.75" customHeight="1">
      <c r="B732" s="106"/>
      <c r="C732" s="107"/>
      <c r="D732" s="108"/>
      <c r="E732" s="109"/>
      <c r="F732" s="109"/>
      <c r="G732" s="110"/>
      <c r="H732" s="110"/>
      <c r="I732" s="110"/>
      <c r="J732" s="18"/>
    </row>
    <row r="733" spans="2:10" ht="15.75" customHeight="1">
      <c r="B733" s="106"/>
      <c r="C733" s="107"/>
      <c r="D733" s="108"/>
      <c r="E733" s="109"/>
      <c r="F733" s="109"/>
      <c r="G733" s="110"/>
      <c r="H733" s="110"/>
      <c r="I733" s="110"/>
      <c r="J733" s="18"/>
    </row>
    <row r="734" spans="2:10" ht="15.75" customHeight="1">
      <c r="B734" s="106"/>
      <c r="C734" s="107"/>
      <c r="D734" s="108"/>
      <c r="E734" s="109"/>
      <c r="F734" s="109"/>
      <c r="G734" s="110"/>
      <c r="H734" s="110"/>
      <c r="I734" s="110"/>
      <c r="J734" s="18"/>
    </row>
    <row r="735" spans="2:10" ht="15.75" customHeight="1">
      <c r="B735" s="106"/>
      <c r="C735" s="107"/>
      <c r="D735" s="108"/>
      <c r="E735" s="109"/>
      <c r="F735" s="109"/>
      <c r="G735" s="110"/>
      <c r="H735" s="110"/>
      <c r="I735" s="110"/>
      <c r="J735" s="18"/>
    </row>
    <row r="736" spans="2:10" ht="15.75" customHeight="1">
      <c r="B736" s="106"/>
      <c r="C736" s="107"/>
      <c r="D736" s="108"/>
      <c r="E736" s="109"/>
      <c r="F736" s="109"/>
      <c r="G736" s="110"/>
      <c r="H736" s="110"/>
      <c r="I736" s="110"/>
      <c r="J736" s="18"/>
    </row>
    <row r="737" spans="2:10" ht="15.75" customHeight="1">
      <c r="B737" s="106"/>
      <c r="C737" s="107"/>
      <c r="D737" s="108"/>
      <c r="E737" s="109"/>
      <c r="F737" s="109"/>
      <c r="G737" s="110"/>
      <c r="H737" s="110"/>
      <c r="I737" s="110"/>
      <c r="J737" s="18"/>
    </row>
    <row r="738" spans="2:10" ht="15.75" customHeight="1">
      <c r="B738" s="106"/>
      <c r="C738" s="107"/>
      <c r="D738" s="108"/>
      <c r="E738" s="109"/>
      <c r="F738" s="109"/>
      <c r="G738" s="110"/>
      <c r="H738" s="110"/>
      <c r="I738" s="110"/>
      <c r="J738" s="18"/>
    </row>
    <row r="739" spans="2:10" ht="15.75" customHeight="1">
      <c r="B739" s="106"/>
      <c r="C739" s="107"/>
      <c r="D739" s="108"/>
      <c r="E739" s="109"/>
      <c r="F739" s="109"/>
      <c r="G739" s="110"/>
      <c r="H739" s="110"/>
      <c r="I739" s="110"/>
      <c r="J739" s="18"/>
    </row>
    <row r="740" spans="2:10" ht="15.75" customHeight="1">
      <c r="B740" s="106"/>
      <c r="C740" s="107"/>
      <c r="D740" s="108"/>
      <c r="E740" s="109"/>
      <c r="F740" s="109"/>
      <c r="G740" s="110"/>
      <c r="H740" s="110"/>
      <c r="I740" s="110"/>
      <c r="J740" s="18"/>
    </row>
    <row r="741" spans="2:10" ht="15.75" customHeight="1">
      <c r="B741" s="106"/>
      <c r="C741" s="107"/>
      <c r="D741" s="108"/>
      <c r="E741" s="109"/>
      <c r="F741" s="109"/>
      <c r="G741" s="110"/>
      <c r="H741" s="110"/>
      <c r="I741" s="110"/>
      <c r="J741" s="18"/>
    </row>
    <row r="742" spans="2:10" ht="15.75" customHeight="1">
      <c r="B742" s="106"/>
      <c r="C742" s="107"/>
      <c r="D742" s="108"/>
      <c r="E742" s="109"/>
      <c r="F742" s="109"/>
      <c r="G742" s="110"/>
      <c r="H742" s="110"/>
      <c r="I742" s="110"/>
      <c r="J742" s="18"/>
    </row>
    <row r="743" spans="2:10" ht="15.75" customHeight="1">
      <c r="B743" s="106"/>
      <c r="C743" s="107"/>
      <c r="D743" s="108"/>
      <c r="E743" s="109"/>
      <c r="F743" s="109"/>
      <c r="G743" s="110"/>
      <c r="H743" s="110"/>
      <c r="I743" s="110"/>
      <c r="J743" s="18"/>
    </row>
    <row r="744" spans="2:10" ht="15.75" customHeight="1">
      <c r="B744" s="106"/>
      <c r="C744" s="107"/>
      <c r="D744" s="108"/>
      <c r="E744" s="109"/>
      <c r="F744" s="109"/>
      <c r="G744" s="110"/>
      <c r="H744" s="110"/>
      <c r="I744" s="110"/>
      <c r="J744" s="18"/>
    </row>
    <row r="745" spans="2:10" ht="15.75" customHeight="1">
      <c r="B745" s="106"/>
      <c r="C745" s="107"/>
      <c r="D745" s="108"/>
      <c r="E745" s="109"/>
      <c r="F745" s="109"/>
      <c r="G745" s="110"/>
      <c r="H745" s="110"/>
      <c r="I745" s="110"/>
      <c r="J745" s="18"/>
    </row>
    <row r="746" spans="2:10" ht="15.75" customHeight="1">
      <c r="B746" s="106"/>
      <c r="C746" s="107"/>
      <c r="D746" s="108"/>
      <c r="E746" s="109"/>
      <c r="F746" s="109"/>
      <c r="G746" s="110"/>
      <c r="H746" s="110"/>
      <c r="I746" s="110"/>
      <c r="J746" s="18"/>
    </row>
    <row r="747" spans="2:10" ht="15.75" customHeight="1">
      <c r="B747" s="106"/>
      <c r="C747" s="107"/>
      <c r="D747" s="108"/>
      <c r="E747" s="109"/>
      <c r="F747" s="109"/>
      <c r="G747" s="110"/>
      <c r="H747" s="110"/>
      <c r="I747" s="110"/>
      <c r="J747" s="18"/>
    </row>
    <row r="748" spans="2:10" ht="15.75" customHeight="1">
      <c r="B748" s="106"/>
      <c r="C748" s="107"/>
      <c r="D748" s="108"/>
      <c r="E748" s="109"/>
      <c r="F748" s="109"/>
      <c r="G748" s="110"/>
      <c r="H748" s="110"/>
      <c r="I748" s="110"/>
      <c r="J748" s="18"/>
    </row>
    <row r="749" spans="2:10" ht="15.75" customHeight="1">
      <c r="B749" s="106"/>
      <c r="C749" s="107"/>
      <c r="D749" s="108"/>
      <c r="E749" s="109"/>
      <c r="F749" s="109"/>
      <c r="G749" s="110"/>
      <c r="H749" s="110"/>
      <c r="I749" s="110"/>
      <c r="J749" s="18"/>
    </row>
    <row r="750" spans="2:10" ht="15.75" customHeight="1">
      <c r="B750" s="106"/>
      <c r="C750" s="107"/>
      <c r="D750" s="108"/>
      <c r="E750" s="109"/>
      <c r="F750" s="109"/>
      <c r="G750" s="110"/>
      <c r="H750" s="110"/>
      <c r="I750" s="110"/>
      <c r="J750" s="18"/>
    </row>
    <row r="751" spans="2:10" ht="15.75" customHeight="1">
      <c r="B751" s="106"/>
      <c r="C751" s="107"/>
      <c r="D751" s="108"/>
      <c r="E751" s="109"/>
      <c r="F751" s="109"/>
      <c r="G751" s="110"/>
      <c r="H751" s="110"/>
      <c r="I751" s="110"/>
      <c r="J751" s="18"/>
    </row>
    <row r="752" spans="2:10" ht="15.75" customHeight="1">
      <c r="B752" s="106"/>
      <c r="C752" s="107"/>
      <c r="D752" s="108"/>
      <c r="E752" s="109"/>
      <c r="F752" s="109"/>
      <c r="G752" s="110"/>
      <c r="H752" s="110"/>
      <c r="I752" s="110"/>
      <c r="J752" s="18"/>
    </row>
    <row r="753" spans="2:10" ht="15.75" customHeight="1">
      <c r="B753" s="106"/>
      <c r="C753" s="107"/>
      <c r="D753" s="108"/>
      <c r="E753" s="109"/>
      <c r="F753" s="109"/>
      <c r="G753" s="110"/>
      <c r="H753" s="110"/>
      <c r="I753" s="110"/>
      <c r="J753" s="18"/>
    </row>
    <row r="754" spans="2:10" ht="15.75" customHeight="1">
      <c r="B754" s="106"/>
      <c r="C754" s="107"/>
      <c r="D754" s="108"/>
      <c r="E754" s="109"/>
      <c r="F754" s="109"/>
      <c r="G754" s="110"/>
      <c r="H754" s="110"/>
      <c r="I754" s="110"/>
      <c r="J754" s="18"/>
    </row>
    <row r="755" spans="2:10" ht="15.75" customHeight="1">
      <c r="B755" s="106"/>
      <c r="C755" s="107"/>
      <c r="D755" s="108"/>
      <c r="E755" s="109"/>
      <c r="F755" s="109"/>
      <c r="G755" s="110"/>
      <c r="H755" s="110"/>
      <c r="I755" s="110"/>
      <c r="J755" s="18"/>
    </row>
    <row r="756" spans="2:10" ht="15.75" customHeight="1">
      <c r="B756" s="106"/>
      <c r="C756" s="107"/>
      <c r="D756" s="108"/>
      <c r="E756" s="109"/>
      <c r="F756" s="109"/>
      <c r="G756" s="110"/>
      <c r="H756" s="110"/>
      <c r="I756" s="110"/>
      <c r="J756" s="18"/>
    </row>
    <row r="757" spans="2:10" ht="15.75" customHeight="1">
      <c r="B757" s="106"/>
      <c r="C757" s="107"/>
      <c r="D757" s="108"/>
      <c r="E757" s="109"/>
      <c r="F757" s="109"/>
      <c r="G757" s="110"/>
      <c r="H757" s="110"/>
      <c r="I757" s="110"/>
      <c r="J757" s="18"/>
    </row>
    <row r="758" spans="2:10" ht="15.75" customHeight="1">
      <c r="B758" s="106"/>
      <c r="C758" s="107"/>
      <c r="D758" s="108"/>
      <c r="E758" s="109"/>
      <c r="F758" s="109"/>
      <c r="G758" s="110"/>
      <c r="H758" s="110"/>
      <c r="I758" s="110"/>
      <c r="J758" s="18"/>
    </row>
    <row r="759" spans="2:10" ht="15.75" customHeight="1">
      <c r="B759" s="106"/>
      <c r="C759" s="107"/>
      <c r="D759" s="108"/>
      <c r="E759" s="109"/>
      <c r="F759" s="109"/>
      <c r="G759" s="110"/>
      <c r="H759" s="110"/>
      <c r="I759" s="110"/>
      <c r="J759" s="18"/>
    </row>
    <row r="760" spans="2:10" ht="15.75" customHeight="1">
      <c r="B760" s="106"/>
      <c r="C760" s="107"/>
      <c r="D760" s="108"/>
      <c r="E760" s="109"/>
      <c r="F760" s="109"/>
      <c r="G760" s="110"/>
      <c r="H760" s="110"/>
      <c r="I760" s="110"/>
      <c r="J760" s="18"/>
    </row>
    <row r="761" spans="2:10" ht="15.75" customHeight="1">
      <c r="B761" s="106"/>
      <c r="C761" s="107"/>
      <c r="D761" s="108"/>
      <c r="E761" s="109"/>
      <c r="F761" s="109"/>
      <c r="G761" s="110"/>
      <c r="H761" s="110"/>
      <c r="I761" s="110"/>
      <c r="J761" s="18"/>
    </row>
    <row r="762" spans="2:10" ht="15.75" customHeight="1">
      <c r="B762" s="106"/>
      <c r="C762" s="107"/>
      <c r="D762" s="108"/>
      <c r="E762" s="109"/>
      <c r="F762" s="109"/>
      <c r="G762" s="110"/>
      <c r="H762" s="110"/>
      <c r="I762" s="110"/>
      <c r="J762" s="18"/>
    </row>
    <row r="763" spans="2:10" ht="15.75" customHeight="1">
      <c r="B763" s="106"/>
      <c r="C763" s="107"/>
      <c r="D763" s="108"/>
      <c r="E763" s="109"/>
      <c r="F763" s="109"/>
      <c r="G763" s="110"/>
      <c r="H763" s="110"/>
      <c r="I763" s="110"/>
      <c r="J763" s="18"/>
    </row>
    <row r="764" spans="2:10" ht="15.75" customHeight="1">
      <c r="B764" s="106"/>
      <c r="C764" s="107"/>
      <c r="D764" s="108"/>
      <c r="E764" s="109"/>
      <c r="F764" s="109"/>
      <c r="G764" s="110"/>
      <c r="H764" s="110"/>
      <c r="I764" s="110"/>
      <c r="J764" s="18"/>
    </row>
    <row r="765" spans="2:10" ht="15.75" customHeight="1">
      <c r="B765" s="106"/>
      <c r="C765" s="107"/>
      <c r="D765" s="108"/>
      <c r="E765" s="109"/>
      <c r="F765" s="109"/>
      <c r="G765" s="110"/>
      <c r="H765" s="110"/>
      <c r="I765" s="110"/>
      <c r="J765" s="18"/>
    </row>
    <row r="766" spans="2:10" ht="15.75" customHeight="1">
      <c r="B766" s="106"/>
      <c r="C766" s="107"/>
      <c r="D766" s="108"/>
      <c r="E766" s="109"/>
      <c r="F766" s="109"/>
      <c r="G766" s="110"/>
      <c r="H766" s="110"/>
      <c r="I766" s="110"/>
      <c r="J766" s="18"/>
    </row>
    <row r="767" spans="2:10" ht="15.75" customHeight="1">
      <c r="B767" s="106"/>
      <c r="C767" s="107"/>
      <c r="D767" s="108"/>
      <c r="E767" s="109"/>
      <c r="F767" s="109"/>
      <c r="G767" s="110"/>
      <c r="H767" s="110"/>
      <c r="I767" s="110"/>
      <c r="J767" s="18"/>
    </row>
    <row r="768" spans="2:10" ht="15.75" customHeight="1">
      <c r="B768" s="106"/>
      <c r="C768" s="107"/>
      <c r="D768" s="108"/>
      <c r="E768" s="109"/>
      <c r="F768" s="109"/>
      <c r="G768" s="110"/>
      <c r="H768" s="110"/>
      <c r="I768" s="110"/>
      <c r="J768" s="18"/>
    </row>
    <row r="769" spans="2:10" ht="15.75" customHeight="1">
      <c r="B769" s="106"/>
      <c r="C769" s="107"/>
      <c r="D769" s="108"/>
      <c r="E769" s="109"/>
      <c r="F769" s="109"/>
      <c r="G769" s="110"/>
      <c r="H769" s="110"/>
      <c r="I769" s="110"/>
      <c r="J769" s="18"/>
    </row>
    <row r="770" spans="2:10" ht="15.75" customHeight="1">
      <c r="B770" s="106"/>
      <c r="C770" s="107"/>
      <c r="D770" s="108"/>
      <c r="E770" s="109"/>
      <c r="F770" s="109"/>
      <c r="G770" s="110"/>
      <c r="H770" s="110"/>
      <c r="I770" s="110"/>
      <c r="J770" s="18"/>
    </row>
    <row r="771" spans="2:10" ht="15.75" customHeight="1">
      <c r="B771" s="106"/>
      <c r="C771" s="107"/>
      <c r="D771" s="108"/>
      <c r="E771" s="109"/>
      <c r="F771" s="109"/>
      <c r="G771" s="110"/>
      <c r="H771" s="110"/>
      <c r="I771" s="110"/>
      <c r="J771" s="18"/>
    </row>
    <row r="772" spans="2:10" ht="15.75" customHeight="1">
      <c r="B772" s="106"/>
      <c r="C772" s="107"/>
      <c r="D772" s="108"/>
      <c r="E772" s="109"/>
      <c r="F772" s="109"/>
      <c r="G772" s="110"/>
      <c r="H772" s="110"/>
      <c r="I772" s="110"/>
      <c r="J772" s="18"/>
    </row>
    <row r="773" spans="2:10" ht="15.75" customHeight="1">
      <c r="B773" s="106"/>
      <c r="C773" s="107"/>
      <c r="D773" s="108"/>
      <c r="E773" s="109"/>
      <c r="F773" s="109"/>
      <c r="G773" s="110"/>
      <c r="H773" s="110"/>
      <c r="I773" s="110"/>
      <c r="J773" s="18"/>
    </row>
    <row r="774" spans="2:10" ht="15.75" customHeight="1">
      <c r="B774" s="106"/>
      <c r="C774" s="107"/>
      <c r="D774" s="108"/>
      <c r="E774" s="109"/>
      <c r="F774" s="109"/>
      <c r="G774" s="110"/>
      <c r="H774" s="110"/>
      <c r="I774" s="110"/>
      <c r="J774" s="18"/>
    </row>
    <row r="775" spans="2:10" ht="15.75" customHeight="1">
      <c r="B775" s="106"/>
      <c r="C775" s="107"/>
      <c r="D775" s="108"/>
      <c r="E775" s="109"/>
      <c r="F775" s="109"/>
      <c r="G775" s="110"/>
      <c r="H775" s="110"/>
      <c r="I775" s="110"/>
      <c r="J775" s="18"/>
    </row>
    <row r="776" spans="2:10" ht="15.75" customHeight="1">
      <c r="B776" s="106"/>
      <c r="C776" s="107"/>
      <c r="D776" s="108"/>
      <c r="E776" s="109"/>
      <c r="F776" s="109"/>
      <c r="G776" s="110"/>
      <c r="H776" s="110"/>
      <c r="I776" s="110"/>
      <c r="J776" s="18"/>
    </row>
    <row r="777" spans="2:10" ht="15.75" customHeight="1">
      <c r="B777" s="106"/>
      <c r="C777" s="107"/>
      <c r="D777" s="108"/>
      <c r="E777" s="109"/>
      <c r="F777" s="109"/>
      <c r="G777" s="110"/>
      <c r="H777" s="110"/>
      <c r="I777" s="110"/>
      <c r="J777" s="18"/>
    </row>
    <row r="778" spans="2:10" ht="15.75" customHeight="1">
      <c r="B778" s="106"/>
      <c r="C778" s="107"/>
      <c r="D778" s="108"/>
      <c r="E778" s="109"/>
      <c r="F778" s="109"/>
      <c r="G778" s="110"/>
      <c r="H778" s="110"/>
      <c r="I778" s="110"/>
      <c r="J778" s="18"/>
    </row>
    <row r="779" spans="2:10" ht="15.75" customHeight="1">
      <c r="B779" s="106"/>
      <c r="C779" s="107"/>
      <c r="D779" s="108"/>
      <c r="E779" s="109"/>
      <c r="F779" s="109"/>
      <c r="G779" s="110"/>
      <c r="H779" s="110"/>
      <c r="I779" s="110"/>
      <c r="J779" s="18"/>
    </row>
    <row r="780" spans="2:10" ht="15.75" customHeight="1">
      <c r="B780" s="106"/>
      <c r="C780" s="107"/>
      <c r="D780" s="108"/>
      <c r="E780" s="109"/>
      <c r="F780" s="109"/>
      <c r="G780" s="110"/>
      <c r="H780" s="110"/>
      <c r="I780" s="110"/>
      <c r="J780" s="18"/>
    </row>
    <row r="781" spans="2:10" ht="15.75" customHeight="1">
      <c r="B781" s="106"/>
      <c r="C781" s="107"/>
      <c r="D781" s="108"/>
      <c r="E781" s="109"/>
      <c r="F781" s="109"/>
      <c r="G781" s="110"/>
      <c r="H781" s="110"/>
      <c r="I781" s="110"/>
      <c r="J781" s="18"/>
    </row>
    <row r="782" spans="2:10" ht="15.75" customHeight="1">
      <c r="B782" s="106"/>
      <c r="C782" s="107"/>
      <c r="D782" s="108"/>
      <c r="E782" s="109"/>
      <c r="F782" s="109"/>
      <c r="G782" s="110"/>
      <c r="H782" s="110"/>
      <c r="I782" s="110"/>
      <c r="J782" s="18"/>
    </row>
    <row r="783" spans="2:10" ht="15.75" customHeight="1">
      <c r="B783" s="106"/>
      <c r="C783" s="107"/>
      <c r="D783" s="108"/>
      <c r="E783" s="109"/>
      <c r="F783" s="109"/>
      <c r="G783" s="110"/>
      <c r="H783" s="110"/>
      <c r="I783" s="110"/>
      <c r="J783" s="18"/>
    </row>
    <row r="784" spans="2:10" ht="15.75" customHeight="1">
      <c r="B784" s="106"/>
      <c r="C784" s="107"/>
      <c r="D784" s="108"/>
      <c r="E784" s="109"/>
      <c r="F784" s="109"/>
      <c r="G784" s="110"/>
      <c r="H784" s="110"/>
      <c r="I784" s="110"/>
      <c r="J784" s="18"/>
    </row>
    <row r="785" spans="2:10" ht="15.75" customHeight="1">
      <c r="B785" s="106"/>
      <c r="C785" s="107"/>
      <c r="D785" s="108"/>
      <c r="E785" s="109"/>
      <c r="F785" s="109"/>
      <c r="G785" s="110"/>
      <c r="H785" s="110"/>
      <c r="I785" s="110"/>
      <c r="J785" s="18"/>
    </row>
    <row r="786" spans="2:10" ht="15.75" customHeight="1">
      <c r="B786" s="106"/>
      <c r="C786" s="107"/>
      <c r="D786" s="108"/>
      <c r="E786" s="109"/>
      <c r="F786" s="109"/>
      <c r="G786" s="110"/>
      <c r="H786" s="110"/>
      <c r="I786" s="110"/>
      <c r="J786" s="18"/>
    </row>
    <row r="787" spans="2:10" ht="15.75" customHeight="1">
      <c r="B787" s="106"/>
      <c r="C787" s="107"/>
      <c r="D787" s="108"/>
      <c r="E787" s="109"/>
      <c r="F787" s="109"/>
      <c r="G787" s="110"/>
      <c r="H787" s="110"/>
      <c r="I787" s="110"/>
      <c r="J787" s="18"/>
    </row>
    <row r="788" spans="2:10" ht="15.75" customHeight="1">
      <c r="B788" s="106"/>
      <c r="C788" s="107"/>
      <c r="D788" s="108"/>
      <c r="E788" s="109"/>
      <c r="F788" s="109"/>
      <c r="G788" s="110"/>
      <c r="H788" s="110"/>
      <c r="I788" s="110"/>
      <c r="J788" s="18"/>
    </row>
    <row r="789" spans="2:10" ht="15.75" customHeight="1">
      <c r="B789" s="106"/>
      <c r="C789" s="107"/>
      <c r="D789" s="108"/>
      <c r="E789" s="109"/>
      <c r="F789" s="109"/>
      <c r="G789" s="110"/>
      <c r="H789" s="110"/>
      <c r="I789" s="110"/>
      <c r="J789" s="18"/>
    </row>
    <row r="790" spans="2:10" ht="15.75" customHeight="1">
      <c r="B790" s="106"/>
      <c r="C790" s="107"/>
      <c r="D790" s="108"/>
      <c r="E790" s="109"/>
      <c r="F790" s="109"/>
      <c r="G790" s="110"/>
      <c r="H790" s="110"/>
      <c r="I790" s="110"/>
      <c r="J790" s="18"/>
    </row>
    <row r="791" spans="2:10" ht="15.75" customHeight="1">
      <c r="B791" s="106"/>
      <c r="C791" s="107"/>
      <c r="D791" s="108"/>
      <c r="E791" s="109"/>
      <c r="F791" s="109"/>
      <c r="G791" s="110"/>
      <c r="H791" s="110"/>
      <c r="I791" s="110"/>
      <c r="J791" s="18"/>
    </row>
    <row r="792" spans="2:10" ht="15.75" customHeight="1">
      <c r="B792" s="106"/>
      <c r="C792" s="107"/>
      <c r="D792" s="108"/>
      <c r="E792" s="109"/>
      <c r="F792" s="109"/>
      <c r="G792" s="110"/>
      <c r="H792" s="110"/>
      <c r="I792" s="110"/>
      <c r="J792" s="18"/>
    </row>
    <row r="793" spans="2:10" ht="15.75" customHeight="1">
      <c r="B793" s="106"/>
      <c r="C793" s="107"/>
      <c r="D793" s="108"/>
      <c r="E793" s="109"/>
      <c r="F793" s="109"/>
      <c r="G793" s="110"/>
      <c r="H793" s="110"/>
      <c r="I793" s="110"/>
      <c r="J793" s="18"/>
    </row>
    <row r="794" spans="2:10" ht="15.75" customHeight="1">
      <c r="B794" s="106"/>
      <c r="C794" s="107"/>
      <c r="D794" s="108"/>
      <c r="E794" s="109"/>
      <c r="F794" s="109"/>
      <c r="G794" s="110"/>
      <c r="H794" s="110"/>
      <c r="I794" s="110"/>
      <c r="J794" s="18"/>
    </row>
    <row r="795" spans="2:10" ht="15.75" customHeight="1">
      <c r="B795" s="106"/>
      <c r="C795" s="107"/>
      <c r="D795" s="108"/>
      <c r="E795" s="109"/>
      <c r="F795" s="109"/>
      <c r="G795" s="110"/>
      <c r="H795" s="110"/>
      <c r="I795" s="110"/>
      <c r="J795" s="18"/>
    </row>
    <row r="796" spans="2:10" ht="15.75" customHeight="1">
      <c r="B796" s="106"/>
      <c r="C796" s="107"/>
      <c r="D796" s="108"/>
      <c r="E796" s="109"/>
      <c r="F796" s="109"/>
      <c r="G796" s="110"/>
      <c r="H796" s="110"/>
      <c r="I796" s="110"/>
      <c r="J796" s="18"/>
    </row>
    <row r="797" spans="2:10" ht="15.75" customHeight="1">
      <c r="B797" s="106"/>
      <c r="C797" s="107"/>
      <c r="D797" s="108"/>
      <c r="E797" s="109"/>
      <c r="F797" s="109"/>
      <c r="G797" s="110"/>
      <c r="H797" s="110"/>
      <c r="I797" s="110"/>
      <c r="J797" s="18"/>
    </row>
    <row r="798" spans="2:10" ht="15.75" customHeight="1">
      <c r="B798" s="106"/>
      <c r="C798" s="107"/>
      <c r="D798" s="108"/>
      <c r="E798" s="109"/>
      <c r="F798" s="109"/>
      <c r="G798" s="110"/>
      <c r="H798" s="110"/>
      <c r="I798" s="110"/>
      <c r="J798" s="18"/>
    </row>
    <row r="799" spans="2:10" ht="15.75" customHeight="1">
      <c r="B799" s="106"/>
      <c r="C799" s="107"/>
      <c r="D799" s="108"/>
      <c r="E799" s="109"/>
      <c r="F799" s="109"/>
      <c r="G799" s="110"/>
      <c r="H799" s="110"/>
      <c r="I799" s="110"/>
      <c r="J799" s="18"/>
    </row>
    <row r="800" spans="2:10" ht="15.75" customHeight="1">
      <c r="B800" s="106"/>
      <c r="C800" s="107"/>
      <c r="D800" s="108"/>
      <c r="E800" s="109"/>
      <c r="F800" s="109"/>
      <c r="G800" s="110"/>
      <c r="H800" s="110"/>
      <c r="I800" s="110"/>
      <c r="J800" s="18"/>
    </row>
    <row r="801" spans="2:10" ht="15.75" customHeight="1">
      <c r="B801" s="106"/>
      <c r="C801" s="107"/>
      <c r="D801" s="108"/>
      <c r="E801" s="109"/>
      <c r="F801" s="109"/>
      <c r="G801" s="110"/>
      <c r="H801" s="110"/>
      <c r="I801" s="110"/>
      <c r="J801" s="18"/>
    </row>
    <row r="802" spans="2:10" ht="15.75" customHeight="1">
      <c r="B802" s="106"/>
      <c r="C802" s="107"/>
      <c r="D802" s="108"/>
      <c r="E802" s="109"/>
      <c r="F802" s="109"/>
      <c r="G802" s="110"/>
      <c r="H802" s="110"/>
      <c r="I802" s="110"/>
      <c r="J802" s="18"/>
    </row>
    <row r="803" spans="2:10" ht="15.75" customHeight="1">
      <c r="B803" s="106"/>
      <c r="C803" s="107"/>
      <c r="D803" s="108"/>
      <c r="E803" s="109"/>
      <c r="F803" s="109"/>
      <c r="G803" s="110"/>
      <c r="H803" s="110"/>
      <c r="I803" s="110"/>
      <c r="J803" s="18"/>
    </row>
    <row r="804" spans="2:10" ht="15.75" customHeight="1">
      <c r="B804" s="106"/>
      <c r="C804" s="107"/>
      <c r="D804" s="108"/>
      <c r="E804" s="109"/>
      <c r="F804" s="109"/>
      <c r="G804" s="110"/>
      <c r="H804" s="110"/>
      <c r="I804" s="110"/>
      <c r="J804" s="18"/>
    </row>
    <row r="805" spans="2:10" ht="15.75" customHeight="1">
      <c r="B805" s="106"/>
      <c r="C805" s="107"/>
      <c r="D805" s="108"/>
      <c r="E805" s="109"/>
      <c r="F805" s="109"/>
      <c r="G805" s="110"/>
      <c r="H805" s="110"/>
      <c r="I805" s="110"/>
      <c r="J805" s="18"/>
    </row>
    <row r="806" spans="2:10" ht="15.75" customHeight="1">
      <c r="B806" s="106"/>
      <c r="C806" s="107"/>
      <c r="D806" s="108"/>
      <c r="E806" s="109"/>
      <c r="F806" s="109"/>
      <c r="G806" s="110"/>
      <c r="H806" s="110"/>
      <c r="I806" s="110"/>
      <c r="J806" s="18"/>
    </row>
    <row r="807" spans="2:10" ht="15.75" customHeight="1">
      <c r="B807" s="106"/>
      <c r="C807" s="107"/>
      <c r="D807" s="108"/>
      <c r="E807" s="109"/>
      <c r="F807" s="109"/>
      <c r="G807" s="110"/>
      <c r="H807" s="110"/>
      <c r="I807" s="110"/>
      <c r="J807" s="18"/>
    </row>
    <row r="808" spans="2:10" ht="15.75" customHeight="1">
      <c r="B808" s="106"/>
      <c r="C808" s="107"/>
      <c r="D808" s="108"/>
      <c r="E808" s="109"/>
      <c r="F808" s="109"/>
      <c r="G808" s="110"/>
      <c r="H808" s="110"/>
      <c r="I808" s="110"/>
      <c r="J808" s="18"/>
    </row>
    <row r="809" spans="2:10" ht="15.75" customHeight="1">
      <c r="B809" s="106"/>
      <c r="C809" s="107"/>
      <c r="D809" s="108"/>
      <c r="E809" s="109"/>
      <c r="F809" s="109"/>
      <c r="G809" s="110"/>
      <c r="H809" s="110"/>
      <c r="I809" s="110"/>
      <c r="J809" s="18"/>
    </row>
    <row r="810" spans="2:10" ht="15.75" customHeight="1">
      <c r="B810" s="106"/>
      <c r="C810" s="107"/>
      <c r="D810" s="108"/>
      <c r="E810" s="109"/>
      <c r="F810" s="109"/>
      <c r="G810" s="110"/>
      <c r="H810" s="110"/>
      <c r="I810" s="110"/>
      <c r="J810" s="18"/>
    </row>
    <row r="811" spans="2:10" ht="15.75" customHeight="1">
      <c r="B811" s="106"/>
      <c r="C811" s="107"/>
      <c r="D811" s="108"/>
      <c r="E811" s="109"/>
      <c r="F811" s="109"/>
      <c r="G811" s="110"/>
      <c r="H811" s="110"/>
      <c r="I811" s="110"/>
      <c r="J811" s="18"/>
    </row>
    <row r="812" spans="2:10" ht="15.75" customHeight="1">
      <c r="B812" s="106"/>
      <c r="C812" s="107"/>
      <c r="D812" s="108"/>
      <c r="E812" s="109"/>
      <c r="F812" s="109"/>
      <c r="G812" s="110"/>
      <c r="H812" s="110"/>
      <c r="I812" s="110"/>
      <c r="J812" s="18"/>
    </row>
    <row r="813" spans="2:10" ht="15.75" customHeight="1">
      <c r="B813" s="106"/>
      <c r="C813" s="107"/>
      <c r="D813" s="108"/>
      <c r="E813" s="109"/>
      <c r="F813" s="109"/>
      <c r="G813" s="110"/>
      <c r="H813" s="110"/>
      <c r="I813" s="110"/>
      <c r="J813" s="18"/>
    </row>
    <row r="814" spans="2:10" ht="15.75" customHeight="1">
      <c r="B814" s="106"/>
      <c r="C814" s="107"/>
      <c r="D814" s="108"/>
      <c r="E814" s="109"/>
      <c r="F814" s="109"/>
      <c r="G814" s="110"/>
      <c r="H814" s="110"/>
      <c r="I814" s="110"/>
      <c r="J814" s="18"/>
    </row>
    <row r="815" spans="2:10" ht="15.75" customHeight="1">
      <c r="B815" s="106"/>
      <c r="C815" s="107"/>
      <c r="D815" s="108"/>
      <c r="E815" s="109"/>
      <c r="F815" s="109"/>
      <c r="G815" s="110"/>
      <c r="H815" s="110"/>
      <c r="I815" s="110"/>
      <c r="J815" s="18"/>
    </row>
    <row r="816" spans="2:10" ht="15.75" customHeight="1">
      <c r="B816" s="106"/>
      <c r="C816" s="107"/>
      <c r="D816" s="108"/>
      <c r="E816" s="109"/>
      <c r="F816" s="109"/>
      <c r="G816" s="110"/>
      <c r="H816" s="110"/>
      <c r="I816" s="110"/>
      <c r="J816" s="18"/>
    </row>
    <row r="817" spans="2:10" ht="15.75" customHeight="1">
      <c r="B817" s="106"/>
      <c r="C817" s="107"/>
      <c r="D817" s="108"/>
      <c r="E817" s="109"/>
      <c r="F817" s="109"/>
      <c r="G817" s="110"/>
      <c r="H817" s="110"/>
      <c r="I817" s="110"/>
      <c r="J817" s="18"/>
    </row>
    <row r="818" spans="2:10" ht="15.75" customHeight="1">
      <c r="B818" s="106"/>
      <c r="C818" s="107"/>
      <c r="D818" s="108"/>
      <c r="E818" s="109"/>
      <c r="F818" s="109"/>
      <c r="G818" s="110"/>
      <c r="H818" s="110"/>
      <c r="I818" s="110"/>
      <c r="J818" s="18"/>
    </row>
    <row r="819" spans="2:10" ht="15.75" customHeight="1">
      <c r="B819" s="106"/>
      <c r="C819" s="107"/>
      <c r="D819" s="108"/>
      <c r="E819" s="109"/>
      <c r="F819" s="109"/>
      <c r="G819" s="110"/>
      <c r="H819" s="110"/>
      <c r="I819" s="110"/>
      <c r="J819" s="18"/>
    </row>
    <row r="820" spans="2:10" ht="15.75" customHeight="1">
      <c r="B820" s="106"/>
      <c r="C820" s="107"/>
      <c r="D820" s="108"/>
      <c r="E820" s="109"/>
      <c r="F820" s="109"/>
      <c r="G820" s="110"/>
      <c r="H820" s="110"/>
      <c r="I820" s="110"/>
      <c r="J820" s="18"/>
    </row>
    <row r="821" spans="2:10" ht="15.75" customHeight="1">
      <c r="B821" s="106"/>
      <c r="C821" s="107"/>
      <c r="D821" s="108"/>
      <c r="E821" s="109"/>
      <c r="F821" s="109"/>
      <c r="G821" s="110"/>
      <c r="H821" s="110"/>
      <c r="I821" s="110"/>
      <c r="J821" s="18"/>
    </row>
    <row r="822" spans="2:10" ht="15.75" customHeight="1">
      <c r="B822" s="106"/>
      <c r="C822" s="107"/>
      <c r="D822" s="108"/>
      <c r="E822" s="109"/>
      <c r="F822" s="109"/>
      <c r="G822" s="110"/>
      <c r="H822" s="110"/>
      <c r="I822" s="110"/>
      <c r="J822" s="18"/>
    </row>
    <row r="823" spans="2:10" ht="15.75" customHeight="1">
      <c r="B823" s="106"/>
      <c r="C823" s="107"/>
      <c r="D823" s="108"/>
      <c r="E823" s="109"/>
      <c r="F823" s="109"/>
      <c r="G823" s="110"/>
      <c r="H823" s="110"/>
      <c r="I823" s="110"/>
      <c r="J823" s="18"/>
    </row>
    <row r="824" spans="2:10" ht="15.75" customHeight="1">
      <c r="B824" s="106"/>
      <c r="C824" s="107"/>
      <c r="D824" s="108"/>
      <c r="E824" s="109"/>
      <c r="F824" s="109"/>
      <c r="G824" s="110"/>
      <c r="H824" s="110"/>
      <c r="I824" s="110"/>
      <c r="J824" s="18"/>
    </row>
    <row r="825" spans="2:10" ht="15.75" customHeight="1">
      <c r="B825" s="106"/>
      <c r="C825" s="107"/>
      <c r="D825" s="108"/>
      <c r="E825" s="109"/>
      <c r="F825" s="109"/>
      <c r="G825" s="110"/>
      <c r="H825" s="110"/>
      <c r="I825" s="110"/>
      <c r="J825" s="18"/>
    </row>
    <row r="826" spans="2:10" ht="15.75" customHeight="1">
      <c r="B826" s="106"/>
      <c r="C826" s="107"/>
      <c r="D826" s="108"/>
      <c r="E826" s="109"/>
      <c r="F826" s="109"/>
      <c r="G826" s="110"/>
      <c r="H826" s="110"/>
      <c r="I826" s="110"/>
      <c r="J826" s="18"/>
    </row>
    <row r="827" spans="2:10" ht="15.75" customHeight="1">
      <c r="B827" s="106"/>
      <c r="C827" s="107"/>
      <c r="D827" s="108"/>
      <c r="E827" s="109"/>
      <c r="F827" s="109"/>
      <c r="G827" s="110"/>
      <c r="H827" s="110"/>
      <c r="I827" s="110"/>
      <c r="J827" s="18"/>
    </row>
    <row r="828" spans="2:10" ht="15.75" customHeight="1">
      <c r="B828" s="106"/>
      <c r="C828" s="107"/>
      <c r="D828" s="108"/>
      <c r="E828" s="109"/>
      <c r="F828" s="109"/>
      <c r="G828" s="110"/>
      <c r="H828" s="110"/>
      <c r="I828" s="110"/>
      <c r="J828" s="18"/>
    </row>
    <row r="829" spans="2:10" ht="15.75" customHeight="1">
      <c r="B829" s="106"/>
      <c r="C829" s="107"/>
      <c r="D829" s="108"/>
      <c r="E829" s="109"/>
      <c r="F829" s="109"/>
      <c r="G829" s="110"/>
      <c r="H829" s="110"/>
      <c r="I829" s="110"/>
      <c r="J829" s="18"/>
    </row>
    <row r="830" spans="2:10" ht="15.75" customHeight="1">
      <c r="B830" s="106"/>
      <c r="C830" s="107"/>
      <c r="D830" s="108"/>
      <c r="E830" s="109"/>
      <c r="F830" s="109"/>
      <c r="G830" s="110"/>
      <c r="H830" s="110"/>
      <c r="I830" s="110"/>
      <c r="J830" s="18"/>
    </row>
    <row r="831" spans="2:10" ht="15.75" customHeight="1">
      <c r="B831" s="106"/>
      <c r="C831" s="107"/>
      <c r="D831" s="108"/>
      <c r="E831" s="109"/>
      <c r="F831" s="109"/>
      <c r="G831" s="110"/>
      <c r="H831" s="110"/>
      <c r="I831" s="110"/>
      <c r="J831" s="18"/>
    </row>
    <row r="832" spans="2:10" ht="15.75" customHeight="1">
      <c r="B832" s="106"/>
      <c r="C832" s="107"/>
      <c r="D832" s="108"/>
      <c r="E832" s="109"/>
      <c r="F832" s="109"/>
      <c r="G832" s="110"/>
      <c r="H832" s="110"/>
      <c r="I832" s="110"/>
      <c r="J832" s="18"/>
    </row>
    <row r="833" spans="2:10" ht="15.75" customHeight="1">
      <c r="B833" s="106"/>
      <c r="C833" s="107"/>
      <c r="D833" s="108"/>
      <c r="E833" s="109"/>
      <c r="F833" s="109"/>
      <c r="G833" s="110"/>
      <c r="H833" s="110"/>
      <c r="I833" s="110"/>
      <c r="J833" s="18"/>
    </row>
    <row r="834" spans="2:10" ht="15.75" customHeight="1">
      <c r="B834" s="106"/>
      <c r="C834" s="107"/>
      <c r="D834" s="108"/>
      <c r="E834" s="109"/>
      <c r="F834" s="109"/>
      <c r="G834" s="110"/>
      <c r="H834" s="110"/>
      <c r="I834" s="110"/>
      <c r="J834" s="18"/>
    </row>
    <row r="835" spans="2:10" ht="15.75" customHeight="1">
      <c r="B835" s="106"/>
      <c r="C835" s="107"/>
      <c r="D835" s="108"/>
      <c r="E835" s="109"/>
      <c r="F835" s="109"/>
      <c r="G835" s="110"/>
      <c r="H835" s="110"/>
      <c r="I835" s="110"/>
      <c r="J835" s="18"/>
    </row>
    <row r="836" spans="2:10" ht="15.75" customHeight="1">
      <c r="B836" s="106"/>
      <c r="C836" s="107"/>
      <c r="D836" s="108"/>
      <c r="E836" s="109"/>
      <c r="F836" s="109"/>
      <c r="G836" s="110"/>
      <c r="H836" s="110"/>
      <c r="I836" s="110"/>
      <c r="J836" s="18"/>
    </row>
    <row r="837" spans="2:10" ht="15.75" customHeight="1">
      <c r="B837" s="106"/>
      <c r="C837" s="107"/>
      <c r="D837" s="108"/>
      <c r="E837" s="109"/>
      <c r="F837" s="109"/>
      <c r="G837" s="110"/>
      <c r="H837" s="110"/>
      <c r="I837" s="110"/>
      <c r="J837" s="18"/>
    </row>
    <row r="838" spans="2:10" ht="15.75" customHeight="1">
      <c r="B838" s="106"/>
      <c r="C838" s="107"/>
      <c r="D838" s="108"/>
      <c r="E838" s="109"/>
      <c r="F838" s="109"/>
      <c r="G838" s="110"/>
      <c r="H838" s="110"/>
      <c r="I838" s="110"/>
      <c r="J838" s="18"/>
    </row>
    <row r="839" spans="2:10" ht="15.75" customHeight="1">
      <c r="B839" s="106"/>
      <c r="C839" s="107"/>
      <c r="D839" s="108"/>
      <c r="E839" s="109"/>
      <c r="F839" s="109"/>
      <c r="G839" s="110"/>
      <c r="H839" s="110"/>
      <c r="I839" s="110"/>
      <c r="J839" s="18"/>
    </row>
    <row r="840" spans="2:10" ht="15.75" customHeight="1">
      <c r="B840" s="106"/>
      <c r="C840" s="107"/>
      <c r="D840" s="108"/>
      <c r="E840" s="109"/>
      <c r="F840" s="109"/>
      <c r="G840" s="110"/>
      <c r="H840" s="110"/>
      <c r="I840" s="110"/>
      <c r="J840" s="18"/>
    </row>
    <row r="841" spans="2:10" ht="15.75" customHeight="1">
      <c r="B841" s="106"/>
      <c r="C841" s="107"/>
      <c r="D841" s="108"/>
      <c r="E841" s="109"/>
      <c r="F841" s="109"/>
      <c r="G841" s="110"/>
      <c r="H841" s="110"/>
      <c r="I841" s="110"/>
      <c r="J841" s="18"/>
    </row>
    <row r="842" spans="2:10" ht="15.75" customHeight="1">
      <c r="B842" s="106"/>
      <c r="C842" s="107"/>
      <c r="D842" s="108"/>
      <c r="E842" s="109"/>
      <c r="F842" s="109"/>
      <c r="G842" s="110"/>
      <c r="H842" s="110"/>
      <c r="I842" s="110"/>
      <c r="J842" s="18"/>
    </row>
    <row r="843" spans="2:10" ht="15.75" customHeight="1">
      <c r="B843" s="106"/>
      <c r="C843" s="107"/>
      <c r="D843" s="108"/>
      <c r="E843" s="109"/>
      <c r="F843" s="109"/>
      <c r="G843" s="110"/>
      <c r="H843" s="110"/>
      <c r="I843" s="110"/>
      <c r="J843" s="18"/>
    </row>
    <row r="844" spans="2:10" ht="15.75" customHeight="1">
      <c r="B844" s="106"/>
      <c r="C844" s="107"/>
      <c r="D844" s="108"/>
      <c r="E844" s="109"/>
      <c r="F844" s="109"/>
      <c r="G844" s="110"/>
      <c r="H844" s="110"/>
      <c r="I844" s="110"/>
      <c r="J844" s="18"/>
    </row>
    <row r="845" spans="2:10" ht="15.75" customHeight="1">
      <c r="B845" s="106"/>
      <c r="C845" s="107"/>
      <c r="D845" s="108"/>
      <c r="E845" s="109"/>
      <c r="F845" s="109"/>
      <c r="G845" s="110"/>
      <c r="H845" s="110"/>
      <c r="I845" s="110"/>
      <c r="J845" s="18"/>
    </row>
    <row r="846" spans="2:10" ht="15.75" customHeight="1">
      <c r="B846" s="106"/>
      <c r="C846" s="107"/>
      <c r="D846" s="108"/>
      <c r="E846" s="109"/>
      <c r="F846" s="109"/>
      <c r="G846" s="110"/>
      <c r="H846" s="110"/>
      <c r="I846" s="110"/>
      <c r="J846" s="18"/>
    </row>
    <row r="847" spans="2:10" ht="15.75" customHeight="1">
      <c r="B847" s="106"/>
      <c r="C847" s="107"/>
      <c r="D847" s="108"/>
      <c r="E847" s="109"/>
      <c r="F847" s="109"/>
      <c r="G847" s="110"/>
      <c r="H847" s="110"/>
      <c r="I847" s="110"/>
      <c r="J847" s="18"/>
    </row>
    <row r="848" spans="2:10" ht="15.75" customHeight="1">
      <c r="B848" s="106"/>
      <c r="C848" s="107"/>
      <c r="D848" s="108"/>
      <c r="E848" s="109"/>
      <c r="F848" s="109"/>
      <c r="G848" s="110"/>
      <c r="H848" s="110"/>
      <c r="I848" s="110"/>
      <c r="J848" s="18"/>
    </row>
    <row r="849" spans="2:10" ht="15.75" customHeight="1">
      <c r="B849" s="106"/>
      <c r="C849" s="107"/>
      <c r="D849" s="108"/>
      <c r="E849" s="109"/>
      <c r="F849" s="109"/>
      <c r="G849" s="110"/>
      <c r="H849" s="110"/>
      <c r="I849" s="110"/>
      <c r="J849" s="18"/>
    </row>
    <row r="850" spans="2:10" ht="15.75" customHeight="1">
      <c r="B850" s="106"/>
      <c r="C850" s="107"/>
      <c r="D850" s="108"/>
      <c r="E850" s="109"/>
      <c r="F850" s="109"/>
      <c r="G850" s="110"/>
      <c r="H850" s="110"/>
      <c r="I850" s="110"/>
      <c r="J850" s="18"/>
    </row>
    <row r="851" spans="2:10" ht="15.75" customHeight="1">
      <c r="B851" s="106"/>
      <c r="C851" s="107"/>
      <c r="D851" s="108"/>
      <c r="E851" s="109"/>
      <c r="F851" s="109"/>
      <c r="G851" s="110"/>
      <c r="H851" s="110"/>
      <c r="I851" s="110"/>
      <c r="J851" s="18"/>
    </row>
    <row r="852" spans="2:10" ht="15.75" customHeight="1">
      <c r="B852" s="106"/>
      <c r="C852" s="107"/>
      <c r="D852" s="108"/>
      <c r="E852" s="109"/>
      <c r="F852" s="109"/>
      <c r="G852" s="110"/>
      <c r="H852" s="110"/>
      <c r="I852" s="110"/>
      <c r="J852" s="18"/>
    </row>
    <row r="853" spans="2:10" ht="15.75" customHeight="1">
      <c r="B853" s="106"/>
      <c r="C853" s="107"/>
      <c r="D853" s="108"/>
      <c r="E853" s="109"/>
      <c r="F853" s="109"/>
      <c r="G853" s="110"/>
      <c r="H853" s="110"/>
      <c r="I853" s="110"/>
      <c r="J853" s="18"/>
    </row>
    <row r="854" spans="2:10" ht="15.75" customHeight="1">
      <c r="B854" s="106"/>
      <c r="C854" s="107"/>
      <c r="D854" s="108"/>
      <c r="E854" s="109"/>
      <c r="F854" s="109"/>
      <c r="G854" s="110"/>
      <c r="H854" s="110"/>
      <c r="I854" s="110"/>
      <c r="J854" s="18"/>
    </row>
    <row r="855" spans="2:10" ht="15.75" customHeight="1">
      <c r="B855" s="106"/>
      <c r="C855" s="107"/>
      <c r="D855" s="108"/>
      <c r="E855" s="109"/>
      <c r="F855" s="109"/>
      <c r="G855" s="110"/>
      <c r="H855" s="110"/>
      <c r="I855" s="110"/>
      <c r="J855" s="18"/>
    </row>
    <row r="856" spans="2:10" ht="15.75" customHeight="1">
      <c r="B856" s="106"/>
      <c r="C856" s="107"/>
      <c r="D856" s="108"/>
      <c r="E856" s="109"/>
      <c r="F856" s="109"/>
      <c r="G856" s="110"/>
      <c r="H856" s="110"/>
      <c r="I856" s="110"/>
      <c r="J856" s="18"/>
    </row>
    <row r="857" spans="2:10" ht="15.75" customHeight="1">
      <c r="B857" s="106"/>
      <c r="C857" s="107"/>
      <c r="D857" s="108"/>
      <c r="E857" s="109"/>
      <c r="F857" s="109"/>
      <c r="G857" s="110"/>
      <c r="H857" s="110"/>
      <c r="I857" s="110"/>
      <c r="J857" s="18"/>
    </row>
    <row r="858" spans="2:10" ht="15.75" customHeight="1">
      <c r="B858" s="106"/>
      <c r="C858" s="107"/>
      <c r="D858" s="108"/>
      <c r="E858" s="109"/>
      <c r="F858" s="109"/>
      <c r="G858" s="110"/>
      <c r="H858" s="110"/>
      <c r="I858" s="110"/>
      <c r="J858" s="18"/>
    </row>
    <row r="859" spans="2:10" ht="15.75" customHeight="1">
      <c r="B859" s="106"/>
      <c r="C859" s="107"/>
      <c r="D859" s="108"/>
      <c r="E859" s="109"/>
      <c r="F859" s="109"/>
      <c r="G859" s="110"/>
      <c r="H859" s="110"/>
      <c r="I859" s="110"/>
      <c r="J859" s="18"/>
    </row>
    <row r="860" spans="2:10" ht="15.75" customHeight="1">
      <c r="B860" s="106"/>
      <c r="C860" s="107"/>
      <c r="D860" s="108"/>
      <c r="E860" s="109"/>
      <c r="F860" s="109"/>
      <c r="G860" s="110"/>
      <c r="H860" s="110"/>
      <c r="I860" s="110"/>
      <c r="J860" s="18"/>
    </row>
    <row r="861" spans="2:10" ht="15.75" customHeight="1">
      <c r="B861" s="106"/>
      <c r="C861" s="107"/>
      <c r="D861" s="108"/>
      <c r="E861" s="109"/>
      <c r="F861" s="109"/>
      <c r="G861" s="110"/>
      <c r="H861" s="110"/>
      <c r="I861" s="110"/>
      <c r="J861" s="18"/>
    </row>
    <row r="862" spans="2:10" ht="15.75" customHeight="1">
      <c r="B862" s="106"/>
      <c r="C862" s="107"/>
      <c r="D862" s="108"/>
      <c r="E862" s="109"/>
      <c r="F862" s="109"/>
      <c r="G862" s="110"/>
      <c r="H862" s="110"/>
      <c r="I862" s="110"/>
      <c r="J862" s="18"/>
    </row>
    <row r="863" spans="2:10" ht="15.75" customHeight="1">
      <c r="B863" s="106"/>
      <c r="C863" s="107"/>
      <c r="D863" s="108"/>
      <c r="E863" s="109"/>
      <c r="F863" s="109"/>
      <c r="G863" s="110"/>
      <c r="H863" s="110"/>
      <c r="I863" s="110"/>
      <c r="J863" s="18"/>
    </row>
    <row r="864" spans="2:10" ht="15.75" customHeight="1">
      <c r="B864" s="106"/>
      <c r="C864" s="107"/>
      <c r="D864" s="108"/>
      <c r="E864" s="109"/>
      <c r="F864" s="109"/>
      <c r="G864" s="110"/>
      <c r="H864" s="110"/>
      <c r="I864" s="110"/>
      <c r="J864" s="18"/>
    </row>
    <row r="865" spans="2:10" ht="15.75" customHeight="1">
      <c r="B865" s="106"/>
      <c r="C865" s="107"/>
      <c r="D865" s="108"/>
      <c r="E865" s="109"/>
      <c r="F865" s="109"/>
      <c r="G865" s="110"/>
      <c r="H865" s="110"/>
      <c r="I865" s="110"/>
      <c r="J865" s="18"/>
    </row>
    <row r="866" spans="2:10" ht="15.75" customHeight="1">
      <c r="B866" s="106"/>
      <c r="C866" s="107"/>
      <c r="D866" s="108"/>
      <c r="E866" s="109"/>
      <c r="F866" s="109"/>
      <c r="G866" s="110"/>
      <c r="H866" s="110"/>
      <c r="I866" s="110"/>
      <c r="J866" s="18"/>
    </row>
    <row r="867" spans="2:10" ht="15.75" customHeight="1">
      <c r="B867" s="106"/>
      <c r="C867" s="107"/>
      <c r="D867" s="108"/>
      <c r="E867" s="109"/>
      <c r="F867" s="109"/>
      <c r="G867" s="110"/>
      <c r="H867" s="110"/>
      <c r="I867" s="110"/>
      <c r="J867" s="18"/>
    </row>
    <row r="868" spans="2:10" ht="15.75" customHeight="1">
      <c r="B868" s="106"/>
      <c r="C868" s="107"/>
      <c r="D868" s="108"/>
      <c r="E868" s="109"/>
      <c r="F868" s="109"/>
      <c r="G868" s="110"/>
      <c r="H868" s="110"/>
      <c r="I868" s="110"/>
      <c r="J868" s="18"/>
    </row>
    <row r="869" spans="2:10" ht="15.75" customHeight="1">
      <c r="B869" s="106"/>
      <c r="C869" s="107"/>
      <c r="D869" s="108"/>
      <c r="E869" s="109"/>
      <c r="F869" s="109"/>
      <c r="G869" s="110"/>
      <c r="H869" s="110"/>
      <c r="I869" s="110"/>
      <c r="J869" s="18"/>
    </row>
    <row r="870" spans="2:10" ht="15.75" customHeight="1">
      <c r="B870" s="106"/>
      <c r="C870" s="107"/>
      <c r="D870" s="108"/>
      <c r="E870" s="109"/>
      <c r="F870" s="109"/>
      <c r="G870" s="110"/>
      <c r="H870" s="110"/>
      <c r="I870" s="110"/>
      <c r="J870" s="18"/>
    </row>
    <row r="871" spans="2:10" ht="15.75" customHeight="1">
      <c r="B871" s="106"/>
      <c r="C871" s="107"/>
      <c r="D871" s="108"/>
      <c r="E871" s="109"/>
      <c r="F871" s="109"/>
      <c r="G871" s="110"/>
      <c r="H871" s="110"/>
      <c r="I871" s="110"/>
      <c r="J871" s="18"/>
    </row>
    <row r="872" spans="2:10" ht="15.75" customHeight="1">
      <c r="B872" s="106"/>
      <c r="C872" s="107"/>
      <c r="D872" s="108"/>
      <c r="E872" s="109"/>
      <c r="F872" s="109"/>
      <c r="G872" s="110"/>
      <c r="H872" s="110"/>
      <c r="I872" s="110"/>
      <c r="J872" s="18"/>
    </row>
    <row r="873" spans="2:10" ht="15.75" customHeight="1">
      <c r="B873" s="106"/>
      <c r="C873" s="107"/>
      <c r="D873" s="108"/>
      <c r="E873" s="109"/>
      <c r="F873" s="109"/>
      <c r="G873" s="110"/>
      <c r="H873" s="110"/>
      <c r="I873" s="110"/>
      <c r="J873" s="18"/>
    </row>
    <row r="874" spans="2:10" ht="15.75" customHeight="1">
      <c r="B874" s="106"/>
      <c r="C874" s="107"/>
      <c r="D874" s="108"/>
      <c r="E874" s="109"/>
      <c r="F874" s="109"/>
      <c r="G874" s="110"/>
      <c r="H874" s="110"/>
      <c r="I874" s="110"/>
      <c r="J874" s="18"/>
    </row>
    <row r="875" spans="2:10" ht="15.75" customHeight="1">
      <c r="B875" s="106"/>
      <c r="C875" s="107"/>
      <c r="D875" s="108"/>
      <c r="E875" s="109"/>
      <c r="F875" s="109"/>
      <c r="G875" s="110"/>
      <c r="H875" s="110"/>
      <c r="I875" s="110"/>
      <c r="J875" s="18"/>
    </row>
    <row r="876" spans="2:10" ht="15.75" customHeight="1">
      <c r="B876" s="106"/>
      <c r="C876" s="107"/>
      <c r="D876" s="108"/>
      <c r="E876" s="109"/>
      <c r="F876" s="109"/>
      <c r="G876" s="110"/>
      <c r="H876" s="110"/>
      <c r="I876" s="110"/>
      <c r="J876" s="18"/>
    </row>
    <row r="877" spans="2:10" ht="15.75" customHeight="1">
      <c r="B877" s="106"/>
      <c r="C877" s="107"/>
      <c r="D877" s="108"/>
      <c r="E877" s="109"/>
      <c r="F877" s="109"/>
      <c r="G877" s="110"/>
      <c r="H877" s="110"/>
      <c r="I877" s="110"/>
      <c r="J877" s="18"/>
    </row>
    <row r="878" spans="2:10" ht="15.75" customHeight="1">
      <c r="B878" s="106"/>
      <c r="C878" s="107"/>
      <c r="D878" s="108"/>
      <c r="E878" s="109"/>
      <c r="F878" s="109"/>
      <c r="G878" s="110"/>
      <c r="H878" s="110"/>
      <c r="I878" s="110"/>
      <c r="J878" s="18"/>
    </row>
    <row r="879" spans="2:10" ht="15.75" customHeight="1">
      <c r="B879" s="106"/>
      <c r="C879" s="107"/>
      <c r="D879" s="108"/>
      <c r="E879" s="109"/>
      <c r="F879" s="109"/>
      <c r="G879" s="110"/>
      <c r="H879" s="110"/>
      <c r="I879" s="110"/>
      <c r="J879" s="18"/>
    </row>
    <row r="880" spans="2:10" ht="15.75" customHeight="1">
      <c r="B880" s="106"/>
      <c r="C880" s="107"/>
      <c r="D880" s="108"/>
      <c r="E880" s="109"/>
      <c r="F880" s="109"/>
      <c r="G880" s="110"/>
      <c r="H880" s="110"/>
      <c r="I880" s="110"/>
      <c r="J880" s="18"/>
    </row>
    <row r="881" spans="2:10" ht="15.75" customHeight="1">
      <c r="B881" s="106"/>
      <c r="C881" s="107"/>
      <c r="D881" s="108"/>
      <c r="E881" s="109"/>
      <c r="F881" s="109"/>
      <c r="G881" s="110"/>
      <c r="H881" s="110"/>
      <c r="I881" s="110"/>
      <c r="J881" s="18"/>
    </row>
    <row r="882" spans="2:10" ht="15.75" customHeight="1">
      <c r="B882" s="106"/>
      <c r="C882" s="107"/>
      <c r="D882" s="108"/>
      <c r="E882" s="109"/>
      <c r="F882" s="109"/>
      <c r="G882" s="110"/>
      <c r="H882" s="110"/>
      <c r="I882" s="110"/>
      <c r="J882" s="18"/>
    </row>
    <row r="883" spans="2:10" ht="15.75" customHeight="1">
      <c r="B883" s="106"/>
      <c r="C883" s="107"/>
      <c r="D883" s="108"/>
      <c r="E883" s="109"/>
      <c r="F883" s="109"/>
      <c r="G883" s="110"/>
      <c r="H883" s="110"/>
      <c r="I883" s="110"/>
      <c r="J883" s="18"/>
    </row>
    <row r="884" spans="2:10" ht="15.75" customHeight="1">
      <c r="B884" s="106"/>
      <c r="C884" s="107"/>
      <c r="D884" s="108"/>
      <c r="E884" s="109"/>
      <c r="F884" s="109"/>
      <c r="G884" s="110"/>
      <c r="H884" s="110"/>
      <c r="I884" s="110"/>
      <c r="J884" s="18"/>
    </row>
    <row r="885" spans="2:10" ht="15.75" customHeight="1">
      <c r="B885" s="106"/>
      <c r="C885" s="107"/>
      <c r="D885" s="108"/>
      <c r="E885" s="109"/>
      <c r="F885" s="109"/>
      <c r="G885" s="110"/>
      <c r="H885" s="110"/>
      <c r="I885" s="110"/>
      <c r="J885" s="18"/>
    </row>
    <row r="886" spans="2:10" ht="15.75" customHeight="1">
      <c r="B886" s="106"/>
      <c r="C886" s="107"/>
      <c r="D886" s="108"/>
      <c r="E886" s="109"/>
      <c r="F886" s="109"/>
      <c r="G886" s="110"/>
      <c r="H886" s="110"/>
      <c r="I886" s="110"/>
      <c r="J886" s="18"/>
    </row>
    <row r="887" spans="2:10" ht="15.75" customHeight="1">
      <c r="B887" s="106"/>
      <c r="C887" s="107"/>
      <c r="D887" s="108"/>
      <c r="E887" s="109"/>
      <c r="F887" s="109"/>
      <c r="G887" s="110"/>
      <c r="H887" s="110"/>
      <c r="I887" s="110"/>
      <c r="J887" s="18"/>
    </row>
    <row r="888" spans="2:10" ht="15.75" customHeight="1">
      <c r="B888" s="106"/>
      <c r="C888" s="107"/>
      <c r="D888" s="108"/>
      <c r="E888" s="109"/>
      <c r="F888" s="109"/>
      <c r="G888" s="110"/>
      <c r="H888" s="110"/>
      <c r="I888" s="110"/>
      <c r="J888" s="18"/>
    </row>
    <row r="889" spans="2:10" ht="15.75" customHeight="1">
      <c r="B889" s="106"/>
      <c r="C889" s="107"/>
      <c r="D889" s="108"/>
      <c r="E889" s="109"/>
      <c r="F889" s="109"/>
      <c r="G889" s="110"/>
      <c r="H889" s="110"/>
      <c r="I889" s="110"/>
      <c r="J889" s="18"/>
    </row>
    <row r="890" spans="2:10" ht="15.75" customHeight="1">
      <c r="B890" s="106"/>
      <c r="C890" s="107"/>
      <c r="D890" s="108"/>
      <c r="E890" s="109"/>
      <c r="F890" s="109"/>
      <c r="G890" s="110"/>
      <c r="H890" s="110"/>
      <c r="I890" s="110"/>
      <c r="J890" s="18"/>
    </row>
    <row r="891" spans="2:10" ht="15.75" customHeight="1">
      <c r="B891" s="106"/>
      <c r="C891" s="107"/>
      <c r="D891" s="108"/>
      <c r="E891" s="109"/>
      <c r="F891" s="109"/>
      <c r="G891" s="110"/>
      <c r="H891" s="110"/>
      <c r="I891" s="110"/>
      <c r="J891" s="18"/>
    </row>
    <row r="892" spans="2:10" ht="15.75" customHeight="1">
      <c r="B892" s="106"/>
      <c r="C892" s="107"/>
      <c r="D892" s="108"/>
      <c r="E892" s="109"/>
      <c r="F892" s="109"/>
      <c r="G892" s="110"/>
      <c r="H892" s="110"/>
      <c r="I892" s="110"/>
      <c r="J892" s="18"/>
    </row>
    <row r="893" spans="2:10" ht="15.75" customHeight="1">
      <c r="B893" s="106"/>
      <c r="C893" s="107"/>
      <c r="D893" s="108"/>
      <c r="E893" s="109"/>
      <c r="F893" s="109"/>
      <c r="G893" s="110"/>
      <c r="H893" s="110"/>
      <c r="I893" s="110"/>
      <c r="J893" s="18"/>
    </row>
    <row r="894" spans="2:10" ht="15.75" customHeight="1">
      <c r="B894" s="106"/>
      <c r="C894" s="107"/>
      <c r="D894" s="108"/>
      <c r="E894" s="109"/>
      <c r="F894" s="109"/>
      <c r="G894" s="110"/>
      <c r="H894" s="110"/>
      <c r="I894" s="110"/>
      <c r="J894" s="18"/>
    </row>
    <row r="895" spans="2:10" ht="15.75" customHeight="1">
      <c r="B895" s="106"/>
      <c r="C895" s="107"/>
      <c r="D895" s="108"/>
      <c r="E895" s="109"/>
      <c r="F895" s="109"/>
      <c r="G895" s="110"/>
      <c r="H895" s="110"/>
      <c r="I895" s="110"/>
      <c r="J895" s="18"/>
    </row>
    <row r="896" spans="2:10" ht="15.75" customHeight="1">
      <c r="B896" s="106"/>
      <c r="C896" s="107"/>
      <c r="D896" s="108"/>
      <c r="E896" s="109"/>
      <c r="F896" s="109"/>
      <c r="G896" s="110"/>
      <c r="H896" s="110"/>
      <c r="I896" s="110"/>
      <c r="J896" s="18"/>
    </row>
    <row r="897" spans="2:10" ht="15.75" customHeight="1">
      <c r="B897" s="106"/>
      <c r="C897" s="107"/>
      <c r="D897" s="108"/>
      <c r="E897" s="109"/>
      <c r="F897" s="109"/>
      <c r="G897" s="110"/>
      <c r="H897" s="110"/>
      <c r="I897" s="110"/>
      <c r="J897" s="18"/>
    </row>
    <row r="898" spans="2:10" ht="15.75" customHeight="1">
      <c r="B898" s="106"/>
      <c r="C898" s="107"/>
      <c r="D898" s="108"/>
      <c r="E898" s="109"/>
      <c r="F898" s="109"/>
      <c r="G898" s="110"/>
      <c r="H898" s="110"/>
      <c r="I898" s="110"/>
      <c r="J898" s="18"/>
    </row>
    <row r="899" spans="2:10" ht="15.75" customHeight="1">
      <c r="B899" s="106"/>
      <c r="C899" s="107"/>
      <c r="D899" s="108"/>
      <c r="E899" s="109"/>
      <c r="F899" s="109"/>
      <c r="G899" s="110"/>
      <c r="H899" s="110"/>
      <c r="I899" s="110"/>
      <c r="J899" s="18"/>
    </row>
    <row r="900" spans="2:10" ht="15.75" customHeight="1">
      <c r="B900" s="106"/>
      <c r="C900" s="107"/>
      <c r="D900" s="108"/>
      <c r="E900" s="109"/>
      <c r="F900" s="109"/>
      <c r="G900" s="110"/>
      <c r="H900" s="110"/>
      <c r="I900" s="110"/>
      <c r="J900" s="18"/>
    </row>
    <row r="901" spans="2:10" ht="15.75" customHeight="1">
      <c r="B901" s="106"/>
      <c r="C901" s="107"/>
      <c r="D901" s="108"/>
      <c r="E901" s="109"/>
      <c r="F901" s="109"/>
      <c r="G901" s="110"/>
      <c r="H901" s="110"/>
      <c r="I901" s="110"/>
      <c r="J901" s="18"/>
    </row>
    <row r="902" spans="2:10" ht="15.75" customHeight="1">
      <c r="B902" s="106"/>
      <c r="C902" s="107"/>
      <c r="D902" s="108"/>
      <c r="E902" s="109"/>
      <c r="F902" s="109"/>
      <c r="G902" s="110"/>
      <c r="H902" s="110"/>
      <c r="I902" s="110"/>
      <c r="J902" s="18"/>
    </row>
    <row r="903" spans="2:10" ht="15.75" customHeight="1">
      <c r="B903" s="106"/>
      <c r="C903" s="107"/>
      <c r="D903" s="108"/>
      <c r="E903" s="109"/>
      <c r="F903" s="109"/>
      <c r="G903" s="110"/>
      <c r="H903" s="110"/>
      <c r="I903" s="110"/>
      <c r="J903" s="18"/>
    </row>
    <row r="904" spans="2:10" ht="15.75" customHeight="1">
      <c r="B904" s="106"/>
      <c r="C904" s="107"/>
      <c r="D904" s="108"/>
      <c r="E904" s="109"/>
      <c r="F904" s="109"/>
      <c r="G904" s="110"/>
      <c r="H904" s="110"/>
      <c r="I904" s="110"/>
      <c r="J904" s="18"/>
    </row>
    <row r="905" spans="2:10" ht="15.75" customHeight="1">
      <c r="B905" s="106"/>
      <c r="C905" s="107"/>
      <c r="D905" s="108"/>
      <c r="E905" s="109"/>
      <c r="F905" s="109"/>
      <c r="G905" s="110"/>
      <c r="H905" s="110"/>
      <c r="I905" s="110"/>
      <c r="J905" s="18"/>
    </row>
    <row r="906" spans="2:10" ht="15.75" customHeight="1">
      <c r="B906" s="106"/>
      <c r="C906" s="107"/>
      <c r="D906" s="108"/>
      <c r="E906" s="109"/>
      <c r="F906" s="109"/>
      <c r="G906" s="110"/>
      <c r="H906" s="110"/>
      <c r="I906" s="110"/>
      <c r="J906" s="18"/>
    </row>
    <row r="907" spans="2:10" ht="15.75" customHeight="1">
      <c r="B907" s="106"/>
      <c r="C907" s="107"/>
      <c r="D907" s="108"/>
      <c r="E907" s="109"/>
      <c r="F907" s="109"/>
      <c r="G907" s="110"/>
      <c r="H907" s="110"/>
      <c r="I907" s="110"/>
      <c r="J907" s="18"/>
    </row>
    <row r="908" spans="2:10" ht="15.75" customHeight="1">
      <c r="B908" s="106"/>
      <c r="C908" s="107"/>
      <c r="D908" s="108"/>
      <c r="E908" s="109"/>
      <c r="F908" s="109"/>
      <c r="G908" s="110"/>
      <c r="H908" s="110"/>
      <c r="I908" s="110"/>
      <c r="J908" s="18"/>
    </row>
    <row r="909" spans="2:10" ht="15.75" customHeight="1">
      <c r="B909" s="106"/>
      <c r="C909" s="107"/>
      <c r="D909" s="108"/>
      <c r="E909" s="109"/>
      <c r="F909" s="109"/>
      <c r="G909" s="110"/>
      <c r="H909" s="110"/>
      <c r="I909" s="110"/>
      <c r="J909" s="18"/>
    </row>
    <row r="910" spans="2:10" ht="15.75" customHeight="1">
      <c r="B910" s="106"/>
      <c r="C910" s="107"/>
      <c r="D910" s="108"/>
      <c r="E910" s="109"/>
      <c r="F910" s="109"/>
      <c r="G910" s="110"/>
      <c r="H910" s="110"/>
      <c r="I910" s="110"/>
      <c r="J910" s="18"/>
    </row>
    <row r="911" spans="2:10" ht="15.75" customHeight="1">
      <c r="B911" s="106"/>
      <c r="C911" s="107"/>
      <c r="D911" s="108"/>
      <c r="E911" s="109"/>
      <c r="F911" s="109"/>
      <c r="G911" s="110"/>
      <c r="H911" s="110"/>
      <c r="I911" s="110"/>
      <c r="J911" s="18"/>
    </row>
    <row r="912" spans="2:10" ht="15.75" customHeight="1">
      <c r="B912" s="106"/>
      <c r="C912" s="107"/>
      <c r="D912" s="108"/>
      <c r="E912" s="109"/>
      <c r="F912" s="109"/>
      <c r="G912" s="110"/>
      <c r="H912" s="110"/>
      <c r="I912" s="110"/>
      <c r="J912" s="18"/>
    </row>
    <row r="913" spans="2:10" ht="15.75" customHeight="1">
      <c r="B913" s="106"/>
      <c r="C913" s="107"/>
      <c r="D913" s="108"/>
      <c r="E913" s="109"/>
      <c r="F913" s="109"/>
      <c r="G913" s="110"/>
      <c r="H913" s="110"/>
      <c r="I913" s="110"/>
      <c r="J913" s="18"/>
    </row>
    <row r="914" spans="2:10" ht="15.75" customHeight="1">
      <c r="B914" s="106"/>
      <c r="C914" s="107"/>
      <c r="D914" s="108"/>
      <c r="E914" s="109"/>
      <c r="F914" s="109"/>
      <c r="G914" s="110"/>
      <c r="H914" s="110"/>
      <c r="I914" s="110"/>
      <c r="J914" s="18"/>
    </row>
    <row r="915" spans="2:10" ht="15.75" customHeight="1">
      <c r="B915" s="106"/>
      <c r="C915" s="107"/>
      <c r="D915" s="108"/>
      <c r="E915" s="109"/>
      <c r="F915" s="109"/>
      <c r="G915" s="110"/>
      <c r="H915" s="110"/>
      <c r="I915" s="110"/>
      <c r="J915" s="18"/>
    </row>
    <row r="916" spans="2:10" ht="15.75" customHeight="1">
      <c r="B916" s="106"/>
      <c r="C916" s="107"/>
      <c r="D916" s="108"/>
      <c r="E916" s="109"/>
      <c r="F916" s="109"/>
      <c r="G916" s="110"/>
      <c r="H916" s="110"/>
      <c r="I916" s="110"/>
      <c r="J916" s="18"/>
    </row>
    <row r="917" spans="2:10" ht="15.75" customHeight="1">
      <c r="B917" s="106"/>
      <c r="C917" s="107"/>
      <c r="D917" s="108"/>
      <c r="E917" s="109"/>
      <c r="F917" s="109"/>
      <c r="G917" s="110"/>
      <c r="H917" s="110"/>
      <c r="I917" s="110"/>
      <c r="J917" s="18"/>
    </row>
    <row r="918" spans="2:10" ht="15.75" customHeight="1">
      <c r="B918" s="106"/>
      <c r="C918" s="107"/>
      <c r="D918" s="108"/>
      <c r="E918" s="109"/>
      <c r="F918" s="109"/>
      <c r="G918" s="110"/>
      <c r="H918" s="110"/>
      <c r="I918" s="110"/>
      <c r="J918" s="18"/>
    </row>
    <row r="919" spans="2:10" ht="15.75" customHeight="1">
      <c r="B919" s="106"/>
      <c r="C919" s="107"/>
      <c r="D919" s="108"/>
      <c r="E919" s="109"/>
      <c r="F919" s="109"/>
      <c r="G919" s="110"/>
      <c r="H919" s="110"/>
      <c r="I919" s="110"/>
      <c r="J919" s="18"/>
    </row>
    <row r="920" spans="2:10" ht="15.75" customHeight="1">
      <c r="B920" s="106"/>
      <c r="C920" s="107"/>
      <c r="D920" s="108"/>
      <c r="E920" s="109"/>
      <c r="F920" s="109"/>
      <c r="G920" s="110"/>
      <c r="H920" s="110"/>
      <c r="I920" s="110"/>
      <c r="J920" s="18"/>
    </row>
    <row r="921" spans="2:10" ht="15.75" customHeight="1">
      <c r="B921" s="106"/>
      <c r="C921" s="107"/>
      <c r="D921" s="108"/>
      <c r="E921" s="109"/>
      <c r="F921" s="109"/>
      <c r="G921" s="110"/>
      <c r="H921" s="110"/>
      <c r="I921" s="110"/>
      <c r="J921" s="18"/>
    </row>
    <row r="922" spans="2:10" ht="15.75" customHeight="1">
      <c r="B922" s="106"/>
      <c r="C922" s="107"/>
      <c r="D922" s="108"/>
      <c r="E922" s="109"/>
      <c r="F922" s="109"/>
      <c r="G922" s="110"/>
      <c r="H922" s="110"/>
      <c r="I922" s="110"/>
      <c r="J922" s="18"/>
    </row>
    <row r="923" spans="2:10" ht="15.75" customHeight="1">
      <c r="B923" s="106"/>
      <c r="C923" s="107"/>
      <c r="D923" s="108"/>
      <c r="E923" s="109"/>
      <c r="F923" s="109"/>
      <c r="G923" s="110"/>
      <c r="H923" s="110"/>
      <c r="I923" s="110"/>
      <c r="J923" s="18"/>
    </row>
    <row r="924" spans="2:10" ht="15.75" customHeight="1">
      <c r="B924" s="106"/>
      <c r="C924" s="107"/>
      <c r="D924" s="108"/>
      <c r="E924" s="109"/>
      <c r="F924" s="109"/>
      <c r="G924" s="110"/>
      <c r="H924" s="110"/>
      <c r="I924" s="110"/>
      <c r="J924" s="18"/>
    </row>
    <row r="925" spans="2:10" ht="15.75" customHeight="1">
      <c r="B925" s="106"/>
      <c r="C925" s="107"/>
      <c r="D925" s="108"/>
      <c r="E925" s="109"/>
      <c r="F925" s="109"/>
      <c r="G925" s="110"/>
      <c r="H925" s="110"/>
      <c r="I925" s="110"/>
      <c r="J925" s="18"/>
    </row>
    <row r="926" spans="2:10" ht="15.75" customHeight="1">
      <c r="B926" s="106"/>
      <c r="C926" s="107"/>
      <c r="D926" s="108"/>
      <c r="E926" s="109"/>
      <c r="F926" s="109"/>
      <c r="G926" s="110"/>
      <c r="H926" s="110"/>
      <c r="I926" s="110"/>
      <c r="J926" s="18"/>
    </row>
    <row r="927" spans="2:10" ht="15.75" customHeight="1">
      <c r="B927" s="106"/>
      <c r="C927" s="107"/>
      <c r="D927" s="108"/>
      <c r="E927" s="109"/>
      <c r="F927" s="109"/>
      <c r="G927" s="110"/>
      <c r="H927" s="110"/>
      <c r="I927" s="110"/>
      <c r="J927" s="18"/>
    </row>
    <row r="928" spans="2:10" ht="15.75" customHeight="1">
      <c r="B928" s="106"/>
      <c r="C928" s="107"/>
      <c r="D928" s="108"/>
      <c r="E928" s="109"/>
      <c r="F928" s="109"/>
      <c r="G928" s="110"/>
      <c r="H928" s="110"/>
      <c r="I928" s="110"/>
      <c r="J928" s="18"/>
    </row>
    <row r="929" spans="2:10" ht="15.75" customHeight="1">
      <c r="B929" s="106"/>
      <c r="C929" s="107"/>
      <c r="D929" s="108"/>
      <c r="E929" s="109"/>
      <c r="F929" s="109"/>
      <c r="G929" s="110"/>
      <c r="H929" s="110"/>
      <c r="I929" s="110"/>
      <c r="J929" s="18"/>
    </row>
    <row r="930" spans="2:10" ht="15.75" customHeight="1">
      <c r="B930" s="106"/>
      <c r="C930" s="107"/>
      <c r="D930" s="108"/>
      <c r="E930" s="109"/>
      <c r="F930" s="109"/>
      <c r="G930" s="110"/>
      <c r="H930" s="110"/>
      <c r="I930" s="110"/>
      <c r="J930" s="18"/>
    </row>
    <row r="931" spans="2:10" ht="15.75" customHeight="1">
      <c r="B931" s="106"/>
      <c r="C931" s="107"/>
      <c r="D931" s="108"/>
      <c r="E931" s="109"/>
      <c r="F931" s="109"/>
      <c r="G931" s="110"/>
      <c r="H931" s="110"/>
      <c r="I931" s="110"/>
      <c r="J931" s="18"/>
    </row>
    <row r="932" spans="2:10" ht="15.75" customHeight="1">
      <c r="B932" s="106"/>
      <c r="C932" s="107"/>
      <c r="D932" s="108"/>
      <c r="E932" s="109"/>
      <c r="F932" s="109"/>
      <c r="G932" s="110"/>
      <c r="H932" s="110"/>
      <c r="I932" s="110"/>
      <c r="J932" s="18"/>
    </row>
    <row r="933" spans="2:10" ht="15.75" customHeight="1">
      <c r="B933" s="106"/>
      <c r="C933" s="107"/>
      <c r="D933" s="108"/>
      <c r="E933" s="109"/>
      <c r="F933" s="109"/>
      <c r="G933" s="110"/>
      <c r="H933" s="110"/>
      <c r="I933" s="110"/>
      <c r="J933" s="18"/>
    </row>
    <row r="934" spans="2:10" ht="15.75" customHeight="1">
      <c r="B934" s="106"/>
      <c r="C934" s="107"/>
      <c r="D934" s="108"/>
      <c r="E934" s="109"/>
      <c r="F934" s="109"/>
      <c r="G934" s="110"/>
      <c r="H934" s="110"/>
      <c r="I934" s="110"/>
      <c r="J934" s="18"/>
    </row>
    <row r="935" spans="2:10" ht="15.75" customHeight="1">
      <c r="B935" s="106"/>
      <c r="C935" s="107"/>
      <c r="D935" s="108"/>
      <c r="E935" s="109"/>
      <c r="F935" s="109"/>
      <c r="G935" s="110"/>
      <c r="H935" s="110"/>
      <c r="I935" s="110"/>
      <c r="J935" s="18"/>
    </row>
    <row r="936" spans="2:10" ht="15.75" customHeight="1">
      <c r="B936" s="106"/>
      <c r="C936" s="107"/>
      <c r="D936" s="108"/>
      <c r="E936" s="109"/>
      <c r="F936" s="109"/>
      <c r="G936" s="110"/>
      <c r="H936" s="110"/>
      <c r="I936" s="110"/>
      <c r="J936" s="18"/>
    </row>
    <row r="937" spans="2:10" ht="15.75" customHeight="1">
      <c r="B937" s="106"/>
      <c r="C937" s="107"/>
      <c r="D937" s="108"/>
      <c r="E937" s="109"/>
      <c r="F937" s="109"/>
      <c r="G937" s="110"/>
      <c r="H937" s="110"/>
      <c r="I937" s="110"/>
      <c r="J937" s="18"/>
    </row>
    <row r="938" spans="2:10" ht="15.75" customHeight="1">
      <c r="B938" s="106"/>
      <c r="C938" s="107"/>
      <c r="D938" s="108"/>
      <c r="E938" s="109"/>
      <c r="F938" s="109"/>
      <c r="G938" s="110"/>
      <c r="H938" s="110"/>
      <c r="I938" s="110"/>
      <c r="J938" s="18"/>
    </row>
    <row r="939" spans="2:10" ht="15.75" customHeight="1">
      <c r="B939" s="106"/>
      <c r="C939" s="107"/>
      <c r="D939" s="108"/>
      <c r="E939" s="109"/>
      <c r="F939" s="109"/>
      <c r="G939" s="110"/>
      <c r="H939" s="110"/>
      <c r="I939" s="110"/>
      <c r="J939" s="18"/>
    </row>
    <row r="940" spans="2:10" ht="15.75" customHeight="1">
      <c r="B940" s="106"/>
      <c r="C940" s="107"/>
      <c r="D940" s="108"/>
      <c r="E940" s="109"/>
      <c r="F940" s="109"/>
      <c r="G940" s="110"/>
      <c r="H940" s="110"/>
      <c r="I940" s="110"/>
      <c r="J940" s="18"/>
    </row>
    <row r="941" spans="2:10" ht="15.75" customHeight="1">
      <c r="B941" s="106"/>
      <c r="C941" s="107"/>
      <c r="D941" s="108"/>
      <c r="E941" s="109"/>
      <c r="F941" s="109"/>
      <c r="G941" s="110"/>
      <c r="H941" s="110"/>
      <c r="I941" s="110"/>
      <c r="J941" s="18"/>
    </row>
    <row r="942" spans="2:10" ht="15.75" customHeight="1">
      <c r="B942" s="106"/>
      <c r="C942" s="107"/>
      <c r="D942" s="108"/>
      <c r="E942" s="109"/>
      <c r="F942" s="109"/>
      <c r="G942" s="110"/>
      <c r="H942" s="110"/>
      <c r="I942" s="110"/>
      <c r="J942" s="18"/>
    </row>
    <row r="943" spans="2:10" ht="15.75" customHeight="1">
      <c r="B943" s="106"/>
      <c r="C943" s="107"/>
      <c r="D943" s="108"/>
      <c r="E943" s="109"/>
      <c r="F943" s="109"/>
      <c r="G943" s="110"/>
      <c r="H943" s="110"/>
      <c r="I943" s="110"/>
      <c r="J943" s="18"/>
    </row>
    <row r="944" spans="2:10" ht="15.75" customHeight="1">
      <c r="B944" s="106"/>
      <c r="C944" s="107"/>
      <c r="D944" s="108"/>
      <c r="E944" s="109"/>
      <c r="F944" s="109"/>
      <c r="G944" s="110"/>
      <c r="H944" s="110"/>
      <c r="I944" s="110"/>
      <c r="J944" s="18"/>
    </row>
    <row r="945" spans="2:10" ht="15.75" customHeight="1">
      <c r="B945" s="106"/>
      <c r="C945" s="107"/>
      <c r="D945" s="108"/>
      <c r="E945" s="109"/>
      <c r="F945" s="109"/>
      <c r="G945" s="110"/>
      <c r="H945" s="110"/>
      <c r="I945" s="110"/>
      <c r="J945" s="18"/>
    </row>
    <row r="946" spans="2:10" ht="15.75" customHeight="1">
      <c r="B946" s="106"/>
      <c r="C946" s="107"/>
      <c r="D946" s="108"/>
      <c r="E946" s="109"/>
      <c r="F946" s="109"/>
      <c r="G946" s="110"/>
      <c r="H946" s="110"/>
      <c r="I946" s="110"/>
      <c r="J946" s="18"/>
    </row>
    <row r="947" spans="2:10" ht="15.75" customHeight="1">
      <c r="B947" s="106"/>
      <c r="C947" s="107"/>
      <c r="D947" s="108"/>
      <c r="E947" s="109"/>
      <c r="F947" s="109"/>
      <c r="G947" s="110"/>
      <c r="H947" s="110"/>
      <c r="I947" s="110"/>
      <c r="J947" s="18"/>
    </row>
    <row r="948" spans="2:10" ht="15.75" customHeight="1">
      <c r="B948" s="106"/>
      <c r="C948" s="107"/>
      <c r="D948" s="108"/>
      <c r="E948" s="109"/>
      <c r="F948" s="109"/>
      <c r="G948" s="110"/>
      <c r="H948" s="110"/>
      <c r="I948" s="110"/>
      <c r="J948" s="18"/>
    </row>
    <row r="949" spans="2:10" ht="15.75" customHeight="1">
      <c r="B949" s="106"/>
      <c r="C949" s="107"/>
      <c r="D949" s="108"/>
      <c r="E949" s="109"/>
      <c r="F949" s="109"/>
      <c r="G949" s="110"/>
      <c r="H949" s="110"/>
      <c r="I949" s="110"/>
      <c r="J949" s="18"/>
    </row>
    <row r="950" spans="2:10" ht="15.75" customHeight="1">
      <c r="B950" s="106"/>
      <c r="C950" s="107"/>
      <c r="D950" s="108"/>
      <c r="E950" s="109"/>
      <c r="F950" s="109"/>
      <c r="G950" s="110"/>
      <c r="H950" s="110"/>
      <c r="I950" s="110"/>
      <c r="J950" s="18"/>
    </row>
    <row r="951" spans="2:10" ht="15.75" customHeight="1">
      <c r="B951" s="106"/>
      <c r="C951" s="107"/>
      <c r="D951" s="108"/>
      <c r="E951" s="109"/>
      <c r="F951" s="109"/>
      <c r="G951" s="110"/>
      <c r="H951" s="110"/>
      <c r="I951" s="110"/>
      <c r="J951" s="18"/>
    </row>
    <row r="952" spans="2:10" ht="15.75" customHeight="1">
      <c r="B952" s="106"/>
      <c r="C952" s="107"/>
      <c r="D952" s="108"/>
      <c r="E952" s="109"/>
      <c r="F952" s="109"/>
      <c r="G952" s="110"/>
      <c r="H952" s="110"/>
      <c r="I952" s="110"/>
      <c r="J952" s="18"/>
    </row>
    <row r="953" spans="2:10" ht="15.75" customHeight="1">
      <c r="B953" s="106"/>
      <c r="C953" s="107"/>
      <c r="D953" s="108"/>
      <c r="E953" s="109"/>
      <c r="F953" s="109"/>
      <c r="G953" s="110"/>
      <c r="H953" s="110"/>
      <c r="I953" s="110"/>
      <c r="J953" s="18"/>
    </row>
    <row r="954" spans="2:10" ht="15.75" customHeight="1">
      <c r="B954" s="106"/>
      <c r="C954" s="107"/>
      <c r="D954" s="108"/>
      <c r="E954" s="109"/>
      <c r="F954" s="109"/>
      <c r="G954" s="110"/>
      <c r="H954" s="110"/>
      <c r="I954" s="110"/>
      <c r="J954" s="18"/>
    </row>
    <row r="955" spans="2:10" ht="15.75" customHeight="1">
      <c r="B955" s="106"/>
      <c r="C955" s="107"/>
      <c r="D955" s="108"/>
      <c r="E955" s="109"/>
      <c r="F955" s="109"/>
      <c r="G955" s="110"/>
      <c r="H955" s="110"/>
      <c r="I955" s="110"/>
      <c r="J955" s="18"/>
    </row>
    <row r="956" spans="2:10" ht="15.75" customHeight="1">
      <c r="B956" s="106"/>
      <c r="C956" s="107"/>
      <c r="D956" s="108"/>
      <c r="E956" s="109"/>
      <c r="F956" s="109"/>
      <c r="G956" s="110"/>
      <c r="H956" s="110"/>
      <c r="I956" s="110"/>
      <c r="J956" s="18"/>
    </row>
    <row r="957" spans="2:10" ht="15.75" customHeight="1">
      <c r="B957" s="106"/>
      <c r="C957" s="107"/>
      <c r="D957" s="108"/>
      <c r="E957" s="109"/>
      <c r="F957" s="109"/>
      <c r="G957" s="110"/>
      <c r="H957" s="110"/>
      <c r="I957" s="110"/>
      <c r="J957" s="18"/>
    </row>
    <row r="958" spans="2:10" ht="15.75" customHeight="1">
      <c r="B958" s="106"/>
      <c r="C958" s="107"/>
      <c r="D958" s="108"/>
      <c r="E958" s="109"/>
      <c r="F958" s="109"/>
      <c r="G958" s="110"/>
      <c r="H958" s="110"/>
      <c r="I958" s="110"/>
      <c r="J958" s="18"/>
    </row>
    <row r="959" spans="2:10" ht="15.75" customHeight="1">
      <c r="B959" s="106"/>
      <c r="C959" s="107"/>
      <c r="D959" s="108"/>
      <c r="E959" s="109"/>
      <c r="F959" s="109"/>
      <c r="G959" s="110"/>
      <c r="H959" s="110"/>
      <c r="I959" s="110"/>
      <c r="J959" s="18"/>
    </row>
    <row r="960" spans="2:10" ht="15.75" customHeight="1">
      <c r="B960" s="106"/>
      <c r="C960" s="107"/>
      <c r="D960" s="108"/>
      <c r="E960" s="109"/>
      <c r="F960" s="109"/>
      <c r="G960" s="110"/>
      <c r="H960" s="110"/>
      <c r="I960" s="110"/>
      <c r="J960" s="18"/>
    </row>
    <row r="961" spans="2:10" ht="15.75" customHeight="1">
      <c r="B961" s="106"/>
      <c r="C961" s="107"/>
      <c r="D961" s="108"/>
      <c r="E961" s="109"/>
      <c r="F961" s="109"/>
      <c r="G961" s="110"/>
      <c r="H961" s="110"/>
      <c r="I961" s="110"/>
      <c r="J961" s="18"/>
    </row>
    <row r="962" spans="2:10" ht="15.75" customHeight="1">
      <c r="B962" s="106"/>
      <c r="C962" s="107"/>
      <c r="D962" s="108"/>
      <c r="E962" s="109"/>
      <c r="F962" s="109"/>
      <c r="G962" s="110"/>
      <c r="H962" s="110"/>
      <c r="I962" s="110"/>
      <c r="J962" s="18"/>
    </row>
    <row r="963" spans="2:10" ht="15.75" customHeight="1">
      <c r="B963" s="106"/>
      <c r="C963" s="107"/>
      <c r="D963" s="108"/>
      <c r="E963" s="109"/>
      <c r="F963" s="109"/>
      <c r="G963" s="110"/>
      <c r="H963" s="110"/>
      <c r="I963" s="110"/>
      <c r="J963" s="18"/>
    </row>
    <row r="964" spans="2:10" ht="15.75" customHeight="1">
      <c r="B964" s="106"/>
      <c r="C964" s="107"/>
      <c r="D964" s="108"/>
      <c r="E964" s="109"/>
      <c r="F964" s="109"/>
      <c r="G964" s="110"/>
      <c r="H964" s="110"/>
      <c r="I964" s="110"/>
      <c r="J964" s="18"/>
    </row>
    <row r="965" spans="2:10" ht="15.75" customHeight="1">
      <c r="B965" s="106"/>
      <c r="C965" s="107"/>
      <c r="D965" s="108"/>
      <c r="E965" s="109"/>
      <c r="F965" s="109"/>
      <c r="G965" s="110"/>
      <c r="H965" s="110"/>
      <c r="I965" s="110"/>
      <c r="J965" s="18"/>
    </row>
    <row r="966" spans="2:10" ht="15.75" customHeight="1">
      <c r="B966" s="106"/>
      <c r="C966" s="107"/>
      <c r="D966" s="108"/>
      <c r="E966" s="109"/>
      <c r="F966" s="109"/>
      <c r="G966" s="110"/>
      <c r="H966" s="110"/>
      <c r="I966" s="110"/>
      <c r="J966" s="18"/>
    </row>
    <row r="967" spans="2:10" ht="15.75" customHeight="1">
      <c r="B967" s="106"/>
      <c r="C967" s="107"/>
      <c r="D967" s="108"/>
      <c r="E967" s="109"/>
      <c r="F967" s="109"/>
      <c r="G967" s="110"/>
      <c r="H967" s="110"/>
      <c r="I967" s="110"/>
      <c r="J967" s="18"/>
    </row>
    <row r="968" spans="2:10" ht="15.75" customHeight="1">
      <c r="B968" s="106"/>
      <c r="C968" s="107"/>
      <c r="D968" s="108"/>
      <c r="E968" s="109"/>
      <c r="F968" s="109"/>
      <c r="G968" s="110"/>
      <c r="H968" s="110"/>
      <c r="I968" s="110"/>
      <c r="J968" s="18"/>
    </row>
    <row r="969" spans="2:10" ht="15.75" customHeight="1">
      <c r="B969" s="106"/>
      <c r="C969" s="107"/>
      <c r="D969" s="108"/>
      <c r="E969" s="109"/>
      <c r="F969" s="109"/>
      <c r="G969" s="110"/>
      <c r="H969" s="110"/>
      <c r="I969" s="110"/>
      <c r="J969" s="18"/>
    </row>
    <row r="970" spans="2:10" ht="15.75" customHeight="1">
      <c r="B970" s="106"/>
      <c r="C970" s="107"/>
      <c r="D970" s="108"/>
      <c r="E970" s="109"/>
      <c r="F970" s="109"/>
      <c r="G970" s="110"/>
      <c r="H970" s="110"/>
      <c r="I970" s="110"/>
      <c r="J970" s="18"/>
    </row>
    <row r="971" spans="2:10" ht="15.75" customHeight="1">
      <c r="B971" s="106"/>
      <c r="C971" s="107"/>
      <c r="D971" s="108"/>
      <c r="E971" s="109"/>
      <c r="F971" s="109"/>
      <c r="G971" s="110"/>
      <c r="H971" s="110"/>
      <c r="I971" s="110"/>
      <c r="J971" s="18"/>
    </row>
    <row r="972" spans="2:10" ht="15.75" customHeight="1">
      <c r="B972" s="106"/>
      <c r="C972" s="107"/>
      <c r="D972" s="108"/>
      <c r="E972" s="109"/>
      <c r="F972" s="109"/>
      <c r="G972" s="110"/>
      <c r="H972" s="110"/>
      <c r="I972" s="110"/>
      <c r="J972" s="18"/>
    </row>
    <row r="973" spans="2:10" ht="15.75" customHeight="1">
      <c r="B973" s="106"/>
      <c r="C973" s="107"/>
      <c r="D973" s="108"/>
      <c r="E973" s="109"/>
      <c r="F973" s="109"/>
      <c r="G973" s="110"/>
      <c r="H973" s="110"/>
      <c r="I973" s="110"/>
      <c r="J973" s="18"/>
    </row>
    <row r="974" spans="2:10" ht="15.75" customHeight="1">
      <c r="B974" s="106"/>
      <c r="C974" s="107"/>
      <c r="D974" s="108"/>
      <c r="E974" s="109"/>
      <c r="F974" s="109"/>
      <c r="G974" s="110"/>
      <c r="H974" s="110"/>
      <c r="I974" s="110"/>
      <c r="J974" s="18"/>
    </row>
    <row r="975" spans="2:10" ht="15.75" customHeight="1">
      <c r="B975" s="106"/>
      <c r="C975" s="107"/>
      <c r="D975" s="108"/>
      <c r="E975" s="109"/>
      <c r="F975" s="109"/>
      <c r="G975" s="110"/>
      <c r="H975" s="110"/>
      <c r="I975" s="110"/>
      <c r="J975" s="18"/>
    </row>
    <row r="976" spans="2:10" ht="15.75" customHeight="1">
      <c r="B976" s="106"/>
      <c r="C976" s="107"/>
      <c r="D976" s="108"/>
      <c r="E976" s="109"/>
      <c r="F976" s="109"/>
      <c r="G976" s="110"/>
      <c r="H976" s="110"/>
      <c r="I976" s="110"/>
      <c r="J976" s="18"/>
    </row>
    <row r="977" spans="2:10" ht="15.75" customHeight="1">
      <c r="B977" s="106"/>
      <c r="C977" s="107"/>
      <c r="D977" s="108"/>
      <c r="E977" s="109"/>
      <c r="F977" s="109"/>
      <c r="G977" s="110"/>
      <c r="H977" s="110"/>
      <c r="I977" s="110"/>
      <c r="J977" s="18"/>
    </row>
    <row r="978" spans="2:10" ht="15.75" customHeight="1">
      <c r="B978" s="106"/>
      <c r="C978" s="107"/>
      <c r="D978" s="108"/>
      <c r="E978" s="109"/>
      <c r="F978" s="109"/>
      <c r="G978" s="110"/>
      <c r="H978" s="110"/>
      <c r="I978" s="110"/>
      <c r="J978" s="18"/>
    </row>
    <row r="979" spans="2:10" ht="15.75" customHeight="1">
      <c r="B979" s="106"/>
      <c r="C979" s="107"/>
      <c r="D979" s="108"/>
      <c r="E979" s="109"/>
      <c r="F979" s="109"/>
      <c r="G979" s="110"/>
      <c r="H979" s="110"/>
      <c r="I979" s="110"/>
      <c r="J979" s="18"/>
    </row>
    <row r="980" spans="2:10" ht="15.75" customHeight="1">
      <c r="B980" s="106"/>
      <c r="C980" s="107"/>
      <c r="D980" s="108"/>
      <c r="E980" s="109"/>
      <c r="F980" s="109"/>
      <c r="G980" s="110"/>
      <c r="H980" s="110"/>
      <c r="I980" s="110"/>
      <c r="J980" s="18"/>
    </row>
    <row r="981" spans="2:10" ht="15.75" customHeight="1">
      <c r="B981" s="106"/>
      <c r="C981" s="107"/>
      <c r="D981" s="108"/>
      <c r="E981" s="109"/>
      <c r="F981" s="109"/>
      <c r="G981" s="110"/>
      <c r="H981" s="110"/>
      <c r="I981" s="110"/>
      <c r="J981" s="18"/>
    </row>
    <row r="982" spans="2:10" ht="15.75" customHeight="1">
      <c r="B982" s="106"/>
      <c r="C982" s="107"/>
      <c r="D982" s="108"/>
      <c r="E982" s="109"/>
      <c r="F982" s="109"/>
      <c r="G982" s="110"/>
      <c r="H982" s="110"/>
      <c r="I982" s="110"/>
      <c r="J982" s="18"/>
    </row>
    <row r="983" spans="2:10" ht="15.75" customHeight="1">
      <c r="B983" s="106"/>
      <c r="C983" s="107"/>
      <c r="D983" s="108"/>
      <c r="E983" s="109"/>
      <c r="F983" s="109"/>
      <c r="G983" s="110"/>
      <c r="H983" s="110"/>
      <c r="I983" s="110"/>
      <c r="J983" s="18"/>
    </row>
    <row r="984" spans="2:10" ht="15.75" customHeight="1">
      <c r="B984" s="106"/>
      <c r="C984" s="107"/>
      <c r="D984" s="108"/>
      <c r="E984" s="109"/>
      <c r="F984" s="109"/>
      <c r="G984" s="110"/>
      <c r="H984" s="110"/>
      <c r="I984" s="110"/>
      <c r="J984" s="18"/>
    </row>
    <row r="985" spans="2:10" ht="15.75" customHeight="1">
      <c r="B985" s="106"/>
      <c r="C985" s="107"/>
      <c r="D985" s="108"/>
      <c r="E985" s="109"/>
      <c r="F985" s="109"/>
      <c r="G985" s="110"/>
      <c r="H985" s="110"/>
      <c r="I985" s="110"/>
      <c r="J985" s="18"/>
    </row>
    <row r="986" spans="2:10" ht="15.75" customHeight="1">
      <c r="B986" s="106"/>
      <c r="C986" s="107"/>
      <c r="D986" s="108"/>
      <c r="E986" s="109"/>
      <c r="F986" s="109"/>
      <c r="G986" s="110"/>
      <c r="H986" s="110"/>
      <c r="I986" s="110"/>
      <c r="J986" s="18"/>
    </row>
    <row r="987" spans="2:10" ht="15.75" customHeight="1">
      <c r="B987" s="106"/>
      <c r="C987" s="107"/>
      <c r="D987" s="108"/>
      <c r="E987" s="109"/>
      <c r="F987" s="109"/>
      <c r="G987" s="110"/>
      <c r="H987" s="110"/>
      <c r="I987" s="110"/>
      <c r="J987" s="18"/>
    </row>
    <row r="988" spans="2:10" ht="15.75" customHeight="1">
      <c r="B988" s="106"/>
      <c r="C988" s="107"/>
      <c r="D988" s="108"/>
      <c r="E988" s="109"/>
      <c r="F988" s="109"/>
      <c r="G988" s="110"/>
      <c r="H988" s="110"/>
      <c r="I988" s="110"/>
      <c r="J988" s="18"/>
    </row>
    <row r="989" spans="2:10" ht="15.75" customHeight="1">
      <c r="B989" s="106"/>
      <c r="C989" s="107"/>
      <c r="D989" s="108"/>
      <c r="E989" s="109"/>
      <c r="F989" s="109"/>
      <c r="G989" s="110"/>
      <c r="H989" s="110"/>
      <c r="I989" s="110"/>
      <c r="J989" s="18"/>
    </row>
    <row r="990" spans="2:10" ht="15.75" customHeight="1">
      <c r="B990" s="106"/>
      <c r="C990" s="107"/>
      <c r="D990" s="108"/>
      <c r="E990" s="109"/>
      <c r="F990" s="109"/>
      <c r="G990" s="110"/>
      <c r="H990" s="110"/>
      <c r="I990" s="110"/>
      <c r="J990" s="18"/>
    </row>
    <row r="991" spans="2:10" ht="15.75" customHeight="1">
      <c r="B991" s="106"/>
      <c r="C991" s="107"/>
      <c r="D991" s="108"/>
      <c r="E991" s="109"/>
      <c r="F991" s="109"/>
      <c r="G991" s="110"/>
      <c r="H991" s="110"/>
      <c r="I991" s="110"/>
      <c r="J991" s="18"/>
    </row>
    <row r="992" spans="2:10" ht="15.75" customHeight="1">
      <c r="B992" s="106"/>
      <c r="C992" s="107"/>
      <c r="D992" s="108"/>
      <c r="E992" s="109"/>
      <c r="F992" s="109"/>
      <c r="G992" s="110"/>
      <c r="H992" s="110"/>
      <c r="I992" s="110"/>
      <c r="J992" s="18"/>
    </row>
    <row r="993" spans="2:10" ht="15.75" customHeight="1">
      <c r="B993" s="106"/>
      <c r="C993" s="107"/>
      <c r="D993" s="108"/>
      <c r="E993" s="109"/>
      <c r="F993" s="109"/>
      <c r="G993" s="110"/>
      <c r="H993" s="110"/>
      <c r="I993" s="110"/>
      <c r="J993" s="18"/>
    </row>
    <row r="994" spans="2:10" ht="15.75" customHeight="1">
      <c r="B994" s="106"/>
      <c r="C994" s="107"/>
      <c r="D994" s="108"/>
      <c r="E994" s="109"/>
      <c r="F994" s="109"/>
      <c r="G994" s="110"/>
      <c r="H994" s="110"/>
      <c r="I994" s="110"/>
      <c r="J994" s="18"/>
    </row>
    <row r="995" spans="2:10" ht="15.75" customHeight="1">
      <c r="B995" s="106"/>
      <c r="C995" s="107"/>
      <c r="D995" s="108"/>
      <c r="E995" s="109"/>
      <c r="F995" s="109"/>
      <c r="G995" s="110"/>
      <c r="H995" s="110"/>
      <c r="I995" s="110"/>
      <c r="J995" s="18"/>
    </row>
  </sheetData>
  <mergeCells count="12">
    <mergeCell ref="J36:J39"/>
    <mergeCell ref="J40:J43"/>
    <mergeCell ref="J44:J46"/>
    <mergeCell ref="J47:J48"/>
    <mergeCell ref="J49:J50"/>
    <mergeCell ref="J30:J32"/>
    <mergeCell ref="J33:J35"/>
    <mergeCell ref="J5:J7"/>
    <mergeCell ref="J8:J9"/>
    <mergeCell ref="J12:J20"/>
    <mergeCell ref="J21:J23"/>
    <mergeCell ref="J24:J29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988"/>
  <sheetViews>
    <sheetView workbookViewId="0"/>
  </sheetViews>
  <sheetFormatPr defaultColWidth="11.125" defaultRowHeight="15" customHeight="1"/>
  <cols>
    <col min="1" max="1" width="15.625" customWidth="1"/>
    <col min="2" max="2" width="9.625" customWidth="1"/>
    <col min="3" max="3" width="9.875" customWidth="1"/>
    <col min="4" max="5" width="10.125" customWidth="1"/>
    <col min="6" max="6" width="8.375" customWidth="1"/>
    <col min="7" max="7" width="11" customWidth="1"/>
    <col min="8" max="9" width="8.375" customWidth="1"/>
    <col min="10" max="10" width="8.5" customWidth="1"/>
    <col min="11" max="12" width="8" customWidth="1"/>
    <col min="13" max="14" width="10.5" customWidth="1"/>
    <col min="15" max="15" width="23" customWidth="1"/>
    <col min="16" max="16" width="26.5" customWidth="1"/>
    <col min="17" max="29" width="10.5" customWidth="1"/>
  </cols>
  <sheetData>
    <row r="1" spans="1:29" ht="15.75" customHeight="1">
      <c r="A1" s="111" t="s">
        <v>0</v>
      </c>
      <c r="B1" s="112" t="s">
        <v>170</v>
      </c>
      <c r="C1" s="113" t="s">
        <v>3</v>
      </c>
      <c r="D1" s="114" t="s">
        <v>332</v>
      </c>
      <c r="E1" s="115" t="s">
        <v>333</v>
      </c>
      <c r="F1" s="116" t="s">
        <v>334</v>
      </c>
      <c r="G1" s="116" t="s">
        <v>335</v>
      </c>
      <c r="H1" s="114" t="s">
        <v>174</v>
      </c>
      <c r="I1" s="115" t="s">
        <v>336</v>
      </c>
      <c r="J1" s="117" t="s">
        <v>337</v>
      </c>
      <c r="K1" s="118" t="s">
        <v>338</v>
      </c>
      <c r="L1" s="118" t="s">
        <v>339</v>
      </c>
      <c r="M1" s="119" t="s">
        <v>14</v>
      </c>
      <c r="N1" s="119" t="s">
        <v>12</v>
      </c>
      <c r="O1" s="120" t="s">
        <v>181</v>
      </c>
      <c r="P1" s="121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</row>
    <row r="2" spans="1:29" ht="23.25" customHeight="1">
      <c r="A2" s="122" t="s">
        <v>340</v>
      </c>
      <c r="B2" s="123">
        <v>45014</v>
      </c>
      <c r="C2" s="124">
        <v>0.41666666666666669</v>
      </c>
      <c r="D2" s="125">
        <v>45014</v>
      </c>
      <c r="E2" s="124">
        <v>0.42708333333333331</v>
      </c>
      <c r="F2" s="126">
        <v>35.5</v>
      </c>
      <c r="G2" s="126"/>
      <c r="H2" s="125">
        <v>45020</v>
      </c>
      <c r="I2" s="124">
        <v>0.6743055555555556</v>
      </c>
      <c r="J2" s="127">
        <v>77</v>
      </c>
      <c r="K2" s="127"/>
      <c r="L2" s="127">
        <f t="shared" ref="L2:L3" si="0">-(F2-J2)</f>
        <v>41.5</v>
      </c>
      <c r="M2" s="128" t="s">
        <v>28</v>
      </c>
      <c r="N2" s="128" t="s">
        <v>20</v>
      </c>
      <c r="O2" s="274" t="s">
        <v>341</v>
      </c>
      <c r="P2" s="121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</row>
    <row r="3" spans="1:29" ht="31.5" customHeight="1">
      <c r="A3" s="122" t="s">
        <v>342</v>
      </c>
      <c r="B3" s="123">
        <v>45014</v>
      </c>
      <c r="C3" s="124">
        <v>0.41666666666666669</v>
      </c>
      <c r="D3" s="125">
        <v>45014</v>
      </c>
      <c r="E3" s="124">
        <v>0.43263888888888891</v>
      </c>
      <c r="F3" s="126">
        <v>50.9</v>
      </c>
      <c r="G3" s="126"/>
      <c r="H3" s="125">
        <v>45020</v>
      </c>
      <c r="I3" s="124">
        <v>0.67777777777777781</v>
      </c>
      <c r="J3" s="127">
        <v>87.3</v>
      </c>
      <c r="K3" s="127"/>
      <c r="L3" s="127">
        <f t="shared" si="0"/>
        <v>36.4</v>
      </c>
      <c r="M3" s="128" t="s">
        <v>28</v>
      </c>
      <c r="N3" s="128" t="s">
        <v>20</v>
      </c>
      <c r="O3" s="254"/>
      <c r="P3" s="121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</row>
    <row r="4" spans="1:29" ht="15.75" customHeight="1">
      <c r="A4" s="122" t="s">
        <v>343</v>
      </c>
      <c r="B4" s="123">
        <v>45028</v>
      </c>
      <c r="C4" s="124">
        <v>0.41666666666666669</v>
      </c>
      <c r="D4" s="125">
        <v>45028</v>
      </c>
      <c r="E4" s="124">
        <v>0.47916666666666669</v>
      </c>
      <c r="F4" s="126">
        <v>6.04</v>
      </c>
      <c r="G4" s="126"/>
      <c r="H4" s="125">
        <v>45033</v>
      </c>
      <c r="I4" s="124">
        <v>0.48194444444444445</v>
      </c>
      <c r="J4" s="127">
        <v>6.46</v>
      </c>
      <c r="K4" s="127"/>
      <c r="L4" s="127"/>
      <c r="M4" s="128" t="s">
        <v>28</v>
      </c>
      <c r="N4" s="128" t="s">
        <v>20</v>
      </c>
      <c r="O4" s="129" t="s">
        <v>344</v>
      </c>
      <c r="P4" s="130"/>
    </row>
    <row r="5" spans="1:29" ht="15.75" customHeight="1">
      <c r="A5" s="131" t="s">
        <v>345</v>
      </c>
      <c r="B5" s="123">
        <v>45033</v>
      </c>
      <c r="C5" s="132">
        <v>0.58333333333333337</v>
      </c>
      <c r="D5" s="125">
        <v>45033</v>
      </c>
      <c r="E5" s="124">
        <v>0.63402777777777775</v>
      </c>
      <c r="F5" s="126">
        <v>8.68</v>
      </c>
      <c r="G5" s="126"/>
      <c r="H5" s="125">
        <v>45038</v>
      </c>
      <c r="I5" s="124">
        <v>0.68055555555555558</v>
      </c>
      <c r="J5" s="127">
        <v>8.27</v>
      </c>
      <c r="K5" s="127"/>
      <c r="L5" s="127">
        <f t="shared" ref="L5:L14" si="1">F5-J5</f>
        <v>0.41000000000000014</v>
      </c>
      <c r="M5" s="128" t="s">
        <v>21</v>
      </c>
      <c r="N5" s="128" t="s">
        <v>20</v>
      </c>
      <c r="O5" s="129"/>
      <c r="P5" s="130"/>
    </row>
    <row r="6" spans="1:29" ht="15.75" customHeight="1">
      <c r="A6" s="131" t="s">
        <v>346</v>
      </c>
      <c r="B6" s="123">
        <v>45033</v>
      </c>
      <c r="C6" s="132">
        <v>0.625</v>
      </c>
      <c r="D6" s="125">
        <v>45033</v>
      </c>
      <c r="E6" s="124">
        <v>0.68402777777777779</v>
      </c>
      <c r="F6" s="126">
        <v>8.65</v>
      </c>
      <c r="G6" s="126"/>
      <c r="H6" s="125">
        <v>45038</v>
      </c>
      <c r="I6" s="124">
        <v>0.68263888888888891</v>
      </c>
      <c r="J6" s="127">
        <v>5.89</v>
      </c>
      <c r="K6" s="127"/>
      <c r="L6" s="127">
        <f t="shared" si="1"/>
        <v>2.7600000000000007</v>
      </c>
      <c r="M6" s="128" t="s">
        <v>21</v>
      </c>
      <c r="N6" s="128" t="s">
        <v>20</v>
      </c>
      <c r="O6" s="129" t="s">
        <v>347</v>
      </c>
      <c r="P6" s="130"/>
    </row>
    <row r="7" spans="1:29" ht="15.75" customHeight="1">
      <c r="A7" s="131" t="s">
        <v>348</v>
      </c>
      <c r="B7" s="123">
        <v>45040</v>
      </c>
      <c r="C7" s="132">
        <v>0.47916666666666669</v>
      </c>
      <c r="D7" s="125">
        <v>45040</v>
      </c>
      <c r="E7" s="124">
        <v>0.55486111111111114</v>
      </c>
      <c r="F7" s="126">
        <v>6.46</v>
      </c>
      <c r="G7" s="126"/>
      <c r="H7" s="125">
        <v>45045</v>
      </c>
      <c r="I7" s="124">
        <v>0.73888888888888893</v>
      </c>
      <c r="J7" s="127">
        <v>6.82</v>
      </c>
      <c r="K7" s="127"/>
      <c r="L7" s="127">
        <f t="shared" si="1"/>
        <v>-0.36000000000000032</v>
      </c>
      <c r="M7" s="128" t="s">
        <v>21</v>
      </c>
      <c r="N7" s="128" t="s">
        <v>20</v>
      </c>
      <c r="O7" s="275" t="s">
        <v>349</v>
      </c>
      <c r="P7" s="130"/>
    </row>
    <row r="8" spans="1:29" ht="15.75" customHeight="1">
      <c r="A8" s="131" t="s">
        <v>350</v>
      </c>
      <c r="B8" s="123">
        <v>45040</v>
      </c>
      <c r="C8" s="132">
        <v>0.47916666666666669</v>
      </c>
      <c r="D8" s="125">
        <v>45040</v>
      </c>
      <c r="E8" s="124">
        <v>0.55902777777777779</v>
      </c>
      <c r="F8" s="126">
        <v>6.4</v>
      </c>
      <c r="G8" s="126"/>
      <c r="H8" s="125">
        <v>45045</v>
      </c>
      <c r="I8" s="124">
        <v>0.7416666666666667</v>
      </c>
      <c r="J8" s="127">
        <v>6.38</v>
      </c>
      <c r="K8" s="127"/>
      <c r="L8" s="127">
        <f t="shared" si="1"/>
        <v>2.0000000000000462E-2</v>
      </c>
      <c r="M8" s="128" t="s">
        <v>21</v>
      </c>
      <c r="N8" s="128" t="s">
        <v>20</v>
      </c>
      <c r="O8" s="254"/>
      <c r="P8" s="130"/>
    </row>
    <row r="9" spans="1:29" ht="15.75" customHeight="1">
      <c r="A9" s="131" t="s">
        <v>351</v>
      </c>
      <c r="B9" s="123">
        <v>45040</v>
      </c>
      <c r="C9" s="132">
        <v>0.47916666666666669</v>
      </c>
      <c r="D9" s="125">
        <v>45040</v>
      </c>
      <c r="E9" s="124">
        <v>0.56319444444444444</v>
      </c>
      <c r="F9" s="126">
        <v>6.47</v>
      </c>
      <c r="G9" s="126"/>
      <c r="H9" s="125">
        <v>45045</v>
      </c>
      <c r="I9" s="124">
        <v>0.74444444444444446</v>
      </c>
      <c r="J9" s="127">
        <v>0.69</v>
      </c>
      <c r="K9" s="127"/>
      <c r="L9" s="127">
        <f t="shared" si="1"/>
        <v>5.7799999999999994</v>
      </c>
      <c r="M9" s="128" t="s">
        <v>21</v>
      </c>
      <c r="N9" s="128" t="s">
        <v>20</v>
      </c>
      <c r="O9" s="129" t="s">
        <v>352</v>
      </c>
      <c r="P9" s="130"/>
    </row>
    <row r="10" spans="1:29" ht="15.75" customHeight="1">
      <c r="A10" s="131" t="s">
        <v>353</v>
      </c>
      <c r="B10" s="123">
        <v>45047</v>
      </c>
      <c r="C10" s="132">
        <v>0.46319444444444446</v>
      </c>
      <c r="D10" s="125">
        <v>45047</v>
      </c>
      <c r="E10" s="124">
        <v>0.65694444444444444</v>
      </c>
      <c r="F10" s="126">
        <v>7.32</v>
      </c>
      <c r="G10" s="126">
        <v>21.1</v>
      </c>
      <c r="H10" s="125">
        <v>45052</v>
      </c>
      <c r="I10" s="124" t="s">
        <v>354</v>
      </c>
      <c r="J10" s="127">
        <v>8.26</v>
      </c>
      <c r="K10" s="127"/>
      <c r="L10" s="127">
        <f t="shared" si="1"/>
        <v>-0.9399999999999995</v>
      </c>
      <c r="M10" s="128" t="s">
        <v>21</v>
      </c>
      <c r="N10" s="128" t="s">
        <v>355</v>
      </c>
      <c r="O10" s="269" t="s">
        <v>356</v>
      </c>
      <c r="P10" s="130"/>
    </row>
    <row r="11" spans="1:29" ht="15.75" customHeight="1">
      <c r="A11" s="131" t="s">
        <v>357</v>
      </c>
      <c r="B11" s="123">
        <v>45047</v>
      </c>
      <c r="C11" s="132">
        <v>0.46319444444444446</v>
      </c>
      <c r="D11" s="125">
        <v>45047</v>
      </c>
      <c r="E11" s="124">
        <v>0.65833333333333333</v>
      </c>
      <c r="F11" s="126">
        <v>7.14</v>
      </c>
      <c r="G11" s="126" t="s">
        <v>17</v>
      </c>
      <c r="H11" s="125">
        <v>45052</v>
      </c>
      <c r="I11" s="124" t="s">
        <v>358</v>
      </c>
      <c r="J11" s="127">
        <v>6.93</v>
      </c>
      <c r="K11" s="127"/>
      <c r="L11" s="127">
        <f t="shared" si="1"/>
        <v>0.20999999999999996</v>
      </c>
      <c r="M11" s="128" t="s">
        <v>21</v>
      </c>
      <c r="N11" s="128" t="s">
        <v>355</v>
      </c>
      <c r="O11" s="253"/>
      <c r="P11" s="130"/>
    </row>
    <row r="12" spans="1:29" ht="15.75" customHeight="1">
      <c r="A12" s="131" t="s">
        <v>359</v>
      </c>
      <c r="B12" s="123">
        <v>45047</v>
      </c>
      <c r="C12" s="132">
        <v>0.46319444444444446</v>
      </c>
      <c r="D12" s="125">
        <v>45047</v>
      </c>
      <c r="E12" s="124">
        <v>0.66041666666666665</v>
      </c>
      <c r="F12" s="126">
        <v>7.16</v>
      </c>
      <c r="G12" s="126">
        <v>21.3</v>
      </c>
      <c r="H12" s="125">
        <v>45052</v>
      </c>
      <c r="I12" s="124" t="s">
        <v>360</v>
      </c>
      <c r="J12" s="127">
        <v>5.73</v>
      </c>
      <c r="K12" s="127"/>
      <c r="L12" s="127">
        <f t="shared" si="1"/>
        <v>1.4299999999999997</v>
      </c>
      <c r="M12" s="128" t="s">
        <v>21</v>
      </c>
      <c r="N12" s="128" t="s">
        <v>355</v>
      </c>
      <c r="O12" s="254"/>
      <c r="P12" s="130"/>
    </row>
    <row r="13" spans="1:29" ht="15.75" customHeight="1">
      <c r="A13" s="131" t="s">
        <v>361</v>
      </c>
      <c r="B13" s="123">
        <v>45054</v>
      </c>
      <c r="C13" s="132">
        <v>0.52083333333333337</v>
      </c>
      <c r="D13" s="125">
        <v>45054</v>
      </c>
      <c r="E13" s="124">
        <v>0.60416666666666663</v>
      </c>
      <c r="F13" s="126">
        <v>8.16</v>
      </c>
      <c r="G13" s="126">
        <v>23.2</v>
      </c>
      <c r="H13" s="125">
        <v>45058</v>
      </c>
      <c r="I13" s="124">
        <v>0.66041666666666665</v>
      </c>
      <c r="J13" s="127">
        <v>7.8</v>
      </c>
      <c r="K13" s="127"/>
      <c r="L13" s="127">
        <f t="shared" si="1"/>
        <v>0.36000000000000032</v>
      </c>
      <c r="M13" s="128" t="s">
        <v>21</v>
      </c>
      <c r="N13" s="128" t="s">
        <v>355</v>
      </c>
      <c r="O13" s="269" t="s">
        <v>362</v>
      </c>
      <c r="P13" s="130"/>
    </row>
    <row r="14" spans="1:29" ht="15" customHeight="1">
      <c r="A14" s="131" t="s">
        <v>363</v>
      </c>
      <c r="B14" s="123">
        <v>45054</v>
      </c>
      <c r="C14" s="132">
        <v>0.52083333333333337</v>
      </c>
      <c r="D14" s="125">
        <v>45054</v>
      </c>
      <c r="E14" s="124">
        <v>0.60624999999999996</v>
      </c>
      <c r="F14" s="126">
        <v>8.17</v>
      </c>
      <c r="G14" s="126">
        <v>23.1</v>
      </c>
      <c r="H14" s="125">
        <v>45058</v>
      </c>
      <c r="I14" s="124">
        <v>0.66388888888888886</v>
      </c>
      <c r="J14" s="127">
        <v>6.48</v>
      </c>
      <c r="K14" s="127"/>
      <c r="L14" s="127">
        <f t="shared" si="1"/>
        <v>1.6899999999999995</v>
      </c>
      <c r="M14" s="128" t="s">
        <v>21</v>
      </c>
      <c r="N14" s="128" t="s">
        <v>355</v>
      </c>
      <c r="O14" s="254"/>
      <c r="P14" s="130"/>
    </row>
    <row r="15" spans="1:29" ht="15" customHeight="1">
      <c r="A15" s="131" t="s">
        <v>364</v>
      </c>
      <c r="B15" s="133" t="s">
        <v>17</v>
      </c>
      <c r="C15" s="133" t="s">
        <v>17</v>
      </c>
      <c r="D15" s="125">
        <v>45058</v>
      </c>
      <c r="E15" s="124">
        <v>0.63263888888888886</v>
      </c>
      <c r="F15" s="126">
        <v>8.4499999999999993</v>
      </c>
      <c r="G15" s="126">
        <v>23.1</v>
      </c>
      <c r="H15" s="125">
        <v>45063</v>
      </c>
      <c r="I15" s="124">
        <v>0.81736111111111109</v>
      </c>
      <c r="J15" s="127">
        <v>8.4499999999999993</v>
      </c>
      <c r="K15" s="127">
        <v>22</v>
      </c>
      <c r="L15" s="133" t="s">
        <v>17</v>
      </c>
      <c r="M15" s="128" t="s">
        <v>21</v>
      </c>
      <c r="N15" s="128" t="s">
        <v>20</v>
      </c>
      <c r="O15" s="129" t="s">
        <v>365</v>
      </c>
      <c r="P15" s="130"/>
    </row>
    <row r="16" spans="1:29" ht="15.75" customHeight="1">
      <c r="A16" s="131" t="s">
        <v>366</v>
      </c>
      <c r="B16" s="123">
        <v>45058</v>
      </c>
      <c r="C16" s="132">
        <v>0.37222222222222223</v>
      </c>
      <c r="D16" s="125">
        <v>45058</v>
      </c>
      <c r="E16" s="124">
        <v>0.63958333333333328</v>
      </c>
      <c r="F16" s="126">
        <v>8.1199999999999992</v>
      </c>
      <c r="G16" s="126">
        <v>16</v>
      </c>
      <c r="H16" s="125">
        <v>45063</v>
      </c>
      <c r="I16" s="124">
        <v>0.81874999999999998</v>
      </c>
      <c r="J16" s="127">
        <v>8.1300000000000008</v>
      </c>
      <c r="K16" s="127">
        <v>20.100000000000001</v>
      </c>
      <c r="L16" s="127">
        <f>-(F16-J16)</f>
        <v>1.0000000000001563E-2</v>
      </c>
      <c r="M16" s="128" t="s">
        <v>21</v>
      </c>
      <c r="N16" s="128" t="s">
        <v>20</v>
      </c>
      <c r="O16" s="270" t="s">
        <v>367</v>
      </c>
      <c r="P16" s="134" t="s">
        <v>368</v>
      </c>
    </row>
    <row r="17" spans="1:29" ht="15.75" customHeight="1">
      <c r="A17" s="131" t="s">
        <v>369</v>
      </c>
      <c r="B17" s="123">
        <v>45058</v>
      </c>
      <c r="C17" s="132">
        <v>0.37222222222222223</v>
      </c>
      <c r="D17" s="125">
        <v>45058</v>
      </c>
      <c r="E17" s="124">
        <v>0.65416666666666667</v>
      </c>
      <c r="F17" s="126">
        <v>8.5500000000000007</v>
      </c>
      <c r="G17" s="126">
        <v>21.3</v>
      </c>
      <c r="H17" s="125">
        <v>45063</v>
      </c>
      <c r="I17" s="124">
        <v>0.82152777777777775</v>
      </c>
      <c r="J17" s="127">
        <v>8.17</v>
      </c>
      <c r="K17" s="127">
        <v>20.2</v>
      </c>
      <c r="L17" s="127">
        <f t="shared" ref="L17:L18" si="2">F17-J17</f>
        <v>0.38000000000000078</v>
      </c>
      <c r="M17" s="128" t="s">
        <v>21</v>
      </c>
      <c r="N17" s="128" t="s">
        <v>20</v>
      </c>
      <c r="O17" s="253"/>
      <c r="P17" s="134" t="s">
        <v>370</v>
      </c>
    </row>
    <row r="18" spans="1:29" ht="15.75" customHeight="1">
      <c r="A18" s="131" t="s">
        <v>371</v>
      </c>
      <c r="B18" s="123">
        <v>45058</v>
      </c>
      <c r="C18" s="132">
        <v>0.37222222222222223</v>
      </c>
      <c r="D18" s="125">
        <v>45058</v>
      </c>
      <c r="E18" s="124">
        <v>0.65972222222222221</v>
      </c>
      <c r="F18" s="126">
        <v>8.6300000000000008</v>
      </c>
      <c r="G18" s="126">
        <v>17.899999999999999</v>
      </c>
      <c r="H18" s="125">
        <v>45063</v>
      </c>
      <c r="I18" s="124">
        <v>0.82291666666666663</v>
      </c>
      <c r="J18" s="127">
        <v>8.2899999999999991</v>
      </c>
      <c r="K18" s="127">
        <v>20.2</v>
      </c>
      <c r="L18" s="127">
        <f t="shared" si="2"/>
        <v>0.34000000000000163</v>
      </c>
      <c r="M18" s="128" t="s">
        <v>21</v>
      </c>
      <c r="N18" s="128" t="s">
        <v>20</v>
      </c>
      <c r="O18" s="254"/>
      <c r="P18" s="135" t="s">
        <v>372</v>
      </c>
    </row>
    <row r="19" spans="1:29" ht="15.75" customHeight="1">
      <c r="A19" s="131" t="s">
        <v>364</v>
      </c>
      <c r="B19" s="133" t="s">
        <v>17</v>
      </c>
      <c r="C19" s="133" t="s">
        <v>17</v>
      </c>
      <c r="D19" s="125">
        <v>45064</v>
      </c>
      <c r="E19" s="124">
        <v>0.63124999999999998</v>
      </c>
      <c r="F19" s="126">
        <v>8.5399999999999991</v>
      </c>
      <c r="G19" s="126">
        <v>23</v>
      </c>
      <c r="H19" s="125">
        <v>45069</v>
      </c>
      <c r="I19" s="124">
        <v>0.7055555555555556</v>
      </c>
      <c r="J19" s="127">
        <v>8.56</v>
      </c>
      <c r="K19" s="127">
        <v>22</v>
      </c>
      <c r="L19" s="127" t="s">
        <v>17</v>
      </c>
      <c r="M19" s="128" t="s">
        <v>21</v>
      </c>
      <c r="N19" s="128" t="s">
        <v>20</v>
      </c>
      <c r="O19" s="270" t="s">
        <v>373</v>
      </c>
      <c r="P19" s="272" t="s">
        <v>374</v>
      </c>
    </row>
    <row r="20" spans="1:29" ht="15.75" customHeight="1">
      <c r="A20" s="131" t="s">
        <v>375</v>
      </c>
      <c r="B20" s="123">
        <v>45064</v>
      </c>
      <c r="C20" s="132">
        <v>0.32361111111111113</v>
      </c>
      <c r="D20" s="125">
        <v>45064</v>
      </c>
      <c r="E20" s="124">
        <v>0.63263888888888886</v>
      </c>
      <c r="F20" s="126">
        <v>7.77</v>
      </c>
      <c r="G20" s="126">
        <v>21.1</v>
      </c>
      <c r="H20" s="125">
        <v>45069</v>
      </c>
      <c r="I20" s="124">
        <v>0.70694444444444449</v>
      </c>
      <c r="J20" s="127">
        <v>7.77</v>
      </c>
      <c r="K20" s="127">
        <v>20</v>
      </c>
      <c r="L20" s="127">
        <f t="shared" ref="L20:L25" si="3">F20-J20</f>
        <v>0</v>
      </c>
      <c r="M20" s="128" t="s">
        <v>21</v>
      </c>
      <c r="N20" s="128" t="s">
        <v>20</v>
      </c>
      <c r="O20" s="253"/>
      <c r="P20" s="253"/>
    </row>
    <row r="21" spans="1:29" ht="15.75" customHeight="1">
      <c r="A21" s="136" t="s">
        <v>376</v>
      </c>
      <c r="B21" s="137">
        <v>45064</v>
      </c>
      <c r="C21" s="132">
        <v>0.32361111111111113</v>
      </c>
      <c r="D21" s="125">
        <v>45064</v>
      </c>
      <c r="E21" s="124">
        <v>0.63680555555555551</v>
      </c>
      <c r="F21" s="126">
        <v>7.77</v>
      </c>
      <c r="G21" s="126">
        <v>20.8</v>
      </c>
      <c r="H21" s="125">
        <v>45069</v>
      </c>
      <c r="I21" s="124">
        <v>0.70902777777777781</v>
      </c>
      <c r="J21" s="138">
        <v>7.79</v>
      </c>
      <c r="K21" s="138">
        <v>20.100000000000001</v>
      </c>
      <c r="L21" s="138">
        <f t="shared" si="3"/>
        <v>-2.0000000000000462E-2</v>
      </c>
      <c r="M21" s="128" t="s">
        <v>21</v>
      </c>
      <c r="N21" s="139" t="s">
        <v>20</v>
      </c>
      <c r="O21" s="253"/>
      <c r="P21" s="253"/>
      <c r="Q21" s="140"/>
      <c r="R21" s="140"/>
      <c r="S21" s="140"/>
      <c r="T21" s="140"/>
      <c r="U21" s="140"/>
      <c r="V21" s="140"/>
      <c r="W21" s="140"/>
      <c r="X21" s="140"/>
      <c r="Y21" s="140"/>
      <c r="Z21" s="140"/>
      <c r="AA21" s="140"/>
      <c r="AB21" s="140"/>
      <c r="AC21" s="140"/>
    </row>
    <row r="22" spans="1:29" ht="15.75" customHeight="1">
      <c r="A22" s="136" t="s">
        <v>377</v>
      </c>
      <c r="B22" s="137">
        <v>45064</v>
      </c>
      <c r="C22" s="132">
        <v>0.39513888888888887</v>
      </c>
      <c r="D22" s="125">
        <v>45064</v>
      </c>
      <c r="E22" s="124">
        <v>0.62361111111111112</v>
      </c>
      <c r="F22" s="126">
        <v>7.58</v>
      </c>
      <c r="G22" s="126">
        <v>21</v>
      </c>
      <c r="H22" s="125">
        <v>45069</v>
      </c>
      <c r="I22" s="124">
        <v>0.70277777777777772</v>
      </c>
      <c r="J22" s="138">
        <v>7.51</v>
      </c>
      <c r="K22" s="138">
        <v>20.100000000000001</v>
      </c>
      <c r="L22" s="138">
        <f t="shared" si="3"/>
        <v>7.0000000000000284E-2</v>
      </c>
      <c r="M22" s="128" t="s">
        <v>21</v>
      </c>
      <c r="N22" s="139" t="s">
        <v>20</v>
      </c>
      <c r="O22" s="253"/>
      <c r="P22" s="253"/>
      <c r="Q22" s="140"/>
      <c r="R22" s="140"/>
      <c r="S22" s="140"/>
      <c r="T22" s="140"/>
      <c r="U22" s="140"/>
      <c r="V22" s="140"/>
      <c r="W22" s="140"/>
      <c r="X22" s="140"/>
      <c r="Y22" s="140"/>
      <c r="Z22" s="140"/>
      <c r="AA22" s="140"/>
      <c r="AB22" s="140"/>
      <c r="AC22" s="140"/>
    </row>
    <row r="23" spans="1:29" ht="15.75" customHeight="1">
      <c r="A23" s="136" t="s">
        <v>378</v>
      </c>
      <c r="B23" s="137">
        <v>45064</v>
      </c>
      <c r="C23" s="132">
        <v>0.39513888888888887</v>
      </c>
      <c r="D23" s="125">
        <v>45064</v>
      </c>
      <c r="E23" s="124">
        <v>0.62847222222222221</v>
      </c>
      <c r="F23" s="126">
        <v>7.57</v>
      </c>
      <c r="G23" s="126">
        <v>22.2</v>
      </c>
      <c r="H23" s="125">
        <v>45069</v>
      </c>
      <c r="I23" s="124">
        <v>0.70486111111111116</v>
      </c>
      <c r="J23" s="138">
        <v>7.55</v>
      </c>
      <c r="K23" s="138">
        <v>20.100000000000001</v>
      </c>
      <c r="L23" s="138">
        <f t="shared" si="3"/>
        <v>2.0000000000000462E-2</v>
      </c>
      <c r="M23" s="128" t="s">
        <v>21</v>
      </c>
      <c r="N23" s="139" t="s">
        <v>20</v>
      </c>
      <c r="O23" s="253"/>
      <c r="P23" s="253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</row>
    <row r="24" spans="1:29" ht="15.75" customHeight="1">
      <c r="A24" s="136" t="s">
        <v>379</v>
      </c>
      <c r="B24" s="137">
        <v>45064</v>
      </c>
      <c r="C24" s="132">
        <v>0.42916666666666664</v>
      </c>
      <c r="D24" s="125">
        <v>45064</v>
      </c>
      <c r="E24" s="124">
        <v>0.61527777777777781</v>
      </c>
      <c r="F24" s="126">
        <v>7.4</v>
      </c>
      <c r="G24" s="126">
        <v>21.1</v>
      </c>
      <c r="H24" s="125">
        <v>45069</v>
      </c>
      <c r="I24" s="124">
        <v>0.7006944444444444</v>
      </c>
      <c r="J24" s="138">
        <v>7.48</v>
      </c>
      <c r="K24" s="138">
        <v>19.399999999999999</v>
      </c>
      <c r="L24" s="138">
        <f t="shared" si="3"/>
        <v>-8.0000000000000071E-2</v>
      </c>
      <c r="M24" s="128" t="s">
        <v>21</v>
      </c>
      <c r="N24" s="139" t="s">
        <v>20</v>
      </c>
      <c r="O24" s="253"/>
      <c r="P24" s="253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</row>
    <row r="25" spans="1:29" ht="15.75" customHeight="1">
      <c r="A25" s="136" t="s">
        <v>380</v>
      </c>
      <c r="B25" s="137">
        <v>45064</v>
      </c>
      <c r="C25" s="132">
        <v>0.42916666666666664</v>
      </c>
      <c r="D25" s="125">
        <v>45064</v>
      </c>
      <c r="E25" s="124">
        <v>0.64027777777777772</v>
      </c>
      <c r="F25" s="126">
        <v>7.5</v>
      </c>
      <c r="G25" s="126">
        <v>20.7</v>
      </c>
      <c r="H25" s="125">
        <v>45069</v>
      </c>
      <c r="I25" s="124">
        <v>0.71111111111111114</v>
      </c>
      <c r="J25" s="138">
        <v>7.59</v>
      </c>
      <c r="K25" s="138">
        <v>20.2</v>
      </c>
      <c r="L25" s="138">
        <f t="shared" si="3"/>
        <v>-8.9999999999999858E-2</v>
      </c>
      <c r="M25" s="128" t="s">
        <v>21</v>
      </c>
      <c r="N25" s="139" t="s">
        <v>20</v>
      </c>
      <c r="O25" s="254"/>
      <c r="P25" s="254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</row>
    <row r="26" spans="1:29" ht="15.75" customHeight="1">
      <c r="A26" s="131" t="s">
        <v>364</v>
      </c>
      <c r="B26" s="133" t="s">
        <v>17</v>
      </c>
      <c r="C26" s="133" t="s">
        <v>17</v>
      </c>
      <c r="D26" s="125">
        <v>45065</v>
      </c>
      <c r="E26" s="124">
        <v>0.64166666666666672</v>
      </c>
      <c r="F26" s="126">
        <v>8.57</v>
      </c>
      <c r="G26" s="126">
        <v>23.5</v>
      </c>
      <c r="H26" s="125">
        <v>45070</v>
      </c>
      <c r="I26" s="124">
        <v>0.75208333333333333</v>
      </c>
      <c r="J26" s="127">
        <v>8.56</v>
      </c>
      <c r="K26" s="127">
        <v>22</v>
      </c>
      <c r="L26" s="133" t="s">
        <v>17</v>
      </c>
      <c r="M26" s="128" t="s">
        <v>21</v>
      </c>
      <c r="N26" s="128" t="s">
        <v>20</v>
      </c>
      <c r="O26" s="268" t="s">
        <v>381</v>
      </c>
      <c r="P26" s="130"/>
    </row>
    <row r="27" spans="1:29" ht="15.75" customHeight="1">
      <c r="A27" s="131" t="s">
        <v>382</v>
      </c>
      <c r="B27" s="123">
        <v>45065</v>
      </c>
      <c r="C27" s="132">
        <v>0.35486111111111113</v>
      </c>
      <c r="D27" s="125">
        <v>45065</v>
      </c>
      <c r="E27" s="124">
        <v>0.62777777777777777</v>
      </c>
      <c r="F27" s="126">
        <v>8.09</v>
      </c>
      <c r="G27" s="126">
        <v>20.8</v>
      </c>
      <c r="H27" s="125">
        <v>45070</v>
      </c>
      <c r="I27" s="124">
        <v>0.75347222222222221</v>
      </c>
      <c r="J27" s="138">
        <v>8.07</v>
      </c>
      <c r="K27" s="127">
        <v>19.899999999999999</v>
      </c>
      <c r="L27" s="127">
        <f t="shared" ref="L27:L30" si="4">F27-J27</f>
        <v>1.9999999999999574E-2</v>
      </c>
      <c r="M27" s="128" t="s">
        <v>21</v>
      </c>
      <c r="N27" s="128" t="s">
        <v>20</v>
      </c>
      <c r="O27" s="253"/>
      <c r="P27" s="130"/>
    </row>
    <row r="28" spans="1:29" ht="15.75" customHeight="1">
      <c r="A28" s="131" t="s">
        <v>383</v>
      </c>
      <c r="B28" s="123">
        <v>45065</v>
      </c>
      <c r="C28" s="132">
        <v>0.35486111111111113</v>
      </c>
      <c r="D28" s="125">
        <v>45065</v>
      </c>
      <c r="E28" s="124">
        <v>0.63680555555555551</v>
      </c>
      <c r="F28" s="126">
        <v>7.95</v>
      </c>
      <c r="G28" s="126">
        <v>20.5</v>
      </c>
      <c r="H28" s="125">
        <v>45070</v>
      </c>
      <c r="I28" s="124">
        <v>0.75</v>
      </c>
      <c r="J28" s="138">
        <v>7.87</v>
      </c>
      <c r="K28" s="127">
        <v>19.100000000000001</v>
      </c>
      <c r="L28" s="127">
        <f t="shared" si="4"/>
        <v>8.0000000000000071E-2</v>
      </c>
      <c r="M28" s="128" t="s">
        <v>21</v>
      </c>
      <c r="N28" s="128" t="s">
        <v>20</v>
      </c>
      <c r="O28" s="253"/>
      <c r="P28" s="130"/>
    </row>
    <row r="29" spans="1:29" ht="15.75" customHeight="1">
      <c r="A29" s="131" t="s">
        <v>384</v>
      </c>
      <c r="B29" s="123">
        <v>45065</v>
      </c>
      <c r="C29" s="132">
        <v>0.40138888888888891</v>
      </c>
      <c r="D29" s="125">
        <v>45065</v>
      </c>
      <c r="E29" s="124">
        <v>0.64027777777777772</v>
      </c>
      <c r="F29" s="126">
        <v>7.89</v>
      </c>
      <c r="G29" s="126">
        <v>20.6</v>
      </c>
      <c r="H29" s="125">
        <v>45070</v>
      </c>
      <c r="I29" s="124">
        <v>0.75138888888888888</v>
      </c>
      <c r="J29" s="138">
        <v>7.81</v>
      </c>
      <c r="K29" s="127">
        <v>19.100000000000001</v>
      </c>
      <c r="L29" s="127">
        <f t="shared" si="4"/>
        <v>8.0000000000000071E-2</v>
      </c>
      <c r="M29" s="128" t="s">
        <v>21</v>
      </c>
      <c r="N29" s="128" t="s">
        <v>20</v>
      </c>
      <c r="O29" s="253"/>
      <c r="P29" s="130"/>
    </row>
    <row r="30" spans="1:29" ht="15.75" customHeight="1">
      <c r="A30" s="131" t="s">
        <v>385</v>
      </c>
      <c r="B30" s="123">
        <v>45065</v>
      </c>
      <c r="C30" s="132">
        <v>0.40138888888888891</v>
      </c>
      <c r="D30" s="125">
        <v>45065</v>
      </c>
      <c r="E30" s="124">
        <v>0.64375000000000004</v>
      </c>
      <c r="F30" s="126">
        <v>8.09</v>
      </c>
      <c r="G30" s="126">
        <v>20.7</v>
      </c>
      <c r="H30" s="125">
        <v>45070</v>
      </c>
      <c r="I30" s="124">
        <v>0.75347222222222221</v>
      </c>
      <c r="J30" s="138">
        <v>8.07</v>
      </c>
      <c r="K30" s="127">
        <v>19.2</v>
      </c>
      <c r="L30" s="127">
        <f t="shared" si="4"/>
        <v>1.9999999999999574E-2</v>
      </c>
      <c r="M30" s="128" t="s">
        <v>21</v>
      </c>
      <c r="N30" s="128" t="s">
        <v>20</v>
      </c>
      <c r="O30" s="254"/>
      <c r="P30" s="130"/>
    </row>
    <row r="31" spans="1:29" ht="15.75" customHeight="1">
      <c r="A31" s="131" t="s">
        <v>364</v>
      </c>
      <c r="B31" s="122" t="s">
        <v>17</v>
      </c>
      <c r="C31" s="133" t="s">
        <v>17</v>
      </c>
      <c r="D31" s="125">
        <v>45068</v>
      </c>
      <c r="E31" s="124">
        <v>0.55069444444444449</v>
      </c>
      <c r="F31" s="126">
        <v>8.56</v>
      </c>
      <c r="G31" s="126">
        <v>23.5</v>
      </c>
      <c r="H31" s="125">
        <v>45073</v>
      </c>
      <c r="I31" s="141">
        <v>0.38124999999999998</v>
      </c>
      <c r="J31" s="127">
        <v>8.6199999999999992</v>
      </c>
      <c r="K31" s="127">
        <v>8.5399999999999991</v>
      </c>
      <c r="L31" s="127" t="s">
        <v>17</v>
      </c>
      <c r="M31" s="128" t="s">
        <v>21</v>
      </c>
      <c r="N31" s="128" t="s">
        <v>20</v>
      </c>
      <c r="O31" s="269" t="s">
        <v>279</v>
      </c>
      <c r="P31" s="130"/>
    </row>
    <row r="32" spans="1:29" ht="15.75" customHeight="1">
      <c r="A32" s="131" t="s">
        <v>386</v>
      </c>
      <c r="B32" s="123">
        <v>45068</v>
      </c>
      <c r="C32" s="132">
        <v>0.38194444444444442</v>
      </c>
      <c r="D32" s="125">
        <v>45068</v>
      </c>
      <c r="E32" s="124">
        <v>0.55208333333333337</v>
      </c>
      <c r="F32" s="126">
        <v>7.96</v>
      </c>
      <c r="G32" s="126">
        <v>18.8</v>
      </c>
      <c r="H32" s="125">
        <v>45073</v>
      </c>
      <c r="I32" s="141">
        <v>0.38611111111111113</v>
      </c>
      <c r="J32" s="127">
        <v>6.68</v>
      </c>
      <c r="K32" s="127">
        <v>22.7</v>
      </c>
      <c r="L32" s="127">
        <f t="shared" ref="L32:L35" si="5">F32-J32</f>
        <v>1.2800000000000002</v>
      </c>
      <c r="M32" s="128" t="s">
        <v>21</v>
      </c>
      <c r="N32" s="128" t="s">
        <v>20</v>
      </c>
      <c r="O32" s="253"/>
      <c r="P32" s="130"/>
    </row>
    <row r="33" spans="1:16" ht="15.75" customHeight="1">
      <c r="A33" s="131" t="s">
        <v>387</v>
      </c>
      <c r="B33" s="123">
        <v>45068</v>
      </c>
      <c r="C33" s="132">
        <v>0.38194444444444442</v>
      </c>
      <c r="D33" s="125">
        <v>45068</v>
      </c>
      <c r="E33" s="124">
        <v>0.55486111111111114</v>
      </c>
      <c r="F33" s="126">
        <v>8.01</v>
      </c>
      <c r="G33" s="126">
        <v>19.3</v>
      </c>
      <c r="H33" s="125">
        <v>45073</v>
      </c>
      <c r="I33" s="141">
        <v>0.38333333333333336</v>
      </c>
      <c r="J33" s="127">
        <v>7.41</v>
      </c>
      <c r="K33" s="127">
        <v>22.4</v>
      </c>
      <c r="L33" s="127">
        <f t="shared" si="5"/>
        <v>0.59999999999999964</v>
      </c>
      <c r="M33" s="128" t="s">
        <v>21</v>
      </c>
      <c r="N33" s="128" t="s">
        <v>20</v>
      </c>
      <c r="O33" s="253"/>
      <c r="P33" s="130"/>
    </row>
    <row r="34" spans="1:16" ht="15.75" customHeight="1">
      <c r="A34" s="131" t="s">
        <v>388</v>
      </c>
      <c r="B34" s="123">
        <v>45068</v>
      </c>
      <c r="C34" s="132">
        <v>0.40694444444444444</v>
      </c>
      <c r="D34" s="125">
        <v>45068</v>
      </c>
      <c r="E34" s="124">
        <v>0.55902777777777779</v>
      </c>
      <c r="F34" s="126">
        <v>7.85</v>
      </c>
      <c r="G34" s="126">
        <v>19.8</v>
      </c>
      <c r="H34" s="125">
        <v>45073</v>
      </c>
      <c r="I34" s="124">
        <v>0.38819444444444445</v>
      </c>
      <c r="J34" s="127">
        <v>6.92</v>
      </c>
      <c r="K34" s="127">
        <v>22.3</v>
      </c>
      <c r="L34" s="127">
        <f t="shared" si="5"/>
        <v>0.92999999999999972</v>
      </c>
      <c r="M34" s="128" t="s">
        <v>21</v>
      </c>
      <c r="N34" s="128" t="s">
        <v>20</v>
      </c>
      <c r="O34" s="253"/>
      <c r="P34" s="130"/>
    </row>
    <row r="35" spans="1:16" ht="15.75" customHeight="1">
      <c r="A35" s="131" t="s">
        <v>389</v>
      </c>
      <c r="B35" s="123">
        <v>45068</v>
      </c>
      <c r="C35" s="132">
        <v>0.40694444444444444</v>
      </c>
      <c r="D35" s="125">
        <v>45068</v>
      </c>
      <c r="E35" s="124">
        <v>0.56388888888888888</v>
      </c>
      <c r="F35" s="126">
        <v>7.55</v>
      </c>
      <c r="G35" s="126">
        <v>20.399999999999999</v>
      </c>
      <c r="H35" s="125">
        <v>45073</v>
      </c>
      <c r="I35" s="124">
        <v>0.3888888888888889</v>
      </c>
      <c r="J35" s="127">
        <v>6.7</v>
      </c>
      <c r="K35" s="127">
        <v>22.4</v>
      </c>
      <c r="L35" s="127">
        <f t="shared" si="5"/>
        <v>0.84999999999999964</v>
      </c>
      <c r="M35" s="128" t="s">
        <v>21</v>
      </c>
      <c r="N35" s="128" t="s">
        <v>20</v>
      </c>
      <c r="O35" s="254"/>
      <c r="P35" s="130"/>
    </row>
    <row r="36" spans="1:16" ht="15.75" customHeight="1">
      <c r="A36" s="131" t="s">
        <v>364</v>
      </c>
      <c r="B36" s="133" t="s">
        <v>17</v>
      </c>
      <c r="C36" s="133" t="s">
        <v>17</v>
      </c>
      <c r="D36" s="125">
        <v>45070</v>
      </c>
      <c r="E36" s="124">
        <v>0.55763888888888891</v>
      </c>
      <c r="F36" s="126">
        <v>8.5299999999999994</v>
      </c>
      <c r="G36" s="126">
        <v>23.5</v>
      </c>
      <c r="H36" s="125">
        <v>45075</v>
      </c>
      <c r="I36" s="124">
        <v>0.39444444444444443</v>
      </c>
      <c r="J36" s="127">
        <v>8.5399999999999991</v>
      </c>
      <c r="K36" s="127">
        <v>23.4</v>
      </c>
      <c r="L36" s="127" t="s">
        <v>17</v>
      </c>
      <c r="M36" s="128" t="s">
        <v>21</v>
      </c>
      <c r="N36" s="128" t="s">
        <v>20</v>
      </c>
      <c r="O36" s="270" t="s">
        <v>283</v>
      </c>
      <c r="P36" s="130"/>
    </row>
    <row r="37" spans="1:16" ht="15.75" customHeight="1">
      <c r="A37" s="131" t="s">
        <v>390</v>
      </c>
      <c r="B37" s="123">
        <v>45070</v>
      </c>
      <c r="C37" s="132">
        <v>0.31944444444444442</v>
      </c>
      <c r="D37" s="125">
        <v>45070</v>
      </c>
      <c r="E37" s="124">
        <v>0.55902777777777779</v>
      </c>
      <c r="F37" s="126">
        <v>7.85</v>
      </c>
      <c r="G37" s="126">
        <v>19.8</v>
      </c>
      <c r="H37" s="125">
        <v>45075</v>
      </c>
      <c r="I37" s="124">
        <v>0.39583333333333331</v>
      </c>
      <c r="J37" s="127">
        <v>6.3</v>
      </c>
      <c r="K37" s="127">
        <v>21.1</v>
      </c>
      <c r="L37" s="127">
        <f t="shared" ref="L37:L54" si="6">F37-J37</f>
        <v>1.5499999999999998</v>
      </c>
      <c r="M37" s="128" t="s">
        <v>21</v>
      </c>
      <c r="N37" s="128" t="s">
        <v>20</v>
      </c>
      <c r="O37" s="253"/>
      <c r="P37" s="130"/>
    </row>
    <row r="38" spans="1:16" ht="15.75" customHeight="1">
      <c r="A38" s="131" t="s">
        <v>391</v>
      </c>
      <c r="B38" s="123">
        <v>45070</v>
      </c>
      <c r="C38" s="132">
        <v>0.31944444444444442</v>
      </c>
      <c r="D38" s="125">
        <v>45070</v>
      </c>
      <c r="E38" s="124">
        <v>0.56388888888888888</v>
      </c>
      <c r="F38" s="126">
        <v>7.55</v>
      </c>
      <c r="G38" s="126">
        <v>20.399999999999999</v>
      </c>
      <c r="H38" s="125">
        <v>45075</v>
      </c>
      <c r="I38" s="124">
        <v>0.40138888888888891</v>
      </c>
      <c r="J38" s="127">
        <v>6.14</v>
      </c>
      <c r="K38" s="127">
        <v>21.3</v>
      </c>
      <c r="L38" s="127">
        <f t="shared" si="6"/>
        <v>1.4100000000000001</v>
      </c>
      <c r="M38" s="128" t="s">
        <v>21</v>
      </c>
      <c r="N38" s="128" t="s">
        <v>20</v>
      </c>
      <c r="O38" s="253"/>
      <c r="P38" s="130"/>
    </row>
    <row r="39" spans="1:16" ht="15.75" customHeight="1">
      <c r="A39" s="131" t="s">
        <v>392</v>
      </c>
      <c r="B39" s="123">
        <v>45070</v>
      </c>
      <c r="C39" s="132">
        <v>0.35833333333333334</v>
      </c>
      <c r="D39" s="125">
        <v>45070</v>
      </c>
      <c r="E39" s="124">
        <v>0.55902777777777779</v>
      </c>
      <c r="F39" s="126">
        <v>7.85</v>
      </c>
      <c r="G39" s="126">
        <v>19.8</v>
      </c>
      <c r="H39" s="125">
        <v>45075</v>
      </c>
      <c r="I39" s="124">
        <v>0.38541666666666669</v>
      </c>
      <c r="J39" s="127">
        <v>6.68</v>
      </c>
      <c r="K39" s="127">
        <v>20.9</v>
      </c>
      <c r="L39" s="127">
        <f t="shared" si="6"/>
        <v>1.17</v>
      </c>
      <c r="M39" s="128" t="s">
        <v>21</v>
      </c>
      <c r="N39" s="128" t="s">
        <v>20</v>
      </c>
      <c r="O39" s="253"/>
      <c r="P39" s="130"/>
    </row>
    <row r="40" spans="1:16" ht="15.75" customHeight="1">
      <c r="A40" s="131" t="s">
        <v>393</v>
      </c>
      <c r="B40" s="123">
        <v>45070</v>
      </c>
      <c r="C40" s="132">
        <v>0.35833333333333334</v>
      </c>
      <c r="D40" s="125">
        <v>45070</v>
      </c>
      <c r="E40" s="124">
        <v>0.56388888888888888</v>
      </c>
      <c r="F40" s="126">
        <v>7.55</v>
      </c>
      <c r="G40" s="126">
        <v>20.399999999999999</v>
      </c>
      <c r="H40" s="125">
        <v>45075</v>
      </c>
      <c r="I40" s="124">
        <v>0.39097222222222222</v>
      </c>
      <c r="J40" s="127">
        <v>6.15</v>
      </c>
      <c r="K40" s="127">
        <v>21</v>
      </c>
      <c r="L40" s="127">
        <f t="shared" si="6"/>
        <v>1.3999999999999995</v>
      </c>
      <c r="M40" s="128" t="s">
        <v>21</v>
      </c>
      <c r="N40" s="128" t="s">
        <v>20</v>
      </c>
      <c r="O40" s="253"/>
      <c r="P40" s="130"/>
    </row>
    <row r="41" spans="1:16" ht="15.75" customHeight="1">
      <c r="A41" s="131" t="s">
        <v>394</v>
      </c>
      <c r="B41" s="123">
        <v>45070</v>
      </c>
      <c r="C41" s="132">
        <v>0.39027777777777778</v>
      </c>
      <c r="D41" s="125">
        <v>45070</v>
      </c>
      <c r="E41" s="124">
        <v>0.79583333333333328</v>
      </c>
      <c r="F41" s="126">
        <v>8.26</v>
      </c>
      <c r="G41" s="126">
        <v>20.5</v>
      </c>
      <c r="H41" s="125">
        <v>45075</v>
      </c>
      <c r="I41" s="124">
        <v>0.40555555555555556</v>
      </c>
      <c r="J41" s="127">
        <v>6.09</v>
      </c>
      <c r="K41" s="127">
        <v>21.5</v>
      </c>
      <c r="L41" s="127">
        <f t="shared" si="6"/>
        <v>2.17</v>
      </c>
      <c r="M41" s="128" t="s">
        <v>21</v>
      </c>
      <c r="N41" s="128" t="s">
        <v>20</v>
      </c>
      <c r="O41" s="253"/>
      <c r="P41" s="130"/>
    </row>
    <row r="42" spans="1:16" ht="15.75" customHeight="1">
      <c r="A42" s="131" t="s">
        <v>395</v>
      </c>
      <c r="B42" s="123">
        <v>45070</v>
      </c>
      <c r="C42" s="132">
        <v>0.39027777777777778</v>
      </c>
      <c r="D42" s="125">
        <v>45070</v>
      </c>
      <c r="E42" s="124">
        <v>0.7993055555555556</v>
      </c>
      <c r="F42" s="126">
        <v>8.35</v>
      </c>
      <c r="G42" s="126">
        <v>21</v>
      </c>
      <c r="H42" s="125">
        <v>45075</v>
      </c>
      <c r="I42" s="124">
        <v>0.39861111111111114</v>
      </c>
      <c r="J42" s="127">
        <v>6.13</v>
      </c>
      <c r="K42" s="127">
        <v>21.1</v>
      </c>
      <c r="L42" s="127">
        <f t="shared" si="6"/>
        <v>2.2199999999999998</v>
      </c>
      <c r="M42" s="128" t="s">
        <v>21</v>
      </c>
      <c r="N42" s="128" t="s">
        <v>20</v>
      </c>
      <c r="O42" s="253"/>
      <c r="P42" s="130"/>
    </row>
    <row r="43" spans="1:16" ht="15.75" customHeight="1">
      <c r="A43" s="131" t="s">
        <v>396</v>
      </c>
      <c r="B43" s="123">
        <v>45070</v>
      </c>
      <c r="C43" s="132">
        <v>0.41666666666666669</v>
      </c>
      <c r="D43" s="125">
        <v>45070</v>
      </c>
      <c r="E43" s="124">
        <v>0.78125</v>
      </c>
      <c r="F43" s="126">
        <v>8.35</v>
      </c>
      <c r="G43" s="126">
        <v>19.899999999999999</v>
      </c>
      <c r="H43" s="125">
        <v>45075</v>
      </c>
      <c r="I43" s="124">
        <v>0.3972222222222222</v>
      </c>
      <c r="J43" s="127">
        <v>6.06</v>
      </c>
      <c r="K43" s="127">
        <v>21.1</v>
      </c>
      <c r="L43" s="127">
        <f t="shared" si="6"/>
        <v>2.29</v>
      </c>
      <c r="M43" s="128" t="s">
        <v>21</v>
      </c>
      <c r="N43" s="128" t="s">
        <v>20</v>
      </c>
      <c r="O43" s="253"/>
      <c r="P43" s="130"/>
    </row>
    <row r="44" spans="1:16" ht="15.75" customHeight="1">
      <c r="A44" s="131" t="s">
        <v>397</v>
      </c>
      <c r="B44" s="123">
        <v>45070</v>
      </c>
      <c r="C44" s="132">
        <v>0.41666666666666669</v>
      </c>
      <c r="D44" s="125">
        <v>45070</v>
      </c>
      <c r="E44" s="124">
        <v>0.78263888888888888</v>
      </c>
      <c r="F44" s="126">
        <v>8.31</v>
      </c>
      <c r="G44" s="126">
        <v>20.7</v>
      </c>
      <c r="H44" s="125">
        <v>45075</v>
      </c>
      <c r="I44" s="124">
        <v>0.39930555555555558</v>
      </c>
      <c r="J44" s="127">
        <v>6.12</v>
      </c>
      <c r="K44" s="127">
        <v>21.3</v>
      </c>
      <c r="L44" s="127">
        <f t="shared" si="6"/>
        <v>2.1900000000000004</v>
      </c>
      <c r="M44" s="128" t="s">
        <v>21</v>
      </c>
      <c r="N44" s="128" t="s">
        <v>20</v>
      </c>
      <c r="O44" s="253"/>
      <c r="P44" s="130"/>
    </row>
    <row r="45" spans="1:16" ht="15.75" customHeight="1">
      <c r="A45" s="131" t="s">
        <v>398</v>
      </c>
      <c r="B45" s="123">
        <v>45070</v>
      </c>
      <c r="C45" s="132">
        <v>0.44930555555555557</v>
      </c>
      <c r="D45" s="125">
        <v>45070</v>
      </c>
      <c r="E45" s="132">
        <v>0.78611111111111109</v>
      </c>
      <c r="F45" s="126">
        <v>8.61</v>
      </c>
      <c r="G45" s="126">
        <v>20.6</v>
      </c>
      <c r="H45" s="125">
        <v>45075</v>
      </c>
      <c r="I45" s="124">
        <v>0.40277777777777779</v>
      </c>
      <c r="J45" s="127">
        <v>6.28</v>
      </c>
      <c r="K45" s="127">
        <v>21.1</v>
      </c>
      <c r="L45" s="127">
        <f t="shared" si="6"/>
        <v>2.3299999999999992</v>
      </c>
      <c r="M45" s="128" t="s">
        <v>21</v>
      </c>
      <c r="N45" s="128" t="s">
        <v>20</v>
      </c>
      <c r="O45" s="253"/>
      <c r="P45" s="130"/>
    </row>
    <row r="46" spans="1:16" ht="15.75" customHeight="1">
      <c r="A46" s="131" t="s">
        <v>399</v>
      </c>
      <c r="B46" s="123">
        <v>45070</v>
      </c>
      <c r="C46" s="132">
        <v>0.44930555555555557</v>
      </c>
      <c r="D46" s="125">
        <v>45070</v>
      </c>
      <c r="E46" s="124">
        <v>0.80833333333333335</v>
      </c>
      <c r="F46" s="126">
        <v>8.4499999999999993</v>
      </c>
      <c r="G46" s="126">
        <v>20.8</v>
      </c>
      <c r="H46" s="125">
        <v>45075</v>
      </c>
      <c r="I46" s="124">
        <v>0.39444444444444443</v>
      </c>
      <c r="J46" s="127">
        <v>6.24</v>
      </c>
      <c r="K46" s="127">
        <v>20.9</v>
      </c>
      <c r="L46" s="127">
        <f t="shared" si="6"/>
        <v>2.2099999999999991</v>
      </c>
      <c r="M46" s="128" t="s">
        <v>21</v>
      </c>
      <c r="N46" s="128" t="s">
        <v>20</v>
      </c>
      <c r="O46" s="253"/>
      <c r="P46" s="130"/>
    </row>
    <row r="47" spans="1:16" ht="15.75" customHeight="1">
      <c r="A47" s="131" t="s">
        <v>400</v>
      </c>
      <c r="B47" s="123">
        <v>45070</v>
      </c>
      <c r="C47" s="132">
        <v>0.49166666666666664</v>
      </c>
      <c r="D47" s="125">
        <v>45070</v>
      </c>
      <c r="E47" s="124">
        <v>0.81597222222222221</v>
      </c>
      <c r="F47" s="126">
        <v>8.5500000000000007</v>
      </c>
      <c r="G47" s="126">
        <v>20.5</v>
      </c>
      <c r="H47" s="125">
        <v>45075</v>
      </c>
      <c r="I47" s="124">
        <v>0.38333333333333336</v>
      </c>
      <c r="J47" s="127">
        <v>7.17</v>
      </c>
      <c r="K47" s="127">
        <v>20.399999999999999</v>
      </c>
      <c r="L47" s="127">
        <f t="shared" si="6"/>
        <v>1.3800000000000008</v>
      </c>
      <c r="M47" s="128" t="s">
        <v>21</v>
      </c>
      <c r="N47" s="128" t="s">
        <v>20</v>
      </c>
      <c r="O47" s="253"/>
      <c r="P47" s="130"/>
    </row>
    <row r="48" spans="1:16" ht="15.75" customHeight="1">
      <c r="A48" s="131" t="s">
        <v>401</v>
      </c>
      <c r="B48" s="123">
        <v>45070</v>
      </c>
      <c r="C48" s="132">
        <v>0.49166666666666664</v>
      </c>
      <c r="D48" s="125">
        <v>45070</v>
      </c>
      <c r="E48" s="124">
        <v>0.81805555555555554</v>
      </c>
      <c r="F48" s="126">
        <v>8.43</v>
      </c>
      <c r="G48" s="126">
        <v>21.3</v>
      </c>
      <c r="H48" s="125">
        <v>45075</v>
      </c>
      <c r="I48" s="124">
        <v>0.38124999999999998</v>
      </c>
      <c r="J48" s="127">
        <v>6.94</v>
      </c>
      <c r="K48" s="127">
        <v>20.8</v>
      </c>
      <c r="L48" s="127">
        <f t="shared" si="6"/>
        <v>1.4899999999999993</v>
      </c>
      <c r="M48" s="128" t="s">
        <v>21</v>
      </c>
      <c r="N48" s="128" t="s">
        <v>20</v>
      </c>
      <c r="O48" s="253"/>
      <c r="P48" s="130"/>
    </row>
    <row r="49" spans="1:16" ht="15.75" customHeight="1">
      <c r="A49" s="131" t="s">
        <v>402</v>
      </c>
      <c r="B49" s="123">
        <v>45070</v>
      </c>
      <c r="C49" s="132">
        <v>0.5180555555555556</v>
      </c>
      <c r="D49" s="125">
        <v>45070</v>
      </c>
      <c r="E49" s="124">
        <v>0.81111111111111112</v>
      </c>
      <c r="F49" s="126">
        <v>8.51</v>
      </c>
      <c r="G49" s="126">
        <v>21.3</v>
      </c>
      <c r="H49" s="125">
        <v>45075</v>
      </c>
      <c r="I49" s="124">
        <v>0.38819444444444445</v>
      </c>
      <c r="J49" s="127">
        <v>6.42</v>
      </c>
      <c r="K49" s="127">
        <v>20.399999999999999</v>
      </c>
      <c r="L49" s="127">
        <f t="shared" si="6"/>
        <v>2.09</v>
      </c>
      <c r="M49" s="128" t="s">
        <v>21</v>
      </c>
      <c r="N49" s="128" t="s">
        <v>20</v>
      </c>
      <c r="O49" s="253"/>
      <c r="P49" s="130"/>
    </row>
    <row r="50" spans="1:16" ht="15.75" customHeight="1">
      <c r="A50" s="131" t="s">
        <v>403</v>
      </c>
      <c r="B50" s="123">
        <v>45070</v>
      </c>
      <c r="C50" s="132">
        <v>0.5180555555555556</v>
      </c>
      <c r="D50" s="125">
        <v>45070</v>
      </c>
      <c r="E50" s="124">
        <v>0.81388888888888888</v>
      </c>
      <c r="F50" s="126">
        <v>8.48</v>
      </c>
      <c r="G50" s="126">
        <v>21.5</v>
      </c>
      <c r="H50" s="125">
        <v>45075</v>
      </c>
      <c r="I50" s="124">
        <v>0.40416666666666667</v>
      </c>
      <c r="J50" s="127">
        <v>6.07</v>
      </c>
      <c r="K50" s="127">
        <v>21.05</v>
      </c>
      <c r="L50" s="127">
        <f t="shared" si="6"/>
        <v>2.41</v>
      </c>
      <c r="M50" s="128" t="s">
        <v>21</v>
      </c>
      <c r="N50" s="128" t="s">
        <v>20</v>
      </c>
      <c r="O50" s="253"/>
      <c r="P50" s="130"/>
    </row>
    <row r="51" spans="1:16" ht="15.75" customHeight="1">
      <c r="A51" s="131" t="s">
        <v>404</v>
      </c>
      <c r="B51" s="123">
        <v>45070</v>
      </c>
      <c r="C51" s="132">
        <v>0.55833333333333335</v>
      </c>
      <c r="D51" s="125">
        <v>45070</v>
      </c>
      <c r="E51" s="124">
        <v>0.82152777777777775</v>
      </c>
      <c r="F51" s="126">
        <v>8.6</v>
      </c>
      <c r="G51" s="126">
        <v>21.5</v>
      </c>
      <c r="H51" s="125">
        <v>45075</v>
      </c>
      <c r="I51" s="124">
        <v>0.3923611111111111</v>
      </c>
      <c r="J51" s="127">
        <v>6.32</v>
      </c>
      <c r="K51" s="127">
        <v>20.09</v>
      </c>
      <c r="L51" s="127">
        <f t="shared" si="6"/>
        <v>2.2799999999999994</v>
      </c>
      <c r="M51" s="128" t="s">
        <v>21</v>
      </c>
      <c r="N51" s="128" t="s">
        <v>20</v>
      </c>
      <c r="O51" s="253"/>
      <c r="P51" s="130"/>
    </row>
    <row r="52" spans="1:16" ht="15.75" customHeight="1">
      <c r="A52" s="131" t="s">
        <v>405</v>
      </c>
      <c r="B52" s="123">
        <v>45070</v>
      </c>
      <c r="C52" s="132">
        <v>0.55833333333333335</v>
      </c>
      <c r="D52" s="125">
        <v>45070</v>
      </c>
      <c r="E52" s="124">
        <v>0.82430555555555551</v>
      </c>
      <c r="F52" s="126">
        <v>8.34</v>
      </c>
      <c r="G52" s="126">
        <v>21.6</v>
      </c>
      <c r="H52" s="125">
        <v>45075</v>
      </c>
      <c r="I52" s="124">
        <v>0.38680555555555557</v>
      </c>
      <c r="J52" s="127">
        <v>6.45</v>
      </c>
      <c r="K52" s="127">
        <v>20.7</v>
      </c>
      <c r="L52" s="127">
        <f t="shared" si="6"/>
        <v>1.8899999999999997</v>
      </c>
      <c r="M52" s="128" t="s">
        <v>21</v>
      </c>
      <c r="N52" s="128" t="s">
        <v>20</v>
      </c>
      <c r="O52" s="253"/>
      <c r="P52" s="130"/>
    </row>
    <row r="53" spans="1:16" ht="15.75" customHeight="1">
      <c r="A53" s="131" t="s">
        <v>406</v>
      </c>
      <c r="B53" s="123">
        <v>45070</v>
      </c>
      <c r="C53" s="132">
        <v>0.57916666666666672</v>
      </c>
      <c r="D53" s="125">
        <v>45070</v>
      </c>
      <c r="E53" s="124">
        <v>0.82986111111111116</v>
      </c>
      <c r="F53" s="126">
        <v>8.33</v>
      </c>
      <c r="G53" s="126">
        <v>21.9</v>
      </c>
      <c r="H53" s="125">
        <v>45075</v>
      </c>
      <c r="I53" s="124">
        <v>0.39166666666666666</v>
      </c>
      <c r="J53" s="127">
        <v>6.05</v>
      </c>
      <c r="K53" s="127">
        <v>20.9</v>
      </c>
      <c r="L53" s="127">
        <f t="shared" si="6"/>
        <v>2.2800000000000002</v>
      </c>
      <c r="M53" s="128" t="s">
        <v>21</v>
      </c>
      <c r="N53" s="128" t="s">
        <v>20</v>
      </c>
      <c r="O53" s="254"/>
      <c r="P53" s="130"/>
    </row>
    <row r="54" spans="1:16" ht="15.75" customHeight="1">
      <c r="A54" s="131" t="s">
        <v>407</v>
      </c>
      <c r="B54" s="123">
        <v>45070</v>
      </c>
      <c r="C54" s="132">
        <v>0.57916666666666672</v>
      </c>
      <c r="D54" s="125">
        <v>45070</v>
      </c>
      <c r="E54" s="124">
        <v>0.82708333333333328</v>
      </c>
      <c r="F54" s="126">
        <v>8.23</v>
      </c>
      <c r="G54" s="126">
        <v>22</v>
      </c>
      <c r="H54" s="125">
        <v>45075</v>
      </c>
      <c r="I54" s="124">
        <v>0.38958333333333334</v>
      </c>
      <c r="J54" s="127">
        <v>6.11</v>
      </c>
      <c r="K54" s="127">
        <v>20.5</v>
      </c>
      <c r="L54" s="127">
        <f t="shared" si="6"/>
        <v>2.12</v>
      </c>
      <c r="M54" s="128" t="s">
        <v>21</v>
      </c>
      <c r="N54" s="128" t="s">
        <v>20</v>
      </c>
      <c r="O54" s="269" t="s">
        <v>408</v>
      </c>
      <c r="P54" s="130"/>
    </row>
    <row r="55" spans="1:16" ht="15.75" customHeight="1">
      <c r="A55" s="131" t="s">
        <v>364</v>
      </c>
      <c r="B55" s="122" t="s">
        <v>17</v>
      </c>
      <c r="C55" s="133" t="s">
        <v>17</v>
      </c>
      <c r="D55" s="125">
        <v>45071</v>
      </c>
      <c r="E55" s="142">
        <v>0.63888888888888884</v>
      </c>
      <c r="F55" s="126">
        <v>8.56</v>
      </c>
      <c r="G55" s="126">
        <v>23.5</v>
      </c>
      <c r="H55" s="125">
        <v>45076</v>
      </c>
      <c r="I55" s="124">
        <v>0.41944444444444445</v>
      </c>
      <c r="J55" s="127">
        <v>8.5399999999999991</v>
      </c>
      <c r="K55" s="127">
        <v>23.4</v>
      </c>
      <c r="L55" s="127" t="s">
        <v>17</v>
      </c>
      <c r="M55" s="128" t="s">
        <v>21</v>
      </c>
      <c r="N55" s="128" t="s">
        <v>20</v>
      </c>
      <c r="O55" s="253"/>
      <c r="P55" s="130"/>
    </row>
    <row r="56" spans="1:16" ht="15.75" customHeight="1">
      <c r="A56" s="131" t="s">
        <v>409</v>
      </c>
      <c r="B56" s="123">
        <v>45071</v>
      </c>
      <c r="C56" s="132">
        <v>0.36319444444444443</v>
      </c>
      <c r="D56" s="125">
        <v>45071</v>
      </c>
      <c r="E56" s="124">
        <v>0.64375000000000004</v>
      </c>
      <c r="F56" s="126">
        <v>7.93</v>
      </c>
      <c r="G56" s="126">
        <v>20.5</v>
      </c>
      <c r="H56" s="125">
        <v>45076</v>
      </c>
      <c r="I56" s="124">
        <v>0.42083333333333334</v>
      </c>
      <c r="J56" s="127">
        <v>6.82</v>
      </c>
      <c r="K56" s="127">
        <v>22.4</v>
      </c>
      <c r="L56" s="127">
        <f t="shared" ref="L56:L61" si="7">F56-J56</f>
        <v>1.1099999999999994</v>
      </c>
      <c r="M56" s="128" t="s">
        <v>21</v>
      </c>
      <c r="N56" s="128" t="s">
        <v>20</v>
      </c>
      <c r="O56" s="253"/>
      <c r="P56" s="130"/>
    </row>
    <row r="57" spans="1:16" ht="15.75" customHeight="1">
      <c r="A57" s="131" t="s">
        <v>410</v>
      </c>
      <c r="B57" s="123">
        <v>45071</v>
      </c>
      <c r="C57" s="132">
        <v>0.36319444444444443</v>
      </c>
      <c r="D57" s="125">
        <v>45071</v>
      </c>
      <c r="E57" s="124">
        <v>0.6479166666666667</v>
      </c>
      <c r="F57" s="126">
        <v>8.15</v>
      </c>
      <c r="G57" s="126">
        <v>20.399999999999999</v>
      </c>
      <c r="H57" s="125">
        <v>45076</v>
      </c>
      <c r="I57" s="124">
        <v>0.42291666666666666</v>
      </c>
      <c r="J57" s="127">
        <v>6.94</v>
      </c>
      <c r="K57" s="127">
        <v>22.3</v>
      </c>
      <c r="L57" s="127">
        <f t="shared" si="7"/>
        <v>1.21</v>
      </c>
      <c r="M57" s="128" t="s">
        <v>21</v>
      </c>
      <c r="N57" s="128" t="s">
        <v>20</v>
      </c>
      <c r="O57" s="253"/>
      <c r="P57" s="130"/>
    </row>
    <row r="58" spans="1:16" ht="15.75" customHeight="1">
      <c r="A58" s="131" t="s">
        <v>411</v>
      </c>
      <c r="B58" s="123">
        <v>45071</v>
      </c>
      <c r="C58" s="132">
        <v>0.40208333333333335</v>
      </c>
      <c r="D58" s="125">
        <v>45071</v>
      </c>
      <c r="E58" s="124">
        <v>0.65277777777777779</v>
      </c>
      <c r="F58" s="126">
        <v>8.3000000000000007</v>
      </c>
      <c r="G58" s="126">
        <v>20.100000000000001</v>
      </c>
      <c r="H58" s="125">
        <v>45076</v>
      </c>
      <c r="I58" s="124">
        <v>0.42569444444444443</v>
      </c>
      <c r="J58" s="127">
        <v>6.81</v>
      </c>
      <c r="K58" s="127">
        <v>22.6</v>
      </c>
      <c r="L58" s="127">
        <f t="shared" si="7"/>
        <v>1.4900000000000011</v>
      </c>
      <c r="M58" s="128" t="s">
        <v>21</v>
      </c>
      <c r="N58" s="128" t="s">
        <v>20</v>
      </c>
      <c r="O58" s="253"/>
      <c r="P58" s="130"/>
    </row>
    <row r="59" spans="1:16" ht="15.75" customHeight="1">
      <c r="A59" s="131" t="s">
        <v>412</v>
      </c>
      <c r="B59" s="123">
        <v>45071</v>
      </c>
      <c r="C59" s="132">
        <v>0.40208333333333335</v>
      </c>
      <c r="D59" s="125">
        <v>45071</v>
      </c>
      <c r="E59" s="124">
        <v>0.65763888888888888</v>
      </c>
      <c r="F59" s="126">
        <v>8.3699999999999992</v>
      </c>
      <c r="G59" s="126">
        <v>20.5</v>
      </c>
      <c r="H59" s="125">
        <v>45076</v>
      </c>
      <c r="I59" s="124">
        <v>0.42708333333333331</v>
      </c>
      <c r="J59" s="127">
        <v>6.77</v>
      </c>
      <c r="K59" s="127">
        <v>22.2</v>
      </c>
      <c r="L59" s="127">
        <f t="shared" si="7"/>
        <v>1.5999999999999996</v>
      </c>
      <c r="M59" s="128" t="s">
        <v>21</v>
      </c>
      <c r="N59" s="128" t="s">
        <v>20</v>
      </c>
      <c r="O59" s="253"/>
      <c r="P59" s="130"/>
    </row>
    <row r="60" spans="1:16" ht="15.75" customHeight="1">
      <c r="A60" s="131" t="s">
        <v>413</v>
      </c>
      <c r="B60" s="123">
        <v>45071</v>
      </c>
      <c r="C60" s="132">
        <v>0.42638888888888887</v>
      </c>
      <c r="D60" s="125">
        <v>45071</v>
      </c>
      <c r="E60" s="124">
        <v>0.66041666666666665</v>
      </c>
      <c r="F60" s="126">
        <v>8.0399999999999991</v>
      </c>
      <c r="G60" s="126">
        <v>20.9</v>
      </c>
      <c r="H60" s="125">
        <v>45076</v>
      </c>
      <c r="I60" s="124">
        <v>0.4284722222222222</v>
      </c>
      <c r="J60" s="127">
        <v>6.54</v>
      </c>
      <c r="K60" s="127">
        <v>22.5</v>
      </c>
      <c r="L60" s="127">
        <f t="shared" si="7"/>
        <v>1.4999999999999991</v>
      </c>
      <c r="M60" s="128" t="s">
        <v>21</v>
      </c>
      <c r="N60" s="128" t="s">
        <v>20</v>
      </c>
      <c r="O60" s="253"/>
      <c r="P60" s="130"/>
    </row>
    <row r="61" spans="1:16" ht="15.75" customHeight="1">
      <c r="A61" s="131" t="s">
        <v>414</v>
      </c>
      <c r="B61" s="123">
        <v>45071</v>
      </c>
      <c r="C61" s="132">
        <v>0.42638888888888887</v>
      </c>
      <c r="D61" s="125">
        <v>45071</v>
      </c>
      <c r="E61" s="124">
        <v>0.66527777777777775</v>
      </c>
      <c r="F61" s="126">
        <v>8.16</v>
      </c>
      <c r="G61" s="126">
        <v>20.8</v>
      </c>
      <c r="H61" s="125">
        <v>45076</v>
      </c>
      <c r="I61" s="124">
        <v>0.43055555555555558</v>
      </c>
      <c r="J61" s="127">
        <v>6.67</v>
      </c>
      <c r="K61" s="127">
        <v>22.5</v>
      </c>
      <c r="L61" s="127">
        <f t="shared" si="7"/>
        <v>1.4900000000000002</v>
      </c>
      <c r="M61" s="128" t="s">
        <v>21</v>
      </c>
      <c r="N61" s="128" t="s">
        <v>20</v>
      </c>
      <c r="O61" s="254"/>
      <c r="P61" s="130"/>
    </row>
    <row r="62" spans="1:16" ht="15.75" customHeight="1">
      <c r="A62" s="131" t="s">
        <v>364</v>
      </c>
      <c r="B62" s="133" t="s">
        <v>17</v>
      </c>
      <c r="C62" s="133" t="s">
        <v>17</v>
      </c>
      <c r="D62" s="125">
        <v>45089</v>
      </c>
      <c r="E62" s="142">
        <v>0.71875</v>
      </c>
      <c r="F62" s="126">
        <v>8.5399999999999991</v>
      </c>
      <c r="G62" s="126">
        <v>23</v>
      </c>
      <c r="H62" s="125">
        <v>45094</v>
      </c>
      <c r="I62" s="124">
        <v>0.49791666666666667</v>
      </c>
      <c r="J62" s="127">
        <v>8.74</v>
      </c>
      <c r="K62" s="127">
        <v>23</v>
      </c>
      <c r="L62" s="127" t="s">
        <v>17</v>
      </c>
      <c r="M62" s="128" t="s">
        <v>21</v>
      </c>
      <c r="N62" s="128" t="s">
        <v>20</v>
      </c>
      <c r="O62" s="271" t="s">
        <v>415</v>
      </c>
      <c r="P62" s="130"/>
    </row>
    <row r="63" spans="1:16" ht="15.75" customHeight="1">
      <c r="A63" s="131" t="s">
        <v>416</v>
      </c>
      <c r="B63" s="123">
        <v>45089</v>
      </c>
      <c r="C63" s="132">
        <v>0.42083333333333334</v>
      </c>
      <c r="D63" s="125">
        <v>45089</v>
      </c>
      <c r="E63" s="124">
        <v>0.72013888888888888</v>
      </c>
      <c r="F63" s="126">
        <v>8.81</v>
      </c>
      <c r="G63" s="126">
        <v>20.7</v>
      </c>
      <c r="H63" s="125">
        <v>45094</v>
      </c>
      <c r="I63" s="124">
        <v>0.50347222222222221</v>
      </c>
      <c r="J63" s="127">
        <v>8.1</v>
      </c>
      <c r="K63" s="127">
        <v>20.8</v>
      </c>
      <c r="L63" s="127">
        <f t="shared" ref="L63:L74" si="8">F63-J63</f>
        <v>0.71000000000000085</v>
      </c>
      <c r="M63" s="128" t="s">
        <v>21</v>
      </c>
      <c r="N63" s="128" t="s">
        <v>417</v>
      </c>
      <c r="O63" s="253"/>
      <c r="P63" s="130"/>
    </row>
    <row r="64" spans="1:16" ht="15.75" customHeight="1">
      <c r="A64" s="131" t="s">
        <v>418</v>
      </c>
      <c r="B64" s="123">
        <v>45089</v>
      </c>
      <c r="C64" s="132">
        <v>0.42083333333333334</v>
      </c>
      <c r="D64" s="125">
        <v>45089</v>
      </c>
      <c r="E64" s="124">
        <v>0.70763888888888893</v>
      </c>
      <c r="F64" s="126">
        <v>8.3000000000000007</v>
      </c>
      <c r="G64" s="126">
        <v>19.7</v>
      </c>
      <c r="H64" s="125">
        <v>45094</v>
      </c>
      <c r="I64" s="124">
        <v>0.5</v>
      </c>
      <c r="J64" s="127">
        <v>7.72</v>
      </c>
      <c r="K64" s="127">
        <v>20.5</v>
      </c>
      <c r="L64" s="127">
        <f t="shared" si="8"/>
        <v>0.58000000000000096</v>
      </c>
      <c r="M64" s="128" t="s">
        <v>21</v>
      </c>
      <c r="N64" s="128" t="s">
        <v>417</v>
      </c>
      <c r="O64" s="253"/>
      <c r="P64" s="130"/>
    </row>
    <row r="65" spans="1:16" ht="15.75" customHeight="1">
      <c r="A65" s="131" t="s">
        <v>419</v>
      </c>
      <c r="B65" s="123">
        <v>45089</v>
      </c>
      <c r="C65" s="132">
        <v>0.47222222222222221</v>
      </c>
      <c r="D65" s="125">
        <v>45089</v>
      </c>
      <c r="E65" s="124">
        <v>0.71319444444444446</v>
      </c>
      <c r="F65" s="126">
        <v>8.4499999999999993</v>
      </c>
      <c r="G65" s="126">
        <v>19.399999999999999</v>
      </c>
      <c r="H65" s="125">
        <v>45094</v>
      </c>
      <c r="I65" s="124">
        <v>0.50208333333333333</v>
      </c>
      <c r="J65" s="127">
        <v>7.9</v>
      </c>
      <c r="K65" s="127">
        <v>20.6</v>
      </c>
      <c r="L65" s="127">
        <f t="shared" si="8"/>
        <v>0.54999999999999893</v>
      </c>
      <c r="M65" s="128" t="s">
        <v>21</v>
      </c>
      <c r="N65" s="128" t="s">
        <v>417</v>
      </c>
      <c r="O65" s="253"/>
      <c r="P65" s="130"/>
    </row>
    <row r="66" spans="1:16" ht="15.75" customHeight="1">
      <c r="A66" s="131" t="s">
        <v>420</v>
      </c>
      <c r="B66" s="123">
        <v>45089</v>
      </c>
      <c r="C66" s="132">
        <v>0.47222222222222221</v>
      </c>
      <c r="D66" s="125">
        <v>45089</v>
      </c>
      <c r="E66" s="124">
        <v>0.72569444444444442</v>
      </c>
      <c r="F66" s="126">
        <v>8.24</v>
      </c>
      <c r="G66" s="126">
        <v>20.3</v>
      </c>
      <c r="H66" s="125">
        <v>45094</v>
      </c>
      <c r="I66" s="124">
        <v>0.50555555555555554</v>
      </c>
      <c r="J66" s="127">
        <v>7.34</v>
      </c>
      <c r="K66" s="127">
        <v>20.8</v>
      </c>
      <c r="L66" s="127">
        <f t="shared" si="8"/>
        <v>0.90000000000000036</v>
      </c>
      <c r="M66" s="128" t="s">
        <v>21</v>
      </c>
      <c r="N66" s="128" t="s">
        <v>417</v>
      </c>
      <c r="O66" s="253"/>
      <c r="P66" s="130"/>
    </row>
    <row r="67" spans="1:16" ht="15.75" customHeight="1">
      <c r="A67" s="131" t="s">
        <v>421</v>
      </c>
      <c r="B67" s="123">
        <v>45089</v>
      </c>
      <c r="C67" s="132">
        <v>0.4548611111111111</v>
      </c>
      <c r="D67" s="125">
        <v>45089</v>
      </c>
      <c r="E67" s="124">
        <v>0.7319444444444444</v>
      </c>
      <c r="F67" s="126">
        <v>8.07</v>
      </c>
      <c r="G67" s="126">
        <v>20.8</v>
      </c>
      <c r="H67" s="125">
        <v>45094</v>
      </c>
      <c r="I67" s="124">
        <v>0.50763888888888886</v>
      </c>
      <c r="J67" s="127">
        <v>7.4</v>
      </c>
      <c r="K67" s="127">
        <v>21</v>
      </c>
      <c r="L67" s="127">
        <f t="shared" si="8"/>
        <v>0.66999999999999993</v>
      </c>
      <c r="M67" s="128" t="s">
        <v>21</v>
      </c>
      <c r="N67" s="128" t="s">
        <v>417</v>
      </c>
      <c r="O67" s="253"/>
      <c r="P67" s="130"/>
    </row>
    <row r="68" spans="1:16" ht="15.75" customHeight="1">
      <c r="A68" s="131" t="s">
        <v>422</v>
      </c>
      <c r="B68" s="123">
        <v>45089</v>
      </c>
      <c r="C68" s="132">
        <v>0.4548611111111111</v>
      </c>
      <c r="D68" s="125">
        <v>45089</v>
      </c>
      <c r="E68" s="124">
        <v>0.7368055555555556</v>
      </c>
      <c r="F68" s="126">
        <v>8.27</v>
      </c>
      <c r="G68" s="126">
        <v>19.899999999999999</v>
      </c>
      <c r="H68" s="125">
        <v>45094</v>
      </c>
      <c r="I68" s="124">
        <v>0.50902777777777775</v>
      </c>
      <c r="J68" s="127">
        <v>3.86</v>
      </c>
      <c r="K68" s="127">
        <v>20.9</v>
      </c>
      <c r="L68" s="127">
        <f t="shared" si="8"/>
        <v>4.41</v>
      </c>
      <c r="M68" s="128" t="s">
        <v>21</v>
      </c>
      <c r="N68" s="128" t="s">
        <v>417</v>
      </c>
      <c r="O68" s="253"/>
      <c r="P68" s="130"/>
    </row>
    <row r="69" spans="1:16" ht="15.75" customHeight="1">
      <c r="A69" s="131" t="s">
        <v>423</v>
      </c>
      <c r="B69" s="123">
        <v>45089</v>
      </c>
      <c r="C69" s="132">
        <v>2.013888888888889E-2</v>
      </c>
      <c r="D69" s="125">
        <v>45089</v>
      </c>
      <c r="E69" s="124">
        <v>0.74097222222222225</v>
      </c>
      <c r="F69" s="126">
        <v>8.5399999999999991</v>
      </c>
      <c r="G69" s="126">
        <v>19.5</v>
      </c>
      <c r="H69" s="125">
        <v>45094</v>
      </c>
      <c r="I69" s="124">
        <v>0.51111111111111107</v>
      </c>
      <c r="J69" s="127">
        <v>7.15</v>
      </c>
      <c r="K69" s="127">
        <v>20.8</v>
      </c>
      <c r="L69" s="127">
        <f t="shared" si="8"/>
        <v>1.3899999999999988</v>
      </c>
      <c r="M69" s="128" t="s">
        <v>21</v>
      </c>
      <c r="N69" s="128" t="s">
        <v>417</v>
      </c>
      <c r="O69" s="253"/>
      <c r="P69" s="130"/>
    </row>
    <row r="70" spans="1:16" ht="15.75" customHeight="1">
      <c r="A70" s="131" t="s">
        <v>424</v>
      </c>
      <c r="B70" s="123">
        <v>45089</v>
      </c>
      <c r="C70" s="132">
        <v>2.013888888888889E-2</v>
      </c>
      <c r="D70" s="125">
        <v>45089</v>
      </c>
      <c r="E70" s="124">
        <v>0.74444444444444446</v>
      </c>
      <c r="F70" s="126">
        <v>8.2100000000000009</v>
      </c>
      <c r="G70" s="126">
        <v>20.399999999999999</v>
      </c>
      <c r="H70" s="125">
        <v>45094</v>
      </c>
      <c r="I70" s="124">
        <v>0.5131944444444444</v>
      </c>
      <c r="J70" s="127">
        <v>5.55</v>
      </c>
      <c r="K70" s="127">
        <v>20.8</v>
      </c>
      <c r="L70" s="127">
        <f t="shared" si="8"/>
        <v>2.660000000000001</v>
      </c>
      <c r="M70" s="128" t="s">
        <v>21</v>
      </c>
      <c r="N70" s="128" t="s">
        <v>417</v>
      </c>
      <c r="O70" s="253"/>
      <c r="P70" s="130"/>
    </row>
    <row r="71" spans="1:16" ht="15.75" customHeight="1">
      <c r="A71" s="131" t="s">
        <v>425</v>
      </c>
      <c r="B71" s="123">
        <v>45089</v>
      </c>
      <c r="C71" s="132">
        <v>0.60833333333333328</v>
      </c>
      <c r="D71" s="125">
        <v>45089</v>
      </c>
      <c r="E71" s="124">
        <v>0.74513888888888891</v>
      </c>
      <c r="F71" s="126">
        <v>8.41</v>
      </c>
      <c r="G71" s="126">
        <v>20.9</v>
      </c>
      <c r="H71" s="125">
        <v>45094</v>
      </c>
      <c r="I71" s="124">
        <v>0.51458333333333328</v>
      </c>
      <c r="J71" s="127">
        <v>4.95</v>
      </c>
      <c r="K71" s="127">
        <v>21.1</v>
      </c>
      <c r="L71" s="127">
        <f t="shared" si="8"/>
        <v>3.46</v>
      </c>
      <c r="M71" s="128" t="s">
        <v>21</v>
      </c>
      <c r="N71" s="128" t="s">
        <v>417</v>
      </c>
      <c r="O71" s="253"/>
      <c r="P71" s="130"/>
    </row>
    <row r="72" spans="1:16" ht="15.75" customHeight="1">
      <c r="A72" s="131" t="s">
        <v>426</v>
      </c>
      <c r="B72" s="123">
        <v>45089</v>
      </c>
      <c r="C72" s="132">
        <v>0.60833333333333328</v>
      </c>
      <c r="D72" s="125">
        <v>45089</v>
      </c>
      <c r="E72" s="124">
        <v>0.75</v>
      </c>
      <c r="F72" s="126">
        <v>8.1300000000000008</v>
      </c>
      <c r="G72" s="126">
        <v>20.9</v>
      </c>
      <c r="H72" s="125">
        <v>45094</v>
      </c>
      <c r="I72" s="124">
        <v>0.51666666666666672</v>
      </c>
      <c r="J72" s="127">
        <v>3.99</v>
      </c>
      <c r="K72" s="127">
        <v>21.2</v>
      </c>
      <c r="L72" s="127">
        <f t="shared" si="8"/>
        <v>4.1400000000000006</v>
      </c>
      <c r="M72" s="128" t="s">
        <v>21</v>
      </c>
      <c r="N72" s="128" t="s">
        <v>417</v>
      </c>
      <c r="O72" s="253"/>
      <c r="P72" s="130"/>
    </row>
    <row r="73" spans="1:16" ht="15.75" customHeight="1">
      <c r="A73" s="131" t="s">
        <v>427</v>
      </c>
      <c r="B73" s="123">
        <v>45089</v>
      </c>
      <c r="C73" s="132">
        <v>0.62361111111111112</v>
      </c>
      <c r="D73" s="125">
        <v>45089</v>
      </c>
      <c r="E73" s="124">
        <v>0.75069444444444444</v>
      </c>
      <c r="F73" s="126">
        <v>8.01</v>
      </c>
      <c r="G73" s="126">
        <v>21</v>
      </c>
      <c r="H73" s="125">
        <v>45094</v>
      </c>
      <c r="I73" s="124">
        <v>0.51944444444444449</v>
      </c>
      <c r="J73" s="127">
        <v>4.2300000000000004</v>
      </c>
      <c r="K73" s="127">
        <v>20.9</v>
      </c>
      <c r="L73" s="127">
        <f t="shared" si="8"/>
        <v>3.7799999999999994</v>
      </c>
      <c r="M73" s="128" t="s">
        <v>21</v>
      </c>
      <c r="N73" s="128" t="s">
        <v>417</v>
      </c>
      <c r="O73" s="253"/>
      <c r="P73" s="130"/>
    </row>
    <row r="74" spans="1:16" ht="15.75" customHeight="1">
      <c r="A74" s="131" t="s">
        <v>428</v>
      </c>
      <c r="B74" s="123">
        <v>45089</v>
      </c>
      <c r="C74" s="132">
        <v>0.62361111111111112</v>
      </c>
      <c r="D74" s="125">
        <v>45089</v>
      </c>
      <c r="E74" s="124">
        <v>0.75138888888888888</v>
      </c>
      <c r="F74" s="126">
        <v>8.08</v>
      </c>
      <c r="G74" s="126">
        <v>21.1</v>
      </c>
      <c r="H74" s="125">
        <v>45094</v>
      </c>
      <c r="I74" s="124">
        <v>0.52083333333333337</v>
      </c>
      <c r="J74" s="127">
        <v>6.04</v>
      </c>
      <c r="K74" s="127">
        <v>20.9</v>
      </c>
      <c r="L74" s="127">
        <f t="shared" si="8"/>
        <v>2.04</v>
      </c>
      <c r="M74" s="128" t="s">
        <v>21</v>
      </c>
      <c r="N74" s="128" t="s">
        <v>417</v>
      </c>
      <c r="O74" s="254"/>
      <c r="P74" s="130"/>
    </row>
    <row r="75" spans="1:16" ht="15.75" customHeight="1">
      <c r="A75" s="131" t="s">
        <v>364</v>
      </c>
      <c r="B75" s="122" t="s">
        <v>17</v>
      </c>
      <c r="C75" s="133" t="s">
        <v>17</v>
      </c>
      <c r="D75" s="125">
        <v>45091</v>
      </c>
      <c r="E75" s="124">
        <v>0.6430555555555556</v>
      </c>
      <c r="F75" s="126">
        <v>8.4499999999999993</v>
      </c>
      <c r="G75" s="126">
        <v>20.8</v>
      </c>
      <c r="H75" s="125">
        <v>45096</v>
      </c>
      <c r="I75" s="124">
        <v>0.45694444444444443</v>
      </c>
      <c r="J75" s="127">
        <v>8.4600000000000009</v>
      </c>
      <c r="K75" s="127">
        <v>23.5</v>
      </c>
      <c r="L75" s="127" t="s">
        <v>17</v>
      </c>
      <c r="M75" s="128" t="s">
        <v>21</v>
      </c>
      <c r="N75" s="128" t="s">
        <v>20</v>
      </c>
      <c r="O75" s="272" t="s">
        <v>429</v>
      </c>
      <c r="P75" s="130"/>
    </row>
    <row r="76" spans="1:16" ht="15.75" customHeight="1">
      <c r="A76" s="131" t="s">
        <v>430</v>
      </c>
      <c r="B76" s="123">
        <v>45091</v>
      </c>
      <c r="C76" s="132">
        <v>0.38055555555555554</v>
      </c>
      <c r="D76" s="125">
        <v>45091</v>
      </c>
      <c r="E76" s="124">
        <v>0.64583333333333337</v>
      </c>
      <c r="F76" s="126">
        <v>8.3699999999999992</v>
      </c>
      <c r="G76" s="126">
        <v>20.8</v>
      </c>
      <c r="H76" s="125">
        <v>45096</v>
      </c>
      <c r="I76" s="124">
        <v>0.46666666666666667</v>
      </c>
      <c r="J76" s="127">
        <v>8.19</v>
      </c>
      <c r="K76" s="127">
        <v>20.8</v>
      </c>
      <c r="L76" s="127">
        <f t="shared" ref="L76:L81" si="9">F76-J76</f>
        <v>0.17999999999999972</v>
      </c>
      <c r="M76" s="128" t="s">
        <v>21</v>
      </c>
      <c r="N76" s="128" t="s">
        <v>20</v>
      </c>
      <c r="O76" s="253"/>
      <c r="P76" s="130"/>
    </row>
    <row r="77" spans="1:16" ht="15.75" customHeight="1">
      <c r="A77" s="131" t="s">
        <v>431</v>
      </c>
      <c r="B77" s="123">
        <v>45091</v>
      </c>
      <c r="C77" s="132">
        <v>0.38055555555555554</v>
      </c>
      <c r="D77" s="125">
        <v>45091</v>
      </c>
      <c r="E77" s="124">
        <v>0.64930555555555558</v>
      </c>
      <c r="F77" s="126">
        <v>8.2100000000000009</v>
      </c>
      <c r="G77" s="126">
        <v>21.1</v>
      </c>
      <c r="H77" s="125">
        <v>45096</v>
      </c>
      <c r="I77" s="124">
        <v>0.46805555555555556</v>
      </c>
      <c r="J77" s="127">
        <v>6.05</v>
      </c>
      <c r="K77" s="127">
        <v>21</v>
      </c>
      <c r="L77" s="127">
        <f t="shared" si="9"/>
        <v>2.160000000000001</v>
      </c>
      <c r="M77" s="128" t="s">
        <v>21</v>
      </c>
      <c r="N77" s="128" t="s">
        <v>20</v>
      </c>
      <c r="O77" s="253"/>
      <c r="P77" s="130"/>
    </row>
    <row r="78" spans="1:16" ht="15.75" customHeight="1">
      <c r="A78" s="131" t="s">
        <v>432</v>
      </c>
      <c r="B78" s="123">
        <v>45091</v>
      </c>
      <c r="C78" s="124">
        <v>0.3611111111111111</v>
      </c>
      <c r="D78" s="125">
        <v>45091</v>
      </c>
      <c r="E78" s="124">
        <v>0.65277777777777779</v>
      </c>
      <c r="F78" s="126">
        <v>8.18</v>
      </c>
      <c r="G78" s="126">
        <v>19.600000000000001</v>
      </c>
      <c r="H78" s="125">
        <v>45096</v>
      </c>
      <c r="I78" s="124">
        <v>0.47083333333333333</v>
      </c>
      <c r="J78" s="127">
        <v>7.7</v>
      </c>
      <c r="K78" s="127">
        <v>20.7</v>
      </c>
      <c r="L78" s="127">
        <f t="shared" si="9"/>
        <v>0.47999999999999954</v>
      </c>
      <c r="M78" s="128" t="s">
        <v>21</v>
      </c>
      <c r="N78" s="128" t="s">
        <v>20</v>
      </c>
      <c r="O78" s="253"/>
      <c r="P78" s="135" t="s">
        <v>433</v>
      </c>
    </row>
    <row r="79" spans="1:16" ht="15.75" customHeight="1">
      <c r="A79" s="131" t="s">
        <v>434</v>
      </c>
      <c r="B79" s="123">
        <v>45091</v>
      </c>
      <c r="C79" s="124">
        <v>0.3611111111111111</v>
      </c>
      <c r="D79" s="125">
        <v>45091</v>
      </c>
      <c r="E79" s="124">
        <v>0.65625</v>
      </c>
      <c r="F79" s="126">
        <v>7.95</v>
      </c>
      <c r="G79" s="126">
        <v>20.3</v>
      </c>
      <c r="H79" s="125">
        <v>45096</v>
      </c>
      <c r="I79" s="124">
        <v>0.46944444444444444</v>
      </c>
      <c r="J79" s="127">
        <v>7.59</v>
      </c>
      <c r="K79" s="127">
        <v>19.8</v>
      </c>
      <c r="L79" s="127">
        <f t="shared" si="9"/>
        <v>0.36000000000000032</v>
      </c>
      <c r="M79" s="128" t="s">
        <v>21</v>
      </c>
      <c r="N79" s="128" t="s">
        <v>20</v>
      </c>
      <c r="O79" s="253"/>
      <c r="P79" s="130"/>
    </row>
    <row r="80" spans="1:16" ht="15.75" customHeight="1">
      <c r="A80" s="131" t="s">
        <v>435</v>
      </c>
      <c r="B80" s="123">
        <v>45091</v>
      </c>
      <c r="C80" s="124">
        <v>0.43194444444444446</v>
      </c>
      <c r="D80" s="125">
        <v>45091</v>
      </c>
      <c r="E80" s="124">
        <v>0.65972222222222221</v>
      </c>
      <c r="F80" s="126">
        <v>8</v>
      </c>
      <c r="G80" s="126">
        <v>21.6</v>
      </c>
      <c r="H80" s="125">
        <v>45096</v>
      </c>
      <c r="I80" s="124">
        <v>0.47361111111111109</v>
      </c>
      <c r="J80" s="127">
        <v>7.39</v>
      </c>
      <c r="K80" s="127">
        <v>20.3</v>
      </c>
      <c r="L80" s="127">
        <f t="shared" si="9"/>
        <v>0.61000000000000032</v>
      </c>
      <c r="M80" s="128" t="s">
        <v>21</v>
      </c>
      <c r="N80" s="128" t="s">
        <v>20</v>
      </c>
      <c r="O80" s="253"/>
      <c r="P80" s="130"/>
    </row>
    <row r="81" spans="1:16" ht="15.75" customHeight="1">
      <c r="A81" s="131" t="s">
        <v>436</v>
      </c>
      <c r="B81" s="123">
        <v>45091</v>
      </c>
      <c r="C81" s="124">
        <v>0.43194444444444446</v>
      </c>
      <c r="D81" s="125">
        <v>45091</v>
      </c>
      <c r="E81" s="124">
        <v>0.66388888888888886</v>
      </c>
      <c r="F81" s="126">
        <v>7.89</v>
      </c>
      <c r="G81" s="126">
        <v>20.9</v>
      </c>
      <c r="H81" s="125">
        <v>45096</v>
      </c>
      <c r="I81" s="124">
        <v>0.46527777777777779</v>
      </c>
      <c r="J81" s="127">
        <v>7.73</v>
      </c>
      <c r="K81" s="127">
        <v>21.2</v>
      </c>
      <c r="L81" s="127">
        <f t="shared" si="9"/>
        <v>0.15999999999999925</v>
      </c>
      <c r="M81" s="128" t="s">
        <v>21</v>
      </c>
      <c r="N81" s="128" t="s">
        <v>20</v>
      </c>
      <c r="O81" s="254"/>
      <c r="P81" s="130"/>
    </row>
    <row r="82" spans="1:16" ht="15.75" customHeight="1">
      <c r="A82" s="131" t="s">
        <v>364</v>
      </c>
      <c r="B82" s="123">
        <v>45092</v>
      </c>
      <c r="C82" s="142">
        <v>0.41944444444444445</v>
      </c>
      <c r="D82" s="125">
        <v>45092</v>
      </c>
      <c r="E82" s="124">
        <v>0.70138888888888884</v>
      </c>
      <c r="F82" s="143">
        <v>8.43</v>
      </c>
      <c r="G82" s="143">
        <v>23.5</v>
      </c>
      <c r="H82" s="125">
        <v>45097</v>
      </c>
      <c r="I82" s="124">
        <v>0.55902777777777779</v>
      </c>
      <c r="J82" s="127">
        <v>8.4499999999999993</v>
      </c>
      <c r="K82" s="127">
        <v>20.8</v>
      </c>
      <c r="L82" s="127" t="s">
        <v>17</v>
      </c>
      <c r="M82" s="128" t="s">
        <v>21</v>
      </c>
      <c r="N82" s="128" t="s">
        <v>20</v>
      </c>
      <c r="O82" s="144"/>
      <c r="P82" s="130"/>
    </row>
    <row r="83" spans="1:16" ht="15.75" customHeight="1">
      <c r="A83" s="131" t="s">
        <v>437</v>
      </c>
      <c r="B83" s="123">
        <v>45092</v>
      </c>
      <c r="C83" s="142">
        <v>0.42083333333333334</v>
      </c>
      <c r="D83" s="125">
        <v>45092</v>
      </c>
      <c r="E83" s="124">
        <v>0.7055555555555556</v>
      </c>
      <c r="F83" s="126">
        <v>8.11</v>
      </c>
      <c r="G83" s="126">
        <v>23.3</v>
      </c>
      <c r="H83" s="125">
        <v>45097</v>
      </c>
      <c r="I83" s="124">
        <v>0.56041666666666667</v>
      </c>
      <c r="J83" s="127">
        <v>8.06</v>
      </c>
      <c r="K83" s="127">
        <v>23.5</v>
      </c>
      <c r="L83" s="127">
        <f t="shared" ref="L83:L88" si="10">F83-J83</f>
        <v>4.9999999999998934E-2</v>
      </c>
      <c r="M83" s="128" t="s">
        <v>21</v>
      </c>
      <c r="N83" s="128" t="s">
        <v>20</v>
      </c>
      <c r="O83" s="271" t="s">
        <v>438</v>
      </c>
      <c r="P83" s="130"/>
    </row>
    <row r="84" spans="1:16" ht="15.75" customHeight="1">
      <c r="A84" s="131" t="s">
        <v>439</v>
      </c>
      <c r="B84" s="123">
        <v>45092</v>
      </c>
      <c r="C84" s="142">
        <v>0.42083333333333334</v>
      </c>
      <c r="D84" s="125">
        <v>45092</v>
      </c>
      <c r="E84" s="124">
        <v>0.71180555555555558</v>
      </c>
      <c r="F84" s="126">
        <v>7.86</v>
      </c>
      <c r="G84" s="126">
        <v>20.9</v>
      </c>
      <c r="H84" s="125">
        <v>45097</v>
      </c>
      <c r="I84" s="124">
        <v>0.56180555555555556</v>
      </c>
      <c r="J84" s="127">
        <v>7.66</v>
      </c>
      <c r="K84" s="127">
        <v>20.8</v>
      </c>
      <c r="L84" s="127">
        <f t="shared" si="10"/>
        <v>0.20000000000000018</v>
      </c>
      <c r="M84" s="128" t="s">
        <v>21</v>
      </c>
      <c r="N84" s="128" t="s">
        <v>20</v>
      </c>
      <c r="O84" s="253"/>
      <c r="P84" s="130"/>
    </row>
    <row r="85" spans="1:16" ht="15.75" customHeight="1">
      <c r="A85" s="131" t="s">
        <v>440</v>
      </c>
      <c r="B85" s="123">
        <v>45092</v>
      </c>
      <c r="C85" s="142">
        <v>0.44305555555555554</v>
      </c>
      <c r="D85" s="125">
        <v>45092</v>
      </c>
      <c r="E85" s="124">
        <v>0.82361111111111107</v>
      </c>
      <c r="F85" s="126">
        <v>7.81</v>
      </c>
      <c r="G85" s="126">
        <v>22.8</v>
      </c>
      <c r="H85" s="125">
        <v>45097</v>
      </c>
      <c r="I85" s="124">
        <v>0.56319444444444444</v>
      </c>
      <c r="J85" s="127">
        <v>6.33</v>
      </c>
      <c r="K85" s="127">
        <v>20.5</v>
      </c>
      <c r="L85" s="127">
        <f t="shared" si="10"/>
        <v>1.4799999999999995</v>
      </c>
      <c r="M85" s="128" t="s">
        <v>21</v>
      </c>
      <c r="N85" s="128" t="s">
        <v>20</v>
      </c>
      <c r="O85" s="253"/>
      <c r="P85" s="130"/>
    </row>
    <row r="86" spans="1:16" ht="15.75" customHeight="1">
      <c r="A86" s="131" t="s">
        <v>441</v>
      </c>
      <c r="B86" s="123">
        <v>45092</v>
      </c>
      <c r="C86" s="142">
        <v>0.44305555555555554</v>
      </c>
      <c r="D86" s="125">
        <v>45092</v>
      </c>
      <c r="E86" s="124">
        <v>0.72361111111111109</v>
      </c>
      <c r="F86" s="126">
        <v>8.2200000000000006</v>
      </c>
      <c r="G86" s="126">
        <v>20.5</v>
      </c>
      <c r="H86" s="125">
        <v>45097</v>
      </c>
      <c r="I86" s="124">
        <v>0.60763888888888884</v>
      </c>
      <c r="J86" s="127">
        <v>7.81</v>
      </c>
      <c r="K86" s="127">
        <v>20.100000000000001</v>
      </c>
      <c r="L86" s="127">
        <f t="shared" si="10"/>
        <v>0.41000000000000103</v>
      </c>
      <c r="M86" s="128" t="s">
        <v>21</v>
      </c>
      <c r="N86" s="128" t="s">
        <v>20</v>
      </c>
      <c r="O86" s="253"/>
      <c r="P86" s="130"/>
    </row>
    <row r="87" spans="1:16" ht="15.75" customHeight="1">
      <c r="A87" s="131" t="s">
        <v>442</v>
      </c>
      <c r="B87" s="123">
        <v>45092</v>
      </c>
      <c r="C87" s="124">
        <v>0.46944444444444444</v>
      </c>
      <c r="D87" s="125">
        <v>45092</v>
      </c>
      <c r="E87" s="124">
        <v>0.72777777777777775</v>
      </c>
      <c r="F87" s="126">
        <v>7.84</v>
      </c>
      <c r="G87" s="126">
        <v>21.9</v>
      </c>
      <c r="H87" s="125">
        <v>45097</v>
      </c>
      <c r="I87" s="124">
        <v>0.56805555555555554</v>
      </c>
      <c r="J87" s="127">
        <v>7.59</v>
      </c>
      <c r="K87" s="127">
        <v>20.399999999999999</v>
      </c>
      <c r="L87" s="127">
        <f t="shared" si="10"/>
        <v>0.25</v>
      </c>
      <c r="M87" s="128" t="s">
        <v>21</v>
      </c>
      <c r="N87" s="128" t="s">
        <v>20</v>
      </c>
      <c r="O87" s="253"/>
      <c r="P87" s="130"/>
    </row>
    <row r="88" spans="1:16" ht="15.75" customHeight="1">
      <c r="A88" s="131" t="s">
        <v>443</v>
      </c>
      <c r="B88" s="123">
        <v>45092</v>
      </c>
      <c r="C88" s="124">
        <v>0.46944444444444444</v>
      </c>
      <c r="D88" s="125">
        <v>45092</v>
      </c>
      <c r="E88" s="124">
        <v>0.7319444444444444</v>
      </c>
      <c r="F88" s="126">
        <v>8.09</v>
      </c>
      <c r="G88" s="126">
        <v>22</v>
      </c>
      <c r="H88" s="125">
        <v>45097</v>
      </c>
      <c r="I88" s="124">
        <v>0.57222222222222219</v>
      </c>
      <c r="J88" s="127">
        <v>6.05</v>
      </c>
      <c r="K88" s="127">
        <v>20</v>
      </c>
      <c r="L88" s="127">
        <f t="shared" si="10"/>
        <v>2.04</v>
      </c>
      <c r="M88" s="128" t="s">
        <v>21</v>
      </c>
      <c r="N88" s="128" t="s">
        <v>20</v>
      </c>
      <c r="O88" s="254"/>
      <c r="P88" s="130"/>
    </row>
    <row r="89" spans="1:16" ht="15.75" customHeight="1">
      <c r="A89" s="131" t="s">
        <v>364</v>
      </c>
      <c r="B89" s="123">
        <v>45098</v>
      </c>
      <c r="C89" s="124">
        <v>0.5083333333333333</v>
      </c>
      <c r="D89" s="125">
        <v>45099</v>
      </c>
      <c r="E89" s="124">
        <v>0.62361111111111112</v>
      </c>
      <c r="F89" s="143">
        <v>8.4600000000000009</v>
      </c>
      <c r="G89" s="143">
        <v>23.5</v>
      </c>
      <c r="H89" s="125">
        <v>45104</v>
      </c>
      <c r="I89" s="124">
        <v>0.94652777777777775</v>
      </c>
      <c r="J89" s="127">
        <v>8.67</v>
      </c>
      <c r="K89" s="127">
        <v>23.5</v>
      </c>
      <c r="L89" s="127" t="s">
        <v>17</v>
      </c>
      <c r="M89" s="128" t="s">
        <v>21</v>
      </c>
      <c r="N89" s="128" t="s">
        <v>20</v>
      </c>
      <c r="O89" s="266" t="s">
        <v>444</v>
      </c>
      <c r="P89" s="130"/>
    </row>
    <row r="90" spans="1:16" ht="15.75" customHeight="1">
      <c r="A90" s="131" t="s">
        <v>445</v>
      </c>
      <c r="B90" s="123">
        <v>45098</v>
      </c>
      <c r="C90" s="124">
        <v>0.5083333333333333</v>
      </c>
      <c r="D90" s="125">
        <v>45099</v>
      </c>
      <c r="E90" s="124">
        <v>0.62638888888888888</v>
      </c>
      <c r="F90" s="126">
        <v>8.9600000000000009</v>
      </c>
      <c r="G90" s="126">
        <v>20.100000000000001</v>
      </c>
      <c r="H90" s="125">
        <v>45104</v>
      </c>
      <c r="I90" s="124">
        <v>0.44930555555555557</v>
      </c>
      <c r="J90" s="127">
        <v>8.6999999999999993</v>
      </c>
      <c r="K90" s="127">
        <v>20.9</v>
      </c>
      <c r="L90" s="127">
        <f t="shared" ref="L90:L97" si="11">F90-J90</f>
        <v>0.26000000000000156</v>
      </c>
      <c r="M90" s="128" t="s">
        <v>21</v>
      </c>
      <c r="N90" s="128" t="s">
        <v>20</v>
      </c>
      <c r="O90" s="258"/>
      <c r="P90" s="130"/>
    </row>
    <row r="91" spans="1:16" ht="15.75" customHeight="1">
      <c r="A91" s="131" t="s">
        <v>446</v>
      </c>
      <c r="B91" s="123">
        <v>45098</v>
      </c>
      <c r="C91" s="124">
        <v>0.5083333333333333</v>
      </c>
      <c r="D91" s="125">
        <v>45099</v>
      </c>
      <c r="E91" s="124">
        <v>0.64236111111111116</v>
      </c>
      <c r="F91" s="126">
        <v>9.09</v>
      </c>
      <c r="G91" s="126">
        <v>19.7</v>
      </c>
      <c r="H91" s="125">
        <v>45104</v>
      </c>
      <c r="I91" s="124">
        <v>0.4513888888888889</v>
      </c>
      <c r="J91" s="127">
        <v>8.6300000000000008</v>
      </c>
      <c r="K91" s="127">
        <v>20.3</v>
      </c>
      <c r="L91" s="127">
        <f t="shared" si="11"/>
        <v>0.45999999999999908</v>
      </c>
      <c r="M91" s="128" t="s">
        <v>21</v>
      </c>
      <c r="N91" s="128" t="s">
        <v>20</v>
      </c>
      <c r="O91" s="258"/>
      <c r="P91" s="130"/>
    </row>
    <row r="92" spans="1:16" ht="15.75" customHeight="1">
      <c r="A92" s="131" t="s">
        <v>447</v>
      </c>
      <c r="B92" s="123">
        <v>45098</v>
      </c>
      <c r="C92" s="124">
        <v>0.55555555555555558</v>
      </c>
      <c r="D92" s="125">
        <v>45099</v>
      </c>
      <c r="E92" s="124">
        <v>0.6479166666666667</v>
      </c>
      <c r="F92" s="126">
        <v>8.8000000000000007</v>
      </c>
      <c r="G92" s="126">
        <v>19.399999999999999</v>
      </c>
      <c r="H92" s="125">
        <v>45104</v>
      </c>
      <c r="I92" s="141">
        <v>0.45277777777777778</v>
      </c>
      <c r="J92" s="127">
        <v>8.4700000000000006</v>
      </c>
      <c r="K92" s="127">
        <v>20.399999999999999</v>
      </c>
      <c r="L92" s="127">
        <f t="shared" si="11"/>
        <v>0.33000000000000007</v>
      </c>
      <c r="M92" s="128" t="s">
        <v>21</v>
      </c>
      <c r="N92" s="128" t="s">
        <v>20</v>
      </c>
      <c r="O92" s="258"/>
      <c r="P92" s="130"/>
    </row>
    <row r="93" spans="1:16" ht="15.75" customHeight="1">
      <c r="A93" s="131" t="s">
        <v>448</v>
      </c>
      <c r="B93" s="123">
        <v>45098</v>
      </c>
      <c r="C93" s="124">
        <v>0.55555555555555558</v>
      </c>
      <c r="D93" s="125">
        <v>45099</v>
      </c>
      <c r="E93" s="124">
        <v>0.65277777777777779</v>
      </c>
      <c r="F93" s="126">
        <v>8.99</v>
      </c>
      <c r="G93" s="126">
        <v>20.100000000000001</v>
      </c>
      <c r="H93" s="125">
        <v>45104</v>
      </c>
      <c r="I93" s="141">
        <v>0.4548611111111111</v>
      </c>
      <c r="J93" s="127">
        <v>8.61</v>
      </c>
      <c r="K93" s="127">
        <v>20.7</v>
      </c>
      <c r="L93" s="127">
        <f t="shared" si="11"/>
        <v>0.38000000000000078</v>
      </c>
      <c r="M93" s="128" t="s">
        <v>21</v>
      </c>
      <c r="N93" s="128" t="s">
        <v>20</v>
      </c>
      <c r="O93" s="258"/>
      <c r="P93" s="130"/>
    </row>
    <row r="94" spans="1:16" ht="15.75" customHeight="1">
      <c r="A94" s="131" t="s">
        <v>449</v>
      </c>
      <c r="B94" s="123">
        <v>45098</v>
      </c>
      <c r="C94" s="124">
        <v>0.58680555555555558</v>
      </c>
      <c r="D94" s="125">
        <v>45099</v>
      </c>
      <c r="E94" s="124">
        <v>0.65694444444444444</v>
      </c>
      <c r="F94" s="126">
        <v>9.36</v>
      </c>
      <c r="G94" s="126">
        <v>19.5</v>
      </c>
      <c r="H94" s="125">
        <v>45104</v>
      </c>
      <c r="I94" s="141">
        <v>0.45624999999999999</v>
      </c>
      <c r="J94" s="127">
        <v>9.0299999999999994</v>
      </c>
      <c r="K94" s="127">
        <v>20.5</v>
      </c>
      <c r="L94" s="127">
        <f t="shared" si="11"/>
        <v>0.33000000000000007</v>
      </c>
      <c r="M94" s="128" t="s">
        <v>21</v>
      </c>
      <c r="N94" s="128" t="s">
        <v>20</v>
      </c>
      <c r="O94" s="258"/>
      <c r="P94" s="130"/>
    </row>
    <row r="95" spans="1:16" ht="15.75" customHeight="1">
      <c r="A95" s="131" t="s">
        <v>450</v>
      </c>
      <c r="B95" s="123">
        <v>45098</v>
      </c>
      <c r="C95" s="124">
        <v>0.58680555555555558</v>
      </c>
      <c r="D95" s="125">
        <v>45099</v>
      </c>
      <c r="E95" s="124">
        <v>0.66180555555555554</v>
      </c>
      <c r="F95" s="126">
        <v>9.4700000000000006</v>
      </c>
      <c r="G95" s="126">
        <v>19.3</v>
      </c>
      <c r="H95" s="125">
        <v>45104</v>
      </c>
      <c r="I95" s="141">
        <v>0.45833333333333331</v>
      </c>
      <c r="J95" s="127">
        <v>8.94</v>
      </c>
      <c r="K95" s="127">
        <v>20.8</v>
      </c>
      <c r="L95" s="127">
        <f t="shared" si="11"/>
        <v>0.53000000000000114</v>
      </c>
      <c r="M95" s="128" t="s">
        <v>21</v>
      </c>
      <c r="N95" s="128" t="s">
        <v>20</v>
      </c>
      <c r="O95" s="258"/>
      <c r="P95" s="130"/>
    </row>
    <row r="96" spans="1:16" ht="15.75" customHeight="1">
      <c r="A96" s="131" t="s">
        <v>451</v>
      </c>
      <c r="B96" s="123">
        <v>45098</v>
      </c>
      <c r="C96" s="124">
        <v>0.62847222222222221</v>
      </c>
      <c r="D96" s="125">
        <v>45099</v>
      </c>
      <c r="E96" s="124">
        <v>0.66597222222222219</v>
      </c>
      <c r="F96" s="126">
        <v>8.49</v>
      </c>
      <c r="G96" s="126">
        <v>20.8</v>
      </c>
      <c r="H96" s="125">
        <v>45104</v>
      </c>
      <c r="I96" s="141">
        <v>0.46111111111111114</v>
      </c>
      <c r="J96" s="127">
        <v>7.86</v>
      </c>
      <c r="K96" s="127">
        <v>20.6</v>
      </c>
      <c r="L96" s="127">
        <f t="shared" si="11"/>
        <v>0.62999999999999989</v>
      </c>
      <c r="M96" s="128" t="s">
        <v>21</v>
      </c>
      <c r="N96" s="128" t="s">
        <v>20</v>
      </c>
      <c r="O96" s="258"/>
      <c r="P96" s="130"/>
    </row>
    <row r="97" spans="1:29" ht="15.75" customHeight="1">
      <c r="A97" s="131" t="s">
        <v>452</v>
      </c>
      <c r="B97" s="123">
        <v>45098</v>
      </c>
      <c r="C97" s="124">
        <v>0.62847222222222221</v>
      </c>
      <c r="D97" s="125">
        <v>45099</v>
      </c>
      <c r="E97" s="124">
        <v>0.67013888888888884</v>
      </c>
      <c r="F97" s="126">
        <v>8.86</v>
      </c>
      <c r="G97" s="126">
        <v>20.8</v>
      </c>
      <c r="H97" s="125">
        <v>45104</v>
      </c>
      <c r="I97" s="141">
        <v>0.46319444444444446</v>
      </c>
      <c r="J97" s="127">
        <v>8.49</v>
      </c>
      <c r="K97" s="127">
        <v>20.100000000000001</v>
      </c>
      <c r="L97" s="127">
        <f t="shared" si="11"/>
        <v>0.36999999999999922</v>
      </c>
      <c r="M97" s="128" t="s">
        <v>21</v>
      </c>
      <c r="N97" s="128" t="s">
        <v>20</v>
      </c>
      <c r="O97" s="259"/>
      <c r="P97" s="130"/>
    </row>
    <row r="98" spans="1:29" ht="15.75" customHeight="1">
      <c r="A98" s="131" t="s">
        <v>364</v>
      </c>
      <c r="B98" s="122" t="s">
        <v>17</v>
      </c>
      <c r="C98" s="133" t="s">
        <v>17</v>
      </c>
      <c r="D98" s="145">
        <v>45105</v>
      </c>
      <c r="E98" s="124">
        <v>0.49583333333333335</v>
      </c>
      <c r="F98" s="126">
        <v>8.6</v>
      </c>
      <c r="G98" s="126">
        <v>23.4</v>
      </c>
      <c r="H98" s="125">
        <v>45110</v>
      </c>
      <c r="I98" s="141">
        <v>0.34722222222222221</v>
      </c>
      <c r="J98" s="127">
        <v>8.68</v>
      </c>
      <c r="K98" s="127">
        <v>23.1</v>
      </c>
      <c r="L98" s="127" t="s">
        <v>17</v>
      </c>
      <c r="M98" s="128" t="s">
        <v>21</v>
      </c>
      <c r="N98" s="128" t="s">
        <v>453</v>
      </c>
      <c r="O98" s="129" t="s">
        <v>454</v>
      </c>
      <c r="P98" s="130" t="s">
        <v>455</v>
      </c>
    </row>
    <row r="99" spans="1:29" ht="15.75" customHeight="1">
      <c r="A99" s="131" t="s">
        <v>456</v>
      </c>
      <c r="B99" s="145">
        <v>45103</v>
      </c>
      <c r="C99" s="132">
        <v>0.32847222222222222</v>
      </c>
      <c r="D99" s="145">
        <v>45105</v>
      </c>
      <c r="E99" s="124">
        <v>0.49861111111111112</v>
      </c>
      <c r="F99" s="126">
        <v>9.4700000000000006</v>
      </c>
      <c r="G99" s="126">
        <v>15.8</v>
      </c>
      <c r="H99" s="125">
        <v>45110</v>
      </c>
      <c r="I99" s="124">
        <v>0.39930555555555558</v>
      </c>
      <c r="J99" s="127">
        <v>8.44</v>
      </c>
      <c r="K99" s="127">
        <v>20</v>
      </c>
      <c r="L99" s="127">
        <f t="shared" ref="L99:L113" si="12">F99-J99</f>
        <v>1.0300000000000011</v>
      </c>
      <c r="M99" s="128" t="s">
        <v>28</v>
      </c>
      <c r="N99" s="128" t="s">
        <v>453</v>
      </c>
      <c r="O99" s="266" t="s">
        <v>457</v>
      </c>
      <c r="P99" s="129" t="s">
        <v>458</v>
      </c>
    </row>
    <row r="100" spans="1:29" ht="24.75" customHeight="1">
      <c r="A100" s="131" t="s">
        <v>456</v>
      </c>
      <c r="B100" s="145">
        <v>45104</v>
      </c>
      <c r="C100" s="132">
        <v>0.32847222222222222</v>
      </c>
      <c r="D100" s="145">
        <v>45105</v>
      </c>
      <c r="E100" s="146">
        <v>0.60624999999999996</v>
      </c>
      <c r="F100" s="147">
        <v>9</v>
      </c>
      <c r="G100" s="147">
        <v>19.8</v>
      </c>
      <c r="H100" s="125">
        <v>45110</v>
      </c>
      <c r="I100" s="124">
        <v>0.34930555555555554</v>
      </c>
      <c r="J100" s="127">
        <v>8.3699999999999992</v>
      </c>
      <c r="K100" s="127">
        <v>20.100000000000001</v>
      </c>
      <c r="L100" s="127">
        <f t="shared" si="12"/>
        <v>0.63000000000000078</v>
      </c>
      <c r="M100" s="128" t="s">
        <v>21</v>
      </c>
      <c r="N100" s="128" t="s">
        <v>20</v>
      </c>
      <c r="O100" s="258"/>
      <c r="P100" s="129" t="s">
        <v>459</v>
      </c>
      <c r="Q100" s="148"/>
      <c r="R100" s="148"/>
      <c r="S100" s="148"/>
      <c r="T100" s="148"/>
      <c r="U100" s="148"/>
      <c r="V100" s="148"/>
      <c r="W100" s="148"/>
      <c r="X100" s="148"/>
      <c r="Y100" s="148"/>
      <c r="Z100" s="148"/>
      <c r="AA100" s="148"/>
      <c r="AB100" s="148"/>
      <c r="AC100" s="148"/>
    </row>
    <row r="101" spans="1:29" ht="15.75" customHeight="1">
      <c r="A101" s="131" t="s">
        <v>460</v>
      </c>
      <c r="B101" s="145">
        <v>45103</v>
      </c>
      <c r="C101" s="132">
        <v>0.32847222222222222</v>
      </c>
      <c r="D101" s="145">
        <v>45105</v>
      </c>
      <c r="E101" s="124">
        <v>0.61041666666666672</v>
      </c>
      <c r="F101" s="126">
        <v>9.17</v>
      </c>
      <c r="G101" s="126">
        <v>18.7</v>
      </c>
      <c r="H101" s="125">
        <v>45110</v>
      </c>
      <c r="I101" s="124">
        <v>0.35069444444444442</v>
      </c>
      <c r="J101" s="127">
        <v>8.6</v>
      </c>
      <c r="K101" s="127">
        <v>20.2</v>
      </c>
      <c r="L101" s="127">
        <f t="shared" si="12"/>
        <v>0.57000000000000028</v>
      </c>
      <c r="M101" s="128" t="s">
        <v>21</v>
      </c>
      <c r="N101" s="128" t="s">
        <v>453</v>
      </c>
      <c r="O101" s="258"/>
      <c r="P101" s="273" t="s">
        <v>455</v>
      </c>
    </row>
    <row r="102" spans="1:29" ht="15.75" customHeight="1">
      <c r="A102" s="131" t="s">
        <v>461</v>
      </c>
      <c r="B102" s="145">
        <v>45103</v>
      </c>
      <c r="C102" s="132">
        <v>0.40277777777777779</v>
      </c>
      <c r="D102" s="145">
        <v>45105</v>
      </c>
      <c r="E102" s="124">
        <v>0.63124999999999998</v>
      </c>
      <c r="F102" s="126">
        <v>8.77</v>
      </c>
      <c r="G102" s="126">
        <v>18.8</v>
      </c>
      <c r="H102" s="125">
        <v>45110</v>
      </c>
      <c r="I102" s="124">
        <v>0.35347222222222224</v>
      </c>
      <c r="J102" s="127">
        <v>8.58</v>
      </c>
      <c r="K102" s="127">
        <v>20.6</v>
      </c>
      <c r="L102" s="127">
        <f t="shared" si="12"/>
        <v>0.1899999999999995</v>
      </c>
      <c r="M102" s="128" t="s">
        <v>21</v>
      </c>
      <c r="N102" s="128" t="s">
        <v>453</v>
      </c>
      <c r="O102" s="258"/>
      <c r="P102" s="253"/>
    </row>
    <row r="103" spans="1:29" ht="15.75" customHeight="1">
      <c r="A103" s="131" t="s">
        <v>462</v>
      </c>
      <c r="B103" s="145">
        <v>45103</v>
      </c>
      <c r="C103" s="132">
        <v>0.40277777777777779</v>
      </c>
      <c r="D103" s="145">
        <v>45105</v>
      </c>
      <c r="E103" s="124">
        <v>0.63680555555555551</v>
      </c>
      <c r="F103" s="126">
        <v>9.15</v>
      </c>
      <c r="G103" s="126">
        <v>19.100000000000001</v>
      </c>
      <c r="H103" s="125">
        <v>45110</v>
      </c>
      <c r="I103" s="124">
        <v>0.35625000000000001</v>
      </c>
      <c r="J103" s="127">
        <v>8.76</v>
      </c>
      <c r="K103" s="127">
        <v>20.7</v>
      </c>
      <c r="L103" s="127">
        <f t="shared" si="12"/>
        <v>0.39000000000000057</v>
      </c>
      <c r="M103" s="128" t="s">
        <v>21</v>
      </c>
      <c r="N103" s="128" t="s">
        <v>453</v>
      </c>
      <c r="O103" s="258"/>
      <c r="P103" s="253"/>
    </row>
    <row r="104" spans="1:29" ht="15.75" customHeight="1">
      <c r="A104" s="131" t="s">
        <v>463</v>
      </c>
      <c r="B104" s="145">
        <v>45103</v>
      </c>
      <c r="C104" s="132">
        <v>0.44513888888888886</v>
      </c>
      <c r="D104" s="145">
        <v>45105</v>
      </c>
      <c r="E104" s="124">
        <v>0.64097222222222228</v>
      </c>
      <c r="F104" s="126">
        <v>9.25</v>
      </c>
      <c r="G104" s="126">
        <v>18.2</v>
      </c>
      <c r="H104" s="125">
        <v>45110</v>
      </c>
      <c r="I104" s="124">
        <v>0.37638888888888888</v>
      </c>
      <c r="J104" s="127">
        <v>8.64</v>
      </c>
      <c r="K104" s="127">
        <v>21.1</v>
      </c>
      <c r="L104" s="127">
        <f t="shared" si="12"/>
        <v>0.60999999999999943</v>
      </c>
      <c r="M104" s="128" t="s">
        <v>21</v>
      </c>
      <c r="N104" s="128" t="s">
        <v>453</v>
      </c>
      <c r="O104" s="258"/>
      <c r="P104" s="253"/>
    </row>
    <row r="105" spans="1:29" ht="15.75" customHeight="1">
      <c r="A105" s="131" t="s">
        <v>464</v>
      </c>
      <c r="B105" s="145">
        <v>45103</v>
      </c>
      <c r="C105" s="132">
        <v>0.44513888888888886</v>
      </c>
      <c r="D105" s="145">
        <v>45105</v>
      </c>
      <c r="E105" s="124">
        <v>0.64930555555555558</v>
      </c>
      <c r="F105" s="126">
        <v>9.17</v>
      </c>
      <c r="G105" s="126">
        <v>19.5</v>
      </c>
      <c r="H105" s="125">
        <v>45110</v>
      </c>
      <c r="I105" s="124">
        <v>0.37708333333333333</v>
      </c>
      <c r="J105" s="127">
        <v>8.91</v>
      </c>
      <c r="K105" s="127">
        <v>20.2</v>
      </c>
      <c r="L105" s="127">
        <f t="shared" si="12"/>
        <v>0.25999999999999979</v>
      </c>
      <c r="M105" s="128" t="s">
        <v>21</v>
      </c>
      <c r="N105" s="128" t="s">
        <v>453</v>
      </c>
      <c r="O105" s="258"/>
      <c r="P105" s="253"/>
    </row>
    <row r="106" spans="1:29" ht="15.75" customHeight="1">
      <c r="A106" s="131" t="s">
        <v>465</v>
      </c>
      <c r="B106" s="145">
        <v>45103</v>
      </c>
      <c r="C106" s="132">
        <v>0.46666666666666667</v>
      </c>
      <c r="D106" s="145">
        <v>45105</v>
      </c>
      <c r="E106" s="124">
        <v>0.65416666666666667</v>
      </c>
      <c r="F106" s="126">
        <v>9.11</v>
      </c>
      <c r="G106" s="126">
        <v>18.7</v>
      </c>
      <c r="H106" s="125">
        <v>45110</v>
      </c>
      <c r="I106" s="124">
        <v>0.37986111111111109</v>
      </c>
      <c r="J106" s="127">
        <v>8.4499999999999993</v>
      </c>
      <c r="K106" s="127">
        <v>20.7</v>
      </c>
      <c r="L106" s="127">
        <f t="shared" si="12"/>
        <v>0.66000000000000014</v>
      </c>
      <c r="M106" s="128" t="s">
        <v>21</v>
      </c>
      <c r="N106" s="128" t="s">
        <v>453</v>
      </c>
      <c r="O106" s="258"/>
      <c r="P106" s="253"/>
    </row>
    <row r="107" spans="1:29" ht="15.75" customHeight="1">
      <c r="A107" s="131" t="s">
        <v>466</v>
      </c>
      <c r="B107" s="145">
        <v>45103</v>
      </c>
      <c r="C107" s="132">
        <v>0.46666666666666667</v>
      </c>
      <c r="D107" s="145">
        <v>45105</v>
      </c>
      <c r="E107" s="124">
        <v>0.65833333333333333</v>
      </c>
      <c r="F107" s="126">
        <v>9.33</v>
      </c>
      <c r="G107" s="126">
        <v>18.399999999999999</v>
      </c>
      <c r="H107" s="125">
        <v>45110</v>
      </c>
      <c r="I107" s="124">
        <v>0.38194444444444442</v>
      </c>
      <c r="J107" s="127">
        <v>8.39</v>
      </c>
      <c r="K107" s="127">
        <v>21.3</v>
      </c>
      <c r="L107" s="127">
        <f t="shared" si="12"/>
        <v>0.9399999999999995</v>
      </c>
      <c r="M107" s="128" t="s">
        <v>21</v>
      </c>
      <c r="N107" s="128" t="s">
        <v>453</v>
      </c>
      <c r="O107" s="258"/>
      <c r="P107" s="253"/>
    </row>
    <row r="108" spans="1:29" ht="15.75" customHeight="1">
      <c r="A108" s="131" t="s">
        <v>467</v>
      </c>
      <c r="B108" s="145">
        <v>45104</v>
      </c>
      <c r="C108" s="132">
        <v>0.30902777777777779</v>
      </c>
      <c r="D108" s="145">
        <v>45105</v>
      </c>
      <c r="E108" s="124">
        <v>0.66249999999999998</v>
      </c>
      <c r="F108" s="126">
        <v>9.31</v>
      </c>
      <c r="G108" s="126">
        <v>19.8</v>
      </c>
      <c r="H108" s="125">
        <v>45110</v>
      </c>
      <c r="I108" s="124">
        <v>0.38333333333333336</v>
      </c>
      <c r="J108" s="127">
        <v>8.52</v>
      </c>
      <c r="K108" s="127">
        <v>21</v>
      </c>
      <c r="L108" s="127">
        <f t="shared" si="12"/>
        <v>0.79000000000000092</v>
      </c>
      <c r="M108" s="128" t="s">
        <v>21</v>
      </c>
      <c r="N108" s="128" t="s">
        <v>453</v>
      </c>
      <c r="O108" s="266" t="s">
        <v>148</v>
      </c>
      <c r="P108" s="253"/>
    </row>
    <row r="109" spans="1:29" ht="15.75" customHeight="1">
      <c r="A109" s="131" t="s">
        <v>468</v>
      </c>
      <c r="B109" s="145">
        <v>45104</v>
      </c>
      <c r="C109" s="132">
        <v>0.30902777777777779</v>
      </c>
      <c r="D109" s="145">
        <v>45105</v>
      </c>
      <c r="E109" s="124">
        <v>0.66597222222222219</v>
      </c>
      <c r="F109" s="126">
        <v>8.44</v>
      </c>
      <c r="G109" s="126">
        <v>20.100000000000001</v>
      </c>
      <c r="H109" s="125">
        <v>45110</v>
      </c>
      <c r="I109" s="124">
        <v>0.38541666666666669</v>
      </c>
      <c r="J109" s="127">
        <v>8.15</v>
      </c>
      <c r="K109" s="127">
        <v>20.8</v>
      </c>
      <c r="L109" s="127">
        <f t="shared" si="12"/>
        <v>0.28999999999999915</v>
      </c>
      <c r="M109" s="128" t="s">
        <v>21</v>
      </c>
      <c r="N109" s="128" t="s">
        <v>453</v>
      </c>
      <c r="O109" s="258"/>
      <c r="P109" s="253"/>
    </row>
    <row r="110" spans="1:29" ht="15.75" customHeight="1">
      <c r="A110" s="131" t="s">
        <v>469</v>
      </c>
      <c r="B110" s="145">
        <v>45104</v>
      </c>
      <c r="C110" s="132">
        <v>0.35416666666666669</v>
      </c>
      <c r="D110" s="145">
        <v>45105</v>
      </c>
      <c r="E110" s="124">
        <v>0.67500000000000004</v>
      </c>
      <c r="F110" s="126">
        <v>8.86</v>
      </c>
      <c r="G110" s="126">
        <v>20</v>
      </c>
      <c r="H110" s="125">
        <v>45110</v>
      </c>
      <c r="I110" s="124">
        <v>0.38819444444444445</v>
      </c>
      <c r="J110" s="127">
        <v>8.27</v>
      </c>
      <c r="K110" s="127">
        <v>20.6</v>
      </c>
      <c r="L110" s="127">
        <f t="shared" si="12"/>
        <v>0.58999999999999986</v>
      </c>
      <c r="M110" s="128" t="s">
        <v>21</v>
      </c>
      <c r="N110" s="128" t="s">
        <v>453</v>
      </c>
      <c r="O110" s="258"/>
      <c r="P110" s="253"/>
    </row>
    <row r="111" spans="1:29" ht="15.75" customHeight="1">
      <c r="A111" s="131" t="s">
        <v>470</v>
      </c>
      <c r="B111" s="145">
        <v>45104</v>
      </c>
      <c r="C111" s="132">
        <v>0.35416666666666669</v>
      </c>
      <c r="D111" s="145">
        <v>45105</v>
      </c>
      <c r="E111" s="124">
        <v>0.67847222222222225</v>
      </c>
      <c r="F111" s="126">
        <v>8.67</v>
      </c>
      <c r="G111" s="126">
        <v>19.399999999999999</v>
      </c>
      <c r="H111" s="125">
        <v>45110</v>
      </c>
      <c r="I111" s="124">
        <v>0.39027777777777778</v>
      </c>
      <c r="J111" s="127">
        <v>7.95</v>
      </c>
      <c r="K111" s="127">
        <v>20.5</v>
      </c>
      <c r="L111" s="127">
        <f t="shared" si="12"/>
        <v>0.71999999999999975</v>
      </c>
      <c r="M111" s="128" t="s">
        <v>21</v>
      </c>
      <c r="N111" s="128" t="s">
        <v>453</v>
      </c>
      <c r="O111" s="258"/>
      <c r="P111" s="253"/>
    </row>
    <row r="112" spans="1:29" ht="15.75" customHeight="1">
      <c r="A112" s="131" t="s">
        <v>471</v>
      </c>
      <c r="B112" s="145">
        <v>45104</v>
      </c>
      <c r="C112" s="149">
        <v>0.42638888888888887</v>
      </c>
      <c r="D112" s="145">
        <v>45105</v>
      </c>
      <c r="E112" s="149">
        <v>0.68194444444444446</v>
      </c>
      <c r="F112" s="147">
        <v>8.6199999999999992</v>
      </c>
      <c r="G112" s="147">
        <v>19.899999999999999</v>
      </c>
      <c r="H112" s="125">
        <v>45110</v>
      </c>
      <c r="I112" s="124">
        <v>0.39305555555555555</v>
      </c>
      <c r="J112" s="127">
        <v>7.92</v>
      </c>
      <c r="K112" s="127">
        <v>20.8</v>
      </c>
      <c r="L112" s="127">
        <f t="shared" si="12"/>
        <v>0.69999999999999929</v>
      </c>
      <c r="M112" s="128" t="s">
        <v>21</v>
      </c>
      <c r="N112" s="128" t="s">
        <v>453</v>
      </c>
      <c r="O112" s="258"/>
      <c r="P112" s="253"/>
    </row>
    <row r="113" spans="1:16" ht="15.75" customHeight="1">
      <c r="A113" s="131" t="s">
        <v>472</v>
      </c>
      <c r="B113" s="145">
        <v>45104</v>
      </c>
      <c r="C113" s="149">
        <v>0.42638888888888887</v>
      </c>
      <c r="D113" s="145">
        <v>45105</v>
      </c>
      <c r="E113" s="149">
        <v>0.68819444444444444</v>
      </c>
      <c r="F113" s="147">
        <v>9.1</v>
      </c>
      <c r="G113" s="147">
        <v>19.2</v>
      </c>
      <c r="H113" s="125">
        <v>45110</v>
      </c>
      <c r="I113" s="124">
        <v>0.39652777777777776</v>
      </c>
      <c r="J113" s="127">
        <v>8.3699999999999992</v>
      </c>
      <c r="K113" s="127">
        <v>20.100000000000001</v>
      </c>
      <c r="L113" s="127">
        <f t="shared" si="12"/>
        <v>0.73000000000000043</v>
      </c>
      <c r="M113" s="128" t="s">
        <v>21</v>
      </c>
      <c r="N113" s="128" t="s">
        <v>453</v>
      </c>
      <c r="O113" s="259"/>
      <c r="P113" s="254"/>
    </row>
    <row r="114" spans="1:16" ht="15.75">
      <c r="A114" s="131" t="s">
        <v>364</v>
      </c>
      <c r="B114" s="122" t="s">
        <v>17</v>
      </c>
      <c r="C114" s="133" t="s">
        <v>17</v>
      </c>
      <c r="D114" s="145">
        <v>45107</v>
      </c>
      <c r="E114" s="150">
        <v>0.32361111111111113</v>
      </c>
      <c r="F114" s="131">
        <v>8.66</v>
      </c>
      <c r="G114" s="131">
        <v>23.1</v>
      </c>
      <c r="H114" s="125">
        <v>45112</v>
      </c>
      <c r="I114" s="151">
        <v>0.49236111111111114</v>
      </c>
      <c r="J114" s="152">
        <v>8.67</v>
      </c>
      <c r="K114" s="152">
        <v>23.3</v>
      </c>
      <c r="L114" s="127" t="s">
        <v>17</v>
      </c>
      <c r="M114" s="128" t="s">
        <v>21</v>
      </c>
      <c r="N114" s="128" t="s">
        <v>20</v>
      </c>
      <c r="O114" s="148"/>
      <c r="P114" s="148"/>
    </row>
    <row r="115" spans="1:16" ht="15.75" customHeight="1">
      <c r="A115" s="131" t="s">
        <v>473</v>
      </c>
      <c r="B115" s="145">
        <v>45105</v>
      </c>
      <c r="C115" s="149">
        <v>0.33263888888888887</v>
      </c>
      <c r="D115" s="145">
        <v>45107</v>
      </c>
      <c r="E115" s="153">
        <v>0.32500000000000001</v>
      </c>
      <c r="F115" s="154">
        <v>8.5</v>
      </c>
      <c r="G115" s="154">
        <v>20.9</v>
      </c>
      <c r="H115" s="125">
        <v>45112</v>
      </c>
      <c r="I115" s="124">
        <v>0.49444444444444446</v>
      </c>
      <c r="J115" s="127">
        <v>7.78</v>
      </c>
      <c r="K115" s="127">
        <v>20.5</v>
      </c>
      <c r="L115" s="127">
        <f t="shared" ref="L115:L122" si="13">F115-J115</f>
        <v>0.71999999999999975</v>
      </c>
      <c r="M115" s="128" t="s">
        <v>21</v>
      </c>
      <c r="N115" s="128" t="s">
        <v>20</v>
      </c>
      <c r="O115" s="266" t="s">
        <v>160</v>
      </c>
      <c r="P115" s="267" t="s">
        <v>455</v>
      </c>
    </row>
    <row r="116" spans="1:16" ht="15.75" customHeight="1">
      <c r="A116" s="131" t="s">
        <v>474</v>
      </c>
      <c r="B116" s="145">
        <v>45105</v>
      </c>
      <c r="C116" s="149">
        <v>0.33263888888888887</v>
      </c>
      <c r="D116" s="145">
        <v>45107</v>
      </c>
      <c r="E116" s="153">
        <v>0.33263888888888887</v>
      </c>
      <c r="F116" s="155">
        <v>8.3699999999999992</v>
      </c>
      <c r="G116" s="155">
        <v>20.7</v>
      </c>
      <c r="H116" s="125">
        <v>45112</v>
      </c>
      <c r="I116" s="124">
        <v>0.49652777777777779</v>
      </c>
      <c r="J116" s="127">
        <v>7.79</v>
      </c>
      <c r="K116" s="127">
        <v>20</v>
      </c>
      <c r="L116" s="127">
        <f t="shared" si="13"/>
        <v>0.57999999999999918</v>
      </c>
      <c r="M116" s="128" t="s">
        <v>21</v>
      </c>
      <c r="N116" s="128" t="s">
        <v>453</v>
      </c>
      <c r="O116" s="258"/>
      <c r="P116" s="253"/>
    </row>
    <row r="117" spans="1:16" ht="15.75" customHeight="1">
      <c r="A117" s="131" t="s">
        <v>475</v>
      </c>
      <c r="B117" s="145">
        <v>45105</v>
      </c>
      <c r="C117" s="149">
        <v>0.35416666666666669</v>
      </c>
      <c r="D117" s="145">
        <v>45107</v>
      </c>
      <c r="E117" s="153">
        <v>0.33888888888888891</v>
      </c>
      <c r="F117" s="155">
        <v>8.42</v>
      </c>
      <c r="G117" s="155">
        <v>20.5</v>
      </c>
      <c r="H117" s="125">
        <v>45112</v>
      </c>
      <c r="I117" s="124">
        <v>0.49861111111111112</v>
      </c>
      <c r="J117" s="127">
        <v>7.83</v>
      </c>
      <c r="K117" s="127">
        <v>20.399999999999999</v>
      </c>
      <c r="L117" s="127">
        <f t="shared" si="13"/>
        <v>0.58999999999999986</v>
      </c>
      <c r="M117" s="128" t="s">
        <v>21</v>
      </c>
      <c r="N117" s="128" t="s">
        <v>453</v>
      </c>
      <c r="O117" s="258"/>
      <c r="P117" s="253"/>
    </row>
    <row r="118" spans="1:16" ht="15.75" customHeight="1">
      <c r="A118" s="131" t="s">
        <v>476</v>
      </c>
      <c r="B118" s="145">
        <v>45105</v>
      </c>
      <c r="C118" s="149">
        <v>0.35416666666666669</v>
      </c>
      <c r="D118" s="145">
        <v>45107</v>
      </c>
      <c r="E118" s="153">
        <v>0.34166666666666667</v>
      </c>
      <c r="F118" s="155">
        <v>8.35</v>
      </c>
      <c r="G118" s="155">
        <v>20.5</v>
      </c>
      <c r="H118" s="125">
        <v>45112</v>
      </c>
      <c r="I118" s="124">
        <v>0.50069444444444444</v>
      </c>
      <c r="J118" s="127">
        <v>7.83</v>
      </c>
      <c r="K118" s="127">
        <v>20.100000000000001</v>
      </c>
      <c r="L118" s="127">
        <f t="shared" si="13"/>
        <v>0.51999999999999957</v>
      </c>
      <c r="M118" s="128" t="s">
        <v>21</v>
      </c>
      <c r="N118" s="128" t="s">
        <v>453</v>
      </c>
      <c r="O118" s="259"/>
      <c r="P118" s="253"/>
    </row>
    <row r="119" spans="1:16" ht="15.75" customHeight="1">
      <c r="A119" s="131" t="s">
        <v>477</v>
      </c>
      <c r="B119" s="156">
        <v>45106</v>
      </c>
      <c r="C119" s="149">
        <v>0.29166666666666669</v>
      </c>
      <c r="D119" s="145">
        <v>45107</v>
      </c>
      <c r="E119" s="153">
        <v>0.34722222222222221</v>
      </c>
      <c r="F119" s="155">
        <v>8.14</v>
      </c>
      <c r="G119" s="155">
        <v>20.8</v>
      </c>
      <c r="H119" s="125">
        <v>45112</v>
      </c>
      <c r="I119" s="124">
        <v>0.50277777777777777</v>
      </c>
      <c r="J119" s="127">
        <v>7.82</v>
      </c>
      <c r="K119" s="127">
        <v>20.5</v>
      </c>
      <c r="L119" s="127">
        <f t="shared" si="13"/>
        <v>0.32000000000000028</v>
      </c>
      <c r="M119" s="128" t="s">
        <v>21</v>
      </c>
      <c r="N119" s="128" t="s">
        <v>20</v>
      </c>
      <c r="O119" s="266" t="s">
        <v>167</v>
      </c>
      <c r="P119" s="253"/>
    </row>
    <row r="120" spans="1:16" ht="15.75" customHeight="1">
      <c r="A120" s="131" t="s">
        <v>478</v>
      </c>
      <c r="B120" s="156">
        <v>45106</v>
      </c>
      <c r="C120" s="149">
        <v>0.29166666666666669</v>
      </c>
      <c r="D120" s="145">
        <v>45107</v>
      </c>
      <c r="E120" s="153">
        <v>0.35069444444444442</v>
      </c>
      <c r="F120" s="155">
        <v>8.6</v>
      </c>
      <c r="G120" s="155">
        <v>20.8</v>
      </c>
      <c r="H120" s="125">
        <v>45112</v>
      </c>
      <c r="I120" s="124">
        <v>0.50624999999999998</v>
      </c>
      <c r="J120" s="127">
        <v>7.91</v>
      </c>
      <c r="K120" s="127">
        <v>20.100000000000001</v>
      </c>
      <c r="L120" s="127">
        <f t="shared" si="13"/>
        <v>0.6899999999999995</v>
      </c>
      <c r="M120" s="128" t="s">
        <v>21</v>
      </c>
      <c r="N120" s="128" t="s">
        <v>20</v>
      </c>
      <c r="O120" s="258"/>
      <c r="P120" s="253"/>
    </row>
    <row r="121" spans="1:16" ht="15.75" customHeight="1">
      <c r="A121" s="131" t="s">
        <v>479</v>
      </c>
      <c r="B121" s="156">
        <v>45106</v>
      </c>
      <c r="C121" s="149">
        <v>0.32569444444444445</v>
      </c>
      <c r="D121" s="145">
        <v>45107</v>
      </c>
      <c r="E121" s="153">
        <v>0.35555555555555557</v>
      </c>
      <c r="F121" s="155">
        <v>7.89</v>
      </c>
      <c r="G121" s="155">
        <v>21.2</v>
      </c>
      <c r="H121" s="125">
        <v>45112</v>
      </c>
      <c r="I121" s="124">
        <v>0.50902777777777775</v>
      </c>
      <c r="J121" s="127">
        <v>7.79</v>
      </c>
      <c r="K121" s="127">
        <v>20.399999999999999</v>
      </c>
      <c r="L121" s="127">
        <f t="shared" si="13"/>
        <v>9.9999999999999645E-2</v>
      </c>
      <c r="M121" s="128" t="s">
        <v>21</v>
      </c>
      <c r="N121" s="128" t="s">
        <v>453</v>
      </c>
      <c r="O121" s="258"/>
      <c r="P121" s="253"/>
    </row>
    <row r="122" spans="1:16" ht="15.75" customHeight="1">
      <c r="A122" s="131" t="s">
        <v>480</v>
      </c>
      <c r="B122" s="156">
        <v>45106</v>
      </c>
      <c r="C122" s="149">
        <v>0.32569444444444445</v>
      </c>
      <c r="D122" s="145">
        <v>45107</v>
      </c>
      <c r="E122" s="153">
        <v>0.35902777777777778</v>
      </c>
      <c r="F122" s="155">
        <v>7.63</v>
      </c>
      <c r="G122" s="155">
        <v>21.2</v>
      </c>
      <c r="H122" s="125">
        <v>45112</v>
      </c>
      <c r="I122" s="124">
        <v>0.51249999999999996</v>
      </c>
      <c r="J122" s="127">
        <v>7.22</v>
      </c>
      <c r="K122" s="127">
        <v>19.899999999999999</v>
      </c>
      <c r="L122" s="127">
        <f t="shared" si="13"/>
        <v>0.41000000000000014</v>
      </c>
      <c r="M122" s="128" t="s">
        <v>21</v>
      </c>
      <c r="N122" s="128" t="s">
        <v>453</v>
      </c>
      <c r="O122" s="259"/>
      <c r="P122" s="254"/>
    </row>
    <row r="123" spans="1:16" ht="15.75" customHeight="1">
      <c r="A123" s="157"/>
      <c r="B123" s="158"/>
      <c r="C123" s="159"/>
      <c r="D123" s="160"/>
      <c r="E123" s="161"/>
      <c r="F123" s="162"/>
      <c r="G123" s="162"/>
      <c r="H123" s="160"/>
      <c r="I123" s="161"/>
      <c r="J123" s="163"/>
      <c r="K123" s="163"/>
      <c r="L123" s="163"/>
      <c r="M123" s="164"/>
      <c r="N123" s="164"/>
      <c r="O123" s="165"/>
      <c r="P123" s="166"/>
    </row>
    <row r="124" spans="1:16" ht="15.75" customHeight="1">
      <c r="A124" s="157"/>
      <c r="B124" s="158"/>
      <c r="C124" s="159"/>
      <c r="D124" s="160"/>
      <c r="E124" s="161"/>
      <c r="F124" s="162"/>
      <c r="G124" s="162"/>
      <c r="H124" s="160"/>
      <c r="I124" s="161"/>
      <c r="J124" s="163"/>
      <c r="K124" s="163"/>
      <c r="L124" s="163"/>
      <c r="M124" s="164"/>
      <c r="N124" s="164"/>
      <c r="O124" s="165"/>
      <c r="P124" s="166"/>
    </row>
    <row r="125" spans="1:16" ht="15.75" customHeight="1">
      <c r="A125" s="157"/>
      <c r="B125" s="158"/>
      <c r="C125" s="159"/>
      <c r="D125" s="160"/>
      <c r="E125" s="161"/>
      <c r="F125" s="162"/>
      <c r="G125" s="162"/>
      <c r="H125" s="160"/>
      <c r="I125" s="161"/>
      <c r="J125" s="163"/>
      <c r="K125" s="163"/>
      <c r="L125" s="163"/>
      <c r="M125" s="164"/>
      <c r="N125" s="164"/>
      <c r="O125" s="165"/>
      <c r="P125" s="166"/>
    </row>
    <row r="126" spans="1:16" ht="15.75" customHeight="1">
      <c r="A126" s="157"/>
      <c r="B126" s="158"/>
      <c r="C126" s="159"/>
      <c r="D126" s="160"/>
      <c r="E126" s="161"/>
      <c r="F126" s="162"/>
      <c r="G126" s="162"/>
      <c r="H126" s="160"/>
      <c r="I126" s="161"/>
      <c r="J126" s="163"/>
      <c r="K126" s="163"/>
      <c r="L126" s="163"/>
      <c r="M126" s="164"/>
      <c r="N126" s="164"/>
      <c r="O126" s="165"/>
      <c r="P126" s="166"/>
    </row>
    <row r="127" spans="1:16" ht="15.75" customHeight="1">
      <c r="A127" s="157"/>
      <c r="B127" s="158"/>
      <c r="C127" s="159"/>
      <c r="D127" s="160"/>
      <c r="E127" s="161"/>
      <c r="F127" s="162"/>
      <c r="G127" s="162"/>
      <c r="H127" s="160"/>
      <c r="I127" s="161"/>
      <c r="J127" s="163"/>
      <c r="K127" s="163"/>
      <c r="L127" s="163"/>
      <c r="M127" s="164"/>
      <c r="N127" s="164"/>
      <c r="O127" s="165"/>
      <c r="P127" s="166"/>
    </row>
    <row r="128" spans="1:16" ht="15.75" customHeight="1">
      <c r="A128" s="157"/>
      <c r="B128" s="158"/>
      <c r="C128" s="159"/>
      <c r="D128" s="160"/>
      <c r="E128" s="161"/>
      <c r="F128" s="162"/>
      <c r="G128" s="162"/>
      <c r="H128" s="160"/>
      <c r="I128" s="161"/>
      <c r="J128" s="163"/>
      <c r="K128" s="163"/>
      <c r="L128" s="163"/>
      <c r="M128" s="164"/>
      <c r="N128" s="164"/>
      <c r="O128" s="165"/>
      <c r="P128" s="166"/>
    </row>
    <row r="129" spans="1:16" ht="15.75" customHeight="1">
      <c r="A129" s="157"/>
      <c r="B129" s="158"/>
      <c r="C129" s="159"/>
      <c r="D129" s="160"/>
      <c r="E129" s="161"/>
      <c r="F129" s="162"/>
      <c r="G129" s="162"/>
      <c r="H129" s="160"/>
      <c r="I129" s="161"/>
      <c r="J129" s="163"/>
      <c r="K129" s="163"/>
      <c r="L129" s="163"/>
      <c r="M129" s="164"/>
      <c r="N129" s="164"/>
      <c r="O129" s="165"/>
      <c r="P129" s="166"/>
    </row>
    <row r="130" spans="1:16" ht="15.75" customHeight="1">
      <c r="A130" s="157"/>
      <c r="B130" s="158"/>
      <c r="C130" s="159"/>
      <c r="D130" s="160"/>
      <c r="E130" s="161"/>
      <c r="F130" s="162"/>
      <c r="G130" s="162"/>
      <c r="H130" s="160"/>
      <c r="I130" s="161"/>
      <c r="J130" s="163"/>
      <c r="K130" s="163"/>
      <c r="L130" s="163"/>
      <c r="M130" s="164"/>
      <c r="N130" s="164"/>
      <c r="O130" s="165"/>
      <c r="P130" s="166"/>
    </row>
    <row r="131" spans="1:16" ht="15.75" customHeight="1">
      <c r="A131" s="157"/>
      <c r="B131" s="158"/>
      <c r="C131" s="159"/>
      <c r="D131" s="160"/>
      <c r="E131" s="161"/>
      <c r="F131" s="162"/>
      <c r="G131" s="162"/>
      <c r="H131" s="160"/>
      <c r="I131" s="161"/>
      <c r="J131" s="163"/>
      <c r="K131" s="163"/>
      <c r="L131" s="163"/>
      <c r="M131" s="164"/>
      <c r="N131" s="164"/>
      <c r="O131" s="165"/>
      <c r="P131" s="166"/>
    </row>
    <row r="132" spans="1:16" ht="15.75" customHeight="1">
      <c r="A132" s="157"/>
      <c r="B132" s="158"/>
      <c r="C132" s="159"/>
      <c r="D132" s="160"/>
      <c r="E132" s="161"/>
      <c r="F132" s="162"/>
      <c r="G132" s="162"/>
      <c r="H132" s="160"/>
      <c r="I132" s="161"/>
      <c r="J132" s="163"/>
      <c r="K132" s="163"/>
      <c r="L132" s="163"/>
      <c r="M132" s="164"/>
      <c r="N132" s="164"/>
      <c r="O132" s="165"/>
      <c r="P132" s="166"/>
    </row>
    <row r="133" spans="1:16" ht="15.75" customHeight="1">
      <c r="A133" s="157"/>
      <c r="B133" s="158"/>
      <c r="C133" s="159"/>
      <c r="D133" s="160"/>
      <c r="E133" s="161"/>
      <c r="F133" s="162"/>
      <c r="G133" s="162"/>
      <c r="H133" s="160"/>
      <c r="I133" s="161"/>
      <c r="J133" s="163"/>
      <c r="K133" s="163"/>
      <c r="L133" s="163"/>
      <c r="M133" s="164"/>
      <c r="N133" s="164"/>
      <c r="O133" s="165"/>
      <c r="P133" s="166"/>
    </row>
    <row r="134" spans="1:16" ht="15.75" customHeight="1">
      <c r="A134" s="157"/>
      <c r="B134" s="158"/>
      <c r="C134" s="159"/>
      <c r="D134" s="160"/>
      <c r="E134" s="161"/>
      <c r="F134" s="162"/>
      <c r="G134" s="162"/>
      <c r="H134" s="160"/>
      <c r="I134" s="161"/>
      <c r="J134" s="163"/>
      <c r="K134" s="163"/>
      <c r="L134" s="163"/>
      <c r="M134" s="164"/>
      <c r="N134" s="164"/>
      <c r="O134" s="165"/>
      <c r="P134" s="166"/>
    </row>
    <row r="135" spans="1:16" ht="15.75" customHeight="1">
      <c r="A135" s="157"/>
      <c r="B135" s="158"/>
      <c r="C135" s="159"/>
      <c r="D135" s="160"/>
      <c r="E135" s="161"/>
      <c r="F135" s="162"/>
      <c r="G135" s="162"/>
      <c r="H135" s="160"/>
      <c r="I135" s="161"/>
      <c r="J135" s="163"/>
      <c r="K135" s="163"/>
      <c r="L135" s="163"/>
      <c r="M135" s="164"/>
      <c r="N135" s="164"/>
      <c r="O135" s="165"/>
      <c r="P135" s="166"/>
    </row>
    <row r="136" spans="1:16" ht="15.75" customHeight="1">
      <c r="A136" s="157"/>
      <c r="B136" s="158"/>
      <c r="C136" s="159"/>
      <c r="D136" s="160"/>
      <c r="E136" s="161"/>
      <c r="F136" s="162"/>
      <c r="G136" s="162"/>
      <c r="H136" s="160"/>
      <c r="I136" s="161"/>
      <c r="J136" s="163"/>
      <c r="K136" s="163"/>
      <c r="L136" s="163"/>
      <c r="M136" s="164"/>
      <c r="N136" s="164"/>
      <c r="O136" s="165"/>
      <c r="P136" s="166"/>
    </row>
    <row r="137" spans="1:16" ht="15.75" customHeight="1">
      <c r="A137" s="157"/>
      <c r="B137" s="158"/>
      <c r="C137" s="159"/>
      <c r="D137" s="160"/>
      <c r="E137" s="161"/>
      <c r="F137" s="162"/>
      <c r="G137" s="162"/>
      <c r="H137" s="160"/>
      <c r="I137" s="161"/>
      <c r="J137" s="163"/>
      <c r="K137" s="163"/>
      <c r="L137" s="163"/>
      <c r="M137" s="164"/>
      <c r="N137" s="164"/>
      <c r="O137" s="165"/>
      <c r="P137" s="166"/>
    </row>
    <row r="138" spans="1:16" ht="15.75" customHeight="1">
      <c r="A138" s="157"/>
      <c r="B138" s="158"/>
      <c r="C138" s="159"/>
      <c r="D138" s="160"/>
      <c r="E138" s="161"/>
      <c r="F138" s="162"/>
      <c r="G138" s="162"/>
      <c r="H138" s="160"/>
      <c r="I138" s="161"/>
      <c r="J138" s="163"/>
      <c r="K138" s="163"/>
      <c r="L138" s="163"/>
      <c r="M138" s="164"/>
      <c r="N138" s="164"/>
      <c r="O138" s="165"/>
      <c r="P138" s="166"/>
    </row>
    <row r="139" spans="1:16" ht="15.75" customHeight="1">
      <c r="A139" s="157"/>
      <c r="B139" s="158"/>
      <c r="C139" s="159"/>
      <c r="D139" s="160"/>
      <c r="E139" s="161"/>
      <c r="F139" s="162"/>
      <c r="G139" s="162"/>
      <c r="H139" s="160"/>
      <c r="I139" s="161"/>
      <c r="J139" s="163"/>
      <c r="K139" s="163"/>
      <c r="L139" s="163"/>
      <c r="M139" s="164"/>
      <c r="N139" s="164"/>
      <c r="O139" s="165"/>
      <c r="P139" s="166"/>
    </row>
    <row r="140" spans="1:16" ht="15.75" customHeight="1">
      <c r="A140" s="157"/>
      <c r="B140" s="158"/>
      <c r="C140" s="159"/>
      <c r="D140" s="160"/>
      <c r="E140" s="161"/>
      <c r="F140" s="162"/>
      <c r="G140" s="162"/>
      <c r="H140" s="160"/>
      <c r="I140" s="161"/>
      <c r="J140" s="163"/>
      <c r="K140" s="163"/>
      <c r="L140" s="163"/>
      <c r="M140" s="164"/>
      <c r="N140" s="164"/>
      <c r="O140" s="165"/>
      <c r="P140" s="166"/>
    </row>
    <row r="141" spans="1:16" ht="15.75" customHeight="1">
      <c r="A141" s="157"/>
      <c r="B141" s="158"/>
      <c r="C141" s="159"/>
      <c r="D141" s="160"/>
      <c r="E141" s="161"/>
      <c r="F141" s="162"/>
      <c r="G141" s="162"/>
      <c r="H141" s="160"/>
      <c r="I141" s="161"/>
      <c r="J141" s="163"/>
      <c r="K141" s="163"/>
      <c r="L141" s="163"/>
      <c r="M141" s="164"/>
      <c r="N141" s="164"/>
      <c r="O141" s="165"/>
      <c r="P141" s="166"/>
    </row>
    <row r="142" spans="1:16" ht="15.75" customHeight="1">
      <c r="A142" s="157"/>
      <c r="B142" s="158"/>
      <c r="C142" s="159"/>
      <c r="D142" s="160"/>
      <c r="E142" s="161"/>
      <c r="F142" s="162"/>
      <c r="G142" s="162"/>
      <c r="H142" s="160"/>
      <c r="I142" s="161"/>
      <c r="J142" s="163"/>
      <c r="K142" s="163"/>
      <c r="L142" s="163"/>
      <c r="M142" s="164"/>
      <c r="N142" s="164"/>
      <c r="O142" s="165"/>
      <c r="P142" s="166"/>
    </row>
    <row r="143" spans="1:16" ht="15.75" customHeight="1">
      <c r="A143" s="157"/>
      <c r="B143" s="158"/>
      <c r="C143" s="159"/>
      <c r="D143" s="160"/>
      <c r="E143" s="161"/>
      <c r="F143" s="162"/>
      <c r="G143" s="162"/>
      <c r="H143" s="160"/>
      <c r="I143" s="161"/>
      <c r="J143" s="163"/>
      <c r="K143" s="163"/>
      <c r="L143" s="163"/>
      <c r="M143" s="164"/>
      <c r="N143" s="164"/>
      <c r="O143" s="165"/>
      <c r="P143" s="166"/>
    </row>
    <row r="144" spans="1:16" ht="15.75" customHeight="1">
      <c r="A144" s="157"/>
      <c r="B144" s="158"/>
      <c r="C144" s="159"/>
      <c r="D144" s="160"/>
      <c r="E144" s="161"/>
      <c r="F144" s="162"/>
      <c r="G144" s="162"/>
      <c r="H144" s="160"/>
      <c r="I144" s="161"/>
      <c r="J144" s="163"/>
      <c r="K144" s="163"/>
      <c r="L144" s="163"/>
      <c r="M144" s="164"/>
      <c r="N144" s="164"/>
      <c r="O144" s="165"/>
      <c r="P144" s="166"/>
    </row>
    <row r="145" spans="1:16" ht="15.75" customHeight="1">
      <c r="A145" s="157"/>
      <c r="B145" s="158"/>
      <c r="C145" s="159"/>
      <c r="D145" s="160"/>
      <c r="E145" s="161"/>
      <c r="F145" s="162"/>
      <c r="G145" s="162"/>
      <c r="H145" s="160"/>
      <c r="I145" s="161"/>
      <c r="J145" s="163"/>
      <c r="K145" s="163"/>
      <c r="L145" s="163"/>
      <c r="M145" s="164"/>
      <c r="N145" s="164"/>
      <c r="O145" s="165"/>
      <c r="P145" s="166"/>
    </row>
    <row r="146" spans="1:16" ht="15.75" customHeight="1">
      <c r="A146" s="157"/>
      <c r="B146" s="158"/>
      <c r="C146" s="159"/>
      <c r="D146" s="160"/>
      <c r="E146" s="161"/>
      <c r="F146" s="162"/>
      <c r="G146" s="162"/>
      <c r="H146" s="160"/>
      <c r="I146" s="161"/>
      <c r="J146" s="163"/>
      <c r="K146" s="163"/>
      <c r="L146" s="163"/>
      <c r="M146" s="164"/>
      <c r="N146" s="164"/>
      <c r="O146" s="165"/>
      <c r="P146" s="166"/>
    </row>
    <row r="147" spans="1:16" ht="15.75" customHeight="1">
      <c r="A147" s="157"/>
      <c r="B147" s="158"/>
      <c r="C147" s="159"/>
      <c r="D147" s="160"/>
      <c r="E147" s="161"/>
      <c r="F147" s="162"/>
      <c r="G147" s="162"/>
      <c r="H147" s="160"/>
      <c r="I147" s="161"/>
      <c r="J147" s="163"/>
      <c r="K147" s="163"/>
      <c r="L147" s="163"/>
      <c r="M147" s="164"/>
      <c r="N147" s="164"/>
      <c r="O147" s="165"/>
      <c r="P147" s="166"/>
    </row>
    <row r="148" spans="1:16" ht="15.75" customHeight="1">
      <c r="A148" s="157"/>
      <c r="B148" s="158"/>
      <c r="C148" s="159"/>
      <c r="D148" s="160"/>
      <c r="E148" s="161"/>
      <c r="F148" s="162"/>
      <c r="G148" s="162"/>
      <c r="H148" s="160"/>
      <c r="I148" s="161"/>
      <c r="J148" s="163"/>
      <c r="K148" s="163"/>
      <c r="L148" s="163"/>
      <c r="M148" s="164"/>
      <c r="N148" s="164"/>
      <c r="O148" s="165"/>
      <c r="P148" s="166"/>
    </row>
    <row r="149" spans="1:16" ht="15.75" customHeight="1">
      <c r="A149" s="157"/>
      <c r="B149" s="158"/>
      <c r="C149" s="159"/>
      <c r="D149" s="160"/>
      <c r="E149" s="161"/>
      <c r="F149" s="162"/>
      <c r="G149" s="162"/>
      <c r="H149" s="160"/>
      <c r="I149" s="161"/>
      <c r="J149" s="163"/>
      <c r="K149" s="163"/>
      <c r="L149" s="163"/>
      <c r="M149" s="164"/>
      <c r="N149" s="164"/>
      <c r="O149" s="165"/>
      <c r="P149" s="166"/>
    </row>
    <row r="150" spans="1:16" ht="15.75" customHeight="1">
      <c r="A150" s="157"/>
      <c r="B150" s="158"/>
      <c r="C150" s="159"/>
      <c r="D150" s="160"/>
      <c r="E150" s="161"/>
      <c r="F150" s="162"/>
      <c r="G150" s="162"/>
      <c r="H150" s="160"/>
      <c r="I150" s="161"/>
      <c r="J150" s="163"/>
      <c r="K150" s="163"/>
      <c r="L150" s="163"/>
      <c r="M150" s="164"/>
      <c r="N150" s="164"/>
      <c r="O150" s="165"/>
      <c r="P150" s="166"/>
    </row>
    <row r="151" spans="1:16" ht="15.75" customHeight="1">
      <c r="A151" s="157"/>
      <c r="B151" s="158"/>
      <c r="C151" s="159"/>
      <c r="D151" s="160"/>
      <c r="E151" s="161"/>
      <c r="F151" s="162"/>
      <c r="G151" s="162"/>
      <c r="H151" s="160"/>
      <c r="I151" s="161"/>
      <c r="J151" s="163"/>
      <c r="K151" s="163"/>
      <c r="L151" s="163"/>
      <c r="M151" s="164"/>
      <c r="N151" s="164"/>
      <c r="O151" s="165"/>
      <c r="P151" s="166"/>
    </row>
    <row r="152" spans="1:16" ht="15.75" customHeight="1">
      <c r="A152" s="157"/>
      <c r="B152" s="158"/>
      <c r="C152" s="159"/>
      <c r="D152" s="160"/>
      <c r="E152" s="161"/>
      <c r="F152" s="162"/>
      <c r="G152" s="162"/>
      <c r="H152" s="160"/>
      <c r="I152" s="161"/>
      <c r="J152" s="163"/>
      <c r="K152" s="163"/>
      <c r="L152" s="163"/>
      <c r="M152" s="164"/>
      <c r="N152" s="164"/>
      <c r="O152" s="165"/>
      <c r="P152" s="166"/>
    </row>
    <row r="153" spans="1:16" ht="15.75" customHeight="1">
      <c r="A153" s="157"/>
      <c r="B153" s="158"/>
      <c r="C153" s="159"/>
      <c r="D153" s="160"/>
      <c r="E153" s="161"/>
      <c r="F153" s="162"/>
      <c r="G153" s="162"/>
      <c r="H153" s="160"/>
      <c r="I153" s="161"/>
      <c r="J153" s="163"/>
      <c r="K153" s="163"/>
      <c r="L153" s="163"/>
      <c r="M153" s="164"/>
      <c r="N153" s="164"/>
      <c r="O153" s="165"/>
      <c r="P153" s="166"/>
    </row>
    <row r="154" spans="1:16" ht="15.75" customHeight="1">
      <c r="A154" s="157"/>
      <c r="B154" s="158"/>
      <c r="C154" s="159"/>
      <c r="D154" s="160"/>
      <c r="E154" s="161"/>
      <c r="F154" s="162"/>
      <c r="G154" s="162"/>
      <c r="H154" s="160"/>
      <c r="I154" s="161"/>
      <c r="J154" s="163"/>
      <c r="K154" s="163"/>
      <c r="L154" s="163"/>
      <c r="M154" s="164"/>
      <c r="N154" s="164"/>
      <c r="O154" s="165"/>
      <c r="P154" s="166"/>
    </row>
    <row r="155" spans="1:16" ht="15.75" customHeight="1">
      <c r="A155" s="157"/>
      <c r="B155" s="158"/>
      <c r="C155" s="159"/>
      <c r="D155" s="160"/>
      <c r="E155" s="161"/>
      <c r="F155" s="162"/>
      <c r="G155" s="162"/>
      <c r="H155" s="160"/>
      <c r="I155" s="161"/>
      <c r="J155" s="163"/>
      <c r="K155" s="163"/>
      <c r="L155" s="163"/>
      <c r="M155" s="164"/>
      <c r="N155" s="164"/>
      <c r="O155" s="165"/>
      <c r="P155" s="166"/>
    </row>
    <row r="156" spans="1:16" ht="15.75" customHeight="1">
      <c r="A156" s="157"/>
      <c r="B156" s="158"/>
      <c r="C156" s="159"/>
      <c r="D156" s="160"/>
      <c r="E156" s="161"/>
      <c r="F156" s="162"/>
      <c r="G156" s="162"/>
      <c r="H156" s="160"/>
      <c r="I156" s="161"/>
      <c r="J156" s="163"/>
      <c r="K156" s="163"/>
      <c r="L156" s="163"/>
      <c r="M156" s="164"/>
      <c r="N156" s="164"/>
      <c r="O156" s="165"/>
      <c r="P156" s="166"/>
    </row>
    <row r="157" spans="1:16" ht="15.75" customHeight="1">
      <c r="A157" s="157"/>
      <c r="B157" s="158"/>
      <c r="C157" s="159"/>
      <c r="D157" s="160"/>
      <c r="E157" s="161"/>
      <c r="F157" s="162"/>
      <c r="G157" s="162"/>
      <c r="H157" s="160"/>
      <c r="I157" s="161"/>
      <c r="J157" s="163"/>
      <c r="K157" s="163"/>
      <c r="L157" s="163"/>
      <c r="M157" s="164"/>
      <c r="N157" s="164"/>
      <c r="O157" s="165"/>
      <c r="P157" s="166"/>
    </row>
    <row r="158" spans="1:16" ht="15.75" customHeight="1">
      <c r="A158" s="157"/>
      <c r="B158" s="158"/>
      <c r="C158" s="159"/>
      <c r="D158" s="160"/>
      <c r="E158" s="161"/>
      <c r="F158" s="162"/>
      <c r="G158" s="162"/>
      <c r="H158" s="160"/>
      <c r="I158" s="161"/>
      <c r="J158" s="163"/>
      <c r="K158" s="163"/>
      <c r="L158" s="163"/>
      <c r="M158" s="164"/>
      <c r="N158" s="164"/>
      <c r="O158" s="165"/>
      <c r="P158" s="166"/>
    </row>
    <row r="159" spans="1:16" ht="15.75" customHeight="1">
      <c r="A159" s="157"/>
      <c r="B159" s="158"/>
      <c r="C159" s="159"/>
      <c r="D159" s="160"/>
      <c r="E159" s="161"/>
      <c r="F159" s="162"/>
      <c r="G159" s="162"/>
      <c r="H159" s="160"/>
      <c r="I159" s="161"/>
      <c r="J159" s="163"/>
      <c r="K159" s="163"/>
      <c r="L159" s="163"/>
      <c r="M159" s="164"/>
      <c r="N159" s="164"/>
      <c r="O159" s="165"/>
      <c r="P159" s="166"/>
    </row>
    <row r="160" spans="1:16" ht="15.75" customHeight="1">
      <c r="A160" s="157"/>
      <c r="B160" s="158"/>
      <c r="C160" s="159"/>
      <c r="D160" s="160"/>
      <c r="E160" s="161"/>
      <c r="F160" s="162"/>
      <c r="G160" s="162"/>
      <c r="H160" s="160"/>
      <c r="I160" s="161"/>
      <c r="J160" s="163"/>
      <c r="K160" s="163"/>
      <c r="L160" s="163"/>
      <c r="M160" s="164"/>
      <c r="N160" s="164"/>
      <c r="O160" s="165"/>
      <c r="P160" s="166"/>
    </row>
    <row r="161" spans="1:16" ht="15.75" customHeight="1">
      <c r="A161" s="157"/>
      <c r="B161" s="158"/>
      <c r="C161" s="159"/>
      <c r="D161" s="160"/>
      <c r="E161" s="161"/>
      <c r="F161" s="162"/>
      <c r="G161" s="162"/>
      <c r="H161" s="160"/>
      <c r="I161" s="161"/>
      <c r="J161" s="163"/>
      <c r="K161" s="163"/>
      <c r="L161" s="163"/>
      <c r="M161" s="164"/>
      <c r="N161" s="164"/>
      <c r="O161" s="165"/>
      <c r="P161" s="166"/>
    </row>
    <row r="162" spans="1:16" ht="15.75" customHeight="1">
      <c r="A162" s="157"/>
      <c r="B162" s="158"/>
      <c r="C162" s="159"/>
      <c r="D162" s="160"/>
      <c r="E162" s="161"/>
      <c r="F162" s="162"/>
      <c r="G162" s="162"/>
      <c r="H162" s="160"/>
      <c r="I162" s="161"/>
      <c r="J162" s="163"/>
      <c r="K162" s="163"/>
      <c r="L162" s="163"/>
      <c r="M162" s="164"/>
      <c r="N162" s="164"/>
      <c r="O162" s="165"/>
      <c r="P162" s="166"/>
    </row>
    <row r="163" spans="1:16" ht="15.75" customHeight="1">
      <c r="A163" s="157"/>
      <c r="B163" s="158"/>
      <c r="C163" s="159"/>
      <c r="D163" s="160"/>
      <c r="E163" s="161"/>
      <c r="F163" s="162"/>
      <c r="G163" s="162"/>
      <c r="H163" s="160"/>
      <c r="I163" s="161"/>
      <c r="J163" s="163"/>
      <c r="K163" s="163"/>
      <c r="L163" s="163"/>
      <c r="M163" s="164"/>
      <c r="N163" s="164"/>
      <c r="O163" s="165"/>
      <c r="P163" s="166"/>
    </row>
    <row r="164" spans="1:16" ht="15.75" customHeight="1">
      <c r="A164" s="157"/>
      <c r="B164" s="158"/>
      <c r="C164" s="159"/>
      <c r="D164" s="160"/>
      <c r="E164" s="161"/>
      <c r="F164" s="162"/>
      <c r="G164" s="162"/>
      <c r="H164" s="160"/>
      <c r="I164" s="161"/>
      <c r="J164" s="163"/>
      <c r="K164" s="163"/>
      <c r="L164" s="163"/>
      <c r="M164" s="164"/>
      <c r="N164" s="164"/>
      <c r="O164" s="165"/>
      <c r="P164" s="166"/>
    </row>
    <row r="165" spans="1:16" ht="15.75" customHeight="1">
      <c r="A165" s="157"/>
      <c r="B165" s="158"/>
      <c r="C165" s="159"/>
      <c r="D165" s="160"/>
      <c r="E165" s="161"/>
      <c r="F165" s="162"/>
      <c r="G165" s="162"/>
      <c r="H165" s="160"/>
      <c r="I165" s="161"/>
      <c r="J165" s="163"/>
      <c r="K165" s="163"/>
      <c r="L165" s="163"/>
      <c r="M165" s="164"/>
      <c r="N165" s="164"/>
      <c r="O165" s="165"/>
      <c r="P165" s="166"/>
    </row>
    <row r="166" spans="1:16" ht="15.75" customHeight="1">
      <c r="A166" s="157"/>
      <c r="B166" s="158"/>
      <c r="C166" s="159"/>
      <c r="D166" s="160"/>
      <c r="E166" s="161"/>
      <c r="F166" s="162"/>
      <c r="G166" s="162"/>
      <c r="H166" s="160"/>
      <c r="I166" s="161"/>
      <c r="J166" s="163"/>
      <c r="K166" s="163"/>
      <c r="L166" s="163"/>
      <c r="M166" s="164"/>
      <c r="N166" s="164"/>
      <c r="O166" s="165"/>
      <c r="P166" s="166"/>
    </row>
    <row r="167" spans="1:16" ht="15.75" customHeight="1">
      <c r="A167" s="157"/>
      <c r="B167" s="158"/>
      <c r="C167" s="159"/>
      <c r="D167" s="160"/>
      <c r="E167" s="161"/>
      <c r="F167" s="162"/>
      <c r="G167" s="162"/>
      <c r="H167" s="160"/>
      <c r="I167" s="161"/>
      <c r="J167" s="163"/>
      <c r="K167" s="163"/>
      <c r="L167" s="163"/>
      <c r="M167" s="164"/>
      <c r="N167" s="164"/>
      <c r="O167" s="165"/>
      <c r="P167" s="166"/>
    </row>
    <row r="168" spans="1:16" ht="15.75" customHeight="1">
      <c r="A168" s="157"/>
      <c r="B168" s="158"/>
      <c r="C168" s="159"/>
      <c r="D168" s="160"/>
      <c r="E168" s="161"/>
      <c r="F168" s="162"/>
      <c r="G168" s="162"/>
      <c r="H168" s="160"/>
      <c r="I168" s="161"/>
      <c r="J168" s="163"/>
      <c r="K168" s="163"/>
      <c r="L168" s="163"/>
      <c r="M168" s="164"/>
      <c r="N168" s="164"/>
      <c r="O168" s="165"/>
      <c r="P168" s="166"/>
    </row>
    <row r="169" spans="1:16" ht="15.75" customHeight="1">
      <c r="A169" s="157"/>
      <c r="B169" s="158"/>
      <c r="C169" s="159"/>
      <c r="D169" s="160"/>
      <c r="E169" s="161"/>
      <c r="F169" s="162"/>
      <c r="G169" s="162"/>
      <c r="H169" s="160"/>
      <c r="I169" s="161"/>
      <c r="J169" s="163"/>
      <c r="K169" s="163"/>
      <c r="L169" s="163"/>
      <c r="M169" s="164"/>
      <c r="N169" s="164"/>
      <c r="O169" s="165"/>
      <c r="P169" s="166"/>
    </row>
    <row r="170" spans="1:16" ht="15.75" customHeight="1">
      <c r="A170" s="157"/>
      <c r="B170" s="158"/>
      <c r="C170" s="159"/>
      <c r="D170" s="160"/>
      <c r="E170" s="161"/>
      <c r="F170" s="162"/>
      <c r="G170" s="162"/>
      <c r="H170" s="160"/>
      <c r="I170" s="161"/>
      <c r="J170" s="163"/>
      <c r="K170" s="163"/>
      <c r="L170" s="163"/>
      <c r="M170" s="164"/>
      <c r="N170" s="164"/>
      <c r="O170" s="165"/>
      <c r="P170" s="166"/>
    </row>
    <row r="171" spans="1:16" ht="15.75" customHeight="1">
      <c r="A171" s="157"/>
      <c r="B171" s="158"/>
      <c r="C171" s="159"/>
      <c r="D171" s="160"/>
      <c r="E171" s="161"/>
      <c r="F171" s="162"/>
      <c r="G171" s="162"/>
      <c r="H171" s="160"/>
      <c r="I171" s="161"/>
      <c r="J171" s="163"/>
      <c r="K171" s="163"/>
      <c r="L171" s="163"/>
      <c r="M171" s="164"/>
      <c r="N171" s="164"/>
      <c r="O171" s="165"/>
      <c r="P171" s="166"/>
    </row>
    <row r="172" spans="1:16" ht="15.75" customHeight="1">
      <c r="A172" s="157"/>
      <c r="B172" s="158"/>
      <c r="C172" s="159"/>
      <c r="D172" s="160"/>
      <c r="E172" s="161"/>
      <c r="F172" s="162"/>
      <c r="G172" s="162"/>
      <c r="H172" s="160"/>
      <c r="I172" s="161"/>
      <c r="J172" s="163"/>
      <c r="K172" s="163"/>
      <c r="L172" s="163"/>
      <c r="M172" s="164"/>
      <c r="N172" s="164"/>
      <c r="O172" s="165"/>
      <c r="P172" s="166"/>
    </row>
    <row r="173" spans="1:16" ht="15.75" customHeight="1">
      <c r="A173" s="157"/>
      <c r="B173" s="158"/>
      <c r="C173" s="159"/>
      <c r="D173" s="160"/>
      <c r="E173" s="161"/>
      <c r="F173" s="162"/>
      <c r="G173" s="162"/>
      <c r="H173" s="160"/>
      <c r="I173" s="161"/>
      <c r="J173" s="163"/>
      <c r="K173" s="163"/>
      <c r="L173" s="163"/>
      <c r="M173" s="164"/>
      <c r="N173" s="164"/>
      <c r="O173" s="165"/>
      <c r="P173" s="166"/>
    </row>
    <row r="174" spans="1:16" ht="15.75" customHeight="1">
      <c r="A174" s="157"/>
      <c r="B174" s="158"/>
      <c r="C174" s="159"/>
      <c r="D174" s="160"/>
      <c r="E174" s="161"/>
      <c r="F174" s="162"/>
      <c r="G174" s="162"/>
      <c r="H174" s="160"/>
      <c r="I174" s="161"/>
      <c r="J174" s="163"/>
      <c r="K174" s="163"/>
      <c r="L174" s="163"/>
      <c r="M174" s="164"/>
      <c r="N174" s="164"/>
      <c r="O174" s="165"/>
      <c r="P174" s="166"/>
    </row>
    <row r="175" spans="1:16" ht="15.75" customHeight="1">
      <c r="A175" s="157"/>
      <c r="B175" s="158"/>
      <c r="C175" s="159"/>
      <c r="D175" s="160"/>
      <c r="E175" s="161"/>
      <c r="F175" s="162"/>
      <c r="G175" s="162"/>
      <c r="H175" s="160"/>
      <c r="I175" s="161"/>
      <c r="J175" s="163"/>
      <c r="K175" s="163"/>
      <c r="L175" s="163"/>
      <c r="M175" s="164"/>
      <c r="N175" s="164"/>
      <c r="O175" s="165"/>
      <c r="P175" s="166"/>
    </row>
    <row r="176" spans="1:16" ht="15.75" customHeight="1">
      <c r="A176" s="157"/>
      <c r="B176" s="158"/>
      <c r="C176" s="159"/>
      <c r="D176" s="160"/>
      <c r="E176" s="161"/>
      <c r="F176" s="162"/>
      <c r="G176" s="162"/>
      <c r="H176" s="160"/>
      <c r="I176" s="161"/>
      <c r="J176" s="163"/>
      <c r="K176" s="163"/>
      <c r="L176" s="163"/>
      <c r="M176" s="164"/>
      <c r="N176" s="164"/>
      <c r="O176" s="165"/>
      <c r="P176" s="166"/>
    </row>
    <row r="177" spans="1:16" ht="15.75" customHeight="1">
      <c r="A177" s="157"/>
      <c r="B177" s="158"/>
      <c r="C177" s="159"/>
      <c r="D177" s="160"/>
      <c r="E177" s="161"/>
      <c r="F177" s="162"/>
      <c r="G177" s="162"/>
      <c r="H177" s="160"/>
      <c r="I177" s="161"/>
      <c r="J177" s="163"/>
      <c r="K177" s="163"/>
      <c r="L177" s="163"/>
      <c r="M177" s="164"/>
      <c r="N177" s="164"/>
      <c r="O177" s="165"/>
      <c r="P177" s="166"/>
    </row>
    <row r="178" spans="1:16" ht="15.75" customHeight="1">
      <c r="A178" s="157"/>
      <c r="B178" s="158"/>
      <c r="C178" s="159"/>
      <c r="D178" s="160"/>
      <c r="E178" s="161"/>
      <c r="F178" s="162"/>
      <c r="G178" s="162"/>
      <c r="H178" s="160"/>
      <c r="I178" s="161"/>
      <c r="J178" s="163"/>
      <c r="K178" s="163"/>
      <c r="L178" s="163"/>
      <c r="M178" s="164"/>
      <c r="N178" s="164"/>
      <c r="O178" s="165"/>
      <c r="P178" s="166"/>
    </row>
    <row r="179" spans="1:16" ht="15.75" customHeight="1">
      <c r="A179" s="157"/>
      <c r="B179" s="158"/>
      <c r="C179" s="159"/>
      <c r="D179" s="160"/>
      <c r="E179" s="161"/>
      <c r="F179" s="162"/>
      <c r="G179" s="162"/>
      <c r="H179" s="160"/>
      <c r="I179" s="161"/>
      <c r="J179" s="163"/>
      <c r="K179" s="163"/>
      <c r="L179" s="163"/>
      <c r="M179" s="164"/>
      <c r="N179" s="164"/>
      <c r="O179" s="165"/>
      <c r="P179" s="166"/>
    </row>
    <row r="180" spans="1:16" ht="15.75" customHeight="1">
      <c r="A180" s="157"/>
      <c r="B180" s="158"/>
      <c r="C180" s="159"/>
      <c r="D180" s="160"/>
      <c r="E180" s="161"/>
      <c r="F180" s="162"/>
      <c r="G180" s="162"/>
      <c r="H180" s="160"/>
      <c r="I180" s="161"/>
      <c r="J180" s="163"/>
      <c r="K180" s="163"/>
      <c r="L180" s="163"/>
      <c r="M180" s="164"/>
      <c r="N180" s="164"/>
      <c r="O180" s="165"/>
      <c r="P180" s="166"/>
    </row>
    <row r="181" spans="1:16" ht="15.75" customHeight="1">
      <c r="A181" s="157"/>
      <c r="B181" s="158"/>
      <c r="C181" s="159"/>
      <c r="D181" s="160"/>
      <c r="E181" s="161"/>
      <c r="F181" s="162"/>
      <c r="G181" s="162"/>
      <c r="H181" s="160"/>
      <c r="I181" s="161"/>
      <c r="J181" s="163"/>
      <c r="K181" s="163"/>
      <c r="L181" s="163"/>
      <c r="M181" s="164"/>
      <c r="N181" s="164"/>
      <c r="O181" s="165"/>
      <c r="P181" s="166"/>
    </row>
    <row r="182" spans="1:16" ht="15.75" customHeight="1">
      <c r="A182" s="157"/>
      <c r="B182" s="158"/>
      <c r="C182" s="159"/>
      <c r="D182" s="160"/>
      <c r="E182" s="161"/>
      <c r="F182" s="162"/>
      <c r="G182" s="162"/>
      <c r="H182" s="160"/>
      <c r="I182" s="161"/>
      <c r="J182" s="163"/>
      <c r="K182" s="163"/>
      <c r="L182" s="163"/>
      <c r="M182" s="164"/>
      <c r="N182" s="164"/>
      <c r="O182" s="165"/>
      <c r="P182" s="166"/>
    </row>
    <row r="183" spans="1:16" ht="15.75" customHeight="1">
      <c r="A183" s="157"/>
      <c r="B183" s="158"/>
      <c r="C183" s="159"/>
      <c r="D183" s="160"/>
      <c r="E183" s="161"/>
      <c r="F183" s="162"/>
      <c r="G183" s="162"/>
      <c r="H183" s="160"/>
      <c r="I183" s="161"/>
      <c r="J183" s="163"/>
      <c r="K183" s="163"/>
      <c r="L183" s="163"/>
      <c r="M183" s="164"/>
      <c r="N183" s="164"/>
      <c r="O183" s="165"/>
      <c r="P183" s="166"/>
    </row>
    <row r="184" spans="1:16" ht="15.75" customHeight="1">
      <c r="A184" s="157"/>
      <c r="B184" s="158"/>
      <c r="C184" s="159"/>
      <c r="D184" s="160"/>
      <c r="E184" s="161"/>
      <c r="F184" s="162"/>
      <c r="G184" s="162"/>
      <c r="H184" s="160"/>
      <c r="I184" s="161"/>
      <c r="J184" s="163"/>
      <c r="K184" s="163"/>
      <c r="L184" s="163"/>
      <c r="M184" s="164"/>
      <c r="N184" s="164"/>
      <c r="O184" s="165"/>
      <c r="P184" s="166"/>
    </row>
    <row r="185" spans="1:16" ht="15.75" customHeight="1">
      <c r="A185" s="157"/>
      <c r="B185" s="158"/>
      <c r="C185" s="159"/>
      <c r="D185" s="160"/>
      <c r="E185" s="161"/>
      <c r="F185" s="162"/>
      <c r="G185" s="162"/>
      <c r="H185" s="160"/>
      <c r="I185" s="161"/>
      <c r="J185" s="163"/>
      <c r="K185" s="163"/>
      <c r="L185" s="163"/>
      <c r="M185" s="164"/>
      <c r="N185" s="164"/>
      <c r="O185" s="165"/>
      <c r="P185" s="166"/>
    </row>
    <row r="186" spans="1:16" ht="15.75" customHeight="1">
      <c r="A186" s="157"/>
      <c r="B186" s="158"/>
      <c r="C186" s="159"/>
      <c r="D186" s="160"/>
      <c r="E186" s="161"/>
      <c r="F186" s="162"/>
      <c r="G186" s="162"/>
      <c r="H186" s="160"/>
      <c r="I186" s="161"/>
      <c r="J186" s="163"/>
      <c r="K186" s="163"/>
      <c r="L186" s="163"/>
      <c r="M186" s="164"/>
      <c r="N186" s="164"/>
      <c r="O186" s="165"/>
      <c r="P186" s="166"/>
    </row>
    <row r="187" spans="1:16" ht="15.75" customHeight="1">
      <c r="A187" s="157"/>
      <c r="B187" s="158"/>
      <c r="C187" s="159"/>
      <c r="D187" s="160"/>
      <c r="E187" s="161"/>
      <c r="F187" s="162"/>
      <c r="G187" s="162"/>
      <c r="H187" s="160"/>
      <c r="I187" s="161"/>
      <c r="J187" s="163"/>
      <c r="K187" s="163"/>
      <c r="L187" s="163"/>
      <c r="M187" s="164"/>
      <c r="N187" s="164"/>
      <c r="O187" s="165"/>
      <c r="P187" s="166"/>
    </row>
    <row r="188" spans="1:16" ht="15.75" customHeight="1">
      <c r="A188" s="157"/>
      <c r="B188" s="158"/>
      <c r="C188" s="159"/>
      <c r="D188" s="160"/>
      <c r="E188" s="161"/>
      <c r="F188" s="162"/>
      <c r="G188" s="162"/>
      <c r="H188" s="160"/>
      <c r="I188" s="161"/>
      <c r="J188" s="163"/>
      <c r="K188" s="163"/>
      <c r="L188" s="163"/>
      <c r="M188" s="164"/>
      <c r="N188" s="164"/>
      <c r="O188" s="165"/>
      <c r="P188" s="166"/>
    </row>
    <row r="189" spans="1:16" ht="15.75" customHeight="1">
      <c r="A189" s="157"/>
      <c r="B189" s="158"/>
      <c r="C189" s="159"/>
      <c r="D189" s="160"/>
      <c r="E189" s="161"/>
      <c r="F189" s="162"/>
      <c r="G189" s="162"/>
      <c r="H189" s="160"/>
      <c r="I189" s="161"/>
      <c r="J189" s="163"/>
      <c r="K189" s="163"/>
      <c r="L189" s="163"/>
      <c r="M189" s="164"/>
      <c r="N189" s="164"/>
      <c r="O189" s="165"/>
      <c r="P189" s="166"/>
    </row>
    <row r="190" spans="1:16" ht="15.75" customHeight="1">
      <c r="A190" s="157"/>
      <c r="B190" s="158"/>
      <c r="C190" s="159"/>
      <c r="D190" s="160"/>
      <c r="E190" s="161"/>
      <c r="F190" s="162"/>
      <c r="G190" s="162"/>
      <c r="H190" s="160"/>
      <c r="I190" s="161"/>
      <c r="J190" s="163"/>
      <c r="K190" s="163"/>
      <c r="L190" s="163"/>
      <c r="M190" s="164"/>
      <c r="N190" s="164"/>
      <c r="O190" s="165"/>
      <c r="P190" s="166"/>
    </row>
    <row r="191" spans="1:16" ht="15.75" customHeight="1">
      <c r="A191" s="157"/>
      <c r="B191" s="158"/>
      <c r="C191" s="159"/>
      <c r="D191" s="160"/>
      <c r="E191" s="161"/>
      <c r="F191" s="162"/>
      <c r="G191" s="162"/>
      <c r="H191" s="160"/>
      <c r="I191" s="161"/>
      <c r="J191" s="163"/>
      <c r="K191" s="163"/>
      <c r="L191" s="163"/>
      <c r="M191" s="164"/>
      <c r="N191" s="164"/>
      <c r="O191" s="165"/>
      <c r="P191" s="166"/>
    </row>
    <row r="192" spans="1:16" ht="15.75" customHeight="1">
      <c r="A192" s="157"/>
      <c r="B192" s="158"/>
      <c r="C192" s="159"/>
      <c r="D192" s="160"/>
      <c r="E192" s="161"/>
      <c r="F192" s="162"/>
      <c r="G192" s="162"/>
      <c r="H192" s="160"/>
      <c r="I192" s="161"/>
      <c r="J192" s="163"/>
      <c r="K192" s="163"/>
      <c r="L192" s="163"/>
      <c r="M192" s="164"/>
      <c r="N192" s="164"/>
      <c r="O192" s="165"/>
      <c r="P192" s="166"/>
    </row>
    <row r="193" spans="1:16" ht="15.75" customHeight="1">
      <c r="A193" s="157"/>
      <c r="B193" s="158"/>
      <c r="C193" s="159"/>
      <c r="D193" s="160"/>
      <c r="E193" s="161"/>
      <c r="F193" s="162"/>
      <c r="G193" s="162"/>
      <c r="H193" s="160"/>
      <c r="I193" s="161"/>
      <c r="J193" s="163"/>
      <c r="K193" s="163"/>
      <c r="L193" s="163"/>
      <c r="M193" s="164"/>
      <c r="N193" s="164"/>
      <c r="O193" s="165"/>
      <c r="P193" s="166"/>
    </row>
    <row r="194" spans="1:16" ht="15.75" customHeight="1">
      <c r="A194" s="157"/>
      <c r="B194" s="158"/>
      <c r="C194" s="159"/>
      <c r="D194" s="160"/>
      <c r="E194" s="161"/>
      <c r="F194" s="162"/>
      <c r="G194" s="162"/>
      <c r="H194" s="160"/>
      <c r="I194" s="161"/>
      <c r="J194" s="163"/>
      <c r="K194" s="163"/>
      <c r="L194" s="163"/>
      <c r="M194" s="164"/>
      <c r="N194" s="164"/>
      <c r="O194" s="165"/>
      <c r="P194" s="166"/>
    </row>
    <row r="195" spans="1:16" ht="15.75" customHeight="1">
      <c r="A195" s="157"/>
      <c r="B195" s="158"/>
      <c r="C195" s="159"/>
      <c r="D195" s="160"/>
      <c r="E195" s="161"/>
      <c r="F195" s="162"/>
      <c r="G195" s="162"/>
      <c r="H195" s="160"/>
      <c r="I195" s="161"/>
      <c r="J195" s="163"/>
      <c r="K195" s="163"/>
      <c r="L195" s="163"/>
      <c r="M195" s="164"/>
      <c r="N195" s="164"/>
      <c r="O195" s="165"/>
      <c r="P195" s="166"/>
    </row>
    <row r="196" spans="1:16" ht="15.75" customHeight="1">
      <c r="A196" s="157"/>
      <c r="B196" s="158"/>
      <c r="C196" s="159"/>
      <c r="D196" s="160"/>
      <c r="E196" s="161"/>
      <c r="F196" s="162"/>
      <c r="G196" s="162"/>
      <c r="H196" s="160"/>
      <c r="I196" s="161"/>
      <c r="J196" s="163"/>
      <c r="K196" s="163"/>
      <c r="L196" s="163"/>
      <c r="M196" s="164"/>
      <c r="N196" s="164"/>
      <c r="O196" s="165"/>
      <c r="P196" s="166"/>
    </row>
    <row r="197" spans="1:16" ht="15.75" customHeight="1">
      <c r="A197" s="157"/>
      <c r="B197" s="158"/>
      <c r="C197" s="159"/>
      <c r="D197" s="160"/>
      <c r="E197" s="161"/>
      <c r="F197" s="162"/>
      <c r="G197" s="162"/>
      <c r="H197" s="160"/>
      <c r="I197" s="161"/>
      <c r="J197" s="163"/>
      <c r="K197" s="163"/>
      <c r="L197" s="163"/>
      <c r="M197" s="164"/>
      <c r="N197" s="164"/>
      <c r="O197" s="165"/>
      <c r="P197" s="166"/>
    </row>
    <row r="198" spans="1:16" ht="15.75" customHeight="1">
      <c r="A198" s="157"/>
      <c r="B198" s="158"/>
      <c r="C198" s="159"/>
      <c r="D198" s="160"/>
      <c r="E198" s="161"/>
      <c r="F198" s="162"/>
      <c r="G198" s="162"/>
      <c r="H198" s="160"/>
      <c r="I198" s="161"/>
      <c r="J198" s="163"/>
      <c r="K198" s="163"/>
      <c r="L198" s="163"/>
      <c r="M198" s="164"/>
      <c r="N198" s="164"/>
      <c r="O198" s="165"/>
      <c r="P198" s="166"/>
    </row>
    <row r="199" spans="1:16" ht="15.75" customHeight="1">
      <c r="A199" s="157"/>
      <c r="B199" s="158"/>
      <c r="C199" s="159"/>
      <c r="D199" s="160"/>
      <c r="E199" s="161"/>
      <c r="F199" s="162"/>
      <c r="G199" s="162"/>
      <c r="H199" s="160"/>
      <c r="I199" s="161"/>
      <c r="J199" s="163"/>
      <c r="K199" s="163"/>
      <c r="L199" s="163"/>
      <c r="M199" s="164"/>
      <c r="N199" s="164"/>
      <c r="O199" s="165"/>
      <c r="P199" s="166"/>
    </row>
    <row r="200" spans="1:16" ht="15.75" customHeight="1">
      <c r="A200" s="157"/>
      <c r="B200" s="158"/>
      <c r="C200" s="159"/>
      <c r="D200" s="160"/>
      <c r="E200" s="161"/>
      <c r="F200" s="162"/>
      <c r="G200" s="162"/>
      <c r="H200" s="160"/>
      <c r="I200" s="161"/>
      <c r="J200" s="163"/>
      <c r="K200" s="163"/>
      <c r="L200" s="163"/>
      <c r="M200" s="164"/>
      <c r="N200" s="164"/>
      <c r="O200" s="165"/>
      <c r="P200" s="166"/>
    </row>
    <row r="201" spans="1:16" ht="15.75" customHeight="1">
      <c r="A201" s="157"/>
      <c r="B201" s="158"/>
      <c r="C201" s="159"/>
      <c r="D201" s="160"/>
      <c r="E201" s="161"/>
      <c r="F201" s="162"/>
      <c r="G201" s="162"/>
      <c r="H201" s="160"/>
      <c r="I201" s="161"/>
      <c r="J201" s="163"/>
      <c r="K201" s="163"/>
      <c r="L201" s="163"/>
      <c r="M201" s="164"/>
      <c r="N201" s="164"/>
      <c r="O201" s="165"/>
      <c r="P201" s="166"/>
    </row>
    <row r="202" spans="1:16" ht="15.75" customHeight="1">
      <c r="A202" s="157"/>
      <c r="B202" s="158"/>
      <c r="C202" s="159"/>
      <c r="D202" s="160"/>
      <c r="E202" s="161"/>
      <c r="F202" s="162"/>
      <c r="G202" s="162"/>
      <c r="H202" s="160"/>
      <c r="I202" s="161"/>
      <c r="J202" s="163"/>
      <c r="K202" s="163"/>
      <c r="L202" s="163"/>
      <c r="M202" s="164"/>
      <c r="N202" s="164"/>
      <c r="O202" s="165"/>
      <c r="P202" s="166"/>
    </row>
    <row r="203" spans="1:16" ht="15.75" customHeight="1">
      <c r="A203" s="157"/>
      <c r="B203" s="158"/>
      <c r="C203" s="159"/>
      <c r="D203" s="160"/>
      <c r="E203" s="161"/>
      <c r="F203" s="162"/>
      <c r="G203" s="162"/>
      <c r="H203" s="160"/>
      <c r="I203" s="161"/>
      <c r="J203" s="163"/>
      <c r="K203" s="163"/>
      <c r="L203" s="163"/>
      <c r="M203" s="164"/>
      <c r="N203" s="164"/>
      <c r="O203" s="165"/>
      <c r="P203" s="166"/>
    </row>
    <row r="204" spans="1:16" ht="15.75" customHeight="1">
      <c r="A204" s="157"/>
      <c r="B204" s="158"/>
      <c r="C204" s="159"/>
      <c r="D204" s="160"/>
      <c r="E204" s="161"/>
      <c r="F204" s="162"/>
      <c r="G204" s="162"/>
      <c r="H204" s="160"/>
      <c r="I204" s="161"/>
      <c r="J204" s="163"/>
      <c r="K204" s="163"/>
      <c r="L204" s="163"/>
      <c r="M204" s="164"/>
      <c r="N204" s="164"/>
      <c r="O204" s="165"/>
      <c r="P204" s="166"/>
    </row>
    <row r="205" spans="1:16" ht="15.75" customHeight="1">
      <c r="A205" s="157"/>
      <c r="B205" s="158"/>
      <c r="C205" s="159"/>
      <c r="D205" s="160"/>
      <c r="E205" s="161"/>
      <c r="F205" s="162"/>
      <c r="G205" s="162"/>
      <c r="H205" s="160"/>
      <c r="I205" s="161"/>
      <c r="J205" s="163"/>
      <c r="K205" s="163"/>
      <c r="L205" s="163"/>
      <c r="M205" s="164"/>
      <c r="N205" s="164"/>
      <c r="O205" s="165"/>
      <c r="P205" s="166"/>
    </row>
    <row r="206" spans="1:16" ht="15.75" customHeight="1">
      <c r="A206" s="157"/>
      <c r="B206" s="158"/>
      <c r="C206" s="159"/>
      <c r="D206" s="160"/>
      <c r="E206" s="161"/>
      <c r="F206" s="162"/>
      <c r="G206" s="162"/>
      <c r="H206" s="160"/>
      <c r="I206" s="161"/>
      <c r="J206" s="163"/>
      <c r="K206" s="163"/>
      <c r="L206" s="163"/>
      <c r="M206" s="164"/>
      <c r="N206" s="164"/>
      <c r="O206" s="165"/>
      <c r="P206" s="166"/>
    </row>
    <row r="207" spans="1:16" ht="15.75" customHeight="1">
      <c r="A207" s="157"/>
      <c r="B207" s="158"/>
      <c r="C207" s="159"/>
      <c r="D207" s="160"/>
      <c r="E207" s="161"/>
      <c r="F207" s="162"/>
      <c r="G207" s="162"/>
      <c r="H207" s="160"/>
      <c r="I207" s="161"/>
      <c r="J207" s="163"/>
      <c r="K207" s="163"/>
      <c r="L207" s="163"/>
      <c r="M207" s="164"/>
      <c r="N207" s="164"/>
      <c r="O207" s="165"/>
      <c r="P207" s="166"/>
    </row>
    <row r="208" spans="1:16" ht="15.75" customHeight="1">
      <c r="A208" s="157"/>
      <c r="B208" s="158"/>
      <c r="C208" s="159"/>
      <c r="D208" s="160"/>
      <c r="E208" s="161"/>
      <c r="F208" s="162"/>
      <c r="G208" s="162"/>
      <c r="H208" s="160"/>
      <c r="I208" s="161"/>
      <c r="J208" s="163"/>
      <c r="K208" s="163"/>
      <c r="L208" s="163"/>
      <c r="M208" s="164"/>
      <c r="N208" s="164"/>
      <c r="O208" s="165"/>
      <c r="P208" s="166"/>
    </row>
    <row r="209" spans="1:16" ht="15.75" customHeight="1">
      <c r="A209" s="157"/>
      <c r="B209" s="158"/>
      <c r="C209" s="159"/>
      <c r="D209" s="160"/>
      <c r="E209" s="161"/>
      <c r="F209" s="162"/>
      <c r="G209" s="162"/>
      <c r="H209" s="160"/>
      <c r="I209" s="161"/>
      <c r="J209" s="163"/>
      <c r="K209" s="163"/>
      <c r="L209" s="163"/>
      <c r="M209" s="164"/>
      <c r="N209" s="164"/>
      <c r="O209" s="165"/>
      <c r="P209" s="166"/>
    </row>
    <row r="210" spans="1:16" ht="15.75" customHeight="1">
      <c r="A210" s="157"/>
      <c r="B210" s="158"/>
      <c r="C210" s="159"/>
      <c r="D210" s="160"/>
      <c r="E210" s="161"/>
      <c r="F210" s="162"/>
      <c r="G210" s="162"/>
      <c r="H210" s="160"/>
      <c r="I210" s="161"/>
      <c r="J210" s="163"/>
      <c r="K210" s="163"/>
      <c r="L210" s="163"/>
      <c r="M210" s="164"/>
      <c r="N210" s="164"/>
      <c r="O210" s="165"/>
      <c r="P210" s="166"/>
    </row>
    <row r="211" spans="1:16" ht="15.75" customHeight="1">
      <c r="A211" s="157"/>
      <c r="B211" s="158"/>
      <c r="C211" s="159"/>
      <c r="D211" s="160"/>
      <c r="E211" s="161"/>
      <c r="F211" s="162"/>
      <c r="G211" s="162"/>
      <c r="H211" s="160"/>
      <c r="I211" s="161"/>
      <c r="J211" s="163"/>
      <c r="K211" s="163"/>
      <c r="L211" s="163"/>
      <c r="M211" s="164"/>
      <c r="N211" s="164"/>
      <c r="O211" s="165"/>
      <c r="P211" s="166"/>
    </row>
    <row r="212" spans="1:16" ht="15.75" customHeight="1">
      <c r="A212" s="157"/>
      <c r="B212" s="158"/>
      <c r="C212" s="159"/>
      <c r="D212" s="160"/>
      <c r="E212" s="161"/>
      <c r="F212" s="162"/>
      <c r="G212" s="162"/>
      <c r="H212" s="160"/>
      <c r="I212" s="161"/>
      <c r="J212" s="163"/>
      <c r="K212" s="163"/>
      <c r="L212" s="163"/>
      <c r="M212" s="164"/>
      <c r="N212" s="164"/>
      <c r="O212" s="165"/>
      <c r="P212" s="166"/>
    </row>
    <row r="213" spans="1:16" ht="15.75" customHeight="1">
      <c r="A213" s="157"/>
      <c r="B213" s="158"/>
      <c r="C213" s="159"/>
      <c r="D213" s="160"/>
      <c r="E213" s="161"/>
      <c r="F213" s="162"/>
      <c r="G213" s="162"/>
      <c r="H213" s="160"/>
      <c r="I213" s="161"/>
      <c r="J213" s="163"/>
      <c r="K213" s="163"/>
      <c r="L213" s="163"/>
      <c r="M213" s="164"/>
      <c r="N213" s="164"/>
      <c r="O213" s="165"/>
      <c r="P213" s="166"/>
    </row>
    <row r="214" spans="1:16" ht="15.75" customHeight="1">
      <c r="A214" s="157"/>
      <c r="B214" s="158"/>
      <c r="C214" s="159"/>
      <c r="D214" s="160"/>
      <c r="E214" s="161"/>
      <c r="F214" s="162"/>
      <c r="G214" s="162"/>
      <c r="H214" s="160"/>
      <c r="I214" s="161"/>
      <c r="J214" s="163"/>
      <c r="K214" s="163"/>
      <c r="L214" s="163"/>
      <c r="M214" s="164"/>
      <c r="N214" s="164"/>
      <c r="O214" s="165"/>
      <c r="P214" s="166"/>
    </row>
    <row r="215" spans="1:16" ht="15.75" customHeight="1">
      <c r="A215" s="157"/>
      <c r="B215" s="158"/>
      <c r="C215" s="159"/>
      <c r="D215" s="160"/>
      <c r="E215" s="161"/>
      <c r="F215" s="162"/>
      <c r="G215" s="162"/>
      <c r="H215" s="160"/>
      <c r="I215" s="161"/>
      <c r="J215" s="163"/>
      <c r="K215" s="163"/>
      <c r="L215" s="163"/>
      <c r="M215" s="164"/>
      <c r="N215" s="164"/>
      <c r="O215" s="165"/>
      <c r="P215" s="166"/>
    </row>
    <row r="216" spans="1:16" ht="15.75" customHeight="1">
      <c r="A216" s="157"/>
      <c r="B216" s="158"/>
      <c r="C216" s="159"/>
      <c r="D216" s="160"/>
      <c r="E216" s="161"/>
      <c r="F216" s="162"/>
      <c r="G216" s="162"/>
      <c r="H216" s="160"/>
      <c r="I216" s="161"/>
      <c r="J216" s="163"/>
      <c r="K216" s="163"/>
      <c r="L216" s="163"/>
      <c r="M216" s="164"/>
      <c r="N216" s="164"/>
      <c r="O216" s="165"/>
      <c r="P216" s="166"/>
    </row>
    <row r="217" spans="1:16" ht="15.75" customHeight="1">
      <c r="A217" s="157"/>
      <c r="B217" s="158"/>
      <c r="C217" s="159"/>
      <c r="D217" s="160"/>
      <c r="E217" s="161"/>
      <c r="F217" s="162"/>
      <c r="G217" s="162"/>
      <c r="H217" s="160"/>
      <c r="I217" s="161"/>
      <c r="J217" s="163"/>
      <c r="K217" s="163"/>
      <c r="L217" s="163"/>
      <c r="M217" s="164"/>
      <c r="N217" s="164"/>
      <c r="O217" s="165"/>
      <c r="P217" s="166"/>
    </row>
    <row r="218" spans="1:16" ht="15.75" customHeight="1">
      <c r="A218" s="157"/>
      <c r="B218" s="158"/>
      <c r="C218" s="159"/>
      <c r="D218" s="160"/>
      <c r="E218" s="161"/>
      <c r="F218" s="162"/>
      <c r="G218" s="162"/>
      <c r="H218" s="160"/>
      <c r="I218" s="161"/>
      <c r="J218" s="163"/>
      <c r="K218" s="163"/>
      <c r="L218" s="163"/>
      <c r="M218" s="164"/>
      <c r="N218" s="164"/>
      <c r="O218" s="165"/>
      <c r="P218" s="166"/>
    </row>
    <row r="219" spans="1:16" ht="15.75" customHeight="1">
      <c r="A219" s="157"/>
      <c r="B219" s="158"/>
      <c r="C219" s="159"/>
      <c r="D219" s="160"/>
      <c r="E219" s="161"/>
      <c r="F219" s="162"/>
      <c r="G219" s="162"/>
      <c r="H219" s="160"/>
      <c r="I219" s="161"/>
      <c r="J219" s="163"/>
      <c r="K219" s="163"/>
      <c r="L219" s="163"/>
      <c r="M219" s="164"/>
      <c r="N219" s="164"/>
      <c r="O219" s="165"/>
      <c r="P219" s="166"/>
    </row>
    <row r="220" spans="1:16" ht="15.75" customHeight="1">
      <c r="A220" s="157"/>
      <c r="B220" s="158"/>
      <c r="C220" s="159"/>
      <c r="D220" s="160"/>
      <c r="E220" s="161"/>
      <c r="F220" s="162"/>
      <c r="G220" s="162"/>
      <c r="H220" s="160"/>
      <c r="I220" s="161"/>
      <c r="J220" s="163"/>
      <c r="K220" s="163"/>
      <c r="L220" s="163"/>
      <c r="M220" s="164"/>
      <c r="N220" s="164"/>
      <c r="O220" s="165"/>
      <c r="P220" s="166"/>
    </row>
    <row r="221" spans="1:16" ht="15.75" customHeight="1">
      <c r="A221" s="157"/>
      <c r="B221" s="158"/>
      <c r="C221" s="159"/>
      <c r="D221" s="160"/>
      <c r="E221" s="161"/>
      <c r="F221" s="162"/>
      <c r="G221" s="162"/>
      <c r="H221" s="160"/>
      <c r="I221" s="161"/>
      <c r="J221" s="163"/>
      <c r="K221" s="163"/>
      <c r="L221" s="163"/>
      <c r="M221" s="164"/>
      <c r="N221" s="164"/>
      <c r="O221" s="165"/>
      <c r="P221" s="166"/>
    </row>
    <row r="222" spans="1:16" ht="15.75" customHeight="1">
      <c r="A222" s="157"/>
      <c r="B222" s="158"/>
      <c r="C222" s="159"/>
      <c r="D222" s="160"/>
      <c r="E222" s="161"/>
      <c r="F222" s="162"/>
      <c r="G222" s="162"/>
      <c r="H222" s="160"/>
      <c r="I222" s="161"/>
      <c r="J222" s="163"/>
      <c r="K222" s="163"/>
      <c r="L222" s="163"/>
      <c r="M222" s="164"/>
      <c r="N222" s="164"/>
      <c r="O222" s="165"/>
      <c r="P222" s="166"/>
    </row>
    <row r="223" spans="1:16" ht="15.75" customHeight="1">
      <c r="A223" s="157"/>
      <c r="B223" s="158"/>
      <c r="C223" s="159"/>
      <c r="D223" s="160"/>
      <c r="E223" s="161"/>
      <c r="F223" s="162"/>
      <c r="G223" s="162"/>
      <c r="H223" s="160"/>
      <c r="I223" s="161"/>
      <c r="J223" s="163"/>
      <c r="K223" s="163"/>
      <c r="L223" s="163"/>
      <c r="M223" s="164"/>
      <c r="N223" s="164"/>
      <c r="O223" s="165"/>
      <c r="P223" s="166"/>
    </row>
    <row r="224" spans="1:16" ht="15.75" customHeight="1">
      <c r="A224" s="157"/>
      <c r="B224" s="158"/>
      <c r="C224" s="159"/>
      <c r="D224" s="160"/>
      <c r="E224" s="161"/>
      <c r="F224" s="162"/>
      <c r="G224" s="162"/>
      <c r="H224" s="160"/>
      <c r="I224" s="161"/>
      <c r="J224" s="163"/>
      <c r="K224" s="163"/>
      <c r="L224" s="163"/>
      <c r="M224" s="164"/>
      <c r="N224" s="164"/>
      <c r="O224" s="165"/>
      <c r="P224" s="166"/>
    </row>
    <row r="225" spans="1:16" ht="15.75" customHeight="1">
      <c r="A225" s="157"/>
      <c r="B225" s="158"/>
      <c r="C225" s="159"/>
      <c r="D225" s="160"/>
      <c r="E225" s="161"/>
      <c r="F225" s="162"/>
      <c r="G225" s="162"/>
      <c r="H225" s="160"/>
      <c r="I225" s="161"/>
      <c r="J225" s="163"/>
      <c r="K225" s="163"/>
      <c r="L225" s="163"/>
      <c r="M225" s="164"/>
      <c r="N225" s="164"/>
      <c r="O225" s="165"/>
      <c r="P225" s="166"/>
    </row>
    <row r="226" spans="1:16" ht="15.75" customHeight="1">
      <c r="A226" s="157"/>
      <c r="B226" s="158"/>
      <c r="C226" s="159"/>
      <c r="D226" s="160"/>
      <c r="E226" s="161"/>
      <c r="F226" s="162"/>
      <c r="G226" s="162"/>
      <c r="H226" s="160"/>
      <c r="I226" s="161"/>
      <c r="J226" s="163"/>
      <c r="K226" s="163"/>
      <c r="L226" s="163"/>
      <c r="M226" s="164"/>
      <c r="N226" s="164"/>
      <c r="O226" s="165"/>
      <c r="P226" s="166"/>
    </row>
    <row r="227" spans="1:16" ht="15.75" customHeight="1">
      <c r="A227" s="157"/>
      <c r="B227" s="158"/>
      <c r="C227" s="159"/>
      <c r="D227" s="160"/>
      <c r="E227" s="161"/>
      <c r="F227" s="162"/>
      <c r="G227" s="162"/>
      <c r="H227" s="160"/>
      <c r="I227" s="161"/>
      <c r="J227" s="163"/>
      <c r="K227" s="163"/>
      <c r="L227" s="163"/>
      <c r="M227" s="164"/>
      <c r="N227" s="164"/>
      <c r="O227" s="165"/>
      <c r="P227" s="166"/>
    </row>
    <row r="228" spans="1:16" ht="15.75" customHeight="1">
      <c r="A228" s="157"/>
      <c r="B228" s="158"/>
      <c r="C228" s="159"/>
      <c r="D228" s="160"/>
      <c r="E228" s="161"/>
      <c r="F228" s="162"/>
      <c r="G228" s="162"/>
      <c r="H228" s="160"/>
      <c r="I228" s="161"/>
      <c r="J228" s="163"/>
      <c r="K228" s="163"/>
      <c r="L228" s="163"/>
      <c r="M228" s="164"/>
      <c r="N228" s="164"/>
      <c r="O228" s="165"/>
      <c r="P228" s="166"/>
    </row>
    <row r="229" spans="1:16" ht="15.75" customHeight="1">
      <c r="A229" s="157"/>
      <c r="B229" s="158"/>
      <c r="C229" s="159"/>
      <c r="D229" s="160"/>
      <c r="E229" s="161"/>
      <c r="F229" s="162"/>
      <c r="G229" s="162"/>
      <c r="H229" s="160"/>
      <c r="I229" s="161"/>
      <c r="J229" s="163"/>
      <c r="K229" s="163"/>
      <c r="L229" s="163"/>
      <c r="M229" s="164"/>
      <c r="N229" s="164"/>
      <c r="O229" s="165"/>
      <c r="P229" s="166"/>
    </row>
    <row r="230" spans="1:16" ht="15.75" customHeight="1">
      <c r="A230" s="157"/>
      <c r="B230" s="158"/>
      <c r="C230" s="159"/>
      <c r="D230" s="160"/>
      <c r="E230" s="161"/>
      <c r="F230" s="162"/>
      <c r="G230" s="162"/>
      <c r="H230" s="160"/>
      <c r="I230" s="161"/>
      <c r="J230" s="163"/>
      <c r="K230" s="163"/>
      <c r="L230" s="163"/>
      <c r="M230" s="164"/>
      <c r="N230" s="164"/>
      <c r="O230" s="165"/>
      <c r="P230" s="166"/>
    </row>
    <row r="231" spans="1:16" ht="15.75" customHeight="1">
      <c r="A231" s="157"/>
      <c r="B231" s="158"/>
      <c r="C231" s="159"/>
      <c r="D231" s="160"/>
      <c r="E231" s="161"/>
      <c r="F231" s="162"/>
      <c r="G231" s="162"/>
      <c r="H231" s="160"/>
      <c r="I231" s="161"/>
      <c r="J231" s="163"/>
      <c r="K231" s="163"/>
      <c r="L231" s="163"/>
      <c r="M231" s="164"/>
      <c r="N231" s="164"/>
      <c r="O231" s="165"/>
      <c r="P231" s="166"/>
    </row>
    <row r="232" spans="1:16" ht="15.75" customHeight="1">
      <c r="A232" s="157"/>
      <c r="B232" s="158"/>
      <c r="C232" s="159"/>
      <c r="D232" s="160"/>
      <c r="E232" s="161"/>
      <c r="F232" s="162"/>
      <c r="G232" s="162"/>
      <c r="H232" s="160"/>
      <c r="I232" s="161"/>
      <c r="J232" s="163"/>
      <c r="K232" s="163"/>
      <c r="L232" s="163"/>
      <c r="M232" s="164"/>
      <c r="N232" s="164"/>
      <c r="O232" s="165"/>
      <c r="P232" s="166"/>
    </row>
    <row r="233" spans="1:16" ht="15.75" customHeight="1">
      <c r="A233" s="157"/>
      <c r="B233" s="158"/>
      <c r="C233" s="159"/>
      <c r="D233" s="160"/>
      <c r="E233" s="161"/>
      <c r="F233" s="162"/>
      <c r="G233" s="162"/>
      <c r="H233" s="160"/>
      <c r="I233" s="161"/>
      <c r="J233" s="163"/>
      <c r="K233" s="163"/>
      <c r="L233" s="163"/>
      <c r="M233" s="164"/>
      <c r="N233" s="164"/>
      <c r="O233" s="165"/>
      <c r="P233" s="166"/>
    </row>
    <row r="234" spans="1:16" ht="15.75" customHeight="1">
      <c r="A234" s="157"/>
      <c r="B234" s="158"/>
      <c r="C234" s="159"/>
      <c r="D234" s="160"/>
      <c r="E234" s="161"/>
      <c r="F234" s="162"/>
      <c r="G234" s="162"/>
      <c r="H234" s="160"/>
      <c r="I234" s="161"/>
      <c r="J234" s="163"/>
      <c r="K234" s="163"/>
      <c r="L234" s="163"/>
      <c r="M234" s="164"/>
      <c r="N234" s="164"/>
      <c r="O234" s="165"/>
      <c r="P234" s="166"/>
    </row>
    <row r="235" spans="1:16" ht="15.75" customHeight="1">
      <c r="A235" s="157"/>
      <c r="B235" s="158"/>
      <c r="C235" s="159"/>
      <c r="D235" s="160"/>
      <c r="E235" s="161"/>
      <c r="F235" s="162"/>
      <c r="G235" s="162"/>
      <c r="H235" s="160"/>
      <c r="I235" s="161"/>
      <c r="J235" s="163"/>
      <c r="K235" s="163"/>
      <c r="L235" s="163"/>
      <c r="M235" s="164"/>
      <c r="N235" s="164"/>
      <c r="O235" s="165"/>
      <c r="P235" s="166"/>
    </row>
    <row r="236" spans="1:16" ht="15.75" customHeight="1">
      <c r="A236" s="157"/>
      <c r="B236" s="158"/>
      <c r="C236" s="159"/>
      <c r="D236" s="160"/>
      <c r="E236" s="161"/>
      <c r="F236" s="162"/>
      <c r="G236" s="162"/>
      <c r="H236" s="160"/>
      <c r="I236" s="161"/>
      <c r="J236" s="163"/>
      <c r="K236" s="163"/>
      <c r="L236" s="163"/>
      <c r="M236" s="164"/>
      <c r="N236" s="164"/>
      <c r="O236" s="165"/>
      <c r="P236" s="166"/>
    </row>
    <row r="237" spans="1:16" ht="15.75" customHeight="1">
      <c r="A237" s="157"/>
      <c r="B237" s="158"/>
      <c r="C237" s="159"/>
      <c r="D237" s="160"/>
      <c r="E237" s="161"/>
      <c r="F237" s="162"/>
      <c r="G237" s="162"/>
      <c r="H237" s="160"/>
      <c r="I237" s="161"/>
      <c r="J237" s="163"/>
      <c r="K237" s="163"/>
      <c r="L237" s="163"/>
      <c r="M237" s="164"/>
      <c r="N237" s="164"/>
      <c r="O237" s="165"/>
      <c r="P237" s="166"/>
    </row>
    <row r="238" spans="1:16" ht="15.75" customHeight="1">
      <c r="A238" s="157"/>
      <c r="B238" s="158"/>
      <c r="C238" s="159"/>
      <c r="D238" s="160"/>
      <c r="E238" s="161"/>
      <c r="F238" s="162"/>
      <c r="G238" s="162"/>
      <c r="H238" s="160"/>
      <c r="I238" s="161"/>
      <c r="J238" s="163"/>
      <c r="K238" s="163"/>
      <c r="L238" s="163"/>
      <c r="M238" s="164"/>
      <c r="N238" s="164"/>
      <c r="O238" s="165"/>
      <c r="P238" s="166"/>
    </row>
    <row r="239" spans="1:16" ht="15.75" customHeight="1">
      <c r="A239" s="157"/>
      <c r="B239" s="158"/>
      <c r="C239" s="159"/>
      <c r="D239" s="160"/>
      <c r="E239" s="161"/>
      <c r="F239" s="162"/>
      <c r="G239" s="162"/>
      <c r="H239" s="160"/>
      <c r="I239" s="161"/>
      <c r="J239" s="163"/>
      <c r="K239" s="163"/>
      <c r="L239" s="163"/>
      <c r="M239" s="164"/>
      <c r="N239" s="164"/>
      <c r="O239" s="165"/>
      <c r="P239" s="166"/>
    </row>
    <row r="240" spans="1:16" ht="15.75" customHeight="1">
      <c r="A240" s="157"/>
      <c r="B240" s="158"/>
      <c r="C240" s="159"/>
      <c r="D240" s="160"/>
      <c r="E240" s="161"/>
      <c r="F240" s="162"/>
      <c r="G240" s="162"/>
      <c r="H240" s="160"/>
      <c r="I240" s="161"/>
      <c r="J240" s="163"/>
      <c r="K240" s="163"/>
      <c r="L240" s="163"/>
      <c r="M240" s="164"/>
      <c r="N240" s="164"/>
      <c r="O240" s="165"/>
      <c r="P240" s="166"/>
    </row>
    <row r="241" spans="1:16" ht="15.75" customHeight="1">
      <c r="A241" s="157"/>
      <c r="B241" s="158"/>
      <c r="C241" s="159"/>
      <c r="D241" s="160"/>
      <c r="E241" s="161"/>
      <c r="F241" s="162"/>
      <c r="G241" s="162"/>
      <c r="H241" s="160"/>
      <c r="I241" s="161"/>
      <c r="J241" s="163"/>
      <c r="K241" s="163"/>
      <c r="L241" s="163"/>
      <c r="M241" s="164"/>
      <c r="N241" s="164"/>
      <c r="O241" s="165"/>
      <c r="P241" s="166"/>
    </row>
    <row r="242" spans="1:16" ht="15.75" customHeight="1">
      <c r="A242" s="157"/>
      <c r="B242" s="158"/>
      <c r="C242" s="159"/>
      <c r="D242" s="160"/>
      <c r="E242" s="161"/>
      <c r="F242" s="162"/>
      <c r="G242" s="162"/>
      <c r="H242" s="160"/>
      <c r="I242" s="161"/>
      <c r="J242" s="163"/>
      <c r="K242" s="163"/>
      <c r="L242" s="163"/>
      <c r="M242" s="164"/>
      <c r="N242" s="164"/>
      <c r="O242" s="165"/>
      <c r="P242" s="166"/>
    </row>
    <row r="243" spans="1:16" ht="15.75" customHeight="1">
      <c r="A243" s="157"/>
      <c r="B243" s="158"/>
      <c r="C243" s="159"/>
      <c r="D243" s="160"/>
      <c r="E243" s="161"/>
      <c r="F243" s="162"/>
      <c r="G243" s="162"/>
      <c r="H243" s="160"/>
      <c r="I243" s="161"/>
      <c r="J243" s="163"/>
      <c r="K243" s="163"/>
      <c r="L243" s="163"/>
      <c r="M243" s="164"/>
      <c r="N243" s="164"/>
      <c r="O243" s="165"/>
      <c r="P243" s="166"/>
    </row>
    <row r="244" spans="1:16" ht="15.75" customHeight="1">
      <c r="A244" s="157"/>
      <c r="B244" s="158"/>
      <c r="C244" s="159"/>
      <c r="D244" s="160"/>
      <c r="E244" s="161"/>
      <c r="F244" s="162"/>
      <c r="G244" s="162"/>
      <c r="H244" s="160"/>
      <c r="I244" s="161"/>
      <c r="J244" s="163"/>
      <c r="K244" s="163"/>
      <c r="L244" s="163"/>
      <c r="M244" s="164"/>
      <c r="N244" s="164"/>
      <c r="O244" s="165"/>
      <c r="P244" s="166"/>
    </row>
    <row r="245" spans="1:16" ht="15.75" customHeight="1">
      <c r="A245" s="157"/>
      <c r="B245" s="158"/>
      <c r="C245" s="159"/>
      <c r="D245" s="160"/>
      <c r="E245" s="161"/>
      <c r="F245" s="162"/>
      <c r="G245" s="162"/>
      <c r="H245" s="160"/>
      <c r="I245" s="161"/>
      <c r="J245" s="163"/>
      <c r="K245" s="163"/>
      <c r="L245" s="163"/>
      <c r="M245" s="164"/>
      <c r="N245" s="164"/>
      <c r="O245" s="165"/>
      <c r="P245" s="166"/>
    </row>
    <row r="246" spans="1:16" ht="15.75" customHeight="1">
      <c r="A246" s="157"/>
      <c r="B246" s="158"/>
      <c r="C246" s="159"/>
      <c r="D246" s="160"/>
      <c r="E246" s="161"/>
      <c r="F246" s="162"/>
      <c r="G246" s="162"/>
      <c r="H246" s="160"/>
      <c r="I246" s="161"/>
      <c r="J246" s="163"/>
      <c r="K246" s="163"/>
      <c r="L246" s="163"/>
      <c r="M246" s="164"/>
      <c r="N246" s="164"/>
      <c r="O246" s="165"/>
      <c r="P246" s="166"/>
    </row>
    <row r="247" spans="1:16" ht="15.75" customHeight="1">
      <c r="A247" s="157"/>
      <c r="B247" s="158"/>
      <c r="C247" s="159"/>
      <c r="D247" s="160"/>
      <c r="E247" s="161"/>
      <c r="F247" s="162"/>
      <c r="G247" s="162"/>
      <c r="H247" s="160"/>
      <c r="I247" s="161"/>
      <c r="J247" s="163"/>
      <c r="K247" s="163"/>
      <c r="L247" s="163"/>
      <c r="M247" s="164"/>
      <c r="N247" s="164"/>
      <c r="O247" s="165"/>
      <c r="P247" s="166"/>
    </row>
    <row r="248" spans="1:16" ht="15.75" customHeight="1">
      <c r="A248" s="157"/>
      <c r="B248" s="158"/>
      <c r="C248" s="159"/>
      <c r="D248" s="160"/>
      <c r="E248" s="161"/>
      <c r="F248" s="162"/>
      <c r="G248" s="162"/>
      <c r="H248" s="160"/>
      <c r="I248" s="161"/>
      <c r="J248" s="163"/>
      <c r="K248" s="163"/>
      <c r="L248" s="163"/>
      <c r="M248" s="164"/>
      <c r="N248" s="164"/>
      <c r="O248" s="165"/>
      <c r="P248" s="166"/>
    </row>
    <row r="249" spans="1:16" ht="15.75" customHeight="1">
      <c r="A249" s="157"/>
      <c r="B249" s="158"/>
      <c r="C249" s="159"/>
      <c r="D249" s="160"/>
      <c r="E249" s="161"/>
      <c r="F249" s="162"/>
      <c r="G249" s="162"/>
      <c r="H249" s="160"/>
      <c r="I249" s="161"/>
      <c r="J249" s="163"/>
      <c r="K249" s="163"/>
      <c r="L249" s="163"/>
      <c r="M249" s="164"/>
      <c r="N249" s="164"/>
      <c r="O249" s="165"/>
      <c r="P249" s="166"/>
    </row>
    <row r="250" spans="1:16" ht="15.75" customHeight="1">
      <c r="A250" s="157"/>
      <c r="B250" s="158"/>
      <c r="C250" s="159"/>
      <c r="D250" s="160"/>
      <c r="E250" s="161"/>
      <c r="F250" s="162"/>
      <c r="G250" s="162"/>
      <c r="H250" s="160"/>
      <c r="I250" s="161"/>
      <c r="J250" s="163"/>
      <c r="K250" s="163"/>
      <c r="L250" s="163"/>
      <c r="M250" s="164"/>
      <c r="N250" s="164"/>
      <c r="O250" s="165"/>
      <c r="P250" s="166"/>
    </row>
    <row r="251" spans="1:16" ht="15.75" customHeight="1">
      <c r="A251" s="157"/>
      <c r="B251" s="158"/>
      <c r="C251" s="159"/>
      <c r="D251" s="160"/>
      <c r="E251" s="161"/>
      <c r="F251" s="162"/>
      <c r="G251" s="162"/>
      <c r="H251" s="160"/>
      <c r="I251" s="161"/>
      <c r="J251" s="163"/>
      <c r="K251" s="163"/>
      <c r="L251" s="163"/>
      <c r="M251" s="164"/>
      <c r="N251" s="164"/>
      <c r="O251" s="165"/>
      <c r="P251" s="166"/>
    </row>
    <row r="252" spans="1:16" ht="15.75" customHeight="1">
      <c r="A252" s="157"/>
      <c r="B252" s="158"/>
      <c r="C252" s="159"/>
      <c r="D252" s="160"/>
      <c r="E252" s="161"/>
      <c r="F252" s="162"/>
      <c r="G252" s="162"/>
      <c r="H252" s="160"/>
      <c r="I252" s="161"/>
      <c r="J252" s="163"/>
      <c r="K252" s="163"/>
      <c r="L252" s="163"/>
      <c r="M252" s="164"/>
      <c r="N252" s="164"/>
      <c r="O252" s="165"/>
      <c r="P252" s="166"/>
    </row>
    <row r="253" spans="1:16" ht="15.75" customHeight="1">
      <c r="A253" s="157"/>
      <c r="B253" s="158"/>
      <c r="C253" s="159"/>
      <c r="D253" s="160"/>
      <c r="E253" s="161"/>
      <c r="F253" s="162"/>
      <c r="G253" s="162"/>
      <c r="H253" s="160"/>
      <c r="I253" s="161"/>
      <c r="J253" s="163"/>
      <c r="K253" s="163"/>
      <c r="L253" s="163"/>
      <c r="M253" s="164"/>
      <c r="N253" s="164"/>
      <c r="O253" s="165"/>
      <c r="P253" s="166"/>
    </row>
    <row r="254" spans="1:16" ht="15.75" customHeight="1">
      <c r="A254" s="157"/>
      <c r="B254" s="158"/>
      <c r="C254" s="159"/>
      <c r="D254" s="160"/>
      <c r="E254" s="161"/>
      <c r="F254" s="162"/>
      <c r="G254" s="162"/>
      <c r="H254" s="160"/>
      <c r="I254" s="161"/>
      <c r="J254" s="163"/>
      <c r="K254" s="163"/>
      <c r="L254" s="163"/>
      <c r="M254" s="164"/>
      <c r="N254" s="164"/>
      <c r="O254" s="165"/>
      <c r="P254" s="166"/>
    </row>
    <row r="255" spans="1:16" ht="15.75" customHeight="1">
      <c r="A255" s="157"/>
      <c r="B255" s="158"/>
      <c r="C255" s="159"/>
      <c r="D255" s="160"/>
      <c r="E255" s="161"/>
      <c r="F255" s="162"/>
      <c r="G255" s="162"/>
      <c r="H255" s="160"/>
      <c r="I255" s="161"/>
      <c r="J255" s="163"/>
      <c r="K255" s="163"/>
      <c r="L255" s="163"/>
      <c r="M255" s="164"/>
      <c r="N255" s="164"/>
      <c r="O255" s="165"/>
      <c r="P255" s="166"/>
    </row>
    <row r="256" spans="1:16" ht="15.75" customHeight="1">
      <c r="A256" s="157"/>
      <c r="B256" s="158"/>
      <c r="C256" s="159"/>
      <c r="D256" s="160"/>
      <c r="E256" s="161"/>
      <c r="F256" s="162"/>
      <c r="G256" s="162"/>
      <c r="H256" s="160"/>
      <c r="I256" s="161"/>
      <c r="J256" s="163"/>
      <c r="K256" s="163"/>
      <c r="L256" s="163"/>
      <c r="M256" s="164"/>
      <c r="N256" s="164"/>
      <c r="O256" s="165"/>
      <c r="P256" s="166"/>
    </row>
    <row r="257" spans="1:16" ht="15.75" customHeight="1">
      <c r="A257" s="157"/>
      <c r="B257" s="158"/>
      <c r="C257" s="159"/>
      <c r="D257" s="160"/>
      <c r="E257" s="161"/>
      <c r="F257" s="162"/>
      <c r="G257" s="162"/>
      <c r="H257" s="160"/>
      <c r="I257" s="161"/>
      <c r="J257" s="163"/>
      <c r="K257" s="163"/>
      <c r="L257" s="163"/>
      <c r="M257" s="164"/>
      <c r="N257" s="164"/>
      <c r="O257" s="165"/>
      <c r="P257" s="166"/>
    </row>
    <row r="258" spans="1:16" ht="15.75" customHeight="1">
      <c r="A258" s="157"/>
      <c r="B258" s="158"/>
      <c r="C258" s="159"/>
      <c r="D258" s="160"/>
      <c r="E258" s="161"/>
      <c r="F258" s="162"/>
      <c r="G258" s="162"/>
      <c r="H258" s="160"/>
      <c r="I258" s="161"/>
      <c r="J258" s="163"/>
      <c r="K258" s="163"/>
      <c r="L258" s="163"/>
      <c r="M258" s="164"/>
      <c r="N258" s="164"/>
      <c r="O258" s="165"/>
      <c r="P258" s="166"/>
    </row>
    <row r="259" spans="1:16" ht="15.75" customHeight="1">
      <c r="A259" s="157"/>
      <c r="B259" s="158"/>
      <c r="C259" s="159"/>
      <c r="D259" s="160"/>
      <c r="E259" s="161"/>
      <c r="F259" s="162"/>
      <c r="G259" s="162"/>
      <c r="H259" s="160"/>
      <c r="I259" s="161"/>
      <c r="J259" s="163"/>
      <c r="K259" s="163"/>
      <c r="L259" s="163"/>
      <c r="M259" s="164"/>
      <c r="N259" s="164"/>
      <c r="O259" s="165"/>
      <c r="P259" s="166"/>
    </row>
    <row r="260" spans="1:16" ht="15.75" customHeight="1">
      <c r="A260" s="157"/>
      <c r="B260" s="158"/>
      <c r="C260" s="159"/>
      <c r="D260" s="160"/>
      <c r="E260" s="161"/>
      <c r="F260" s="162"/>
      <c r="G260" s="162"/>
      <c r="H260" s="160"/>
      <c r="I260" s="161"/>
      <c r="J260" s="163"/>
      <c r="K260" s="163"/>
      <c r="L260" s="163"/>
      <c r="M260" s="164"/>
      <c r="N260" s="164"/>
      <c r="O260" s="165"/>
      <c r="P260" s="166"/>
    </row>
    <row r="261" spans="1:16" ht="15.75" customHeight="1">
      <c r="A261" s="157"/>
      <c r="B261" s="158"/>
      <c r="C261" s="159"/>
      <c r="D261" s="160"/>
      <c r="E261" s="161"/>
      <c r="F261" s="162"/>
      <c r="G261" s="162"/>
      <c r="H261" s="160"/>
      <c r="I261" s="161"/>
      <c r="J261" s="163"/>
      <c r="K261" s="163"/>
      <c r="L261" s="163"/>
      <c r="M261" s="164"/>
      <c r="N261" s="164"/>
      <c r="O261" s="165"/>
      <c r="P261" s="166"/>
    </row>
    <row r="262" spans="1:16" ht="15.75" customHeight="1">
      <c r="A262" s="157"/>
      <c r="B262" s="158"/>
      <c r="C262" s="159"/>
      <c r="D262" s="160"/>
      <c r="E262" s="161"/>
      <c r="F262" s="162"/>
      <c r="G262" s="162"/>
      <c r="H262" s="160"/>
      <c r="I262" s="161"/>
      <c r="J262" s="163"/>
      <c r="K262" s="163"/>
      <c r="L262" s="163"/>
      <c r="M262" s="164"/>
      <c r="N262" s="164"/>
      <c r="O262" s="165"/>
      <c r="P262" s="166"/>
    </row>
    <row r="263" spans="1:16" ht="15.75" customHeight="1">
      <c r="A263" s="157"/>
      <c r="B263" s="158"/>
      <c r="C263" s="159"/>
      <c r="D263" s="160"/>
      <c r="E263" s="161"/>
      <c r="F263" s="162"/>
      <c r="G263" s="162"/>
      <c r="H263" s="160"/>
      <c r="I263" s="161"/>
      <c r="J263" s="163"/>
      <c r="K263" s="163"/>
      <c r="L263" s="163"/>
      <c r="M263" s="164"/>
      <c r="N263" s="164"/>
      <c r="O263" s="165"/>
      <c r="P263" s="166"/>
    </row>
    <row r="264" spans="1:16" ht="15.75" customHeight="1">
      <c r="A264" s="157"/>
      <c r="B264" s="158"/>
      <c r="C264" s="159"/>
      <c r="D264" s="160"/>
      <c r="E264" s="161"/>
      <c r="F264" s="162"/>
      <c r="G264" s="162"/>
      <c r="H264" s="160"/>
      <c r="I264" s="161"/>
      <c r="J264" s="163"/>
      <c r="K264" s="163"/>
      <c r="L264" s="163"/>
      <c r="M264" s="164"/>
      <c r="N264" s="164"/>
      <c r="O264" s="165"/>
      <c r="P264" s="166"/>
    </row>
    <row r="265" spans="1:16" ht="15.75" customHeight="1">
      <c r="A265" s="157"/>
      <c r="B265" s="158"/>
      <c r="C265" s="159"/>
      <c r="D265" s="160"/>
      <c r="E265" s="161"/>
      <c r="F265" s="162"/>
      <c r="G265" s="162"/>
      <c r="H265" s="160"/>
      <c r="I265" s="161"/>
      <c r="J265" s="163"/>
      <c r="K265" s="163"/>
      <c r="L265" s="163"/>
      <c r="M265" s="164"/>
      <c r="N265" s="164"/>
      <c r="O265" s="165"/>
      <c r="P265" s="166"/>
    </row>
    <row r="266" spans="1:16" ht="15.75" customHeight="1">
      <c r="A266" s="157"/>
      <c r="B266" s="158"/>
      <c r="C266" s="159"/>
      <c r="D266" s="160"/>
      <c r="E266" s="161"/>
      <c r="F266" s="162"/>
      <c r="G266" s="162"/>
      <c r="H266" s="160"/>
      <c r="I266" s="161"/>
      <c r="J266" s="163"/>
      <c r="K266" s="163"/>
      <c r="L266" s="163"/>
      <c r="M266" s="164"/>
      <c r="N266" s="164"/>
      <c r="O266" s="165"/>
      <c r="P266" s="166"/>
    </row>
    <row r="267" spans="1:16" ht="15.75" customHeight="1">
      <c r="A267" s="157"/>
      <c r="B267" s="158"/>
      <c r="C267" s="159"/>
      <c r="D267" s="160"/>
      <c r="E267" s="161"/>
      <c r="F267" s="162"/>
      <c r="G267" s="162"/>
      <c r="H267" s="160"/>
      <c r="I267" s="161"/>
      <c r="J267" s="163"/>
      <c r="K267" s="163"/>
      <c r="L267" s="163"/>
      <c r="M267" s="164"/>
      <c r="N267" s="164"/>
      <c r="O267" s="165"/>
      <c r="P267" s="166"/>
    </row>
    <row r="268" spans="1:16" ht="15.75" customHeight="1">
      <c r="A268" s="157"/>
      <c r="B268" s="158"/>
      <c r="C268" s="159"/>
      <c r="D268" s="160"/>
      <c r="E268" s="161"/>
      <c r="F268" s="162"/>
      <c r="G268" s="162"/>
      <c r="H268" s="160"/>
      <c r="I268" s="161"/>
      <c r="J268" s="163"/>
      <c r="K268" s="163"/>
      <c r="L268" s="163"/>
      <c r="M268" s="164"/>
      <c r="N268" s="164"/>
      <c r="O268" s="165"/>
      <c r="P268" s="166"/>
    </row>
    <row r="269" spans="1:16" ht="15.75" customHeight="1">
      <c r="A269" s="157"/>
      <c r="B269" s="158"/>
      <c r="C269" s="159"/>
      <c r="D269" s="160"/>
      <c r="E269" s="161"/>
      <c r="F269" s="162"/>
      <c r="G269" s="162"/>
      <c r="H269" s="160"/>
      <c r="I269" s="161"/>
      <c r="J269" s="163"/>
      <c r="K269" s="163"/>
      <c r="L269" s="163"/>
      <c r="M269" s="164"/>
      <c r="N269" s="164"/>
      <c r="O269" s="165"/>
      <c r="P269" s="166"/>
    </row>
    <row r="270" spans="1:16" ht="15.75" customHeight="1">
      <c r="A270" s="157"/>
      <c r="B270" s="158"/>
      <c r="C270" s="159"/>
      <c r="D270" s="160"/>
      <c r="E270" s="161"/>
      <c r="F270" s="162"/>
      <c r="G270" s="162"/>
      <c r="H270" s="160"/>
      <c r="I270" s="161"/>
      <c r="J270" s="163"/>
      <c r="K270" s="163"/>
      <c r="L270" s="163"/>
      <c r="M270" s="164"/>
      <c r="N270" s="164"/>
      <c r="O270" s="165"/>
      <c r="P270" s="166"/>
    </row>
    <row r="271" spans="1:16" ht="15.75" customHeight="1">
      <c r="A271" s="157"/>
      <c r="B271" s="158"/>
      <c r="C271" s="159"/>
      <c r="D271" s="160"/>
      <c r="E271" s="161"/>
      <c r="F271" s="162"/>
      <c r="G271" s="162"/>
      <c r="H271" s="160"/>
      <c r="I271" s="161"/>
      <c r="J271" s="163"/>
      <c r="K271" s="163"/>
      <c r="L271" s="163"/>
      <c r="M271" s="164"/>
      <c r="N271" s="164"/>
      <c r="O271" s="165"/>
      <c r="P271" s="166"/>
    </row>
    <row r="272" spans="1:16" ht="15.75" customHeight="1">
      <c r="A272" s="157"/>
      <c r="B272" s="158"/>
      <c r="C272" s="159"/>
      <c r="D272" s="160"/>
      <c r="E272" s="161"/>
      <c r="F272" s="162"/>
      <c r="G272" s="162"/>
      <c r="H272" s="160"/>
      <c r="I272" s="161"/>
      <c r="J272" s="163"/>
      <c r="K272" s="163"/>
      <c r="L272" s="163"/>
      <c r="M272" s="164"/>
      <c r="N272" s="164"/>
      <c r="O272" s="165"/>
      <c r="P272" s="166"/>
    </row>
    <row r="273" spans="1:16" ht="15.75" customHeight="1">
      <c r="A273" s="157"/>
      <c r="B273" s="158"/>
      <c r="C273" s="159"/>
      <c r="D273" s="160"/>
      <c r="E273" s="161"/>
      <c r="F273" s="162"/>
      <c r="G273" s="162"/>
      <c r="H273" s="160"/>
      <c r="I273" s="161"/>
      <c r="J273" s="163"/>
      <c r="K273" s="163"/>
      <c r="L273" s="163"/>
      <c r="M273" s="164"/>
      <c r="N273" s="164"/>
      <c r="O273" s="165"/>
      <c r="P273" s="166"/>
    </row>
    <row r="274" spans="1:16" ht="15.75" customHeight="1">
      <c r="A274" s="157"/>
      <c r="B274" s="158"/>
      <c r="C274" s="159"/>
      <c r="D274" s="160"/>
      <c r="E274" s="161"/>
      <c r="F274" s="162"/>
      <c r="G274" s="162"/>
      <c r="H274" s="160"/>
      <c r="I274" s="161"/>
      <c r="J274" s="163"/>
      <c r="K274" s="163"/>
      <c r="L274" s="163"/>
      <c r="M274" s="164"/>
      <c r="N274" s="164"/>
      <c r="O274" s="165"/>
      <c r="P274" s="166"/>
    </row>
    <row r="275" spans="1:16" ht="15.75" customHeight="1">
      <c r="A275" s="157"/>
      <c r="B275" s="158"/>
      <c r="C275" s="159"/>
      <c r="D275" s="160"/>
      <c r="E275" s="161"/>
      <c r="F275" s="162"/>
      <c r="G275" s="162"/>
      <c r="H275" s="160"/>
      <c r="I275" s="161"/>
      <c r="J275" s="163"/>
      <c r="K275" s="163"/>
      <c r="L275" s="163"/>
      <c r="M275" s="164"/>
      <c r="N275" s="164"/>
      <c r="O275" s="165"/>
      <c r="P275" s="166"/>
    </row>
    <row r="276" spans="1:16" ht="15.75" customHeight="1">
      <c r="A276" s="157"/>
      <c r="B276" s="158"/>
      <c r="C276" s="159"/>
      <c r="D276" s="160"/>
      <c r="E276" s="161"/>
      <c r="F276" s="162"/>
      <c r="G276" s="162"/>
      <c r="H276" s="160"/>
      <c r="I276" s="161"/>
      <c r="J276" s="163"/>
      <c r="K276" s="163"/>
      <c r="L276" s="163"/>
      <c r="M276" s="164"/>
      <c r="N276" s="164"/>
      <c r="O276" s="165"/>
      <c r="P276" s="166"/>
    </row>
    <row r="277" spans="1:16" ht="15.75" customHeight="1">
      <c r="A277" s="157"/>
      <c r="B277" s="158"/>
      <c r="C277" s="159"/>
      <c r="D277" s="160"/>
      <c r="E277" s="161"/>
      <c r="F277" s="162"/>
      <c r="G277" s="162"/>
      <c r="H277" s="160"/>
      <c r="I277" s="161"/>
      <c r="J277" s="163"/>
      <c r="K277" s="163"/>
      <c r="L277" s="163"/>
      <c r="M277" s="164"/>
      <c r="N277" s="164"/>
      <c r="O277" s="165"/>
      <c r="P277" s="166"/>
    </row>
    <row r="278" spans="1:16" ht="15.75" customHeight="1">
      <c r="A278" s="157"/>
      <c r="B278" s="158"/>
      <c r="C278" s="159"/>
      <c r="D278" s="160"/>
      <c r="E278" s="161"/>
      <c r="F278" s="162"/>
      <c r="G278" s="162"/>
      <c r="H278" s="160"/>
      <c r="I278" s="161"/>
      <c r="J278" s="163"/>
      <c r="K278" s="163"/>
      <c r="L278" s="163"/>
      <c r="M278" s="164"/>
      <c r="N278" s="164"/>
      <c r="O278" s="165"/>
      <c r="P278" s="166"/>
    </row>
    <row r="279" spans="1:16" ht="15.75" customHeight="1">
      <c r="A279" s="157"/>
      <c r="B279" s="158"/>
      <c r="C279" s="159"/>
      <c r="D279" s="160"/>
      <c r="E279" s="161"/>
      <c r="F279" s="162"/>
      <c r="G279" s="162"/>
      <c r="H279" s="160"/>
      <c r="I279" s="161"/>
      <c r="J279" s="163"/>
      <c r="K279" s="163"/>
      <c r="L279" s="163"/>
      <c r="M279" s="164"/>
      <c r="N279" s="164"/>
      <c r="O279" s="165"/>
      <c r="P279" s="166"/>
    </row>
    <row r="280" spans="1:16" ht="15.75" customHeight="1">
      <c r="A280" s="157"/>
      <c r="B280" s="158"/>
      <c r="C280" s="159"/>
      <c r="D280" s="160"/>
      <c r="E280" s="161"/>
      <c r="F280" s="162"/>
      <c r="G280" s="162"/>
      <c r="H280" s="160"/>
      <c r="I280" s="161"/>
      <c r="J280" s="163"/>
      <c r="K280" s="163"/>
      <c r="L280" s="163"/>
      <c r="M280" s="164"/>
      <c r="N280" s="164"/>
      <c r="O280" s="165"/>
      <c r="P280" s="166"/>
    </row>
    <row r="281" spans="1:16" ht="15.75" customHeight="1">
      <c r="A281" s="157"/>
      <c r="B281" s="158"/>
      <c r="C281" s="159"/>
      <c r="D281" s="160"/>
      <c r="E281" s="161"/>
      <c r="F281" s="162"/>
      <c r="G281" s="162"/>
      <c r="H281" s="160"/>
      <c r="I281" s="161"/>
      <c r="J281" s="163"/>
      <c r="K281" s="163"/>
      <c r="L281" s="163"/>
      <c r="M281" s="164"/>
      <c r="N281" s="164"/>
      <c r="O281" s="165"/>
      <c r="P281" s="166"/>
    </row>
    <row r="282" spans="1:16" ht="15.75" customHeight="1">
      <c r="A282" s="157"/>
      <c r="B282" s="158"/>
      <c r="C282" s="159"/>
      <c r="D282" s="160"/>
      <c r="E282" s="161"/>
      <c r="F282" s="162"/>
      <c r="G282" s="162"/>
      <c r="H282" s="160"/>
      <c r="I282" s="161"/>
      <c r="J282" s="163"/>
      <c r="K282" s="163"/>
      <c r="L282" s="163"/>
      <c r="M282" s="164"/>
      <c r="N282" s="164"/>
      <c r="O282" s="165"/>
      <c r="P282" s="166"/>
    </row>
    <row r="283" spans="1:16" ht="15.75" customHeight="1">
      <c r="A283" s="157"/>
      <c r="B283" s="158"/>
      <c r="C283" s="159"/>
      <c r="D283" s="160"/>
      <c r="E283" s="161"/>
      <c r="F283" s="162"/>
      <c r="G283" s="162"/>
      <c r="H283" s="160"/>
      <c r="I283" s="161"/>
      <c r="J283" s="163"/>
      <c r="K283" s="163"/>
      <c r="L283" s="163"/>
      <c r="M283" s="164"/>
      <c r="N283" s="164"/>
      <c r="O283" s="165"/>
      <c r="P283" s="166"/>
    </row>
    <row r="284" spans="1:16" ht="15.75" customHeight="1">
      <c r="A284" s="157"/>
      <c r="B284" s="158"/>
      <c r="C284" s="159"/>
      <c r="D284" s="160"/>
      <c r="E284" s="161"/>
      <c r="F284" s="162"/>
      <c r="G284" s="162"/>
      <c r="H284" s="160"/>
      <c r="I284" s="161"/>
      <c r="J284" s="163"/>
      <c r="K284" s="163"/>
      <c r="L284" s="163"/>
      <c r="M284" s="164"/>
      <c r="N284" s="164"/>
      <c r="O284" s="165"/>
      <c r="P284" s="166"/>
    </row>
    <row r="285" spans="1:16" ht="15.75" customHeight="1">
      <c r="A285" s="157"/>
      <c r="B285" s="158"/>
      <c r="C285" s="159"/>
      <c r="D285" s="160"/>
      <c r="E285" s="161"/>
      <c r="F285" s="162"/>
      <c r="G285" s="162"/>
      <c r="H285" s="160"/>
      <c r="I285" s="161"/>
      <c r="J285" s="163"/>
      <c r="K285" s="163"/>
      <c r="L285" s="163"/>
      <c r="M285" s="164"/>
      <c r="N285" s="164"/>
      <c r="O285" s="165"/>
      <c r="P285" s="166"/>
    </row>
    <row r="286" spans="1:16" ht="15.75" customHeight="1">
      <c r="A286" s="157"/>
      <c r="B286" s="158"/>
      <c r="C286" s="159"/>
      <c r="D286" s="160"/>
      <c r="E286" s="161"/>
      <c r="F286" s="162"/>
      <c r="G286" s="162"/>
      <c r="H286" s="160"/>
      <c r="I286" s="161"/>
      <c r="J286" s="163"/>
      <c r="K286" s="163"/>
      <c r="L286" s="163"/>
      <c r="M286" s="164"/>
      <c r="N286" s="164"/>
      <c r="O286" s="165"/>
      <c r="P286" s="166"/>
    </row>
    <row r="287" spans="1:16" ht="15.75" customHeight="1">
      <c r="A287" s="157"/>
      <c r="B287" s="158"/>
      <c r="C287" s="159"/>
      <c r="D287" s="160"/>
      <c r="E287" s="161"/>
      <c r="F287" s="162"/>
      <c r="G287" s="162"/>
      <c r="H287" s="160"/>
      <c r="I287" s="161"/>
      <c r="J287" s="163"/>
      <c r="K287" s="163"/>
      <c r="L287" s="163"/>
      <c r="M287" s="164"/>
      <c r="N287" s="164"/>
      <c r="O287" s="165"/>
      <c r="P287" s="166"/>
    </row>
    <row r="288" spans="1:16" ht="15.75" customHeight="1">
      <c r="A288" s="157"/>
      <c r="B288" s="158"/>
      <c r="C288" s="159"/>
      <c r="D288" s="160"/>
      <c r="E288" s="161"/>
      <c r="F288" s="162"/>
      <c r="G288" s="162"/>
      <c r="H288" s="160"/>
      <c r="I288" s="161"/>
      <c r="J288" s="163"/>
      <c r="K288" s="163"/>
      <c r="L288" s="163"/>
      <c r="M288" s="164"/>
      <c r="N288" s="164"/>
      <c r="O288" s="165"/>
      <c r="P288" s="166"/>
    </row>
    <row r="289" spans="1:16" ht="15.75" customHeight="1">
      <c r="A289" s="157"/>
      <c r="B289" s="158"/>
      <c r="C289" s="159"/>
      <c r="D289" s="160"/>
      <c r="E289" s="161"/>
      <c r="F289" s="162"/>
      <c r="G289" s="162"/>
      <c r="H289" s="160"/>
      <c r="I289" s="161"/>
      <c r="J289" s="163"/>
      <c r="K289" s="163"/>
      <c r="L289" s="163"/>
      <c r="M289" s="164"/>
      <c r="N289" s="164"/>
      <c r="O289" s="165"/>
      <c r="P289" s="166"/>
    </row>
    <row r="290" spans="1:16" ht="15.75" customHeight="1">
      <c r="A290" s="157"/>
      <c r="B290" s="158"/>
      <c r="C290" s="159"/>
      <c r="D290" s="160"/>
      <c r="E290" s="161"/>
      <c r="F290" s="162"/>
      <c r="G290" s="162"/>
      <c r="H290" s="160"/>
      <c r="I290" s="161"/>
      <c r="J290" s="163"/>
      <c r="K290" s="163"/>
      <c r="L290" s="163"/>
      <c r="M290" s="164"/>
      <c r="N290" s="164"/>
      <c r="O290" s="165"/>
      <c r="P290" s="166"/>
    </row>
    <row r="291" spans="1:16" ht="15.75" customHeight="1">
      <c r="A291" s="157"/>
      <c r="B291" s="158"/>
      <c r="C291" s="159"/>
      <c r="D291" s="160"/>
      <c r="E291" s="161"/>
      <c r="F291" s="162"/>
      <c r="G291" s="162"/>
      <c r="H291" s="160"/>
      <c r="I291" s="161"/>
      <c r="J291" s="163"/>
      <c r="K291" s="163"/>
      <c r="L291" s="163"/>
      <c r="M291" s="164"/>
      <c r="N291" s="164"/>
      <c r="O291" s="165"/>
      <c r="P291" s="166"/>
    </row>
    <row r="292" spans="1:16" ht="15.75" customHeight="1">
      <c r="A292" s="157"/>
      <c r="B292" s="158"/>
      <c r="C292" s="159"/>
      <c r="D292" s="160"/>
      <c r="E292" s="161"/>
      <c r="F292" s="162"/>
      <c r="G292" s="162"/>
      <c r="H292" s="160"/>
      <c r="I292" s="161"/>
      <c r="J292" s="163"/>
      <c r="K292" s="163"/>
      <c r="L292" s="163"/>
      <c r="M292" s="164"/>
      <c r="N292" s="164"/>
      <c r="O292" s="165"/>
      <c r="P292" s="166"/>
    </row>
    <row r="293" spans="1:16" ht="15.75" customHeight="1">
      <c r="A293" s="157"/>
      <c r="B293" s="158"/>
      <c r="C293" s="159"/>
      <c r="D293" s="160"/>
      <c r="E293" s="161"/>
      <c r="F293" s="162"/>
      <c r="G293" s="162"/>
      <c r="H293" s="160"/>
      <c r="I293" s="161"/>
      <c r="J293" s="163"/>
      <c r="K293" s="163"/>
      <c r="L293" s="163"/>
      <c r="M293" s="164"/>
      <c r="N293" s="164"/>
      <c r="O293" s="165"/>
      <c r="P293" s="166"/>
    </row>
    <row r="294" spans="1:16" ht="15.75" customHeight="1">
      <c r="A294" s="157"/>
      <c r="B294" s="158"/>
      <c r="C294" s="159"/>
      <c r="D294" s="160"/>
      <c r="E294" s="161"/>
      <c r="F294" s="162"/>
      <c r="G294" s="162"/>
      <c r="H294" s="160"/>
      <c r="I294" s="161"/>
      <c r="J294" s="163"/>
      <c r="K294" s="163"/>
      <c r="L294" s="163"/>
      <c r="M294" s="164"/>
      <c r="N294" s="164"/>
      <c r="O294" s="165"/>
      <c r="P294" s="166"/>
    </row>
    <row r="295" spans="1:16" ht="15.75" customHeight="1">
      <c r="A295" s="157"/>
      <c r="B295" s="158"/>
      <c r="C295" s="159"/>
      <c r="D295" s="160"/>
      <c r="E295" s="161"/>
      <c r="F295" s="162"/>
      <c r="G295" s="162"/>
      <c r="H295" s="160"/>
      <c r="I295" s="161"/>
      <c r="J295" s="163"/>
      <c r="K295" s="163"/>
      <c r="L295" s="163"/>
      <c r="M295" s="164"/>
      <c r="N295" s="164"/>
      <c r="O295" s="165"/>
      <c r="P295" s="166"/>
    </row>
    <row r="296" spans="1:16" ht="15.75" customHeight="1">
      <c r="A296" s="157"/>
      <c r="B296" s="158"/>
      <c r="C296" s="159"/>
      <c r="D296" s="160"/>
      <c r="E296" s="161"/>
      <c r="F296" s="162"/>
      <c r="G296" s="162"/>
      <c r="H296" s="160"/>
      <c r="I296" s="161"/>
      <c r="J296" s="163"/>
      <c r="K296" s="163"/>
      <c r="L296" s="163"/>
      <c r="M296" s="164"/>
      <c r="N296" s="164"/>
      <c r="O296" s="165"/>
      <c r="P296" s="166"/>
    </row>
    <row r="297" spans="1:16" ht="15.75" customHeight="1">
      <c r="A297" s="157"/>
      <c r="B297" s="158"/>
      <c r="C297" s="159"/>
      <c r="D297" s="160"/>
      <c r="E297" s="161"/>
      <c r="F297" s="162"/>
      <c r="G297" s="162"/>
      <c r="H297" s="160"/>
      <c r="I297" s="161"/>
      <c r="J297" s="163"/>
      <c r="K297" s="163"/>
      <c r="L297" s="163"/>
      <c r="M297" s="164"/>
      <c r="N297" s="164"/>
      <c r="O297" s="165"/>
      <c r="P297" s="166"/>
    </row>
    <row r="298" spans="1:16" ht="15.75" customHeight="1">
      <c r="A298" s="157"/>
      <c r="B298" s="158"/>
      <c r="C298" s="159"/>
      <c r="D298" s="160"/>
      <c r="E298" s="161"/>
      <c r="F298" s="162"/>
      <c r="G298" s="162"/>
      <c r="H298" s="160"/>
      <c r="I298" s="161"/>
      <c r="J298" s="163"/>
      <c r="K298" s="163"/>
      <c r="L298" s="163"/>
      <c r="M298" s="164"/>
      <c r="N298" s="164"/>
      <c r="O298" s="165"/>
      <c r="P298" s="166"/>
    </row>
    <row r="299" spans="1:16" ht="15.75" customHeight="1">
      <c r="A299" s="157"/>
      <c r="B299" s="158"/>
      <c r="C299" s="159"/>
      <c r="D299" s="160"/>
      <c r="E299" s="161"/>
      <c r="F299" s="162"/>
      <c r="G299" s="162"/>
      <c r="H299" s="160"/>
      <c r="I299" s="161"/>
      <c r="J299" s="163"/>
      <c r="K299" s="163"/>
      <c r="L299" s="163"/>
      <c r="M299" s="164"/>
      <c r="N299" s="164"/>
      <c r="O299" s="165"/>
      <c r="P299" s="166"/>
    </row>
    <row r="300" spans="1:16" ht="15.75" customHeight="1">
      <c r="A300" s="157"/>
      <c r="B300" s="158"/>
      <c r="C300" s="159"/>
      <c r="D300" s="160"/>
      <c r="E300" s="161"/>
      <c r="F300" s="162"/>
      <c r="G300" s="162"/>
      <c r="H300" s="160"/>
      <c r="I300" s="161"/>
      <c r="J300" s="163"/>
      <c r="K300" s="163"/>
      <c r="L300" s="163"/>
      <c r="M300" s="164"/>
      <c r="N300" s="164"/>
      <c r="O300" s="165"/>
      <c r="P300" s="166"/>
    </row>
    <row r="301" spans="1:16" ht="15.75" customHeight="1">
      <c r="A301" s="157"/>
      <c r="B301" s="158"/>
      <c r="C301" s="159"/>
      <c r="D301" s="160"/>
      <c r="E301" s="161"/>
      <c r="F301" s="162"/>
      <c r="G301" s="162"/>
      <c r="H301" s="160"/>
      <c r="I301" s="161"/>
      <c r="J301" s="163"/>
      <c r="K301" s="163"/>
      <c r="L301" s="163"/>
      <c r="M301" s="164"/>
      <c r="N301" s="164"/>
      <c r="O301" s="165"/>
      <c r="P301" s="166"/>
    </row>
    <row r="302" spans="1:16" ht="15.75" customHeight="1">
      <c r="A302" s="157"/>
      <c r="B302" s="158"/>
      <c r="C302" s="159"/>
      <c r="D302" s="160"/>
      <c r="E302" s="161"/>
      <c r="F302" s="162"/>
      <c r="G302" s="162"/>
      <c r="H302" s="160"/>
      <c r="I302" s="161"/>
      <c r="J302" s="163"/>
      <c r="K302" s="163"/>
      <c r="L302" s="163"/>
      <c r="M302" s="164"/>
      <c r="N302" s="164"/>
      <c r="O302" s="165"/>
      <c r="P302" s="166"/>
    </row>
    <row r="303" spans="1:16" ht="15.75" customHeight="1">
      <c r="A303" s="157"/>
      <c r="B303" s="158"/>
      <c r="C303" s="159"/>
      <c r="D303" s="160"/>
      <c r="E303" s="161"/>
      <c r="F303" s="162"/>
      <c r="G303" s="162"/>
      <c r="H303" s="160"/>
      <c r="I303" s="161"/>
      <c r="J303" s="163"/>
      <c r="K303" s="163"/>
      <c r="L303" s="163"/>
      <c r="M303" s="164"/>
      <c r="N303" s="164"/>
      <c r="O303" s="165"/>
      <c r="P303" s="166"/>
    </row>
    <row r="304" spans="1:16" ht="15.75" customHeight="1">
      <c r="A304" s="157"/>
      <c r="B304" s="158"/>
      <c r="C304" s="159"/>
      <c r="D304" s="160"/>
      <c r="E304" s="161"/>
      <c r="F304" s="162"/>
      <c r="G304" s="162"/>
      <c r="H304" s="160"/>
      <c r="I304" s="161"/>
      <c r="J304" s="163"/>
      <c r="K304" s="163"/>
      <c r="L304" s="163"/>
      <c r="M304" s="164"/>
      <c r="N304" s="164"/>
      <c r="O304" s="165"/>
      <c r="P304" s="166"/>
    </row>
    <row r="305" spans="1:16" ht="15.75" customHeight="1">
      <c r="A305" s="157"/>
      <c r="B305" s="158"/>
      <c r="C305" s="159"/>
      <c r="D305" s="160"/>
      <c r="E305" s="161"/>
      <c r="F305" s="162"/>
      <c r="G305" s="162"/>
      <c r="H305" s="160"/>
      <c r="I305" s="161"/>
      <c r="J305" s="163"/>
      <c r="K305" s="163"/>
      <c r="L305" s="163"/>
      <c r="M305" s="164"/>
      <c r="N305" s="164"/>
      <c r="O305" s="165"/>
      <c r="P305" s="166"/>
    </row>
    <row r="306" spans="1:16" ht="15.75" customHeight="1">
      <c r="A306" s="157"/>
      <c r="B306" s="158"/>
      <c r="C306" s="159"/>
      <c r="D306" s="160"/>
      <c r="E306" s="161"/>
      <c r="F306" s="162"/>
      <c r="G306" s="162"/>
      <c r="H306" s="160"/>
      <c r="I306" s="161"/>
      <c r="J306" s="163"/>
      <c r="K306" s="163"/>
      <c r="L306" s="163"/>
      <c r="M306" s="164"/>
      <c r="N306" s="164"/>
      <c r="O306" s="165"/>
      <c r="P306" s="166"/>
    </row>
    <row r="307" spans="1:16" ht="15.75" customHeight="1">
      <c r="A307" s="157"/>
      <c r="B307" s="158"/>
      <c r="C307" s="159"/>
      <c r="D307" s="160"/>
      <c r="E307" s="161"/>
      <c r="F307" s="162"/>
      <c r="G307" s="162"/>
      <c r="H307" s="160"/>
      <c r="I307" s="161"/>
      <c r="J307" s="163"/>
      <c r="K307" s="163"/>
      <c r="L307" s="163"/>
      <c r="M307" s="164"/>
      <c r="N307" s="164"/>
      <c r="O307" s="165"/>
      <c r="P307" s="166"/>
    </row>
    <row r="308" spans="1:16" ht="15.75" customHeight="1">
      <c r="A308" s="157"/>
      <c r="B308" s="158"/>
      <c r="C308" s="159"/>
      <c r="D308" s="160"/>
      <c r="E308" s="161"/>
      <c r="F308" s="162"/>
      <c r="G308" s="162"/>
      <c r="H308" s="160"/>
      <c r="I308" s="161"/>
      <c r="J308" s="163"/>
      <c r="K308" s="163"/>
      <c r="L308" s="163"/>
      <c r="M308" s="164"/>
      <c r="N308" s="164"/>
      <c r="O308" s="165"/>
      <c r="P308" s="166"/>
    </row>
    <row r="309" spans="1:16" ht="15.75" customHeight="1">
      <c r="A309" s="157"/>
      <c r="B309" s="158"/>
      <c r="C309" s="159"/>
      <c r="D309" s="160"/>
      <c r="E309" s="161"/>
      <c r="F309" s="162"/>
      <c r="G309" s="162"/>
      <c r="H309" s="160"/>
      <c r="I309" s="161"/>
      <c r="J309" s="163"/>
      <c r="K309" s="163"/>
      <c r="L309" s="163"/>
      <c r="M309" s="164"/>
      <c r="N309" s="164"/>
      <c r="O309" s="165"/>
      <c r="P309" s="166"/>
    </row>
    <row r="310" spans="1:16" ht="15.75" customHeight="1">
      <c r="A310" s="157"/>
      <c r="B310" s="158"/>
      <c r="C310" s="159"/>
      <c r="D310" s="160"/>
      <c r="E310" s="161"/>
      <c r="F310" s="162"/>
      <c r="G310" s="162"/>
      <c r="H310" s="160"/>
      <c r="I310" s="161"/>
      <c r="J310" s="163"/>
      <c r="K310" s="163"/>
      <c r="L310" s="163"/>
      <c r="M310" s="164"/>
      <c r="N310" s="164"/>
      <c r="O310" s="165"/>
      <c r="P310" s="166"/>
    </row>
    <row r="311" spans="1:16" ht="15.75" customHeight="1">
      <c r="A311" s="157"/>
      <c r="B311" s="158"/>
      <c r="C311" s="159"/>
      <c r="D311" s="160"/>
      <c r="E311" s="161"/>
      <c r="F311" s="162"/>
      <c r="G311" s="162"/>
      <c r="H311" s="160"/>
      <c r="I311" s="161"/>
      <c r="J311" s="163"/>
      <c r="K311" s="163"/>
      <c r="L311" s="163"/>
      <c r="M311" s="164"/>
      <c r="N311" s="164"/>
      <c r="O311" s="165"/>
      <c r="P311" s="166"/>
    </row>
    <row r="312" spans="1:16" ht="15.75" customHeight="1">
      <c r="A312" s="157"/>
      <c r="B312" s="158"/>
      <c r="C312" s="159"/>
      <c r="D312" s="160"/>
      <c r="E312" s="161"/>
      <c r="F312" s="162"/>
      <c r="G312" s="162"/>
      <c r="H312" s="160"/>
      <c r="I312" s="161"/>
      <c r="J312" s="163"/>
      <c r="K312" s="163"/>
      <c r="L312" s="163"/>
      <c r="M312" s="164"/>
      <c r="N312" s="164"/>
      <c r="O312" s="165"/>
      <c r="P312" s="166"/>
    </row>
    <row r="313" spans="1:16" ht="15.75" customHeight="1">
      <c r="A313" s="157"/>
      <c r="B313" s="158"/>
      <c r="C313" s="159"/>
      <c r="D313" s="160"/>
      <c r="E313" s="161"/>
      <c r="F313" s="162"/>
      <c r="G313" s="162"/>
      <c r="H313" s="160"/>
      <c r="I313" s="161"/>
      <c r="J313" s="163"/>
      <c r="K313" s="163"/>
      <c r="L313" s="163"/>
      <c r="M313" s="164"/>
      <c r="N313" s="164"/>
      <c r="O313" s="165"/>
      <c r="P313" s="166"/>
    </row>
    <row r="314" spans="1:16" ht="15.75" customHeight="1">
      <c r="A314" s="157"/>
      <c r="B314" s="158"/>
      <c r="C314" s="159"/>
      <c r="D314" s="160"/>
      <c r="E314" s="161"/>
      <c r="F314" s="162"/>
      <c r="G314" s="162"/>
      <c r="H314" s="160"/>
      <c r="I314" s="161"/>
      <c r="J314" s="163"/>
      <c r="K314" s="163"/>
      <c r="L314" s="163"/>
      <c r="M314" s="164"/>
      <c r="N314" s="164"/>
      <c r="O314" s="165"/>
      <c r="P314" s="166"/>
    </row>
    <row r="315" spans="1:16" ht="15.75" customHeight="1">
      <c r="A315" s="157"/>
      <c r="B315" s="158"/>
      <c r="C315" s="159"/>
      <c r="D315" s="160"/>
      <c r="E315" s="161"/>
      <c r="F315" s="162"/>
      <c r="G315" s="162"/>
      <c r="H315" s="160"/>
      <c r="I315" s="161"/>
      <c r="J315" s="163"/>
      <c r="K315" s="163"/>
      <c r="L315" s="163"/>
      <c r="M315" s="164"/>
      <c r="N315" s="164"/>
      <c r="O315" s="165"/>
      <c r="P315" s="166"/>
    </row>
    <row r="316" spans="1:16" ht="15.75" customHeight="1">
      <c r="A316" s="157"/>
      <c r="B316" s="158"/>
      <c r="C316" s="159"/>
      <c r="D316" s="160"/>
      <c r="E316" s="161"/>
      <c r="F316" s="162"/>
      <c r="G316" s="162"/>
      <c r="H316" s="160"/>
      <c r="I316" s="161"/>
      <c r="J316" s="163"/>
      <c r="K316" s="163"/>
      <c r="L316" s="163"/>
      <c r="M316" s="164"/>
      <c r="N316" s="164"/>
      <c r="O316" s="165"/>
      <c r="P316" s="166"/>
    </row>
    <row r="317" spans="1:16" ht="15.75" customHeight="1">
      <c r="A317" s="157"/>
      <c r="B317" s="158"/>
      <c r="C317" s="159"/>
      <c r="D317" s="160"/>
      <c r="E317" s="161"/>
      <c r="F317" s="162"/>
      <c r="G317" s="162"/>
      <c r="H317" s="160"/>
      <c r="I317" s="161"/>
      <c r="J317" s="163"/>
      <c r="K317" s="163"/>
      <c r="L317" s="163"/>
      <c r="M317" s="164"/>
      <c r="N317" s="164"/>
      <c r="O317" s="165"/>
      <c r="P317" s="166"/>
    </row>
    <row r="318" spans="1:16" ht="15.75" customHeight="1">
      <c r="A318" s="157"/>
      <c r="B318" s="158"/>
      <c r="C318" s="159"/>
      <c r="D318" s="160"/>
      <c r="E318" s="161"/>
      <c r="F318" s="162"/>
      <c r="G318" s="162"/>
      <c r="H318" s="160"/>
      <c r="I318" s="161"/>
      <c r="J318" s="163"/>
      <c r="K318" s="163"/>
      <c r="L318" s="163"/>
      <c r="M318" s="164"/>
      <c r="N318" s="164"/>
      <c r="O318" s="165"/>
      <c r="P318" s="166"/>
    </row>
    <row r="319" spans="1:16" ht="15.75" customHeight="1">
      <c r="A319" s="157"/>
      <c r="B319" s="158"/>
      <c r="C319" s="159"/>
      <c r="D319" s="160"/>
      <c r="E319" s="161"/>
      <c r="F319" s="162"/>
      <c r="G319" s="162"/>
      <c r="H319" s="160"/>
      <c r="I319" s="161"/>
      <c r="J319" s="163"/>
      <c r="K319" s="163"/>
      <c r="L319" s="163"/>
      <c r="M319" s="164"/>
      <c r="N319" s="164"/>
      <c r="O319" s="165"/>
      <c r="P319" s="166"/>
    </row>
    <row r="320" spans="1:16" ht="15.75" customHeight="1">
      <c r="A320" s="157"/>
      <c r="B320" s="158"/>
      <c r="C320" s="159"/>
      <c r="D320" s="160"/>
      <c r="E320" s="161"/>
      <c r="F320" s="162"/>
      <c r="G320" s="162"/>
      <c r="H320" s="160"/>
      <c r="I320" s="161"/>
      <c r="J320" s="163"/>
      <c r="K320" s="163"/>
      <c r="L320" s="163"/>
      <c r="M320" s="164"/>
      <c r="N320" s="164"/>
      <c r="O320" s="165"/>
      <c r="P320" s="166"/>
    </row>
    <row r="321" spans="1:16" ht="15.75" customHeight="1">
      <c r="A321" s="157"/>
      <c r="B321" s="158"/>
      <c r="C321" s="159"/>
      <c r="D321" s="160"/>
      <c r="E321" s="161"/>
      <c r="F321" s="162"/>
      <c r="G321" s="162"/>
      <c r="H321" s="160"/>
      <c r="I321" s="161"/>
      <c r="J321" s="163"/>
      <c r="K321" s="163"/>
      <c r="L321" s="163"/>
      <c r="M321" s="164"/>
      <c r="N321" s="164"/>
      <c r="O321" s="165"/>
      <c r="P321" s="166"/>
    </row>
    <row r="322" spans="1:16" ht="15.75" customHeight="1">
      <c r="A322" s="157"/>
      <c r="B322" s="158"/>
      <c r="C322" s="159"/>
      <c r="D322" s="160"/>
      <c r="E322" s="161"/>
      <c r="F322" s="162"/>
      <c r="G322" s="162"/>
      <c r="H322" s="160"/>
      <c r="I322" s="161"/>
      <c r="J322" s="163"/>
      <c r="K322" s="163"/>
      <c r="L322" s="163"/>
      <c r="M322" s="164"/>
      <c r="N322" s="164"/>
      <c r="O322" s="165"/>
      <c r="P322" s="166"/>
    </row>
    <row r="323" spans="1:16" ht="15.75" customHeight="1">
      <c r="A323" s="157"/>
      <c r="B323" s="158"/>
      <c r="C323" s="159"/>
      <c r="D323" s="160"/>
      <c r="E323" s="161"/>
      <c r="F323" s="162"/>
      <c r="G323" s="162"/>
      <c r="H323" s="160"/>
      <c r="I323" s="161"/>
      <c r="J323" s="163"/>
      <c r="K323" s="163"/>
      <c r="L323" s="163"/>
      <c r="M323" s="164"/>
      <c r="N323" s="164"/>
      <c r="O323" s="165"/>
      <c r="P323" s="166"/>
    </row>
    <row r="324" spans="1:16" ht="15.75" customHeight="1">
      <c r="A324" s="157"/>
      <c r="B324" s="158"/>
      <c r="C324" s="159"/>
      <c r="D324" s="160"/>
      <c r="E324" s="161"/>
      <c r="F324" s="162"/>
      <c r="G324" s="162"/>
      <c r="H324" s="160"/>
      <c r="I324" s="161"/>
      <c r="J324" s="163"/>
      <c r="K324" s="163"/>
      <c r="L324" s="163"/>
      <c r="M324" s="164"/>
      <c r="N324" s="164"/>
      <c r="O324" s="165"/>
      <c r="P324" s="166"/>
    </row>
    <row r="325" spans="1:16" ht="15.75" customHeight="1">
      <c r="A325" s="157"/>
      <c r="B325" s="158"/>
      <c r="C325" s="159"/>
      <c r="D325" s="160"/>
      <c r="E325" s="161"/>
      <c r="F325" s="162"/>
      <c r="G325" s="162"/>
      <c r="H325" s="160"/>
      <c r="I325" s="161"/>
      <c r="J325" s="163"/>
      <c r="K325" s="163"/>
      <c r="L325" s="163"/>
      <c r="M325" s="164"/>
      <c r="N325" s="164"/>
      <c r="O325" s="165"/>
      <c r="P325" s="166"/>
    </row>
    <row r="326" spans="1:16" ht="15.75" customHeight="1">
      <c r="A326" s="157"/>
      <c r="B326" s="158"/>
      <c r="C326" s="159"/>
      <c r="D326" s="160"/>
      <c r="E326" s="161"/>
      <c r="F326" s="162"/>
      <c r="G326" s="162"/>
      <c r="H326" s="160"/>
      <c r="I326" s="161"/>
      <c r="J326" s="163"/>
      <c r="K326" s="163"/>
      <c r="L326" s="163"/>
      <c r="M326" s="164"/>
      <c r="N326" s="164"/>
      <c r="O326" s="165"/>
      <c r="P326" s="166"/>
    </row>
    <row r="327" spans="1:16" ht="15.75" customHeight="1">
      <c r="A327" s="157"/>
      <c r="B327" s="158"/>
      <c r="C327" s="159"/>
      <c r="D327" s="160"/>
      <c r="E327" s="161"/>
      <c r="F327" s="162"/>
      <c r="G327" s="162"/>
      <c r="H327" s="160"/>
      <c r="I327" s="161"/>
      <c r="J327" s="163"/>
      <c r="K327" s="163"/>
      <c r="L327" s="163"/>
      <c r="M327" s="164"/>
      <c r="N327" s="164"/>
      <c r="O327" s="165"/>
      <c r="P327" s="166"/>
    </row>
    <row r="328" spans="1:16" ht="15.75" customHeight="1">
      <c r="A328" s="157"/>
      <c r="B328" s="158"/>
      <c r="C328" s="159"/>
      <c r="D328" s="160"/>
      <c r="E328" s="161"/>
      <c r="F328" s="162"/>
      <c r="G328" s="162"/>
      <c r="H328" s="160"/>
      <c r="I328" s="161"/>
      <c r="J328" s="163"/>
      <c r="K328" s="163"/>
      <c r="L328" s="163"/>
      <c r="M328" s="164"/>
      <c r="N328" s="164"/>
      <c r="O328" s="165"/>
      <c r="P328" s="166"/>
    </row>
    <row r="329" spans="1:16" ht="15.75" customHeight="1">
      <c r="A329" s="157"/>
      <c r="B329" s="158"/>
      <c r="C329" s="159"/>
      <c r="D329" s="160"/>
      <c r="E329" s="161"/>
      <c r="F329" s="162"/>
      <c r="G329" s="162"/>
      <c r="H329" s="160"/>
      <c r="I329" s="161"/>
      <c r="J329" s="163"/>
      <c r="K329" s="163"/>
      <c r="L329" s="163"/>
      <c r="M329" s="164"/>
      <c r="N329" s="164"/>
      <c r="O329" s="165"/>
      <c r="P329" s="166"/>
    </row>
    <row r="330" spans="1:16" ht="15.75" customHeight="1">
      <c r="A330" s="157"/>
      <c r="B330" s="158"/>
      <c r="C330" s="159"/>
      <c r="D330" s="160"/>
      <c r="E330" s="161"/>
      <c r="F330" s="162"/>
      <c r="G330" s="162"/>
      <c r="H330" s="160"/>
      <c r="I330" s="161"/>
      <c r="J330" s="163"/>
      <c r="K330" s="163"/>
      <c r="L330" s="163"/>
      <c r="M330" s="164"/>
      <c r="N330" s="164"/>
      <c r="O330" s="165"/>
      <c r="P330" s="166"/>
    </row>
    <row r="331" spans="1:16" ht="15.75" customHeight="1">
      <c r="A331" s="157"/>
      <c r="B331" s="158"/>
      <c r="C331" s="159"/>
      <c r="D331" s="160"/>
      <c r="E331" s="161"/>
      <c r="F331" s="162"/>
      <c r="G331" s="162"/>
      <c r="H331" s="160"/>
      <c r="I331" s="161"/>
      <c r="J331" s="163"/>
      <c r="K331" s="163"/>
      <c r="L331" s="163"/>
      <c r="M331" s="164"/>
      <c r="N331" s="164"/>
      <c r="O331" s="165"/>
      <c r="P331" s="166"/>
    </row>
    <row r="332" spans="1:16" ht="15.75" customHeight="1">
      <c r="A332" s="157"/>
      <c r="B332" s="158"/>
      <c r="C332" s="159"/>
      <c r="D332" s="160"/>
      <c r="E332" s="161"/>
      <c r="F332" s="162"/>
      <c r="G332" s="162"/>
      <c r="H332" s="160"/>
      <c r="I332" s="161"/>
      <c r="J332" s="163"/>
      <c r="K332" s="163"/>
      <c r="L332" s="163"/>
      <c r="M332" s="164"/>
      <c r="N332" s="164"/>
      <c r="O332" s="165"/>
      <c r="P332" s="166"/>
    </row>
    <row r="333" spans="1:16" ht="15.75" customHeight="1">
      <c r="A333" s="157"/>
      <c r="B333" s="158"/>
      <c r="C333" s="159"/>
      <c r="D333" s="160"/>
      <c r="E333" s="161"/>
      <c r="F333" s="162"/>
      <c r="G333" s="162"/>
      <c r="H333" s="160"/>
      <c r="I333" s="161"/>
      <c r="J333" s="163"/>
      <c r="K333" s="163"/>
      <c r="L333" s="163"/>
      <c r="M333" s="164"/>
      <c r="N333" s="164"/>
      <c r="O333" s="165"/>
      <c r="P333" s="166"/>
    </row>
    <row r="334" spans="1:16" ht="15.75" customHeight="1">
      <c r="A334" s="157"/>
      <c r="B334" s="158"/>
      <c r="C334" s="159"/>
      <c r="D334" s="160"/>
      <c r="E334" s="161"/>
      <c r="F334" s="162"/>
      <c r="G334" s="162"/>
      <c r="H334" s="160"/>
      <c r="I334" s="161"/>
      <c r="J334" s="163"/>
      <c r="K334" s="163"/>
      <c r="L334" s="163"/>
      <c r="M334" s="164"/>
      <c r="N334" s="164"/>
      <c r="O334" s="165"/>
      <c r="P334" s="166"/>
    </row>
    <row r="335" spans="1:16" ht="15.75" customHeight="1">
      <c r="A335" s="157"/>
      <c r="B335" s="158"/>
      <c r="C335" s="159"/>
      <c r="D335" s="160"/>
      <c r="E335" s="161"/>
      <c r="F335" s="162"/>
      <c r="G335" s="162"/>
      <c r="H335" s="160"/>
      <c r="I335" s="161"/>
      <c r="J335" s="163"/>
      <c r="K335" s="163"/>
      <c r="L335" s="163"/>
      <c r="M335" s="164"/>
      <c r="N335" s="164"/>
      <c r="O335" s="165"/>
      <c r="P335" s="166"/>
    </row>
    <row r="336" spans="1:16" ht="15.75" customHeight="1">
      <c r="A336" s="157"/>
      <c r="B336" s="158"/>
      <c r="C336" s="159"/>
      <c r="D336" s="160"/>
      <c r="E336" s="161"/>
      <c r="F336" s="162"/>
      <c r="G336" s="162"/>
      <c r="H336" s="160"/>
      <c r="I336" s="161"/>
      <c r="J336" s="163"/>
      <c r="K336" s="163"/>
      <c r="L336" s="163"/>
      <c r="M336" s="164"/>
      <c r="N336" s="164"/>
      <c r="O336" s="165"/>
      <c r="P336" s="166"/>
    </row>
    <row r="337" spans="1:16" ht="15.75" customHeight="1">
      <c r="A337" s="157"/>
      <c r="B337" s="158"/>
      <c r="C337" s="159"/>
      <c r="D337" s="160"/>
      <c r="E337" s="161"/>
      <c r="F337" s="162"/>
      <c r="G337" s="162"/>
      <c r="H337" s="160"/>
      <c r="I337" s="161"/>
      <c r="J337" s="163"/>
      <c r="K337" s="163"/>
      <c r="L337" s="163"/>
      <c r="M337" s="164"/>
      <c r="N337" s="164"/>
      <c r="O337" s="165"/>
      <c r="P337" s="166"/>
    </row>
    <row r="338" spans="1:16" ht="15.75" customHeight="1">
      <c r="A338" s="157"/>
      <c r="B338" s="158"/>
      <c r="C338" s="159"/>
      <c r="D338" s="160"/>
      <c r="E338" s="161"/>
      <c r="F338" s="162"/>
      <c r="G338" s="162"/>
      <c r="H338" s="160"/>
      <c r="I338" s="161"/>
      <c r="J338" s="163"/>
      <c r="K338" s="163"/>
      <c r="L338" s="163"/>
      <c r="M338" s="164"/>
      <c r="N338" s="164"/>
      <c r="O338" s="165"/>
      <c r="P338" s="166"/>
    </row>
    <row r="339" spans="1:16" ht="15.75" customHeight="1">
      <c r="A339" s="157"/>
      <c r="B339" s="158"/>
      <c r="C339" s="159"/>
      <c r="D339" s="160"/>
      <c r="E339" s="161"/>
      <c r="F339" s="162"/>
      <c r="G339" s="162"/>
      <c r="H339" s="160"/>
      <c r="I339" s="161"/>
      <c r="J339" s="163"/>
      <c r="K339" s="163"/>
      <c r="L339" s="163"/>
      <c r="M339" s="164"/>
      <c r="N339" s="164"/>
      <c r="O339" s="165"/>
      <c r="P339" s="166"/>
    </row>
    <row r="340" spans="1:16" ht="15.75" customHeight="1">
      <c r="A340" s="157"/>
      <c r="B340" s="158"/>
      <c r="C340" s="159"/>
      <c r="D340" s="160"/>
      <c r="E340" s="161"/>
      <c r="F340" s="162"/>
      <c r="G340" s="162"/>
      <c r="H340" s="160"/>
      <c r="I340" s="161"/>
      <c r="J340" s="163"/>
      <c r="K340" s="163"/>
      <c r="L340" s="163"/>
      <c r="M340" s="164"/>
      <c r="N340" s="164"/>
      <c r="O340" s="165"/>
      <c r="P340" s="166"/>
    </row>
    <row r="341" spans="1:16" ht="15.75" customHeight="1">
      <c r="A341" s="157"/>
      <c r="B341" s="158"/>
      <c r="C341" s="159"/>
      <c r="D341" s="160"/>
      <c r="E341" s="161"/>
      <c r="F341" s="162"/>
      <c r="G341" s="162"/>
      <c r="H341" s="160"/>
      <c r="I341" s="161"/>
      <c r="J341" s="163"/>
      <c r="K341" s="163"/>
      <c r="L341" s="163"/>
      <c r="M341" s="164"/>
      <c r="N341" s="164"/>
      <c r="O341" s="165"/>
      <c r="P341" s="166"/>
    </row>
    <row r="342" spans="1:16" ht="15.75" customHeight="1">
      <c r="A342" s="157"/>
      <c r="B342" s="158"/>
      <c r="C342" s="159"/>
      <c r="D342" s="160"/>
      <c r="E342" s="161"/>
      <c r="F342" s="162"/>
      <c r="G342" s="162"/>
      <c r="H342" s="160"/>
      <c r="I342" s="161"/>
      <c r="J342" s="163"/>
      <c r="K342" s="163"/>
      <c r="L342" s="163"/>
      <c r="M342" s="164"/>
      <c r="N342" s="164"/>
      <c r="O342" s="165"/>
      <c r="P342" s="166"/>
    </row>
    <row r="343" spans="1:16" ht="15.75" customHeight="1">
      <c r="A343" s="157"/>
      <c r="B343" s="158"/>
      <c r="C343" s="159"/>
      <c r="D343" s="160"/>
      <c r="E343" s="161"/>
      <c r="F343" s="162"/>
      <c r="G343" s="162"/>
      <c r="H343" s="160"/>
      <c r="I343" s="161"/>
      <c r="J343" s="163"/>
      <c r="K343" s="163"/>
      <c r="L343" s="163"/>
      <c r="M343" s="164"/>
      <c r="N343" s="164"/>
      <c r="O343" s="165"/>
      <c r="P343" s="166"/>
    </row>
    <row r="344" spans="1:16" ht="15.75" customHeight="1">
      <c r="A344" s="157"/>
      <c r="B344" s="158"/>
      <c r="C344" s="159"/>
      <c r="D344" s="160"/>
      <c r="E344" s="161"/>
      <c r="F344" s="162"/>
      <c r="G344" s="162"/>
      <c r="H344" s="160"/>
      <c r="I344" s="161"/>
      <c r="J344" s="163"/>
      <c r="K344" s="163"/>
      <c r="L344" s="163"/>
      <c r="M344" s="164"/>
      <c r="N344" s="164"/>
      <c r="O344" s="165"/>
      <c r="P344" s="166"/>
    </row>
    <row r="345" spans="1:16" ht="15.75" customHeight="1">
      <c r="A345" s="157"/>
      <c r="B345" s="158"/>
      <c r="C345" s="159"/>
      <c r="D345" s="160"/>
      <c r="E345" s="161"/>
      <c r="F345" s="162"/>
      <c r="G345" s="162"/>
      <c r="H345" s="160"/>
      <c r="I345" s="161"/>
      <c r="J345" s="163"/>
      <c r="K345" s="163"/>
      <c r="L345" s="163"/>
      <c r="M345" s="164"/>
      <c r="N345" s="164"/>
      <c r="O345" s="165"/>
      <c r="P345" s="166"/>
    </row>
    <row r="346" spans="1:16" ht="15.75" customHeight="1">
      <c r="A346" s="157"/>
      <c r="B346" s="158"/>
      <c r="C346" s="159"/>
      <c r="D346" s="160"/>
      <c r="E346" s="161"/>
      <c r="F346" s="162"/>
      <c r="G346" s="162"/>
      <c r="H346" s="160"/>
      <c r="I346" s="161"/>
      <c r="J346" s="163"/>
      <c r="K346" s="163"/>
      <c r="L346" s="163"/>
      <c r="M346" s="164"/>
      <c r="N346" s="164"/>
      <c r="O346" s="165"/>
      <c r="P346" s="166"/>
    </row>
    <row r="347" spans="1:16" ht="15.75" customHeight="1">
      <c r="A347" s="157"/>
      <c r="B347" s="158"/>
      <c r="C347" s="159"/>
      <c r="D347" s="160"/>
      <c r="E347" s="161"/>
      <c r="F347" s="162"/>
      <c r="G347" s="162"/>
      <c r="H347" s="160"/>
      <c r="I347" s="161"/>
      <c r="J347" s="163"/>
      <c r="K347" s="163"/>
      <c r="L347" s="163"/>
      <c r="M347" s="164"/>
      <c r="N347" s="164"/>
      <c r="O347" s="165"/>
      <c r="P347" s="166"/>
    </row>
    <row r="348" spans="1:16" ht="15.75" customHeight="1">
      <c r="A348" s="157"/>
      <c r="B348" s="158"/>
      <c r="C348" s="159"/>
      <c r="D348" s="160"/>
      <c r="E348" s="161"/>
      <c r="F348" s="162"/>
      <c r="G348" s="162"/>
      <c r="H348" s="160"/>
      <c r="I348" s="161"/>
      <c r="J348" s="163"/>
      <c r="K348" s="163"/>
      <c r="L348" s="163"/>
      <c r="M348" s="164"/>
      <c r="N348" s="164"/>
      <c r="O348" s="165"/>
      <c r="P348" s="166"/>
    </row>
    <row r="349" spans="1:16" ht="15.75" customHeight="1">
      <c r="A349" s="157"/>
      <c r="B349" s="158"/>
      <c r="C349" s="159"/>
      <c r="D349" s="160"/>
      <c r="E349" s="161"/>
      <c r="F349" s="162"/>
      <c r="G349" s="162"/>
      <c r="H349" s="160"/>
      <c r="I349" s="161"/>
      <c r="J349" s="163"/>
      <c r="K349" s="163"/>
      <c r="L349" s="163"/>
      <c r="M349" s="164"/>
      <c r="N349" s="164"/>
      <c r="O349" s="165"/>
      <c r="P349" s="166"/>
    </row>
    <row r="350" spans="1:16" ht="15.75" customHeight="1">
      <c r="A350" s="157"/>
      <c r="B350" s="158"/>
      <c r="C350" s="159"/>
      <c r="D350" s="160"/>
      <c r="E350" s="161"/>
      <c r="F350" s="162"/>
      <c r="G350" s="162"/>
      <c r="H350" s="160"/>
      <c r="I350" s="161"/>
      <c r="J350" s="163"/>
      <c r="K350" s="163"/>
      <c r="L350" s="163"/>
      <c r="M350" s="164"/>
      <c r="N350" s="164"/>
      <c r="O350" s="165"/>
      <c r="P350" s="166"/>
    </row>
    <row r="351" spans="1:16" ht="15.75" customHeight="1">
      <c r="A351" s="157"/>
      <c r="B351" s="158"/>
      <c r="C351" s="159"/>
      <c r="D351" s="160"/>
      <c r="E351" s="161"/>
      <c r="F351" s="162"/>
      <c r="G351" s="162"/>
      <c r="H351" s="160"/>
      <c r="I351" s="161"/>
      <c r="J351" s="163"/>
      <c r="K351" s="163"/>
      <c r="L351" s="163"/>
      <c r="M351" s="164"/>
      <c r="N351" s="164"/>
      <c r="O351" s="165"/>
      <c r="P351" s="166"/>
    </row>
    <row r="352" spans="1:16" ht="15.75" customHeight="1">
      <c r="A352" s="157"/>
      <c r="B352" s="158"/>
      <c r="C352" s="159"/>
      <c r="D352" s="160"/>
      <c r="E352" s="161"/>
      <c r="F352" s="162"/>
      <c r="G352" s="162"/>
      <c r="H352" s="160"/>
      <c r="I352" s="161"/>
      <c r="J352" s="163"/>
      <c r="K352" s="163"/>
      <c r="L352" s="163"/>
      <c r="M352" s="164"/>
      <c r="N352" s="164"/>
      <c r="O352" s="165"/>
      <c r="P352" s="166"/>
    </row>
    <row r="353" spans="1:16" ht="15.75" customHeight="1">
      <c r="A353" s="157"/>
      <c r="B353" s="158"/>
      <c r="C353" s="159"/>
      <c r="D353" s="160"/>
      <c r="E353" s="161"/>
      <c r="F353" s="162"/>
      <c r="G353" s="162"/>
      <c r="H353" s="160"/>
      <c r="I353" s="161"/>
      <c r="J353" s="163"/>
      <c r="K353" s="163"/>
      <c r="L353" s="163"/>
      <c r="M353" s="164"/>
      <c r="N353" s="164"/>
      <c r="O353" s="165"/>
      <c r="P353" s="166"/>
    </row>
    <row r="354" spans="1:16" ht="15.75" customHeight="1">
      <c r="A354" s="157"/>
      <c r="B354" s="158"/>
      <c r="C354" s="159"/>
      <c r="D354" s="160"/>
      <c r="E354" s="161"/>
      <c r="F354" s="162"/>
      <c r="G354" s="162"/>
      <c r="H354" s="160"/>
      <c r="I354" s="161"/>
      <c r="J354" s="163"/>
      <c r="K354" s="163"/>
      <c r="L354" s="163"/>
      <c r="M354" s="164"/>
      <c r="N354" s="164"/>
      <c r="O354" s="165"/>
      <c r="P354" s="166"/>
    </row>
    <row r="355" spans="1:16" ht="15.75" customHeight="1">
      <c r="A355" s="157"/>
      <c r="B355" s="158"/>
      <c r="C355" s="159"/>
      <c r="D355" s="160"/>
      <c r="E355" s="161"/>
      <c r="F355" s="162"/>
      <c r="G355" s="162"/>
      <c r="H355" s="160"/>
      <c r="I355" s="161"/>
      <c r="J355" s="163"/>
      <c r="K355" s="163"/>
      <c r="L355" s="163"/>
      <c r="M355" s="164"/>
      <c r="N355" s="164"/>
      <c r="O355" s="165"/>
      <c r="P355" s="166"/>
    </row>
    <row r="356" spans="1:16" ht="15.75" customHeight="1">
      <c r="A356" s="157"/>
      <c r="B356" s="158"/>
      <c r="C356" s="159"/>
      <c r="D356" s="160"/>
      <c r="E356" s="161"/>
      <c r="F356" s="162"/>
      <c r="G356" s="162"/>
      <c r="H356" s="160"/>
      <c r="I356" s="161"/>
      <c r="J356" s="163"/>
      <c r="K356" s="163"/>
      <c r="L356" s="163"/>
      <c r="M356" s="164"/>
      <c r="N356" s="164"/>
      <c r="O356" s="165"/>
      <c r="P356" s="166"/>
    </row>
    <row r="357" spans="1:16" ht="15.75" customHeight="1">
      <c r="A357" s="157"/>
      <c r="B357" s="158"/>
      <c r="C357" s="159"/>
      <c r="D357" s="160"/>
      <c r="E357" s="161"/>
      <c r="F357" s="162"/>
      <c r="G357" s="162"/>
      <c r="H357" s="160"/>
      <c r="I357" s="161"/>
      <c r="J357" s="163"/>
      <c r="K357" s="163"/>
      <c r="L357" s="163"/>
      <c r="M357" s="164"/>
      <c r="N357" s="164"/>
      <c r="O357" s="165"/>
      <c r="P357" s="166"/>
    </row>
    <row r="358" spans="1:16" ht="15.75" customHeight="1">
      <c r="A358" s="157"/>
      <c r="B358" s="158"/>
      <c r="C358" s="159"/>
      <c r="D358" s="160"/>
      <c r="E358" s="161"/>
      <c r="F358" s="162"/>
      <c r="G358" s="162"/>
      <c r="H358" s="160"/>
      <c r="I358" s="161"/>
      <c r="J358" s="163"/>
      <c r="K358" s="163"/>
      <c r="L358" s="163"/>
      <c r="M358" s="164"/>
      <c r="N358" s="164"/>
      <c r="O358" s="165"/>
      <c r="P358" s="166"/>
    </row>
    <row r="359" spans="1:16" ht="15.75" customHeight="1">
      <c r="A359" s="157"/>
      <c r="B359" s="158"/>
      <c r="C359" s="159"/>
      <c r="D359" s="160"/>
      <c r="E359" s="161"/>
      <c r="F359" s="162"/>
      <c r="G359" s="162"/>
      <c r="H359" s="160"/>
      <c r="I359" s="161"/>
      <c r="J359" s="163"/>
      <c r="K359" s="163"/>
      <c r="L359" s="163"/>
      <c r="M359" s="164"/>
      <c r="N359" s="164"/>
      <c r="O359" s="165"/>
      <c r="P359" s="166"/>
    </row>
    <row r="360" spans="1:16" ht="15.75" customHeight="1">
      <c r="A360" s="157"/>
      <c r="B360" s="158"/>
      <c r="C360" s="159"/>
      <c r="D360" s="160"/>
      <c r="E360" s="161"/>
      <c r="F360" s="162"/>
      <c r="G360" s="162"/>
      <c r="H360" s="160"/>
      <c r="I360" s="161"/>
      <c r="J360" s="163"/>
      <c r="K360" s="163"/>
      <c r="L360" s="163"/>
      <c r="M360" s="164"/>
      <c r="N360" s="164"/>
      <c r="O360" s="165"/>
      <c r="P360" s="166"/>
    </row>
    <row r="361" spans="1:16" ht="15.75" customHeight="1">
      <c r="A361" s="157"/>
      <c r="B361" s="158"/>
      <c r="C361" s="159"/>
      <c r="D361" s="160"/>
      <c r="E361" s="161"/>
      <c r="F361" s="162"/>
      <c r="G361" s="162"/>
      <c r="H361" s="160"/>
      <c r="I361" s="161"/>
      <c r="J361" s="163"/>
      <c r="K361" s="163"/>
      <c r="L361" s="163"/>
      <c r="M361" s="164"/>
      <c r="N361" s="164"/>
      <c r="O361" s="165"/>
      <c r="P361" s="166"/>
    </row>
    <row r="362" spans="1:16" ht="15.75" customHeight="1">
      <c r="A362" s="157"/>
      <c r="B362" s="158"/>
      <c r="C362" s="159"/>
      <c r="D362" s="160"/>
      <c r="E362" s="161"/>
      <c r="F362" s="162"/>
      <c r="G362" s="162"/>
      <c r="H362" s="160"/>
      <c r="I362" s="161"/>
      <c r="J362" s="163"/>
      <c r="K362" s="163"/>
      <c r="L362" s="163"/>
      <c r="M362" s="164"/>
      <c r="N362" s="164"/>
      <c r="O362" s="165"/>
      <c r="P362" s="166"/>
    </row>
    <row r="363" spans="1:16" ht="15.75" customHeight="1">
      <c r="A363" s="157"/>
      <c r="B363" s="158"/>
      <c r="C363" s="159"/>
      <c r="D363" s="160"/>
      <c r="E363" s="161"/>
      <c r="F363" s="162"/>
      <c r="G363" s="162"/>
      <c r="H363" s="160"/>
      <c r="I363" s="161"/>
      <c r="J363" s="163"/>
      <c r="K363" s="163"/>
      <c r="L363" s="163"/>
      <c r="M363" s="164"/>
      <c r="N363" s="164"/>
      <c r="O363" s="165"/>
      <c r="P363" s="166"/>
    </row>
    <row r="364" spans="1:16" ht="15.75" customHeight="1">
      <c r="A364" s="157"/>
      <c r="B364" s="158"/>
      <c r="C364" s="159"/>
      <c r="D364" s="160"/>
      <c r="E364" s="161"/>
      <c r="F364" s="162"/>
      <c r="G364" s="162"/>
      <c r="H364" s="160"/>
      <c r="I364" s="161"/>
      <c r="J364" s="163"/>
      <c r="K364" s="163"/>
      <c r="L364" s="163"/>
      <c r="M364" s="164"/>
      <c r="N364" s="164"/>
      <c r="O364" s="165"/>
      <c r="P364" s="166"/>
    </row>
    <row r="365" spans="1:16" ht="15.75" customHeight="1">
      <c r="A365" s="157"/>
      <c r="B365" s="158"/>
      <c r="C365" s="159"/>
      <c r="D365" s="160"/>
      <c r="E365" s="161"/>
      <c r="F365" s="162"/>
      <c r="G365" s="162"/>
      <c r="H365" s="160"/>
      <c r="I365" s="161"/>
      <c r="J365" s="163"/>
      <c r="K365" s="163"/>
      <c r="L365" s="163"/>
      <c r="M365" s="164"/>
      <c r="N365" s="164"/>
      <c r="O365" s="165"/>
      <c r="P365" s="166"/>
    </row>
    <row r="366" spans="1:16" ht="15.75" customHeight="1">
      <c r="A366" s="157"/>
      <c r="B366" s="158"/>
      <c r="C366" s="159"/>
      <c r="D366" s="160"/>
      <c r="E366" s="161"/>
      <c r="F366" s="162"/>
      <c r="G366" s="162"/>
      <c r="H366" s="160"/>
      <c r="I366" s="161"/>
      <c r="J366" s="163"/>
      <c r="K366" s="163"/>
      <c r="L366" s="163"/>
      <c r="M366" s="164"/>
      <c r="N366" s="164"/>
      <c r="O366" s="165"/>
      <c r="P366" s="166"/>
    </row>
    <row r="367" spans="1:16" ht="15.75" customHeight="1">
      <c r="A367" s="157"/>
      <c r="B367" s="158"/>
      <c r="C367" s="159"/>
      <c r="D367" s="160"/>
      <c r="E367" s="161"/>
      <c r="F367" s="162"/>
      <c r="G367" s="162"/>
      <c r="H367" s="160"/>
      <c r="I367" s="161"/>
      <c r="J367" s="163"/>
      <c r="K367" s="163"/>
      <c r="L367" s="163"/>
      <c r="M367" s="164"/>
      <c r="N367" s="164"/>
      <c r="O367" s="165"/>
      <c r="P367" s="166"/>
    </row>
    <row r="368" spans="1:16" ht="15.75" customHeight="1">
      <c r="A368" s="157"/>
      <c r="B368" s="158"/>
      <c r="C368" s="159"/>
      <c r="D368" s="160"/>
      <c r="E368" s="161"/>
      <c r="F368" s="162"/>
      <c r="G368" s="162"/>
      <c r="H368" s="160"/>
      <c r="I368" s="161"/>
      <c r="J368" s="163"/>
      <c r="K368" s="163"/>
      <c r="L368" s="163"/>
      <c r="M368" s="164"/>
      <c r="N368" s="164"/>
      <c r="O368" s="165"/>
      <c r="P368" s="166"/>
    </row>
    <row r="369" spans="1:16" ht="15.75" customHeight="1">
      <c r="A369" s="157"/>
      <c r="B369" s="158"/>
      <c r="C369" s="159"/>
      <c r="D369" s="160"/>
      <c r="E369" s="161"/>
      <c r="F369" s="162"/>
      <c r="G369" s="162"/>
      <c r="H369" s="160"/>
      <c r="I369" s="161"/>
      <c r="J369" s="163"/>
      <c r="K369" s="163"/>
      <c r="L369" s="163"/>
      <c r="M369" s="164"/>
      <c r="N369" s="164"/>
      <c r="O369" s="165"/>
      <c r="P369" s="166"/>
    </row>
    <row r="370" spans="1:16" ht="15.75" customHeight="1">
      <c r="A370" s="157"/>
      <c r="B370" s="158"/>
      <c r="C370" s="159"/>
      <c r="D370" s="160"/>
      <c r="E370" s="161"/>
      <c r="F370" s="162"/>
      <c r="G370" s="162"/>
      <c r="H370" s="160"/>
      <c r="I370" s="161"/>
      <c r="J370" s="163"/>
      <c r="K370" s="163"/>
      <c r="L370" s="163"/>
      <c r="M370" s="164"/>
      <c r="N370" s="164"/>
      <c r="O370" s="165"/>
      <c r="P370" s="166"/>
    </row>
    <row r="371" spans="1:16" ht="15.75" customHeight="1">
      <c r="A371" s="157"/>
      <c r="B371" s="158"/>
      <c r="C371" s="159"/>
      <c r="D371" s="160"/>
      <c r="E371" s="161"/>
      <c r="F371" s="162"/>
      <c r="G371" s="162"/>
      <c r="H371" s="160"/>
      <c r="I371" s="161"/>
      <c r="J371" s="163"/>
      <c r="K371" s="163"/>
      <c r="L371" s="163"/>
      <c r="M371" s="164"/>
      <c r="N371" s="164"/>
      <c r="O371" s="165"/>
      <c r="P371" s="166"/>
    </row>
    <row r="372" spans="1:16" ht="15.75" customHeight="1">
      <c r="A372" s="157"/>
      <c r="B372" s="158"/>
      <c r="C372" s="159"/>
      <c r="D372" s="160"/>
      <c r="E372" s="161"/>
      <c r="F372" s="162"/>
      <c r="G372" s="162"/>
      <c r="H372" s="160"/>
      <c r="I372" s="161"/>
      <c r="J372" s="163"/>
      <c r="K372" s="163"/>
      <c r="L372" s="163"/>
      <c r="M372" s="164"/>
      <c r="N372" s="164"/>
      <c r="O372" s="165"/>
      <c r="P372" s="166"/>
    </row>
    <row r="373" spans="1:16" ht="15.75" customHeight="1">
      <c r="A373" s="157"/>
      <c r="B373" s="158"/>
      <c r="C373" s="159"/>
      <c r="D373" s="160"/>
      <c r="E373" s="161"/>
      <c r="F373" s="162"/>
      <c r="G373" s="162"/>
      <c r="H373" s="160"/>
      <c r="I373" s="161"/>
      <c r="J373" s="163"/>
      <c r="K373" s="163"/>
      <c r="L373" s="163"/>
      <c r="M373" s="164"/>
      <c r="N373" s="164"/>
      <c r="O373" s="165"/>
      <c r="P373" s="166"/>
    </row>
    <row r="374" spans="1:16" ht="15.75" customHeight="1">
      <c r="A374" s="157"/>
      <c r="B374" s="158"/>
      <c r="C374" s="159"/>
      <c r="D374" s="160"/>
      <c r="E374" s="161"/>
      <c r="F374" s="162"/>
      <c r="G374" s="162"/>
      <c r="H374" s="160"/>
      <c r="I374" s="161"/>
      <c r="J374" s="163"/>
      <c r="K374" s="163"/>
      <c r="L374" s="163"/>
      <c r="M374" s="164"/>
      <c r="N374" s="164"/>
      <c r="O374" s="165"/>
      <c r="P374" s="166"/>
    </row>
    <row r="375" spans="1:16" ht="15.75" customHeight="1">
      <c r="A375" s="157"/>
      <c r="B375" s="158"/>
      <c r="C375" s="159"/>
      <c r="D375" s="160"/>
      <c r="E375" s="161"/>
      <c r="F375" s="162"/>
      <c r="G375" s="162"/>
      <c r="H375" s="160"/>
      <c r="I375" s="161"/>
      <c r="J375" s="163"/>
      <c r="K375" s="163"/>
      <c r="L375" s="163"/>
      <c r="M375" s="164"/>
      <c r="N375" s="164"/>
      <c r="O375" s="165"/>
      <c r="P375" s="166"/>
    </row>
    <row r="376" spans="1:16" ht="15.75" customHeight="1">
      <c r="A376" s="157"/>
      <c r="B376" s="158"/>
      <c r="C376" s="159"/>
      <c r="D376" s="160"/>
      <c r="E376" s="161"/>
      <c r="F376" s="162"/>
      <c r="G376" s="162"/>
      <c r="H376" s="160"/>
      <c r="I376" s="161"/>
      <c r="J376" s="163"/>
      <c r="K376" s="163"/>
      <c r="L376" s="163"/>
      <c r="M376" s="164"/>
      <c r="N376" s="164"/>
      <c r="O376" s="165"/>
      <c r="P376" s="166"/>
    </row>
    <row r="377" spans="1:16" ht="15.75" customHeight="1">
      <c r="A377" s="157"/>
      <c r="B377" s="158"/>
      <c r="C377" s="159"/>
      <c r="D377" s="160"/>
      <c r="E377" s="161"/>
      <c r="F377" s="162"/>
      <c r="G377" s="162"/>
      <c r="H377" s="160"/>
      <c r="I377" s="161"/>
      <c r="J377" s="163"/>
      <c r="K377" s="163"/>
      <c r="L377" s="163"/>
      <c r="M377" s="164"/>
      <c r="N377" s="164"/>
      <c r="O377" s="165"/>
      <c r="P377" s="166"/>
    </row>
    <row r="378" spans="1:16" ht="15.75" customHeight="1">
      <c r="A378" s="157"/>
      <c r="B378" s="158"/>
      <c r="C378" s="159"/>
      <c r="D378" s="160"/>
      <c r="E378" s="161"/>
      <c r="F378" s="162"/>
      <c r="G378" s="162"/>
      <c r="H378" s="160"/>
      <c r="I378" s="161"/>
      <c r="J378" s="163"/>
      <c r="K378" s="163"/>
      <c r="L378" s="163"/>
      <c r="M378" s="164"/>
      <c r="N378" s="164"/>
      <c r="O378" s="165"/>
      <c r="P378" s="166"/>
    </row>
    <row r="379" spans="1:16" ht="15.75" customHeight="1">
      <c r="A379" s="157"/>
      <c r="B379" s="158"/>
      <c r="C379" s="159"/>
      <c r="D379" s="160"/>
      <c r="E379" s="161"/>
      <c r="F379" s="162"/>
      <c r="G379" s="162"/>
      <c r="H379" s="160"/>
      <c r="I379" s="161"/>
      <c r="J379" s="163"/>
      <c r="K379" s="163"/>
      <c r="L379" s="163"/>
      <c r="M379" s="164"/>
      <c r="N379" s="164"/>
      <c r="O379" s="165"/>
      <c r="P379" s="166"/>
    </row>
    <row r="380" spans="1:16" ht="15.75" customHeight="1">
      <c r="A380" s="157"/>
      <c r="B380" s="158"/>
      <c r="C380" s="159"/>
      <c r="D380" s="160"/>
      <c r="E380" s="161"/>
      <c r="F380" s="162"/>
      <c r="G380" s="162"/>
      <c r="H380" s="160"/>
      <c r="I380" s="161"/>
      <c r="J380" s="163"/>
      <c r="K380" s="163"/>
      <c r="L380" s="163"/>
      <c r="M380" s="164"/>
      <c r="N380" s="164"/>
      <c r="O380" s="165"/>
      <c r="P380" s="166"/>
    </row>
    <row r="381" spans="1:16" ht="15.75" customHeight="1">
      <c r="A381" s="157"/>
      <c r="B381" s="158"/>
      <c r="C381" s="159"/>
      <c r="D381" s="160"/>
      <c r="E381" s="161"/>
      <c r="F381" s="162"/>
      <c r="G381" s="162"/>
      <c r="H381" s="160"/>
      <c r="I381" s="161"/>
      <c r="J381" s="163"/>
      <c r="K381" s="163"/>
      <c r="L381" s="163"/>
      <c r="M381" s="164"/>
      <c r="N381" s="164"/>
      <c r="O381" s="165"/>
      <c r="P381" s="166"/>
    </row>
    <row r="382" spans="1:16" ht="15.75" customHeight="1">
      <c r="A382" s="157"/>
      <c r="B382" s="158"/>
      <c r="C382" s="159"/>
      <c r="D382" s="160"/>
      <c r="E382" s="161"/>
      <c r="F382" s="162"/>
      <c r="G382" s="162"/>
      <c r="H382" s="160"/>
      <c r="I382" s="161"/>
      <c r="J382" s="163"/>
      <c r="K382" s="163"/>
      <c r="L382" s="163"/>
      <c r="M382" s="164"/>
      <c r="N382" s="164"/>
      <c r="O382" s="165"/>
      <c r="P382" s="166"/>
    </row>
    <row r="383" spans="1:16" ht="15.75" customHeight="1">
      <c r="A383" s="157"/>
      <c r="B383" s="158"/>
      <c r="C383" s="159"/>
      <c r="D383" s="160"/>
      <c r="E383" s="161"/>
      <c r="F383" s="162"/>
      <c r="G383" s="162"/>
      <c r="H383" s="160"/>
      <c r="I383" s="161"/>
      <c r="J383" s="163"/>
      <c r="K383" s="163"/>
      <c r="L383" s="163"/>
      <c r="M383" s="164"/>
      <c r="N383" s="164"/>
      <c r="O383" s="165"/>
      <c r="P383" s="166"/>
    </row>
    <row r="384" spans="1:16" ht="15.75" customHeight="1">
      <c r="A384" s="157"/>
      <c r="B384" s="158"/>
      <c r="C384" s="159"/>
      <c r="D384" s="160"/>
      <c r="E384" s="161"/>
      <c r="F384" s="162"/>
      <c r="G384" s="162"/>
      <c r="H384" s="160"/>
      <c r="I384" s="161"/>
      <c r="J384" s="163"/>
      <c r="K384" s="163"/>
      <c r="L384" s="163"/>
      <c r="M384" s="164"/>
      <c r="N384" s="164"/>
      <c r="O384" s="165"/>
      <c r="P384" s="166"/>
    </row>
    <row r="385" spans="1:16" ht="15.75" customHeight="1">
      <c r="A385" s="157"/>
      <c r="B385" s="158"/>
      <c r="C385" s="159"/>
      <c r="D385" s="160"/>
      <c r="E385" s="161"/>
      <c r="F385" s="162"/>
      <c r="G385" s="162"/>
      <c r="H385" s="160"/>
      <c r="I385" s="161"/>
      <c r="J385" s="163"/>
      <c r="K385" s="163"/>
      <c r="L385" s="163"/>
      <c r="M385" s="164"/>
      <c r="N385" s="164"/>
      <c r="O385" s="165"/>
      <c r="P385" s="166"/>
    </row>
    <row r="386" spans="1:16" ht="15.75" customHeight="1">
      <c r="A386" s="157"/>
      <c r="B386" s="158"/>
      <c r="C386" s="159"/>
      <c r="D386" s="160"/>
      <c r="E386" s="161"/>
      <c r="F386" s="162"/>
      <c r="G386" s="162"/>
      <c r="H386" s="160"/>
      <c r="I386" s="161"/>
      <c r="J386" s="163"/>
      <c r="K386" s="163"/>
      <c r="L386" s="163"/>
      <c r="M386" s="164"/>
      <c r="N386" s="164"/>
      <c r="O386" s="165"/>
      <c r="P386" s="166"/>
    </row>
    <row r="387" spans="1:16" ht="15.75" customHeight="1">
      <c r="A387" s="157"/>
      <c r="B387" s="158"/>
      <c r="C387" s="159"/>
      <c r="D387" s="160"/>
      <c r="E387" s="161"/>
      <c r="F387" s="162"/>
      <c r="G387" s="162"/>
      <c r="H387" s="160"/>
      <c r="I387" s="161"/>
      <c r="J387" s="163"/>
      <c r="K387" s="163"/>
      <c r="L387" s="163"/>
      <c r="M387" s="164"/>
      <c r="N387" s="164"/>
      <c r="O387" s="165"/>
      <c r="P387" s="166"/>
    </row>
    <row r="388" spans="1:16" ht="15.75" customHeight="1">
      <c r="A388" s="157"/>
      <c r="B388" s="158"/>
      <c r="C388" s="159"/>
      <c r="D388" s="160"/>
      <c r="E388" s="161"/>
      <c r="F388" s="162"/>
      <c r="G388" s="162"/>
      <c r="H388" s="160"/>
      <c r="I388" s="161"/>
      <c r="J388" s="163"/>
      <c r="K388" s="163"/>
      <c r="L388" s="163"/>
      <c r="M388" s="164"/>
      <c r="N388" s="164"/>
      <c r="O388" s="165"/>
      <c r="P388" s="166"/>
    </row>
    <row r="389" spans="1:16" ht="15.75" customHeight="1">
      <c r="A389" s="157"/>
      <c r="B389" s="158"/>
      <c r="C389" s="159"/>
      <c r="D389" s="160"/>
      <c r="E389" s="161"/>
      <c r="F389" s="162"/>
      <c r="G389" s="162"/>
      <c r="H389" s="160"/>
      <c r="I389" s="161"/>
      <c r="J389" s="163"/>
      <c r="K389" s="163"/>
      <c r="L389" s="163"/>
      <c r="M389" s="164"/>
      <c r="N389" s="164"/>
      <c r="O389" s="165"/>
      <c r="P389" s="166"/>
    </row>
    <row r="390" spans="1:16" ht="15.75" customHeight="1">
      <c r="A390" s="157"/>
      <c r="B390" s="158"/>
      <c r="C390" s="159"/>
      <c r="D390" s="160"/>
      <c r="E390" s="161"/>
      <c r="F390" s="162"/>
      <c r="G390" s="162"/>
      <c r="H390" s="160"/>
      <c r="I390" s="161"/>
      <c r="J390" s="163"/>
      <c r="K390" s="163"/>
      <c r="L390" s="163"/>
      <c r="M390" s="164"/>
      <c r="N390" s="164"/>
      <c r="O390" s="165"/>
      <c r="P390" s="166"/>
    </row>
    <row r="391" spans="1:16" ht="15.75" customHeight="1">
      <c r="A391" s="157"/>
      <c r="B391" s="158"/>
      <c r="C391" s="159"/>
      <c r="D391" s="160"/>
      <c r="E391" s="161"/>
      <c r="F391" s="162"/>
      <c r="G391" s="162"/>
      <c r="H391" s="160"/>
      <c r="I391" s="161"/>
      <c r="J391" s="163"/>
      <c r="K391" s="163"/>
      <c r="L391" s="163"/>
      <c r="M391" s="164"/>
      <c r="N391" s="164"/>
      <c r="O391" s="165"/>
      <c r="P391" s="166"/>
    </row>
    <row r="392" spans="1:16" ht="15.75" customHeight="1">
      <c r="A392" s="157"/>
      <c r="B392" s="158"/>
      <c r="C392" s="159"/>
      <c r="D392" s="160"/>
      <c r="E392" s="161"/>
      <c r="F392" s="162"/>
      <c r="G392" s="162"/>
      <c r="H392" s="160"/>
      <c r="I392" s="161"/>
      <c r="J392" s="163"/>
      <c r="K392" s="163"/>
      <c r="L392" s="163"/>
      <c r="M392" s="164"/>
      <c r="N392" s="164"/>
      <c r="O392" s="165"/>
      <c r="P392" s="166"/>
    </row>
    <row r="393" spans="1:16" ht="15.75" customHeight="1">
      <c r="A393" s="157"/>
      <c r="B393" s="158"/>
      <c r="C393" s="159"/>
      <c r="D393" s="160"/>
      <c r="E393" s="161"/>
      <c r="F393" s="162"/>
      <c r="G393" s="162"/>
      <c r="H393" s="160"/>
      <c r="I393" s="161"/>
      <c r="J393" s="163"/>
      <c r="K393" s="163"/>
      <c r="L393" s="163"/>
      <c r="M393" s="164"/>
      <c r="N393" s="164"/>
      <c r="O393" s="165"/>
      <c r="P393" s="166"/>
    </row>
    <row r="394" spans="1:16" ht="15.75" customHeight="1">
      <c r="A394" s="157"/>
      <c r="B394" s="158"/>
      <c r="C394" s="159"/>
      <c r="D394" s="160"/>
      <c r="E394" s="161"/>
      <c r="F394" s="162"/>
      <c r="G394" s="162"/>
      <c r="H394" s="160"/>
      <c r="I394" s="161"/>
      <c r="J394" s="163"/>
      <c r="K394" s="163"/>
      <c r="L394" s="163"/>
      <c r="M394" s="164"/>
      <c r="N394" s="164"/>
      <c r="O394" s="165"/>
      <c r="P394" s="166"/>
    </row>
    <row r="395" spans="1:16" ht="15.75" customHeight="1">
      <c r="A395" s="157"/>
      <c r="B395" s="158"/>
      <c r="C395" s="159"/>
      <c r="D395" s="160"/>
      <c r="E395" s="161"/>
      <c r="F395" s="162"/>
      <c r="G395" s="162"/>
      <c r="H395" s="160"/>
      <c r="I395" s="161"/>
      <c r="J395" s="163"/>
      <c r="K395" s="163"/>
      <c r="L395" s="163"/>
      <c r="M395" s="164"/>
      <c r="N395" s="164"/>
      <c r="O395" s="165"/>
      <c r="P395" s="166"/>
    </row>
    <row r="396" spans="1:16" ht="15.75" customHeight="1">
      <c r="A396" s="157"/>
      <c r="B396" s="158"/>
      <c r="C396" s="159"/>
      <c r="D396" s="160"/>
      <c r="E396" s="161"/>
      <c r="F396" s="162"/>
      <c r="G396" s="162"/>
      <c r="H396" s="160"/>
      <c r="I396" s="161"/>
      <c r="J396" s="163"/>
      <c r="K396" s="163"/>
      <c r="L396" s="163"/>
      <c r="M396" s="164"/>
      <c r="N396" s="164"/>
      <c r="O396" s="165"/>
      <c r="P396" s="166"/>
    </row>
    <row r="397" spans="1:16" ht="15.75" customHeight="1">
      <c r="A397" s="157"/>
      <c r="B397" s="158"/>
      <c r="C397" s="159"/>
      <c r="D397" s="160"/>
      <c r="E397" s="161"/>
      <c r="F397" s="162"/>
      <c r="G397" s="162"/>
      <c r="H397" s="160"/>
      <c r="I397" s="161"/>
      <c r="J397" s="163"/>
      <c r="K397" s="163"/>
      <c r="L397" s="163"/>
      <c r="M397" s="164"/>
      <c r="N397" s="164"/>
      <c r="O397" s="165"/>
      <c r="P397" s="166"/>
    </row>
    <row r="398" spans="1:16" ht="15.75" customHeight="1">
      <c r="A398" s="157"/>
      <c r="B398" s="158"/>
      <c r="C398" s="159"/>
      <c r="D398" s="160"/>
      <c r="E398" s="161"/>
      <c r="F398" s="162"/>
      <c r="G398" s="162"/>
      <c r="H398" s="160"/>
      <c r="I398" s="161"/>
      <c r="J398" s="163"/>
      <c r="K398" s="163"/>
      <c r="L398" s="163"/>
      <c r="M398" s="164"/>
      <c r="N398" s="164"/>
      <c r="O398" s="165"/>
      <c r="P398" s="166"/>
    </row>
    <row r="399" spans="1:16" ht="15.75" customHeight="1">
      <c r="A399" s="157"/>
      <c r="B399" s="158"/>
      <c r="C399" s="159"/>
      <c r="D399" s="160"/>
      <c r="E399" s="161"/>
      <c r="F399" s="162"/>
      <c r="G399" s="162"/>
      <c r="H399" s="160"/>
      <c r="I399" s="161"/>
      <c r="J399" s="163"/>
      <c r="K399" s="163"/>
      <c r="L399" s="163"/>
      <c r="M399" s="164"/>
      <c r="N399" s="164"/>
      <c r="O399" s="165"/>
      <c r="P399" s="166"/>
    </row>
    <row r="400" spans="1:16" ht="15.75" customHeight="1">
      <c r="A400" s="157"/>
      <c r="B400" s="158"/>
      <c r="C400" s="159"/>
      <c r="D400" s="160"/>
      <c r="E400" s="161"/>
      <c r="F400" s="162"/>
      <c r="G400" s="162"/>
      <c r="H400" s="160"/>
      <c r="I400" s="161"/>
      <c r="J400" s="163"/>
      <c r="K400" s="163"/>
      <c r="L400" s="163"/>
      <c r="M400" s="164"/>
      <c r="N400" s="164"/>
      <c r="O400" s="165"/>
      <c r="P400" s="166"/>
    </row>
    <row r="401" spans="1:16" ht="15.75" customHeight="1">
      <c r="A401" s="157"/>
      <c r="B401" s="158"/>
      <c r="C401" s="159"/>
      <c r="D401" s="160"/>
      <c r="E401" s="161"/>
      <c r="F401" s="162"/>
      <c r="G401" s="162"/>
      <c r="H401" s="160"/>
      <c r="I401" s="161"/>
      <c r="J401" s="163"/>
      <c r="K401" s="163"/>
      <c r="L401" s="163"/>
      <c r="M401" s="164"/>
      <c r="N401" s="164"/>
      <c r="O401" s="165"/>
      <c r="P401" s="166"/>
    </row>
    <row r="402" spans="1:16" ht="15.75" customHeight="1">
      <c r="A402" s="157"/>
      <c r="B402" s="158"/>
      <c r="C402" s="159"/>
      <c r="D402" s="160"/>
      <c r="E402" s="161"/>
      <c r="F402" s="162"/>
      <c r="G402" s="162"/>
      <c r="H402" s="160"/>
      <c r="I402" s="161"/>
      <c r="J402" s="163"/>
      <c r="K402" s="163"/>
      <c r="L402" s="163"/>
      <c r="M402" s="164"/>
      <c r="N402" s="164"/>
      <c r="O402" s="165"/>
      <c r="P402" s="166"/>
    </row>
    <row r="403" spans="1:16" ht="15.75" customHeight="1">
      <c r="A403" s="157"/>
      <c r="B403" s="158"/>
      <c r="C403" s="159"/>
      <c r="D403" s="160"/>
      <c r="E403" s="161"/>
      <c r="F403" s="162"/>
      <c r="G403" s="162"/>
      <c r="H403" s="160"/>
      <c r="I403" s="161"/>
      <c r="J403" s="163"/>
      <c r="K403" s="163"/>
      <c r="L403" s="163"/>
      <c r="M403" s="164"/>
      <c r="N403" s="164"/>
      <c r="O403" s="165"/>
      <c r="P403" s="166"/>
    </row>
    <row r="404" spans="1:16" ht="15.75" customHeight="1">
      <c r="A404" s="157"/>
      <c r="B404" s="158"/>
      <c r="C404" s="159"/>
      <c r="D404" s="160"/>
      <c r="E404" s="161"/>
      <c r="F404" s="162"/>
      <c r="G404" s="162"/>
      <c r="H404" s="160"/>
      <c r="I404" s="161"/>
      <c r="J404" s="163"/>
      <c r="K404" s="163"/>
      <c r="L404" s="163"/>
      <c r="M404" s="164"/>
      <c r="N404" s="164"/>
      <c r="O404" s="165"/>
      <c r="P404" s="166"/>
    </row>
    <row r="405" spans="1:16" ht="15.75" customHeight="1">
      <c r="A405" s="157"/>
      <c r="B405" s="158"/>
      <c r="C405" s="159"/>
      <c r="D405" s="160"/>
      <c r="E405" s="161"/>
      <c r="F405" s="162"/>
      <c r="G405" s="162"/>
      <c r="H405" s="160"/>
      <c r="I405" s="161"/>
      <c r="J405" s="163"/>
      <c r="K405" s="163"/>
      <c r="L405" s="163"/>
      <c r="M405" s="164"/>
      <c r="N405" s="164"/>
      <c r="O405" s="165"/>
      <c r="P405" s="166"/>
    </row>
    <row r="406" spans="1:16" ht="15.75" customHeight="1">
      <c r="A406" s="157"/>
      <c r="B406" s="158"/>
      <c r="C406" s="159"/>
      <c r="D406" s="160"/>
      <c r="E406" s="161"/>
      <c r="F406" s="162"/>
      <c r="G406" s="162"/>
      <c r="H406" s="160"/>
      <c r="I406" s="161"/>
      <c r="J406" s="163"/>
      <c r="K406" s="163"/>
      <c r="L406" s="163"/>
      <c r="M406" s="164"/>
      <c r="N406" s="164"/>
      <c r="O406" s="165"/>
      <c r="P406" s="166"/>
    </row>
    <row r="407" spans="1:16" ht="15.75" customHeight="1">
      <c r="A407" s="157"/>
      <c r="B407" s="158"/>
      <c r="C407" s="159"/>
      <c r="D407" s="160"/>
      <c r="E407" s="161"/>
      <c r="F407" s="162"/>
      <c r="G407" s="162"/>
      <c r="H407" s="160"/>
      <c r="I407" s="161"/>
      <c r="J407" s="163"/>
      <c r="K407" s="163"/>
      <c r="L407" s="163"/>
      <c r="M407" s="164"/>
      <c r="N407" s="164"/>
      <c r="O407" s="165"/>
      <c r="P407" s="166"/>
    </row>
    <row r="408" spans="1:16" ht="15.75" customHeight="1">
      <c r="A408" s="157"/>
      <c r="B408" s="158"/>
      <c r="C408" s="159"/>
      <c r="D408" s="160"/>
      <c r="E408" s="161"/>
      <c r="F408" s="162"/>
      <c r="G408" s="162"/>
      <c r="H408" s="160"/>
      <c r="I408" s="161"/>
      <c r="J408" s="163"/>
      <c r="K408" s="163"/>
      <c r="L408" s="163"/>
      <c r="M408" s="164"/>
      <c r="N408" s="164"/>
      <c r="O408" s="165"/>
      <c r="P408" s="166"/>
    </row>
    <row r="409" spans="1:16" ht="15.75" customHeight="1">
      <c r="A409" s="157"/>
      <c r="B409" s="158"/>
      <c r="C409" s="159"/>
      <c r="D409" s="160"/>
      <c r="E409" s="161"/>
      <c r="F409" s="162"/>
      <c r="G409" s="162"/>
      <c r="H409" s="160"/>
      <c r="I409" s="161"/>
      <c r="J409" s="163"/>
      <c r="K409" s="163"/>
      <c r="L409" s="163"/>
      <c r="M409" s="164"/>
      <c r="N409" s="164"/>
      <c r="O409" s="165"/>
      <c r="P409" s="166"/>
    </row>
    <row r="410" spans="1:16" ht="15.75" customHeight="1">
      <c r="A410" s="157"/>
      <c r="B410" s="158"/>
      <c r="C410" s="159"/>
      <c r="D410" s="160"/>
      <c r="E410" s="161"/>
      <c r="F410" s="162"/>
      <c r="G410" s="162"/>
      <c r="H410" s="160"/>
      <c r="I410" s="161"/>
      <c r="J410" s="163"/>
      <c r="K410" s="163"/>
      <c r="L410" s="163"/>
      <c r="M410" s="164"/>
      <c r="N410" s="164"/>
      <c r="O410" s="165"/>
      <c r="P410" s="166"/>
    </row>
    <row r="411" spans="1:16" ht="15.75" customHeight="1">
      <c r="A411" s="157"/>
      <c r="B411" s="158"/>
      <c r="C411" s="159"/>
      <c r="D411" s="160"/>
      <c r="E411" s="161"/>
      <c r="F411" s="162"/>
      <c r="G411" s="162"/>
      <c r="H411" s="160"/>
      <c r="I411" s="161"/>
      <c r="J411" s="163"/>
      <c r="K411" s="163"/>
      <c r="L411" s="163"/>
      <c r="M411" s="164"/>
      <c r="N411" s="164"/>
      <c r="O411" s="165"/>
      <c r="P411" s="166"/>
    </row>
    <row r="412" spans="1:16" ht="15.75" customHeight="1">
      <c r="A412" s="157"/>
      <c r="B412" s="158"/>
      <c r="C412" s="159"/>
      <c r="D412" s="160"/>
      <c r="E412" s="161"/>
      <c r="F412" s="162"/>
      <c r="G412" s="162"/>
      <c r="H412" s="160"/>
      <c r="I412" s="161"/>
      <c r="J412" s="163"/>
      <c r="K412" s="163"/>
      <c r="L412" s="163"/>
      <c r="M412" s="164"/>
      <c r="N412" s="164"/>
      <c r="O412" s="165"/>
      <c r="P412" s="166"/>
    </row>
    <row r="413" spans="1:16" ht="15.75" customHeight="1">
      <c r="A413" s="157"/>
      <c r="B413" s="158"/>
      <c r="C413" s="159"/>
      <c r="D413" s="160"/>
      <c r="E413" s="161"/>
      <c r="F413" s="162"/>
      <c r="G413" s="162"/>
      <c r="H413" s="160"/>
      <c r="I413" s="161"/>
      <c r="J413" s="163"/>
      <c r="K413" s="163"/>
      <c r="L413" s="163"/>
      <c r="M413" s="164"/>
      <c r="N413" s="164"/>
      <c r="O413" s="165"/>
      <c r="P413" s="166"/>
    </row>
    <row r="414" spans="1:16" ht="15.75" customHeight="1">
      <c r="A414" s="157"/>
      <c r="B414" s="158"/>
      <c r="C414" s="159"/>
      <c r="D414" s="160"/>
      <c r="E414" s="161"/>
      <c r="F414" s="162"/>
      <c r="G414" s="162"/>
      <c r="H414" s="160"/>
      <c r="I414" s="161"/>
      <c r="J414" s="163"/>
      <c r="K414" s="163"/>
      <c r="L414" s="163"/>
      <c r="M414" s="164"/>
      <c r="N414" s="164"/>
      <c r="O414" s="165"/>
      <c r="P414" s="166"/>
    </row>
    <row r="415" spans="1:16" ht="15.75" customHeight="1">
      <c r="A415" s="157"/>
      <c r="B415" s="158"/>
      <c r="C415" s="159"/>
      <c r="D415" s="160"/>
      <c r="E415" s="161"/>
      <c r="F415" s="162"/>
      <c r="G415" s="162"/>
      <c r="H415" s="160"/>
      <c r="I415" s="161"/>
      <c r="J415" s="163"/>
      <c r="K415" s="163"/>
      <c r="L415" s="163"/>
      <c r="M415" s="164"/>
      <c r="N415" s="164"/>
      <c r="O415" s="165"/>
      <c r="P415" s="166"/>
    </row>
    <row r="416" spans="1:16" ht="15.75" customHeight="1">
      <c r="A416" s="157"/>
      <c r="B416" s="158"/>
      <c r="C416" s="159"/>
      <c r="D416" s="160"/>
      <c r="E416" s="161"/>
      <c r="F416" s="162"/>
      <c r="G416" s="162"/>
      <c r="H416" s="160"/>
      <c r="I416" s="161"/>
      <c r="J416" s="163"/>
      <c r="K416" s="163"/>
      <c r="L416" s="163"/>
      <c r="M416" s="164"/>
      <c r="N416" s="164"/>
      <c r="O416" s="165"/>
      <c r="P416" s="166"/>
    </row>
    <row r="417" spans="1:16" ht="15.75" customHeight="1">
      <c r="A417" s="157"/>
      <c r="B417" s="158"/>
      <c r="C417" s="159"/>
      <c r="D417" s="160"/>
      <c r="E417" s="161"/>
      <c r="F417" s="162"/>
      <c r="G417" s="162"/>
      <c r="H417" s="160"/>
      <c r="I417" s="161"/>
      <c r="J417" s="163"/>
      <c r="K417" s="163"/>
      <c r="L417" s="163"/>
      <c r="M417" s="164"/>
      <c r="N417" s="164"/>
      <c r="O417" s="165"/>
      <c r="P417" s="166"/>
    </row>
    <row r="418" spans="1:16" ht="15.75" customHeight="1">
      <c r="A418" s="157"/>
      <c r="B418" s="158"/>
      <c r="C418" s="159"/>
      <c r="D418" s="160"/>
      <c r="E418" s="161"/>
      <c r="F418" s="162"/>
      <c r="G418" s="162"/>
      <c r="H418" s="160"/>
      <c r="I418" s="161"/>
      <c r="J418" s="163"/>
      <c r="K418" s="163"/>
      <c r="L418" s="163"/>
      <c r="M418" s="164"/>
      <c r="N418" s="164"/>
      <c r="O418" s="165"/>
      <c r="P418" s="166"/>
    </row>
    <row r="419" spans="1:16" ht="15.75" customHeight="1">
      <c r="A419" s="157"/>
      <c r="B419" s="158"/>
      <c r="C419" s="159"/>
      <c r="D419" s="160"/>
      <c r="E419" s="161"/>
      <c r="F419" s="162"/>
      <c r="G419" s="162"/>
      <c r="H419" s="160"/>
      <c r="I419" s="161"/>
      <c r="J419" s="163"/>
      <c r="K419" s="163"/>
      <c r="L419" s="163"/>
      <c r="M419" s="164"/>
      <c r="N419" s="164"/>
      <c r="O419" s="165"/>
      <c r="P419" s="166"/>
    </row>
    <row r="420" spans="1:16" ht="15.75" customHeight="1">
      <c r="A420" s="157"/>
      <c r="B420" s="158"/>
      <c r="C420" s="159"/>
      <c r="D420" s="160"/>
      <c r="E420" s="161"/>
      <c r="F420" s="162"/>
      <c r="G420" s="162"/>
      <c r="H420" s="160"/>
      <c r="I420" s="161"/>
      <c r="J420" s="163"/>
      <c r="K420" s="163"/>
      <c r="L420" s="163"/>
      <c r="M420" s="164"/>
      <c r="N420" s="164"/>
      <c r="O420" s="165"/>
      <c r="P420" s="166"/>
    </row>
    <row r="421" spans="1:16" ht="15.75" customHeight="1">
      <c r="A421" s="157"/>
      <c r="B421" s="158"/>
      <c r="C421" s="159"/>
      <c r="D421" s="160"/>
      <c r="E421" s="161"/>
      <c r="F421" s="162"/>
      <c r="G421" s="162"/>
      <c r="H421" s="160"/>
      <c r="I421" s="161"/>
      <c r="J421" s="163"/>
      <c r="K421" s="163"/>
      <c r="L421" s="163"/>
      <c r="M421" s="164"/>
      <c r="N421" s="164"/>
      <c r="O421" s="165"/>
      <c r="P421" s="166"/>
    </row>
    <row r="422" spans="1:16" ht="15.75" customHeight="1">
      <c r="A422" s="157"/>
      <c r="B422" s="158"/>
      <c r="C422" s="159"/>
      <c r="D422" s="160"/>
      <c r="E422" s="161"/>
      <c r="F422" s="162"/>
      <c r="G422" s="162"/>
      <c r="H422" s="160"/>
      <c r="I422" s="161"/>
      <c r="J422" s="163"/>
      <c r="K422" s="163"/>
      <c r="L422" s="163"/>
      <c r="M422" s="164"/>
      <c r="N422" s="164"/>
      <c r="O422" s="165"/>
      <c r="P422" s="166"/>
    </row>
    <row r="423" spans="1:16" ht="15.75" customHeight="1">
      <c r="A423" s="157"/>
      <c r="B423" s="158"/>
      <c r="C423" s="159"/>
      <c r="D423" s="160"/>
      <c r="E423" s="161"/>
      <c r="F423" s="162"/>
      <c r="G423" s="162"/>
      <c r="H423" s="160"/>
      <c r="I423" s="161"/>
      <c r="J423" s="163"/>
      <c r="K423" s="163"/>
      <c r="L423" s="163"/>
      <c r="M423" s="164"/>
      <c r="N423" s="164"/>
      <c r="O423" s="165"/>
      <c r="P423" s="166"/>
    </row>
    <row r="424" spans="1:16" ht="15.75" customHeight="1">
      <c r="A424" s="157"/>
      <c r="B424" s="158"/>
      <c r="C424" s="159"/>
      <c r="D424" s="160"/>
      <c r="E424" s="161"/>
      <c r="F424" s="162"/>
      <c r="G424" s="162"/>
      <c r="H424" s="160"/>
      <c r="I424" s="161"/>
      <c r="J424" s="163"/>
      <c r="K424" s="163"/>
      <c r="L424" s="163"/>
      <c r="M424" s="164"/>
      <c r="N424" s="164"/>
      <c r="O424" s="165"/>
      <c r="P424" s="166"/>
    </row>
    <row r="425" spans="1:16" ht="15.75" customHeight="1">
      <c r="A425" s="157"/>
      <c r="B425" s="158"/>
      <c r="C425" s="159"/>
      <c r="D425" s="160"/>
      <c r="E425" s="161"/>
      <c r="F425" s="162"/>
      <c r="G425" s="162"/>
      <c r="H425" s="160"/>
      <c r="I425" s="161"/>
      <c r="J425" s="163"/>
      <c r="K425" s="163"/>
      <c r="L425" s="163"/>
      <c r="M425" s="164"/>
      <c r="N425" s="164"/>
      <c r="O425" s="165"/>
      <c r="P425" s="166"/>
    </row>
    <row r="426" spans="1:16" ht="15.75" customHeight="1">
      <c r="A426" s="157"/>
      <c r="B426" s="158"/>
      <c r="C426" s="159"/>
      <c r="D426" s="160"/>
      <c r="E426" s="161"/>
      <c r="F426" s="162"/>
      <c r="G426" s="162"/>
      <c r="H426" s="160"/>
      <c r="I426" s="161"/>
      <c r="J426" s="163"/>
      <c r="K426" s="163"/>
      <c r="L426" s="163"/>
      <c r="M426" s="164"/>
      <c r="N426" s="164"/>
      <c r="O426" s="165"/>
      <c r="P426" s="166"/>
    </row>
    <row r="427" spans="1:16" ht="15.75" customHeight="1">
      <c r="A427" s="157"/>
      <c r="B427" s="158"/>
      <c r="C427" s="159"/>
      <c r="D427" s="160"/>
      <c r="E427" s="161"/>
      <c r="F427" s="162"/>
      <c r="G427" s="162"/>
      <c r="H427" s="160"/>
      <c r="I427" s="161"/>
      <c r="J427" s="163"/>
      <c r="K427" s="163"/>
      <c r="L427" s="163"/>
      <c r="M427" s="164"/>
      <c r="N427" s="164"/>
      <c r="O427" s="165"/>
      <c r="P427" s="166"/>
    </row>
    <row r="428" spans="1:16" ht="15.75" customHeight="1">
      <c r="A428" s="157"/>
      <c r="B428" s="158"/>
      <c r="C428" s="159"/>
      <c r="D428" s="160"/>
      <c r="E428" s="161"/>
      <c r="F428" s="162"/>
      <c r="G428" s="162"/>
      <c r="H428" s="160"/>
      <c r="I428" s="161"/>
      <c r="J428" s="163"/>
      <c r="K428" s="163"/>
      <c r="L428" s="163"/>
      <c r="M428" s="164"/>
      <c r="N428" s="164"/>
      <c r="O428" s="165"/>
      <c r="P428" s="166"/>
    </row>
    <row r="429" spans="1:16" ht="15.75" customHeight="1">
      <c r="A429" s="157"/>
      <c r="B429" s="158"/>
      <c r="C429" s="159"/>
      <c r="D429" s="160"/>
      <c r="E429" s="161"/>
      <c r="F429" s="162"/>
      <c r="G429" s="162"/>
      <c r="H429" s="160"/>
      <c r="I429" s="161"/>
      <c r="J429" s="163"/>
      <c r="K429" s="163"/>
      <c r="L429" s="163"/>
      <c r="M429" s="164"/>
      <c r="N429" s="164"/>
      <c r="O429" s="165"/>
      <c r="P429" s="166"/>
    </row>
    <row r="430" spans="1:16" ht="15.75" customHeight="1">
      <c r="A430" s="157"/>
      <c r="B430" s="158"/>
      <c r="C430" s="159"/>
      <c r="D430" s="160"/>
      <c r="E430" s="161"/>
      <c r="F430" s="162"/>
      <c r="G430" s="162"/>
      <c r="H430" s="160"/>
      <c r="I430" s="161"/>
      <c r="J430" s="163"/>
      <c r="K430" s="163"/>
      <c r="L430" s="163"/>
      <c r="M430" s="164"/>
      <c r="N430" s="164"/>
      <c r="O430" s="165"/>
      <c r="P430" s="166"/>
    </row>
    <row r="431" spans="1:16" ht="15.75" customHeight="1">
      <c r="A431" s="157"/>
      <c r="B431" s="158"/>
      <c r="C431" s="159"/>
      <c r="D431" s="160"/>
      <c r="E431" s="161"/>
      <c r="F431" s="162"/>
      <c r="G431" s="162"/>
      <c r="H431" s="160"/>
      <c r="I431" s="161"/>
      <c r="J431" s="163"/>
      <c r="K431" s="163"/>
      <c r="L431" s="163"/>
      <c r="M431" s="164"/>
      <c r="N431" s="164"/>
      <c r="O431" s="165"/>
      <c r="P431" s="166"/>
    </row>
    <row r="432" spans="1:16" ht="15.75" customHeight="1">
      <c r="A432" s="157"/>
      <c r="B432" s="158"/>
      <c r="C432" s="159"/>
      <c r="D432" s="160"/>
      <c r="E432" s="161"/>
      <c r="F432" s="162"/>
      <c r="G432" s="162"/>
      <c r="H432" s="160"/>
      <c r="I432" s="161"/>
      <c r="J432" s="163"/>
      <c r="K432" s="163"/>
      <c r="L432" s="163"/>
      <c r="M432" s="164"/>
      <c r="N432" s="164"/>
      <c r="O432" s="165"/>
      <c r="P432" s="166"/>
    </row>
    <row r="433" spans="1:16" ht="15.75" customHeight="1">
      <c r="A433" s="157"/>
      <c r="B433" s="158"/>
      <c r="C433" s="159"/>
      <c r="D433" s="160"/>
      <c r="E433" s="161"/>
      <c r="F433" s="162"/>
      <c r="G433" s="162"/>
      <c r="H433" s="160"/>
      <c r="I433" s="161"/>
      <c r="J433" s="163"/>
      <c r="K433" s="163"/>
      <c r="L433" s="163"/>
      <c r="M433" s="164"/>
      <c r="N433" s="164"/>
      <c r="O433" s="165"/>
      <c r="P433" s="166"/>
    </row>
    <row r="434" spans="1:16" ht="15.75" customHeight="1">
      <c r="A434" s="157"/>
      <c r="B434" s="158"/>
      <c r="C434" s="159"/>
      <c r="D434" s="160"/>
      <c r="E434" s="161"/>
      <c r="F434" s="162"/>
      <c r="G434" s="162"/>
      <c r="H434" s="160"/>
      <c r="I434" s="161"/>
      <c r="J434" s="163"/>
      <c r="K434" s="163"/>
      <c r="L434" s="163"/>
      <c r="M434" s="164"/>
      <c r="N434" s="164"/>
      <c r="O434" s="165"/>
      <c r="P434" s="166"/>
    </row>
    <row r="435" spans="1:16" ht="15.75" customHeight="1">
      <c r="A435" s="157"/>
      <c r="B435" s="158"/>
      <c r="C435" s="159"/>
      <c r="D435" s="160"/>
      <c r="E435" s="161"/>
      <c r="F435" s="162"/>
      <c r="G435" s="162"/>
      <c r="H435" s="160"/>
      <c r="I435" s="161"/>
      <c r="J435" s="163"/>
      <c r="K435" s="163"/>
      <c r="L435" s="163"/>
      <c r="M435" s="164"/>
      <c r="N435" s="164"/>
      <c r="O435" s="165"/>
      <c r="P435" s="166"/>
    </row>
    <row r="436" spans="1:16" ht="15.75" customHeight="1">
      <c r="A436" s="157"/>
      <c r="B436" s="158"/>
      <c r="C436" s="159"/>
      <c r="D436" s="160"/>
      <c r="E436" s="161"/>
      <c r="F436" s="162"/>
      <c r="G436" s="162"/>
      <c r="H436" s="160"/>
      <c r="I436" s="161"/>
      <c r="J436" s="163"/>
      <c r="K436" s="163"/>
      <c r="L436" s="163"/>
      <c r="M436" s="164"/>
      <c r="N436" s="164"/>
      <c r="O436" s="165"/>
      <c r="P436" s="166"/>
    </row>
    <row r="437" spans="1:16" ht="15.75" customHeight="1">
      <c r="A437" s="157"/>
      <c r="B437" s="158"/>
      <c r="C437" s="159"/>
      <c r="D437" s="160"/>
      <c r="E437" s="161"/>
      <c r="F437" s="162"/>
      <c r="G437" s="162"/>
      <c r="H437" s="160"/>
      <c r="I437" s="161"/>
      <c r="J437" s="163"/>
      <c r="K437" s="163"/>
      <c r="L437" s="163"/>
      <c r="M437" s="164"/>
      <c r="N437" s="164"/>
      <c r="O437" s="165"/>
      <c r="P437" s="166"/>
    </row>
    <row r="438" spans="1:16" ht="15.75" customHeight="1">
      <c r="A438" s="157"/>
      <c r="B438" s="158"/>
      <c r="C438" s="159"/>
      <c r="D438" s="160"/>
      <c r="E438" s="161"/>
      <c r="F438" s="162"/>
      <c r="G438" s="162"/>
      <c r="H438" s="160"/>
      <c r="I438" s="161"/>
      <c r="J438" s="163"/>
      <c r="K438" s="163"/>
      <c r="L438" s="163"/>
      <c r="M438" s="164"/>
      <c r="N438" s="164"/>
      <c r="O438" s="165"/>
      <c r="P438" s="166"/>
    </row>
    <row r="439" spans="1:16" ht="15.75" customHeight="1">
      <c r="A439" s="157"/>
      <c r="B439" s="158"/>
      <c r="C439" s="159"/>
      <c r="D439" s="160"/>
      <c r="E439" s="161"/>
      <c r="F439" s="162"/>
      <c r="G439" s="162"/>
      <c r="H439" s="160"/>
      <c r="I439" s="161"/>
      <c r="J439" s="163"/>
      <c r="K439" s="163"/>
      <c r="L439" s="163"/>
      <c r="M439" s="164"/>
      <c r="N439" s="164"/>
      <c r="O439" s="165"/>
      <c r="P439" s="166"/>
    </row>
    <row r="440" spans="1:16" ht="15.75" customHeight="1">
      <c r="A440" s="157"/>
      <c r="B440" s="158"/>
      <c r="C440" s="159"/>
      <c r="D440" s="160"/>
      <c r="E440" s="161"/>
      <c r="F440" s="162"/>
      <c r="G440" s="162"/>
      <c r="H440" s="160"/>
      <c r="I440" s="161"/>
      <c r="J440" s="163"/>
      <c r="K440" s="163"/>
      <c r="L440" s="163"/>
      <c r="M440" s="164"/>
      <c r="N440" s="164"/>
      <c r="O440" s="165"/>
      <c r="P440" s="166"/>
    </row>
    <row r="441" spans="1:16" ht="15.75" customHeight="1">
      <c r="A441" s="157"/>
      <c r="B441" s="158"/>
      <c r="C441" s="159"/>
      <c r="D441" s="160"/>
      <c r="E441" s="161"/>
      <c r="F441" s="162"/>
      <c r="G441" s="162"/>
      <c r="H441" s="160"/>
      <c r="I441" s="161"/>
      <c r="J441" s="163"/>
      <c r="K441" s="163"/>
      <c r="L441" s="163"/>
      <c r="M441" s="164"/>
      <c r="N441" s="164"/>
      <c r="O441" s="165"/>
      <c r="P441" s="166"/>
    </row>
    <row r="442" spans="1:16" ht="15.75" customHeight="1">
      <c r="A442" s="157"/>
      <c r="B442" s="158"/>
      <c r="C442" s="159"/>
      <c r="D442" s="160"/>
      <c r="E442" s="161"/>
      <c r="F442" s="162"/>
      <c r="G442" s="162"/>
      <c r="H442" s="160"/>
      <c r="I442" s="161"/>
      <c r="J442" s="163"/>
      <c r="K442" s="163"/>
      <c r="L442" s="163"/>
      <c r="M442" s="164"/>
      <c r="N442" s="164"/>
      <c r="O442" s="165"/>
      <c r="P442" s="166"/>
    </row>
    <row r="443" spans="1:16" ht="15.75" customHeight="1">
      <c r="A443" s="157"/>
      <c r="B443" s="158"/>
      <c r="C443" s="159"/>
      <c r="D443" s="160"/>
      <c r="E443" s="161"/>
      <c r="F443" s="162"/>
      <c r="G443" s="162"/>
      <c r="H443" s="160"/>
      <c r="I443" s="161"/>
      <c r="J443" s="163"/>
      <c r="K443" s="163"/>
      <c r="L443" s="163"/>
      <c r="M443" s="164"/>
      <c r="N443" s="164"/>
      <c r="O443" s="165"/>
      <c r="P443" s="166"/>
    </row>
    <row r="444" spans="1:16" ht="15.75" customHeight="1">
      <c r="A444" s="157"/>
      <c r="B444" s="158"/>
      <c r="C444" s="159"/>
      <c r="D444" s="160"/>
      <c r="E444" s="161"/>
      <c r="F444" s="162"/>
      <c r="G444" s="162"/>
      <c r="H444" s="160"/>
      <c r="I444" s="161"/>
      <c r="J444" s="163"/>
      <c r="K444" s="163"/>
      <c r="L444" s="163"/>
      <c r="M444" s="164"/>
      <c r="N444" s="164"/>
      <c r="O444" s="165"/>
      <c r="P444" s="166"/>
    </row>
    <row r="445" spans="1:16" ht="15.75" customHeight="1">
      <c r="A445" s="157"/>
      <c r="B445" s="158"/>
      <c r="C445" s="159"/>
      <c r="D445" s="160"/>
      <c r="E445" s="161"/>
      <c r="F445" s="162"/>
      <c r="G445" s="162"/>
      <c r="H445" s="160"/>
      <c r="I445" s="161"/>
      <c r="J445" s="163"/>
      <c r="K445" s="163"/>
      <c r="L445" s="163"/>
      <c r="M445" s="164"/>
      <c r="N445" s="164"/>
      <c r="O445" s="165"/>
      <c r="P445" s="166"/>
    </row>
    <row r="446" spans="1:16" ht="15.75" customHeight="1">
      <c r="A446" s="157"/>
      <c r="B446" s="158"/>
      <c r="C446" s="159"/>
      <c r="D446" s="160"/>
      <c r="E446" s="161"/>
      <c r="F446" s="162"/>
      <c r="G446" s="162"/>
      <c r="H446" s="160"/>
      <c r="I446" s="161"/>
      <c r="J446" s="163"/>
      <c r="K446" s="163"/>
      <c r="L446" s="163"/>
      <c r="M446" s="164"/>
      <c r="N446" s="164"/>
      <c r="O446" s="165"/>
      <c r="P446" s="166"/>
    </row>
    <row r="447" spans="1:16" ht="15.75" customHeight="1">
      <c r="A447" s="157"/>
      <c r="B447" s="158"/>
      <c r="C447" s="159"/>
      <c r="D447" s="160"/>
      <c r="E447" s="161"/>
      <c r="F447" s="162"/>
      <c r="G447" s="162"/>
      <c r="H447" s="160"/>
      <c r="I447" s="161"/>
      <c r="J447" s="163"/>
      <c r="K447" s="163"/>
      <c r="L447" s="163"/>
      <c r="M447" s="164"/>
      <c r="N447" s="164"/>
      <c r="O447" s="165"/>
      <c r="P447" s="166"/>
    </row>
    <row r="448" spans="1:16" ht="15.75" customHeight="1">
      <c r="A448" s="157"/>
      <c r="B448" s="158"/>
      <c r="C448" s="159"/>
      <c r="D448" s="160"/>
      <c r="E448" s="161"/>
      <c r="F448" s="162"/>
      <c r="G448" s="162"/>
      <c r="H448" s="160"/>
      <c r="I448" s="161"/>
      <c r="J448" s="163"/>
      <c r="K448" s="163"/>
      <c r="L448" s="163"/>
      <c r="M448" s="164"/>
      <c r="N448" s="164"/>
      <c r="O448" s="165"/>
      <c r="P448" s="166"/>
    </row>
    <row r="449" spans="1:16" ht="15.75" customHeight="1">
      <c r="A449" s="157"/>
      <c r="B449" s="158"/>
      <c r="C449" s="159"/>
      <c r="D449" s="160"/>
      <c r="E449" s="161"/>
      <c r="F449" s="162"/>
      <c r="G449" s="162"/>
      <c r="H449" s="160"/>
      <c r="I449" s="161"/>
      <c r="J449" s="163"/>
      <c r="K449" s="163"/>
      <c r="L449" s="163"/>
      <c r="M449" s="164"/>
      <c r="N449" s="164"/>
      <c r="O449" s="165"/>
      <c r="P449" s="166"/>
    </row>
    <row r="450" spans="1:16" ht="15.75" customHeight="1">
      <c r="A450" s="157"/>
      <c r="B450" s="158"/>
      <c r="C450" s="159"/>
      <c r="D450" s="160"/>
      <c r="E450" s="161"/>
      <c r="F450" s="162"/>
      <c r="G450" s="162"/>
      <c r="H450" s="160"/>
      <c r="I450" s="161"/>
      <c r="J450" s="163"/>
      <c r="K450" s="163"/>
      <c r="L450" s="163"/>
      <c r="M450" s="164"/>
      <c r="N450" s="164"/>
      <c r="O450" s="165"/>
      <c r="P450" s="166"/>
    </row>
    <row r="451" spans="1:16" ht="15.75" customHeight="1">
      <c r="A451" s="157"/>
      <c r="B451" s="158"/>
      <c r="C451" s="159"/>
      <c r="D451" s="160"/>
      <c r="E451" s="161"/>
      <c r="F451" s="162"/>
      <c r="G451" s="162"/>
      <c r="H451" s="160"/>
      <c r="I451" s="161"/>
      <c r="J451" s="163"/>
      <c r="K451" s="163"/>
      <c r="L451" s="163"/>
      <c r="M451" s="164"/>
      <c r="N451" s="164"/>
      <c r="O451" s="165"/>
      <c r="P451" s="166"/>
    </row>
    <row r="452" spans="1:16" ht="15.75" customHeight="1">
      <c r="A452" s="157"/>
      <c r="B452" s="158"/>
      <c r="C452" s="159"/>
      <c r="D452" s="160"/>
      <c r="E452" s="161"/>
      <c r="F452" s="162"/>
      <c r="G452" s="162"/>
      <c r="H452" s="160"/>
      <c r="I452" s="161"/>
      <c r="J452" s="163"/>
      <c r="K452" s="163"/>
      <c r="L452" s="163"/>
      <c r="M452" s="164"/>
      <c r="N452" s="164"/>
      <c r="O452" s="165"/>
      <c r="P452" s="166"/>
    </row>
    <row r="453" spans="1:16" ht="15.75" customHeight="1">
      <c r="A453" s="157"/>
      <c r="B453" s="158"/>
      <c r="C453" s="159"/>
      <c r="D453" s="160"/>
      <c r="E453" s="161"/>
      <c r="F453" s="162"/>
      <c r="G453" s="162"/>
      <c r="H453" s="160"/>
      <c r="I453" s="161"/>
      <c r="J453" s="163"/>
      <c r="K453" s="163"/>
      <c r="L453" s="163"/>
      <c r="M453" s="164"/>
      <c r="N453" s="164"/>
      <c r="O453" s="165"/>
      <c r="P453" s="166"/>
    </row>
    <row r="454" spans="1:16" ht="15.75" customHeight="1">
      <c r="A454" s="157"/>
      <c r="B454" s="158"/>
      <c r="C454" s="159"/>
      <c r="D454" s="160"/>
      <c r="E454" s="161"/>
      <c r="F454" s="162"/>
      <c r="G454" s="162"/>
      <c r="H454" s="160"/>
      <c r="I454" s="161"/>
      <c r="J454" s="163"/>
      <c r="K454" s="163"/>
      <c r="L454" s="163"/>
      <c r="M454" s="164"/>
      <c r="N454" s="164"/>
      <c r="O454" s="165"/>
      <c r="P454" s="166"/>
    </row>
    <row r="455" spans="1:16" ht="15.75" customHeight="1">
      <c r="A455" s="157"/>
      <c r="B455" s="158"/>
      <c r="C455" s="159"/>
      <c r="D455" s="160"/>
      <c r="E455" s="161"/>
      <c r="F455" s="162"/>
      <c r="G455" s="162"/>
      <c r="H455" s="160"/>
      <c r="I455" s="161"/>
      <c r="J455" s="163"/>
      <c r="K455" s="163"/>
      <c r="L455" s="163"/>
      <c r="M455" s="164"/>
      <c r="N455" s="164"/>
      <c r="O455" s="165"/>
      <c r="P455" s="166"/>
    </row>
    <row r="456" spans="1:16" ht="15.75" customHeight="1">
      <c r="A456" s="157"/>
      <c r="B456" s="158"/>
      <c r="C456" s="159"/>
      <c r="D456" s="160"/>
      <c r="E456" s="161"/>
      <c r="F456" s="162"/>
      <c r="G456" s="162"/>
      <c r="H456" s="160"/>
      <c r="I456" s="161"/>
      <c r="J456" s="163"/>
      <c r="K456" s="163"/>
      <c r="L456" s="163"/>
      <c r="M456" s="164"/>
      <c r="N456" s="164"/>
      <c r="O456" s="165"/>
      <c r="P456" s="166"/>
    </row>
    <row r="457" spans="1:16" ht="15.75" customHeight="1">
      <c r="A457" s="157"/>
      <c r="B457" s="158"/>
      <c r="C457" s="159"/>
      <c r="D457" s="160"/>
      <c r="E457" s="161"/>
      <c r="F457" s="162"/>
      <c r="G457" s="162"/>
      <c r="H457" s="160"/>
      <c r="I457" s="161"/>
      <c r="J457" s="163"/>
      <c r="K457" s="163"/>
      <c r="L457" s="163"/>
      <c r="M457" s="164"/>
      <c r="N457" s="164"/>
      <c r="O457" s="165"/>
      <c r="P457" s="166"/>
    </row>
    <row r="458" spans="1:16" ht="15.75" customHeight="1">
      <c r="A458" s="157"/>
      <c r="B458" s="158"/>
      <c r="C458" s="159"/>
      <c r="D458" s="160"/>
      <c r="E458" s="161"/>
      <c r="F458" s="162"/>
      <c r="G458" s="162"/>
      <c r="H458" s="160"/>
      <c r="I458" s="161"/>
      <c r="J458" s="163"/>
      <c r="K458" s="163"/>
      <c r="L458" s="163"/>
      <c r="M458" s="164"/>
      <c r="N458" s="164"/>
      <c r="O458" s="165"/>
      <c r="P458" s="166"/>
    </row>
    <row r="459" spans="1:16" ht="15.75" customHeight="1">
      <c r="A459" s="157"/>
      <c r="B459" s="158"/>
      <c r="C459" s="159"/>
      <c r="D459" s="160"/>
      <c r="E459" s="161"/>
      <c r="F459" s="162"/>
      <c r="G459" s="162"/>
      <c r="H459" s="160"/>
      <c r="I459" s="161"/>
      <c r="J459" s="163"/>
      <c r="K459" s="163"/>
      <c r="L459" s="163"/>
      <c r="M459" s="164"/>
      <c r="N459" s="164"/>
      <c r="O459" s="165"/>
      <c r="P459" s="166"/>
    </row>
    <row r="460" spans="1:16" ht="15.75" customHeight="1">
      <c r="A460" s="157"/>
      <c r="B460" s="158"/>
      <c r="C460" s="159"/>
      <c r="D460" s="160"/>
      <c r="E460" s="161"/>
      <c r="F460" s="162"/>
      <c r="G460" s="162"/>
      <c r="H460" s="160"/>
      <c r="I460" s="161"/>
      <c r="J460" s="163"/>
      <c r="K460" s="163"/>
      <c r="L460" s="163"/>
      <c r="M460" s="164"/>
      <c r="N460" s="164"/>
      <c r="O460" s="165"/>
      <c r="P460" s="166"/>
    </row>
    <row r="461" spans="1:16" ht="15.75" customHeight="1">
      <c r="A461" s="157"/>
      <c r="B461" s="158"/>
      <c r="C461" s="159"/>
      <c r="D461" s="160"/>
      <c r="E461" s="161"/>
      <c r="F461" s="162"/>
      <c r="G461" s="162"/>
      <c r="H461" s="160"/>
      <c r="I461" s="161"/>
      <c r="J461" s="163"/>
      <c r="K461" s="163"/>
      <c r="L461" s="163"/>
      <c r="M461" s="164"/>
      <c r="N461" s="164"/>
      <c r="O461" s="165"/>
      <c r="P461" s="166"/>
    </row>
    <row r="462" spans="1:16" ht="15.75" customHeight="1">
      <c r="A462" s="157"/>
      <c r="B462" s="158"/>
      <c r="C462" s="159"/>
      <c r="D462" s="160"/>
      <c r="E462" s="161"/>
      <c r="F462" s="162"/>
      <c r="G462" s="162"/>
      <c r="H462" s="160"/>
      <c r="I462" s="161"/>
      <c r="J462" s="163"/>
      <c r="K462" s="163"/>
      <c r="L462" s="163"/>
      <c r="M462" s="164"/>
      <c r="N462" s="164"/>
      <c r="O462" s="165"/>
      <c r="P462" s="166"/>
    </row>
    <row r="463" spans="1:16" ht="15.75" customHeight="1">
      <c r="A463" s="157"/>
      <c r="B463" s="158"/>
      <c r="C463" s="159"/>
      <c r="D463" s="160"/>
      <c r="E463" s="161"/>
      <c r="F463" s="162"/>
      <c r="G463" s="162"/>
      <c r="H463" s="160"/>
      <c r="I463" s="161"/>
      <c r="J463" s="163"/>
      <c r="K463" s="163"/>
      <c r="L463" s="163"/>
      <c r="M463" s="164"/>
      <c r="N463" s="164"/>
      <c r="O463" s="165"/>
      <c r="P463" s="166"/>
    </row>
    <row r="464" spans="1:16" ht="15.75" customHeight="1">
      <c r="A464" s="157"/>
      <c r="B464" s="158"/>
      <c r="C464" s="159"/>
      <c r="D464" s="160"/>
      <c r="E464" s="161"/>
      <c r="F464" s="162"/>
      <c r="G464" s="162"/>
      <c r="H464" s="160"/>
      <c r="I464" s="161"/>
      <c r="J464" s="163"/>
      <c r="K464" s="163"/>
      <c r="L464" s="163"/>
      <c r="M464" s="164"/>
      <c r="N464" s="164"/>
      <c r="O464" s="165"/>
      <c r="P464" s="166"/>
    </row>
    <row r="465" spans="1:16" ht="15.75" customHeight="1">
      <c r="A465" s="157"/>
      <c r="B465" s="158"/>
      <c r="C465" s="159"/>
      <c r="D465" s="160"/>
      <c r="E465" s="161"/>
      <c r="F465" s="162"/>
      <c r="G465" s="162"/>
      <c r="H465" s="160"/>
      <c r="I465" s="161"/>
      <c r="J465" s="163"/>
      <c r="K465" s="163"/>
      <c r="L465" s="163"/>
      <c r="M465" s="164"/>
      <c r="N465" s="164"/>
      <c r="O465" s="165"/>
      <c r="P465" s="166"/>
    </row>
    <row r="466" spans="1:16" ht="15.75" customHeight="1">
      <c r="A466" s="157"/>
      <c r="B466" s="158"/>
      <c r="C466" s="159"/>
      <c r="D466" s="160"/>
      <c r="E466" s="161"/>
      <c r="F466" s="162"/>
      <c r="G466" s="162"/>
      <c r="H466" s="160"/>
      <c r="I466" s="161"/>
      <c r="J466" s="163"/>
      <c r="K466" s="163"/>
      <c r="L466" s="163"/>
      <c r="M466" s="164"/>
      <c r="N466" s="164"/>
      <c r="O466" s="165"/>
      <c r="P466" s="166"/>
    </row>
    <row r="467" spans="1:16" ht="15.75" customHeight="1">
      <c r="A467" s="157"/>
      <c r="B467" s="158"/>
      <c r="C467" s="159"/>
      <c r="D467" s="160"/>
      <c r="E467" s="161"/>
      <c r="F467" s="162"/>
      <c r="G467" s="162"/>
      <c r="H467" s="160"/>
      <c r="I467" s="161"/>
      <c r="J467" s="163"/>
      <c r="K467" s="163"/>
      <c r="L467" s="163"/>
      <c r="M467" s="164"/>
      <c r="N467" s="164"/>
      <c r="O467" s="165"/>
      <c r="P467" s="166"/>
    </row>
    <row r="468" spans="1:16" ht="15.75" customHeight="1">
      <c r="A468" s="157"/>
      <c r="B468" s="158"/>
      <c r="C468" s="159"/>
      <c r="D468" s="160"/>
      <c r="E468" s="161"/>
      <c r="F468" s="162"/>
      <c r="G468" s="162"/>
      <c r="H468" s="160"/>
      <c r="I468" s="161"/>
      <c r="J468" s="163"/>
      <c r="K468" s="163"/>
      <c r="L468" s="163"/>
      <c r="M468" s="164"/>
      <c r="N468" s="164"/>
      <c r="O468" s="165"/>
      <c r="P468" s="166"/>
    </row>
    <row r="469" spans="1:16" ht="15.75" customHeight="1">
      <c r="A469" s="157"/>
      <c r="B469" s="158"/>
      <c r="C469" s="159"/>
      <c r="D469" s="160"/>
      <c r="E469" s="161"/>
      <c r="F469" s="162"/>
      <c r="G469" s="162"/>
      <c r="H469" s="160"/>
      <c r="I469" s="161"/>
      <c r="J469" s="163"/>
      <c r="K469" s="163"/>
      <c r="L469" s="163"/>
      <c r="M469" s="164"/>
      <c r="N469" s="164"/>
      <c r="O469" s="165"/>
      <c r="P469" s="166"/>
    </row>
    <row r="470" spans="1:16" ht="15.75" customHeight="1">
      <c r="A470" s="157"/>
      <c r="B470" s="158"/>
      <c r="C470" s="159"/>
      <c r="D470" s="160"/>
      <c r="E470" s="161"/>
      <c r="F470" s="162"/>
      <c r="G470" s="162"/>
      <c r="H470" s="160"/>
      <c r="I470" s="161"/>
      <c r="J470" s="163"/>
      <c r="K470" s="163"/>
      <c r="L470" s="163"/>
      <c r="M470" s="164"/>
      <c r="N470" s="164"/>
      <c r="O470" s="165"/>
      <c r="P470" s="166"/>
    </row>
    <row r="471" spans="1:16" ht="15.75" customHeight="1">
      <c r="A471" s="157"/>
      <c r="B471" s="158"/>
      <c r="C471" s="159"/>
      <c r="D471" s="160"/>
      <c r="E471" s="161"/>
      <c r="F471" s="162"/>
      <c r="G471" s="162"/>
      <c r="H471" s="160"/>
      <c r="I471" s="161"/>
      <c r="J471" s="163"/>
      <c r="K471" s="163"/>
      <c r="L471" s="163"/>
      <c r="M471" s="164"/>
      <c r="N471" s="164"/>
      <c r="O471" s="165"/>
      <c r="P471" s="166"/>
    </row>
    <row r="472" spans="1:16" ht="15.75" customHeight="1">
      <c r="A472" s="157"/>
      <c r="B472" s="158"/>
      <c r="C472" s="159"/>
      <c r="D472" s="160"/>
      <c r="E472" s="161"/>
      <c r="F472" s="162"/>
      <c r="G472" s="162"/>
      <c r="H472" s="160"/>
      <c r="I472" s="161"/>
      <c r="J472" s="163"/>
      <c r="K472" s="163"/>
      <c r="L472" s="163"/>
      <c r="M472" s="164"/>
      <c r="N472" s="164"/>
      <c r="O472" s="165"/>
      <c r="P472" s="166"/>
    </row>
    <row r="473" spans="1:16" ht="15.75" customHeight="1">
      <c r="A473" s="157"/>
      <c r="B473" s="158"/>
      <c r="C473" s="159"/>
      <c r="D473" s="160"/>
      <c r="E473" s="161"/>
      <c r="F473" s="162"/>
      <c r="G473" s="162"/>
      <c r="H473" s="160"/>
      <c r="I473" s="161"/>
      <c r="J473" s="163"/>
      <c r="K473" s="163"/>
      <c r="L473" s="163"/>
      <c r="M473" s="164"/>
      <c r="N473" s="164"/>
      <c r="O473" s="165"/>
      <c r="P473" s="166"/>
    </row>
    <row r="474" spans="1:16" ht="15.75" customHeight="1">
      <c r="A474" s="157"/>
      <c r="B474" s="158"/>
      <c r="C474" s="159"/>
      <c r="D474" s="160"/>
      <c r="E474" s="161"/>
      <c r="F474" s="162"/>
      <c r="G474" s="162"/>
      <c r="H474" s="160"/>
      <c r="I474" s="161"/>
      <c r="J474" s="163"/>
      <c r="K474" s="163"/>
      <c r="L474" s="163"/>
      <c r="M474" s="164"/>
      <c r="N474" s="164"/>
      <c r="O474" s="165"/>
      <c r="P474" s="166"/>
    </row>
    <row r="475" spans="1:16" ht="15.75" customHeight="1">
      <c r="A475" s="157"/>
      <c r="B475" s="158"/>
      <c r="C475" s="159"/>
      <c r="D475" s="160"/>
      <c r="E475" s="161"/>
      <c r="F475" s="162"/>
      <c r="G475" s="162"/>
      <c r="H475" s="160"/>
      <c r="I475" s="161"/>
      <c r="J475" s="163"/>
      <c r="K475" s="163"/>
      <c r="L475" s="163"/>
      <c r="M475" s="164"/>
      <c r="N475" s="164"/>
      <c r="O475" s="165"/>
      <c r="P475" s="166"/>
    </row>
    <row r="476" spans="1:16" ht="15.75" customHeight="1">
      <c r="A476" s="157"/>
      <c r="B476" s="158"/>
      <c r="C476" s="159"/>
      <c r="D476" s="160"/>
      <c r="E476" s="161"/>
      <c r="F476" s="162"/>
      <c r="G476" s="162"/>
      <c r="H476" s="160"/>
      <c r="I476" s="161"/>
      <c r="J476" s="163"/>
      <c r="K476" s="163"/>
      <c r="L476" s="163"/>
      <c r="M476" s="164"/>
      <c r="N476" s="164"/>
      <c r="O476" s="165"/>
      <c r="P476" s="166"/>
    </row>
    <row r="477" spans="1:16" ht="15.75" customHeight="1">
      <c r="A477" s="157"/>
      <c r="B477" s="158"/>
      <c r="C477" s="159"/>
      <c r="D477" s="160"/>
      <c r="E477" s="161"/>
      <c r="F477" s="162"/>
      <c r="G477" s="162"/>
      <c r="H477" s="160"/>
      <c r="I477" s="161"/>
      <c r="J477" s="163"/>
      <c r="K477" s="163"/>
      <c r="L477" s="163"/>
      <c r="M477" s="164"/>
      <c r="N477" s="164"/>
      <c r="O477" s="165"/>
      <c r="P477" s="166"/>
    </row>
    <row r="478" spans="1:16" ht="15.75" customHeight="1">
      <c r="A478" s="157"/>
      <c r="B478" s="158"/>
      <c r="C478" s="159"/>
      <c r="D478" s="160"/>
      <c r="E478" s="161"/>
      <c r="F478" s="162"/>
      <c r="G478" s="162"/>
      <c r="H478" s="160"/>
      <c r="I478" s="161"/>
      <c r="J478" s="163"/>
      <c r="K478" s="163"/>
      <c r="L478" s="163"/>
      <c r="M478" s="164"/>
      <c r="N478" s="164"/>
      <c r="O478" s="165"/>
      <c r="P478" s="166"/>
    </row>
    <row r="479" spans="1:16" ht="15.75" customHeight="1">
      <c r="A479" s="157"/>
      <c r="B479" s="158"/>
      <c r="C479" s="159"/>
      <c r="D479" s="160"/>
      <c r="E479" s="161"/>
      <c r="F479" s="162"/>
      <c r="G479" s="162"/>
      <c r="H479" s="160"/>
      <c r="I479" s="161"/>
      <c r="J479" s="163"/>
      <c r="K479" s="163"/>
      <c r="L479" s="163"/>
      <c r="M479" s="164"/>
      <c r="N479" s="164"/>
      <c r="O479" s="165"/>
      <c r="P479" s="166"/>
    </row>
    <row r="480" spans="1:16" ht="15.75" customHeight="1">
      <c r="A480" s="157"/>
      <c r="B480" s="158"/>
      <c r="C480" s="159"/>
      <c r="D480" s="160"/>
      <c r="E480" s="161"/>
      <c r="F480" s="162"/>
      <c r="G480" s="162"/>
      <c r="H480" s="160"/>
      <c r="I480" s="161"/>
      <c r="J480" s="163"/>
      <c r="K480" s="163"/>
      <c r="L480" s="163"/>
      <c r="M480" s="164"/>
      <c r="N480" s="164"/>
      <c r="O480" s="165"/>
      <c r="P480" s="166"/>
    </row>
    <row r="481" spans="1:16" ht="15.75" customHeight="1">
      <c r="A481" s="157"/>
      <c r="B481" s="158"/>
      <c r="C481" s="159"/>
      <c r="D481" s="160"/>
      <c r="E481" s="161"/>
      <c r="F481" s="162"/>
      <c r="G481" s="162"/>
      <c r="H481" s="160"/>
      <c r="I481" s="161"/>
      <c r="J481" s="163"/>
      <c r="K481" s="163"/>
      <c r="L481" s="163"/>
      <c r="M481" s="164"/>
      <c r="N481" s="164"/>
      <c r="O481" s="165"/>
      <c r="P481" s="166"/>
    </row>
    <row r="482" spans="1:16" ht="15.75" customHeight="1">
      <c r="A482" s="157"/>
      <c r="B482" s="158"/>
      <c r="C482" s="159"/>
      <c r="D482" s="160"/>
      <c r="E482" s="161"/>
      <c r="F482" s="162"/>
      <c r="G482" s="162"/>
      <c r="H482" s="160"/>
      <c r="I482" s="161"/>
      <c r="J482" s="163"/>
      <c r="K482" s="163"/>
      <c r="L482" s="163"/>
      <c r="M482" s="164"/>
      <c r="N482" s="164"/>
      <c r="O482" s="165"/>
      <c r="P482" s="166"/>
    </row>
    <row r="483" spans="1:16" ht="15.75" customHeight="1">
      <c r="A483" s="157"/>
      <c r="B483" s="158"/>
      <c r="C483" s="159"/>
      <c r="D483" s="160"/>
      <c r="E483" s="161"/>
      <c r="F483" s="162"/>
      <c r="G483" s="162"/>
      <c r="H483" s="160"/>
      <c r="I483" s="161"/>
      <c r="J483" s="163"/>
      <c r="K483" s="163"/>
      <c r="L483" s="163"/>
      <c r="M483" s="164"/>
      <c r="N483" s="164"/>
      <c r="O483" s="165"/>
      <c r="P483" s="166"/>
    </row>
    <row r="484" spans="1:16" ht="15.75" customHeight="1">
      <c r="A484" s="157"/>
      <c r="B484" s="158"/>
      <c r="C484" s="159"/>
      <c r="D484" s="160"/>
      <c r="E484" s="161"/>
      <c r="F484" s="162"/>
      <c r="G484" s="162"/>
      <c r="H484" s="160"/>
      <c r="I484" s="161"/>
      <c r="J484" s="163"/>
      <c r="K484" s="163"/>
      <c r="L484" s="163"/>
      <c r="M484" s="164"/>
      <c r="N484" s="164"/>
      <c r="O484" s="165"/>
      <c r="P484" s="166"/>
    </row>
    <row r="485" spans="1:16" ht="15.75" customHeight="1">
      <c r="A485" s="157"/>
      <c r="B485" s="158"/>
      <c r="C485" s="159"/>
      <c r="D485" s="160"/>
      <c r="E485" s="161"/>
      <c r="F485" s="162"/>
      <c r="G485" s="162"/>
      <c r="H485" s="160"/>
      <c r="I485" s="161"/>
      <c r="J485" s="163"/>
      <c r="K485" s="163"/>
      <c r="L485" s="163"/>
      <c r="M485" s="164"/>
      <c r="N485" s="164"/>
      <c r="O485" s="165"/>
      <c r="P485" s="166"/>
    </row>
    <row r="486" spans="1:16" ht="15.75" customHeight="1">
      <c r="A486" s="157"/>
      <c r="B486" s="158"/>
      <c r="C486" s="159"/>
      <c r="D486" s="160"/>
      <c r="E486" s="161"/>
      <c r="F486" s="162"/>
      <c r="G486" s="162"/>
      <c r="H486" s="160"/>
      <c r="I486" s="161"/>
      <c r="J486" s="163"/>
      <c r="K486" s="163"/>
      <c r="L486" s="163"/>
      <c r="M486" s="164"/>
      <c r="N486" s="164"/>
      <c r="O486" s="165"/>
      <c r="P486" s="166"/>
    </row>
    <row r="487" spans="1:16" ht="15.75" customHeight="1">
      <c r="A487" s="157"/>
      <c r="B487" s="158"/>
      <c r="C487" s="159"/>
      <c r="D487" s="160"/>
      <c r="E487" s="161"/>
      <c r="F487" s="162"/>
      <c r="G487" s="162"/>
      <c r="H487" s="160"/>
      <c r="I487" s="161"/>
      <c r="J487" s="163"/>
      <c r="K487" s="163"/>
      <c r="L487" s="163"/>
      <c r="M487" s="164"/>
      <c r="N487" s="164"/>
      <c r="O487" s="165"/>
      <c r="P487" s="166"/>
    </row>
    <row r="488" spans="1:16" ht="15.75" customHeight="1">
      <c r="A488" s="157"/>
      <c r="B488" s="158"/>
      <c r="C488" s="159"/>
      <c r="D488" s="160"/>
      <c r="E488" s="161"/>
      <c r="F488" s="162"/>
      <c r="G488" s="162"/>
      <c r="H488" s="160"/>
      <c r="I488" s="161"/>
      <c r="J488" s="163"/>
      <c r="K488" s="163"/>
      <c r="L488" s="163"/>
      <c r="M488" s="164"/>
      <c r="N488" s="164"/>
      <c r="O488" s="165"/>
      <c r="P488" s="166"/>
    </row>
    <row r="489" spans="1:16" ht="15.75" customHeight="1">
      <c r="A489" s="157"/>
      <c r="B489" s="158"/>
      <c r="C489" s="159"/>
      <c r="D489" s="160"/>
      <c r="E489" s="161"/>
      <c r="F489" s="162"/>
      <c r="G489" s="162"/>
      <c r="H489" s="160"/>
      <c r="I489" s="161"/>
      <c r="J489" s="163"/>
      <c r="K489" s="163"/>
      <c r="L489" s="163"/>
      <c r="M489" s="164"/>
      <c r="N489" s="164"/>
      <c r="O489" s="165"/>
      <c r="P489" s="166"/>
    </row>
    <row r="490" spans="1:16" ht="15.75" customHeight="1">
      <c r="A490" s="157"/>
      <c r="B490" s="158"/>
      <c r="C490" s="159"/>
      <c r="D490" s="160"/>
      <c r="E490" s="161"/>
      <c r="F490" s="162"/>
      <c r="G490" s="162"/>
      <c r="H490" s="160"/>
      <c r="I490" s="161"/>
      <c r="J490" s="163"/>
      <c r="K490" s="163"/>
      <c r="L490" s="163"/>
      <c r="M490" s="164"/>
      <c r="N490" s="164"/>
      <c r="O490" s="165"/>
      <c r="P490" s="166"/>
    </row>
    <row r="491" spans="1:16" ht="15.75" customHeight="1">
      <c r="A491" s="157"/>
      <c r="B491" s="158"/>
      <c r="C491" s="159"/>
      <c r="D491" s="160"/>
      <c r="E491" s="161"/>
      <c r="F491" s="162"/>
      <c r="G491" s="162"/>
      <c r="H491" s="160"/>
      <c r="I491" s="161"/>
      <c r="J491" s="163"/>
      <c r="K491" s="163"/>
      <c r="L491" s="163"/>
      <c r="M491" s="164"/>
      <c r="N491" s="164"/>
      <c r="O491" s="165"/>
      <c r="P491" s="166"/>
    </row>
    <row r="492" spans="1:16" ht="15.75" customHeight="1">
      <c r="A492" s="157"/>
      <c r="B492" s="158"/>
      <c r="C492" s="159"/>
      <c r="D492" s="160"/>
      <c r="E492" s="161"/>
      <c r="F492" s="162"/>
      <c r="G492" s="162"/>
      <c r="H492" s="160"/>
      <c r="I492" s="161"/>
      <c r="J492" s="163"/>
      <c r="K492" s="163"/>
      <c r="L492" s="163"/>
      <c r="M492" s="164"/>
      <c r="N492" s="164"/>
      <c r="O492" s="165"/>
      <c r="P492" s="166"/>
    </row>
    <row r="493" spans="1:16" ht="15.75" customHeight="1">
      <c r="A493" s="157"/>
      <c r="B493" s="158"/>
      <c r="C493" s="159"/>
      <c r="D493" s="160"/>
      <c r="E493" s="161"/>
      <c r="F493" s="162"/>
      <c r="G493" s="162"/>
      <c r="H493" s="160"/>
      <c r="I493" s="161"/>
      <c r="J493" s="163"/>
      <c r="K493" s="163"/>
      <c r="L493" s="163"/>
      <c r="M493" s="164"/>
      <c r="N493" s="164"/>
      <c r="O493" s="165"/>
      <c r="P493" s="166"/>
    </row>
    <row r="494" spans="1:16" ht="15.75" customHeight="1">
      <c r="A494" s="157"/>
      <c r="B494" s="158"/>
      <c r="C494" s="159"/>
      <c r="D494" s="160"/>
      <c r="E494" s="161"/>
      <c r="F494" s="162"/>
      <c r="G494" s="162"/>
      <c r="H494" s="160"/>
      <c r="I494" s="161"/>
      <c r="J494" s="163"/>
      <c r="K494" s="163"/>
      <c r="L494" s="163"/>
      <c r="M494" s="164"/>
      <c r="N494" s="164"/>
      <c r="O494" s="165"/>
      <c r="P494" s="166"/>
    </row>
    <row r="495" spans="1:16" ht="15.75" customHeight="1">
      <c r="A495" s="157"/>
      <c r="B495" s="158"/>
      <c r="C495" s="159"/>
      <c r="D495" s="160"/>
      <c r="E495" s="161"/>
      <c r="F495" s="162"/>
      <c r="G495" s="162"/>
      <c r="H495" s="160"/>
      <c r="I495" s="161"/>
      <c r="J495" s="163"/>
      <c r="K495" s="163"/>
      <c r="L495" s="163"/>
      <c r="M495" s="164"/>
      <c r="N495" s="164"/>
      <c r="O495" s="165"/>
      <c r="P495" s="166"/>
    </row>
    <row r="496" spans="1:16" ht="15.75" customHeight="1">
      <c r="A496" s="157"/>
      <c r="B496" s="158"/>
      <c r="C496" s="159"/>
      <c r="D496" s="160"/>
      <c r="E496" s="161"/>
      <c r="F496" s="162"/>
      <c r="G496" s="162"/>
      <c r="H496" s="160"/>
      <c r="I496" s="161"/>
      <c r="J496" s="163"/>
      <c r="K496" s="163"/>
      <c r="L496" s="163"/>
      <c r="M496" s="164"/>
      <c r="N496" s="164"/>
      <c r="O496" s="165"/>
      <c r="P496" s="166"/>
    </row>
    <row r="497" spans="1:16" ht="15.75" customHeight="1">
      <c r="A497" s="157"/>
      <c r="B497" s="158"/>
      <c r="C497" s="159"/>
      <c r="D497" s="160"/>
      <c r="E497" s="161"/>
      <c r="F497" s="162"/>
      <c r="G497" s="162"/>
      <c r="H497" s="160"/>
      <c r="I497" s="161"/>
      <c r="J497" s="163"/>
      <c r="K497" s="163"/>
      <c r="L497" s="163"/>
      <c r="M497" s="164"/>
      <c r="N497" s="164"/>
      <c r="O497" s="165"/>
      <c r="P497" s="166"/>
    </row>
    <row r="498" spans="1:16" ht="15.75" customHeight="1">
      <c r="A498" s="157"/>
      <c r="B498" s="158"/>
      <c r="C498" s="159"/>
      <c r="D498" s="160"/>
      <c r="E498" s="161"/>
      <c r="F498" s="162"/>
      <c r="G498" s="162"/>
      <c r="H498" s="160"/>
      <c r="I498" s="161"/>
      <c r="J498" s="163"/>
      <c r="K498" s="163"/>
      <c r="L498" s="163"/>
      <c r="M498" s="164"/>
      <c r="N498" s="164"/>
      <c r="O498" s="165"/>
      <c r="P498" s="166"/>
    </row>
    <row r="499" spans="1:16" ht="15.75" customHeight="1">
      <c r="A499" s="157"/>
      <c r="B499" s="158"/>
      <c r="C499" s="159"/>
      <c r="D499" s="160"/>
      <c r="E499" s="161"/>
      <c r="F499" s="162"/>
      <c r="G499" s="162"/>
      <c r="H499" s="160"/>
      <c r="I499" s="161"/>
      <c r="J499" s="163"/>
      <c r="K499" s="163"/>
      <c r="L499" s="163"/>
      <c r="M499" s="164"/>
      <c r="N499" s="164"/>
      <c r="O499" s="165"/>
      <c r="P499" s="166"/>
    </row>
    <row r="500" spans="1:16" ht="15.75" customHeight="1">
      <c r="A500" s="157"/>
      <c r="B500" s="158"/>
      <c r="C500" s="159"/>
      <c r="D500" s="160"/>
      <c r="E500" s="161"/>
      <c r="F500" s="162"/>
      <c r="G500" s="162"/>
      <c r="H500" s="160"/>
      <c r="I500" s="161"/>
      <c r="J500" s="163"/>
      <c r="K500" s="163"/>
      <c r="L500" s="163"/>
      <c r="M500" s="164"/>
      <c r="N500" s="164"/>
      <c r="O500" s="165"/>
      <c r="P500" s="166"/>
    </row>
    <row r="501" spans="1:16" ht="15.75" customHeight="1">
      <c r="A501" s="157"/>
      <c r="B501" s="158"/>
      <c r="C501" s="159"/>
      <c r="D501" s="160"/>
      <c r="E501" s="161"/>
      <c r="F501" s="162"/>
      <c r="G501" s="162"/>
      <c r="H501" s="160"/>
      <c r="I501" s="161"/>
      <c r="J501" s="163"/>
      <c r="K501" s="163"/>
      <c r="L501" s="163"/>
      <c r="M501" s="164"/>
      <c r="N501" s="164"/>
      <c r="O501" s="165"/>
      <c r="P501" s="166"/>
    </row>
    <row r="502" spans="1:16" ht="15.75" customHeight="1">
      <c r="A502" s="157"/>
      <c r="B502" s="158"/>
      <c r="C502" s="159"/>
      <c r="D502" s="160"/>
      <c r="E502" s="161"/>
      <c r="F502" s="162"/>
      <c r="G502" s="162"/>
      <c r="H502" s="160"/>
      <c r="I502" s="161"/>
      <c r="J502" s="163"/>
      <c r="K502" s="163"/>
      <c r="L502" s="163"/>
      <c r="M502" s="164"/>
      <c r="N502" s="164"/>
      <c r="O502" s="165"/>
      <c r="P502" s="166"/>
    </row>
    <row r="503" spans="1:16" ht="15.75" customHeight="1">
      <c r="A503" s="157"/>
      <c r="B503" s="158"/>
      <c r="C503" s="159"/>
      <c r="D503" s="160"/>
      <c r="E503" s="161"/>
      <c r="F503" s="162"/>
      <c r="G503" s="162"/>
      <c r="H503" s="160"/>
      <c r="I503" s="161"/>
      <c r="J503" s="163"/>
      <c r="K503" s="163"/>
      <c r="L503" s="163"/>
      <c r="M503" s="164"/>
      <c r="N503" s="164"/>
      <c r="O503" s="165"/>
      <c r="P503" s="166"/>
    </row>
    <row r="504" spans="1:16" ht="15.75" customHeight="1">
      <c r="A504" s="157"/>
      <c r="B504" s="158"/>
      <c r="C504" s="159"/>
      <c r="D504" s="160"/>
      <c r="E504" s="161"/>
      <c r="F504" s="162"/>
      <c r="G504" s="162"/>
      <c r="H504" s="160"/>
      <c r="I504" s="161"/>
      <c r="J504" s="163"/>
      <c r="K504" s="163"/>
      <c r="L504" s="163"/>
      <c r="M504" s="164"/>
      <c r="N504" s="164"/>
      <c r="O504" s="165"/>
      <c r="P504" s="166"/>
    </row>
    <row r="505" spans="1:16" ht="15.75" customHeight="1">
      <c r="A505" s="157"/>
      <c r="B505" s="158"/>
      <c r="C505" s="159"/>
      <c r="D505" s="160"/>
      <c r="E505" s="161"/>
      <c r="F505" s="162"/>
      <c r="G505" s="162"/>
      <c r="H505" s="160"/>
      <c r="I505" s="161"/>
      <c r="J505" s="163"/>
      <c r="K505" s="163"/>
      <c r="L505" s="163"/>
      <c r="M505" s="164"/>
      <c r="N505" s="164"/>
      <c r="O505" s="165"/>
      <c r="P505" s="166"/>
    </row>
    <row r="506" spans="1:16" ht="15.75" customHeight="1">
      <c r="A506" s="157"/>
      <c r="B506" s="158"/>
      <c r="C506" s="159"/>
      <c r="D506" s="160"/>
      <c r="E506" s="161"/>
      <c r="F506" s="162"/>
      <c r="G506" s="162"/>
      <c r="H506" s="160"/>
      <c r="I506" s="161"/>
      <c r="J506" s="163"/>
      <c r="K506" s="163"/>
      <c r="L506" s="163"/>
      <c r="M506" s="164"/>
      <c r="N506" s="164"/>
      <c r="O506" s="165"/>
      <c r="P506" s="166"/>
    </row>
    <row r="507" spans="1:16" ht="15.75" customHeight="1">
      <c r="A507" s="157"/>
      <c r="B507" s="158"/>
      <c r="C507" s="159"/>
      <c r="D507" s="160"/>
      <c r="E507" s="161"/>
      <c r="F507" s="162"/>
      <c r="G507" s="162"/>
      <c r="H507" s="160"/>
      <c r="I507" s="161"/>
      <c r="J507" s="163"/>
      <c r="K507" s="163"/>
      <c r="L507" s="163"/>
      <c r="M507" s="164"/>
      <c r="N507" s="164"/>
      <c r="O507" s="165"/>
      <c r="P507" s="166"/>
    </row>
    <row r="508" spans="1:16" ht="15.75" customHeight="1">
      <c r="A508" s="157"/>
      <c r="B508" s="158"/>
      <c r="C508" s="159"/>
      <c r="D508" s="160"/>
      <c r="E508" s="161"/>
      <c r="F508" s="162"/>
      <c r="G508" s="162"/>
      <c r="H508" s="160"/>
      <c r="I508" s="161"/>
      <c r="J508" s="163"/>
      <c r="K508" s="163"/>
      <c r="L508" s="163"/>
      <c r="M508" s="164"/>
      <c r="N508" s="164"/>
      <c r="O508" s="165"/>
      <c r="P508" s="166"/>
    </row>
    <row r="509" spans="1:16" ht="15.75" customHeight="1">
      <c r="A509" s="157"/>
      <c r="B509" s="158"/>
      <c r="C509" s="159"/>
      <c r="D509" s="160"/>
      <c r="E509" s="161"/>
      <c r="F509" s="162"/>
      <c r="G509" s="162"/>
      <c r="H509" s="160"/>
      <c r="I509" s="161"/>
      <c r="J509" s="163"/>
      <c r="K509" s="163"/>
      <c r="L509" s="163"/>
      <c r="M509" s="164"/>
      <c r="N509" s="164"/>
      <c r="O509" s="165"/>
      <c r="P509" s="166"/>
    </row>
    <row r="510" spans="1:16" ht="15.75" customHeight="1">
      <c r="A510" s="157"/>
      <c r="B510" s="158"/>
      <c r="C510" s="159"/>
      <c r="D510" s="160"/>
      <c r="E510" s="161"/>
      <c r="F510" s="162"/>
      <c r="G510" s="162"/>
      <c r="H510" s="160"/>
      <c r="I510" s="161"/>
      <c r="J510" s="163"/>
      <c r="K510" s="163"/>
      <c r="L510" s="163"/>
      <c r="M510" s="164"/>
      <c r="N510" s="164"/>
      <c r="O510" s="165"/>
      <c r="P510" s="166"/>
    </row>
    <row r="511" spans="1:16" ht="15.75" customHeight="1">
      <c r="A511" s="157"/>
      <c r="B511" s="158"/>
      <c r="C511" s="159"/>
      <c r="D511" s="160"/>
      <c r="E511" s="161"/>
      <c r="F511" s="162"/>
      <c r="G511" s="162"/>
      <c r="H511" s="160"/>
      <c r="I511" s="161"/>
      <c r="J511" s="163"/>
      <c r="K511" s="163"/>
      <c r="L511" s="163"/>
      <c r="M511" s="164"/>
      <c r="N511" s="164"/>
      <c r="O511" s="165"/>
      <c r="P511" s="166"/>
    </row>
    <row r="512" spans="1:16" ht="15.75" customHeight="1">
      <c r="A512" s="157"/>
      <c r="B512" s="158"/>
      <c r="C512" s="159"/>
      <c r="D512" s="160"/>
      <c r="E512" s="161"/>
      <c r="F512" s="162"/>
      <c r="G512" s="162"/>
      <c r="H512" s="160"/>
      <c r="I512" s="161"/>
      <c r="J512" s="163"/>
      <c r="K512" s="163"/>
      <c r="L512" s="163"/>
      <c r="M512" s="164"/>
      <c r="N512" s="164"/>
      <c r="O512" s="165"/>
      <c r="P512" s="166"/>
    </row>
    <row r="513" spans="1:16" ht="15.75" customHeight="1">
      <c r="A513" s="157"/>
      <c r="B513" s="158"/>
      <c r="C513" s="159"/>
      <c r="D513" s="160"/>
      <c r="E513" s="161"/>
      <c r="F513" s="162"/>
      <c r="G513" s="162"/>
      <c r="H513" s="160"/>
      <c r="I513" s="161"/>
      <c r="J513" s="163"/>
      <c r="K513" s="163"/>
      <c r="L513" s="163"/>
      <c r="M513" s="164"/>
      <c r="N513" s="164"/>
      <c r="O513" s="165"/>
      <c r="P513" s="166"/>
    </row>
    <row r="514" spans="1:16" ht="15.75" customHeight="1">
      <c r="A514" s="157"/>
      <c r="B514" s="158"/>
      <c r="C514" s="159"/>
      <c r="D514" s="160"/>
      <c r="E514" s="161"/>
      <c r="F514" s="162"/>
      <c r="G514" s="162"/>
      <c r="H514" s="160"/>
      <c r="I514" s="161"/>
      <c r="J514" s="163"/>
      <c r="K514" s="163"/>
      <c r="L514" s="163"/>
      <c r="M514" s="164"/>
      <c r="N514" s="164"/>
      <c r="O514" s="165"/>
      <c r="P514" s="166"/>
    </row>
    <row r="515" spans="1:16" ht="15.75" customHeight="1">
      <c r="A515" s="157"/>
      <c r="B515" s="158"/>
      <c r="C515" s="159"/>
      <c r="D515" s="160"/>
      <c r="E515" s="161"/>
      <c r="F515" s="162"/>
      <c r="G515" s="162"/>
      <c r="H515" s="160"/>
      <c r="I515" s="161"/>
      <c r="J515" s="163"/>
      <c r="K515" s="163"/>
      <c r="L515" s="163"/>
      <c r="M515" s="164"/>
      <c r="N515" s="164"/>
      <c r="O515" s="165"/>
      <c r="P515" s="166"/>
    </row>
    <row r="516" spans="1:16" ht="15.75" customHeight="1">
      <c r="A516" s="157"/>
      <c r="B516" s="158"/>
      <c r="C516" s="159"/>
      <c r="D516" s="160"/>
      <c r="E516" s="161"/>
      <c r="F516" s="162"/>
      <c r="G516" s="162"/>
      <c r="H516" s="160"/>
      <c r="I516" s="161"/>
      <c r="J516" s="163"/>
      <c r="K516" s="163"/>
      <c r="L516" s="163"/>
      <c r="M516" s="164"/>
      <c r="N516" s="164"/>
      <c r="O516" s="165"/>
      <c r="P516" s="166"/>
    </row>
    <row r="517" spans="1:16" ht="15.75" customHeight="1">
      <c r="A517" s="157"/>
      <c r="B517" s="158"/>
      <c r="C517" s="159"/>
      <c r="D517" s="160"/>
      <c r="E517" s="161"/>
      <c r="F517" s="162"/>
      <c r="G517" s="162"/>
      <c r="H517" s="160"/>
      <c r="I517" s="161"/>
      <c r="J517" s="163"/>
      <c r="K517" s="163"/>
      <c r="L517" s="163"/>
      <c r="M517" s="164"/>
      <c r="N517" s="164"/>
      <c r="O517" s="165"/>
      <c r="P517" s="166"/>
    </row>
    <row r="518" spans="1:16" ht="15.75" customHeight="1">
      <c r="A518" s="157"/>
      <c r="B518" s="158"/>
      <c r="C518" s="159"/>
      <c r="D518" s="160"/>
      <c r="E518" s="161"/>
      <c r="F518" s="162"/>
      <c r="G518" s="162"/>
      <c r="H518" s="160"/>
      <c r="I518" s="161"/>
      <c r="J518" s="163"/>
      <c r="K518" s="163"/>
      <c r="L518" s="163"/>
      <c r="M518" s="164"/>
      <c r="N518" s="164"/>
      <c r="O518" s="165"/>
      <c r="P518" s="166"/>
    </row>
    <row r="519" spans="1:16" ht="15.75" customHeight="1">
      <c r="A519" s="157"/>
      <c r="B519" s="158"/>
      <c r="C519" s="159"/>
      <c r="D519" s="160"/>
      <c r="E519" s="161"/>
      <c r="F519" s="162"/>
      <c r="G519" s="162"/>
      <c r="H519" s="160"/>
      <c r="I519" s="161"/>
      <c r="J519" s="163"/>
      <c r="K519" s="163"/>
      <c r="L519" s="163"/>
      <c r="M519" s="164"/>
      <c r="N519" s="164"/>
      <c r="O519" s="165"/>
      <c r="P519" s="166"/>
    </row>
    <row r="520" spans="1:16" ht="15.75" customHeight="1">
      <c r="A520" s="157"/>
      <c r="B520" s="158"/>
      <c r="C520" s="159"/>
      <c r="D520" s="160"/>
      <c r="E520" s="161"/>
      <c r="F520" s="162"/>
      <c r="G520" s="162"/>
      <c r="H520" s="160"/>
      <c r="I520" s="161"/>
      <c r="J520" s="163"/>
      <c r="K520" s="163"/>
      <c r="L520" s="163"/>
      <c r="M520" s="164"/>
      <c r="N520" s="164"/>
      <c r="O520" s="165"/>
      <c r="P520" s="166"/>
    </row>
    <row r="521" spans="1:16" ht="15.75" customHeight="1">
      <c r="A521" s="157"/>
      <c r="B521" s="158"/>
      <c r="C521" s="159"/>
      <c r="D521" s="160"/>
      <c r="E521" s="161"/>
      <c r="F521" s="162"/>
      <c r="G521" s="162"/>
      <c r="H521" s="160"/>
      <c r="I521" s="161"/>
      <c r="J521" s="163"/>
      <c r="K521" s="163"/>
      <c r="L521" s="163"/>
      <c r="M521" s="164"/>
      <c r="N521" s="164"/>
      <c r="O521" s="165"/>
      <c r="P521" s="166"/>
    </row>
    <row r="522" spans="1:16" ht="15.75" customHeight="1">
      <c r="A522" s="157"/>
      <c r="B522" s="158"/>
      <c r="C522" s="159"/>
      <c r="D522" s="160"/>
      <c r="E522" s="161"/>
      <c r="F522" s="162"/>
      <c r="G522" s="162"/>
      <c r="H522" s="160"/>
      <c r="I522" s="161"/>
      <c r="J522" s="163"/>
      <c r="K522" s="163"/>
      <c r="L522" s="163"/>
      <c r="M522" s="164"/>
      <c r="N522" s="164"/>
      <c r="O522" s="165"/>
      <c r="P522" s="166"/>
    </row>
    <row r="523" spans="1:16" ht="15.75" customHeight="1">
      <c r="A523" s="157"/>
      <c r="B523" s="158"/>
      <c r="C523" s="159"/>
      <c r="D523" s="160"/>
      <c r="E523" s="161"/>
      <c r="F523" s="162"/>
      <c r="G523" s="162"/>
      <c r="H523" s="160"/>
      <c r="I523" s="161"/>
      <c r="J523" s="163"/>
      <c r="K523" s="163"/>
      <c r="L523" s="163"/>
      <c r="M523" s="164"/>
      <c r="N523" s="164"/>
      <c r="O523" s="165"/>
      <c r="P523" s="166"/>
    </row>
    <row r="524" spans="1:16" ht="15.75" customHeight="1">
      <c r="A524" s="157"/>
      <c r="B524" s="158"/>
      <c r="C524" s="159"/>
      <c r="D524" s="160"/>
      <c r="E524" s="161"/>
      <c r="F524" s="162"/>
      <c r="G524" s="162"/>
      <c r="H524" s="160"/>
      <c r="I524" s="161"/>
      <c r="J524" s="163"/>
      <c r="K524" s="163"/>
      <c r="L524" s="163"/>
      <c r="M524" s="164"/>
      <c r="N524" s="164"/>
      <c r="O524" s="165"/>
      <c r="P524" s="166"/>
    </row>
    <row r="525" spans="1:16" ht="15.75" customHeight="1">
      <c r="A525" s="157"/>
      <c r="B525" s="158"/>
      <c r="C525" s="159"/>
      <c r="D525" s="160"/>
      <c r="E525" s="161"/>
      <c r="F525" s="162"/>
      <c r="G525" s="162"/>
      <c r="H525" s="160"/>
      <c r="I525" s="161"/>
      <c r="J525" s="163"/>
      <c r="K525" s="163"/>
      <c r="L525" s="163"/>
      <c r="M525" s="164"/>
      <c r="N525" s="164"/>
      <c r="O525" s="165"/>
      <c r="P525" s="166"/>
    </row>
    <row r="526" spans="1:16" ht="15.75" customHeight="1">
      <c r="A526" s="157"/>
      <c r="B526" s="158"/>
      <c r="C526" s="159"/>
      <c r="D526" s="160"/>
      <c r="E526" s="161"/>
      <c r="F526" s="162"/>
      <c r="G526" s="162"/>
      <c r="H526" s="160"/>
      <c r="I526" s="161"/>
      <c r="J526" s="163"/>
      <c r="K526" s="163"/>
      <c r="L526" s="163"/>
      <c r="M526" s="164"/>
      <c r="N526" s="164"/>
      <c r="O526" s="165"/>
      <c r="P526" s="166"/>
    </row>
    <row r="527" spans="1:16" ht="15.75" customHeight="1">
      <c r="A527" s="157"/>
      <c r="B527" s="158"/>
      <c r="C527" s="159"/>
      <c r="D527" s="160"/>
      <c r="E527" s="161"/>
      <c r="F527" s="162"/>
      <c r="G527" s="162"/>
      <c r="H527" s="160"/>
      <c r="I527" s="161"/>
      <c r="J527" s="163"/>
      <c r="K527" s="163"/>
      <c r="L527" s="163"/>
      <c r="M527" s="164"/>
      <c r="N527" s="164"/>
      <c r="O527" s="165"/>
      <c r="P527" s="166"/>
    </row>
    <row r="528" spans="1:16" ht="15.75" customHeight="1">
      <c r="A528" s="157"/>
      <c r="B528" s="158"/>
      <c r="C528" s="159"/>
      <c r="D528" s="160"/>
      <c r="E528" s="161"/>
      <c r="F528" s="162"/>
      <c r="G528" s="162"/>
      <c r="H528" s="160"/>
      <c r="I528" s="161"/>
      <c r="J528" s="163"/>
      <c r="K528" s="163"/>
      <c r="L528" s="163"/>
      <c r="M528" s="164"/>
      <c r="N528" s="164"/>
      <c r="O528" s="165"/>
      <c r="P528" s="166"/>
    </row>
    <row r="529" spans="1:16" ht="15.75" customHeight="1">
      <c r="A529" s="157"/>
      <c r="B529" s="158"/>
      <c r="C529" s="159"/>
      <c r="D529" s="160"/>
      <c r="E529" s="161"/>
      <c r="F529" s="162"/>
      <c r="G529" s="162"/>
      <c r="H529" s="160"/>
      <c r="I529" s="161"/>
      <c r="J529" s="163"/>
      <c r="K529" s="163"/>
      <c r="L529" s="163"/>
      <c r="M529" s="164"/>
      <c r="N529" s="164"/>
      <c r="O529" s="165"/>
      <c r="P529" s="166"/>
    </row>
    <row r="530" spans="1:16" ht="15.75" customHeight="1">
      <c r="A530" s="157"/>
      <c r="B530" s="158"/>
      <c r="C530" s="159"/>
      <c r="D530" s="160"/>
      <c r="E530" s="161"/>
      <c r="F530" s="162"/>
      <c r="G530" s="162"/>
      <c r="H530" s="160"/>
      <c r="I530" s="161"/>
      <c r="J530" s="163"/>
      <c r="K530" s="163"/>
      <c r="L530" s="163"/>
      <c r="M530" s="164"/>
      <c r="N530" s="164"/>
      <c r="O530" s="165"/>
      <c r="P530" s="166"/>
    </row>
    <row r="531" spans="1:16" ht="15.75" customHeight="1">
      <c r="A531" s="157"/>
      <c r="B531" s="158"/>
      <c r="C531" s="159"/>
      <c r="D531" s="160"/>
      <c r="E531" s="161"/>
      <c r="F531" s="162"/>
      <c r="G531" s="162"/>
      <c r="H531" s="160"/>
      <c r="I531" s="161"/>
      <c r="J531" s="163"/>
      <c r="K531" s="163"/>
      <c r="L531" s="163"/>
      <c r="M531" s="164"/>
      <c r="N531" s="164"/>
      <c r="O531" s="165"/>
      <c r="P531" s="166"/>
    </row>
    <row r="532" spans="1:16" ht="15.75" customHeight="1">
      <c r="A532" s="157"/>
      <c r="B532" s="158"/>
      <c r="C532" s="159"/>
      <c r="D532" s="160"/>
      <c r="E532" s="161"/>
      <c r="F532" s="162"/>
      <c r="G532" s="162"/>
      <c r="H532" s="160"/>
      <c r="I532" s="161"/>
      <c r="J532" s="163"/>
      <c r="K532" s="163"/>
      <c r="L532" s="163"/>
      <c r="M532" s="164"/>
      <c r="N532" s="164"/>
      <c r="O532" s="165"/>
      <c r="P532" s="166"/>
    </row>
    <row r="533" spans="1:16" ht="15.75" customHeight="1">
      <c r="A533" s="157"/>
      <c r="B533" s="158"/>
      <c r="C533" s="159"/>
      <c r="D533" s="160"/>
      <c r="E533" s="161"/>
      <c r="F533" s="162"/>
      <c r="G533" s="162"/>
      <c r="H533" s="160"/>
      <c r="I533" s="161"/>
      <c r="J533" s="163"/>
      <c r="K533" s="163"/>
      <c r="L533" s="163"/>
      <c r="M533" s="164"/>
      <c r="N533" s="164"/>
      <c r="O533" s="165"/>
      <c r="P533" s="166"/>
    </row>
    <row r="534" spans="1:16" ht="15.75" customHeight="1">
      <c r="A534" s="157"/>
      <c r="B534" s="158"/>
      <c r="C534" s="159"/>
      <c r="D534" s="160"/>
      <c r="E534" s="161"/>
      <c r="F534" s="162"/>
      <c r="G534" s="162"/>
      <c r="H534" s="160"/>
      <c r="I534" s="161"/>
      <c r="J534" s="163"/>
      <c r="K534" s="163"/>
      <c r="L534" s="163"/>
      <c r="M534" s="164"/>
      <c r="N534" s="164"/>
      <c r="O534" s="165"/>
      <c r="P534" s="166"/>
    </row>
    <row r="535" spans="1:16" ht="15.75" customHeight="1">
      <c r="A535" s="157"/>
      <c r="B535" s="158"/>
      <c r="C535" s="159"/>
      <c r="D535" s="160"/>
      <c r="E535" s="161"/>
      <c r="F535" s="162"/>
      <c r="G535" s="162"/>
      <c r="H535" s="160"/>
      <c r="I535" s="161"/>
      <c r="J535" s="163"/>
      <c r="K535" s="163"/>
      <c r="L535" s="163"/>
      <c r="M535" s="164"/>
      <c r="N535" s="164"/>
      <c r="O535" s="165"/>
      <c r="P535" s="166"/>
    </row>
    <row r="536" spans="1:16" ht="15.75" customHeight="1">
      <c r="A536" s="157"/>
      <c r="B536" s="158"/>
      <c r="C536" s="159"/>
      <c r="D536" s="160"/>
      <c r="E536" s="161"/>
      <c r="F536" s="162"/>
      <c r="G536" s="162"/>
      <c r="H536" s="160"/>
      <c r="I536" s="161"/>
      <c r="J536" s="163"/>
      <c r="K536" s="163"/>
      <c r="L536" s="163"/>
      <c r="M536" s="164"/>
      <c r="N536" s="164"/>
      <c r="O536" s="165"/>
      <c r="P536" s="166"/>
    </row>
    <row r="537" spans="1:16" ht="15.75" customHeight="1">
      <c r="A537" s="157"/>
      <c r="B537" s="158"/>
      <c r="C537" s="159"/>
      <c r="D537" s="160"/>
      <c r="E537" s="161"/>
      <c r="F537" s="162"/>
      <c r="G537" s="162"/>
      <c r="H537" s="160"/>
      <c r="I537" s="161"/>
      <c r="J537" s="163"/>
      <c r="K537" s="163"/>
      <c r="L537" s="163"/>
      <c r="M537" s="164"/>
      <c r="N537" s="164"/>
      <c r="O537" s="165"/>
      <c r="P537" s="166"/>
    </row>
    <row r="538" spans="1:16" ht="15.75" customHeight="1">
      <c r="A538" s="157"/>
      <c r="B538" s="158"/>
      <c r="C538" s="159"/>
      <c r="D538" s="160"/>
      <c r="E538" s="161"/>
      <c r="F538" s="162"/>
      <c r="G538" s="162"/>
      <c r="H538" s="160"/>
      <c r="I538" s="161"/>
      <c r="J538" s="163"/>
      <c r="K538" s="163"/>
      <c r="L538" s="163"/>
      <c r="M538" s="164"/>
      <c r="N538" s="164"/>
      <c r="O538" s="165"/>
      <c r="P538" s="166"/>
    </row>
    <row r="539" spans="1:16" ht="15.75" customHeight="1">
      <c r="A539" s="157"/>
      <c r="B539" s="158"/>
      <c r="C539" s="159"/>
      <c r="D539" s="160"/>
      <c r="E539" s="161"/>
      <c r="F539" s="162"/>
      <c r="G539" s="162"/>
      <c r="H539" s="160"/>
      <c r="I539" s="161"/>
      <c r="J539" s="163"/>
      <c r="K539" s="163"/>
      <c r="L539" s="163"/>
      <c r="M539" s="164"/>
      <c r="N539" s="164"/>
      <c r="O539" s="165"/>
      <c r="P539" s="166"/>
    </row>
    <row r="540" spans="1:16" ht="15.75" customHeight="1">
      <c r="A540" s="157"/>
      <c r="B540" s="158"/>
      <c r="C540" s="159"/>
      <c r="D540" s="160"/>
      <c r="E540" s="161"/>
      <c r="F540" s="162"/>
      <c r="G540" s="162"/>
      <c r="H540" s="160"/>
      <c r="I540" s="161"/>
      <c r="J540" s="163"/>
      <c r="K540" s="163"/>
      <c r="L540" s="163"/>
      <c r="M540" s="164"/>
      <c r="N540" s="164"/>
      <c r="O540" s="165"/>
      <c r="P540" s="166"/>
    </row>
    <row r="541" spans="1:16" ht="15.75" customHeight="1">
      <c r="A541" s="157"/>
      <c r="B541" s="158"/>
      <c r="C541" s="159"/>
      <c r="D541" s="160"/>
      <c r="E541" s="161"/>
      <c r="F541" s="162"/>
      <c r="G541" s="162"/>
      <c r="H541" s="160"/>
      <c r="I541" s="161"/>
      <c r="J541" s="163"/>
      <c r="K541" s="163"/>
      <c r="L541" s="163"/>
      <c r="M541" s="164"/>
      <c r="N541" s="164"/>
      <c r="O541" s="165"/>
      <c r="P541" s="166"/>
    </row>
    <row r="542" spans="1:16" ht="15.75" customHeight="1">
      <c r="A542" s="157"/>
      <c r="B542" s="158"/>
      <c r="C542" s="159"/>
      <c r="D542" s="160"/>
      <c r="E542" s="161"/>
      <c r="F542" s="162"/>
      <c r="G542" s="162"/>
      <c r="H542" s="160"/>
      <c r="I542" s="161"/>
      <c r="J542" s="163"/>
      <c r="K542" s="163"/>
      <c r="L542" s="163"/>
      <c r="M542" s="164"/>
      <c r="N542" s="164"/>
      <c r="O542" s="165"/>
      <c r="P542" s="166"/>
    </row>
    <row r="543" spans="1:16" ht="15.75" customHeight="1">
      <c r="A543" s="157"/>
      <c r="B543" s="158"/>
      <c r="C543" s="159"/>
      <c r="D543" s="160"/>
      <c r="E543" s="161"/>
      <c r="F543" s="162"/>
      <c r="G543" s="162"/>
      <c r="H543" s="160"/>
      <c r="I543" s="161"/>
      <c r="J543" s="163"/>
      <c r="K543" s="163"/>
      <c r="L543" s="163"/>
      <c r="M543" s="164"/>
      <c r="N543" s="164"/>
      <c r="O543" s="165"/>
      <c r="P543" s="166"/>
    </row>
    <row r="544" spans="1:16" ht="15.75" customHeight="1">
      <c r="A544" s="157"/>
      <c r="B544" s="158"/>
      <c r="C544" s="159"/>
      <c r="D544" s="160"/>
      <c r="E544" s="161"/>
      <c r="F544" s="162"/>
      <c r="G544" s="162"/>
      <c r="H544" s="160"/>
      <c r="I544" s="161"/>
      <c r="J544" s="163"/>
      <c r="K544" s="163"/>
      <c r="L544" s="163"/>
      <c r="M544" s="164"/>
      <c r="N544" s="164"/>
      <c r="O544" s="165"/>
      <c r="P544" s="166"/>
    </row>
    <row r="545" spans="1:16" ht="15.75" customHeight="1">
      <c r="A545" s="157"/>
      <c r="B545" s="158"/>
      <c r="C545" s="159"/>
      <c r="D545" s="160"/>
      <c r="E545" s="161"/>
      <c r="F545" s="162"/>
      <c r="G545" s="162"/>
      <c r="H545" s="160"/>
      <c r="I545" s="161"/>
      <c r="J545" s="163"/>
      <c r="K545" s="163"/>
      <c r="L545" s="163"/>
      <c r="M545" s="164"/>
      <c r="N545" s="164"/>
      <c r="O545" s="165"/>
      <c r="P545" s="166"/>
    </row>
    <row r="546" spans="1:16" ht="15.75" customHeight="1">
      <c r="A546" s="157"/>
      <c r="B546" s="158"/>
      <c r="C546" s="159"/>
      <c r="D546" s="160"/>
      <c r="E546" s="161"/>
      <c r="F546" s="162"/>
      <c r="G546" s="162"/>
      <c r="H546" s="160"/>
      <c r="I546" s="161"/>
      <c r="J546" s="163"/>
      <c r="K546" s="163"/>
      <c r="L546" s="163"/>
      <c r="M546" s="164"/>
      <c r="N546" s="164"/>
      <c r="O546" s="165"/>
      <c r="P546" s="166"/>
    </row>
    <row r="547" spans="1:16" ht="15.75" customHeight="1">
      <c r="A547" s="157"/>
      <c r="B547" s="158"/>
      <c r="C547" s="159"/>
      <c r="D547" s="160"/>
      <c r="E547" s="161"/>
      <c r="F547" s="162"/>
      <c r="G547" s="162"/>
      <c r="H547" s="160"/>
      <c r="I547" s="161"/>
      <c r="J547" s="163"/>
      <c r="K547" s="163"/>
      <c r="L547" s="163"/>
      <c r="M547" s="164"/>
      <c r="N547" s="164"/>
      <c r="O547" s="165"/>
      <c r="P547" s="166"/>
    </row>
    <row r="548" spans="1:16" ht="15.75" customHeight="1">
      <c r="A548" s="157"/>
      <c r="B548" s="158"/>
      <c r="C548" s="159"/>
      <c r="D548" s="160"/>
      <c r="E548" s="161"/>
      <c r="F548" s="162"/>
      <c r="G548" s="162"/>
      <c r="H548" s="160"/>
      <c r="I548" s="161"/>
      <c r="J548" s="163"/>
      <c r="K548" s="163"/>
      <c r="L548" s="163"/>
      <c r="M548" s="164"/>
      <c r="N548" s="164"/>
      <c r="O548" s="165"/>
      <c r="P548" s="166"/>
    </row>
    <row r="549" spans="1:16" ht="15.75" customHeight="1">
      <c r="A549" s="157"/>
      <c r="B549" s="158"/>
      <c r="C549" s="159"/>
      <c r="D549" s="160"/>
      <c r="E549" s="161"/>
      <c r="F549" s="162"/>
      <c r="G549" s="162"/>
      <c r="H549" s="160"/>
      <c r="I549" s="161"/>
      <c r="J549" s="163"/>
      <c r="K549" s="163"/>
      <c r="L549" s="163"/>
      <c r="M549" s="164"/>
      <c r="N549" s="164"/>
      <c r="O549" s="165"/>
      <c r="P549" s="166"/>
    </row>
    <row r="550" spans="1:16" ht="15.75" customHeight="1">
      <c r="A550" s="157"/>
      <c r="B550" s="158"/>
      <c r="C550" s="159"/>
      <c r="D550" s="160"/>
      <c r="E550" s="161"/>
      <c r="F550" s="162"/>
      <c r="G550" s="162"/>
      <c r="H550" s="160"/>
      <c r="I550" s="161"/>
      <c r="J550" s="163"/>
      <c r="K550" s="163"/>
      <c r="L550" s="163"/>
      <c r="M550" s="164"/>
      <c r="N550" s="164"/>
      <c r="O550" s="165"/>
      <c r="P550" s="166"/>
    </row>
    <row r="551" spans="1:16" ht="15.75" customHeight="1">
      <c r="A551" s="157"/>
      <c r="B551" s="158"/>
      <c r="C551" s="159"/>
      <c r="D551" s="160"/>
      <c r="E551" s="161"/>
      <c r="F551" s="162"/>
      <c r="G551" s="162"/>
      <c r="H551" s="160"/>
      <c r="I551" s="161"/>
      <c r="J551" s="163"/>
      <c r="K551" s="163"/>
      <c r="L551" s="163"/>
      <c r="M551" s="164"/>
      <c r="N551" s="164"/>
      <c r="O551" s="165"/>
      <c r="P551" s="166"/>
    </row>
    <row r="552" spans="1:16" ht="15.75" customHeight="1">
      <c r="A552" s="157"/>
      <c r="B552" s="158"/>
      <c r="C552" s="159"/>
      <c r="D552" s="160"/>
      <c r="E552" s="161"/>
      <c r="F552" s="162"/>
      <c r="G552" s="162"/>
      <c r="H552" s="160"/>
      <c r="I552" s="161"/>
      <c r="J552" s="163"/>
      <c r="K552" s="163"/>
      <c r="L552" s="163"/>
      <c r="M552" s="164"/>
      <c r="N552" s="164"/>
      <c r="O552" s="165"/>
      <c r="P552" s="166"/>
    </row>
    <row r="553" spans="1:16" ht="15.75" customHeight="1">
      <c r="A553" s="157"/>
      <c r="B553" s="158"/>
      <c r="C553" s="159"/>
      <c r="D553" s="160"/>
      <c r="E553" s="161"/>
      <c r="F553" s="162"/>
      <c r="G553" s="162"/>
      <c r="H553" s="160"/>
      <c r="I553" s="161"/>
      <c r="J553" s="163"/>
      <c r="K553" s="163"/>
      <c r="L553" s="163"/>
      <c r="M553" s="164"/>
      <c r="N553" s="164"/>
      <c r="O553" s="165"/>
      <c r="P553" s="166"/>
    </row>
    <row r="554" spans="1:16" ht="15.75" customHeight="1">
      <c r="A554" s="157"/>
      <c r="B554" s="158"/>
      <c r="C554" s="159"/>
      <c r="D554" s="160"/>
      <c r="E554" s="161"/>
      <c r="F554" s="162"/>
      <c r="G554" s="162"/>
      <c r="H554" s="160"/>
      <c r="I554" s="161"/>
      <c r="J554" s="163"/>
      <c r="K554" s="163"/>
      <c r="L554" s="163"/>
      <c r="M554" s="164"/>
      <c r="N554" s="164"/>
      <c r="O554" s="165"/>
      <c r="P554" s="166"/>
    </row>
    <row r="555" spans="1:16" ht="15.75" customHeight="1">
      <c r="A555" s="157"/>
      <c r="B555" s="158"/>
      <c r="C555" s="159"/>
      <c r="D555" s="160"/>
      <c r="E555" s="161"/>
      <c r="F555" s="162"/>
      <c r="G555" s="162"/>
      <c r="H555" s="160"/>
      <c r="I555" s="161"/>
      <c r="J555" s="163"/>
      <c r="K555" s="163"/>
      <c r="L555" s="163"/>
      <c r="M555" s="164"/>
      <c r="N555" s="164"/>
      <c r="O555" s="165"/>
      <c r="P555" s="166"/>
    </row>
    <row r="556" spans="1:16" ht="15.75" customHeight="1">
      <c r="A556" s="157"/>
      <c r="B556" s="158"/>
      <c r="C556" s="159"/>
      <c r="D556" s="160"/>
      <c r="E556" s="161"/>
      <c r="F556" s="162"/>
      <c r="G556" s="162"/>
      <c r="H556" s="160"/>
      <c r="I556" s="161"/>
      <c r="J556" s="163"/>
      <c r="K556" s="163"/>
      <c r="L556" s="163"/>
      <c r="M556" s="164"/>
      <c r="N556" s="164"/>
      <c r="O556" s="165"/>
      <c r="P556" s="166"/>
    </row>
    <row r="557" spans="1:16" ht="15.75" customHeight="1">
      <c r="A557" s="157"/>
      <c r="B557" s="158"/>
      <c r="C557" s="159"/>
      <c r="D557" s="160"/>
      <c r="E557" s="161"/>
      <c r="F557" s="162"/>
      <c r="G557" s="162"/>
      <c r="H557" s="160"/>
      <c r="I557" s="161"/>
      <c r="J557" s="163"/>
      <c r="K557" s="163"/>
      <c r="L557" s="163"/>
      <c r="M557" s="164"/>
      <c r="N557" s="164"/>
      <c r="O557" s="165"/>
      <c r="P557" s="166"/>
    </row>
    <row r="558" spans="1:16" ht="15.75" customHeight="1">
      <c r="A558" s="157"/>
      <c r="B558" s="158"/>
      <c r="C558" s="159"/>
      <c r="D558" s="160"/>
      <c r="E558" s="161"/>
      <c r="F558" s="162"/>
      <c r="G558" s="162"/>
      <c r="H558" s="160"/>
      <c r="I558" s="161"/>
      <c r="J558" s="163"/>
      <c r="K558" s="163"/>
      <c r="L558" s="163"/>
      <c r="M558" s="164"/>
      <c r="N558" s="164"/>
      <c r="O558" s="165"/>
      <c r="P558" s="166"/>
    </row>
    <row r="559" spans="1:16" ht="15.75" customHeight="1">
      <c r="A559" s="157"/>
      <c r="B559" s="158"/>
      <c r="C559" s="159"/>
      <c r="D559" s="160"/>
      <c r="E559" s="161"/>
      <c r="F559" s="162"/>
      <c r="G559" s="162"/>
      <c r="H559" s="160"/>
      <c r="I559" s="161"/>
      <c r="J559" s="163"/>
      <c r="K559" s="163"/>
      <c r="L559" s="163"/>
      <c r="M559" s="164"/>
      <c r="N559" s="164"/>
      <c r="O559" s="165"/>
      <c r="P559" s="166"/>
    </row>
    <row r="560" spans="1:16" ht="15.75" customHeight="1">
      <c r="A560" s="157"/>
      <c r="B560" s="158"/>
      <c r="C560" s="159"/>
      <c r="D560" s="160"/>
      <c r="E560" s="161"/>
      <c r="F560" s="162"/>
      <c r="G560" s="162"/>
      <c r="H560" s="160"/>
      <c r="I560" s="161"/>
      <c r="J560" s="163"/>
      <c r="K560" s="163"/>
      <c r="L560" s="163"/>
      <c r="M560" s="164"/>
      <c r="N560" s="164"/>
      <c r="O560" s="165"/>
      <c r="P560" s="166"/>
    </row>
    <row r="561" spans="1:16" ht="15.75" customHeight="1">
      <c r="A561" s="157"/>
      <c r="B561" s="158"/>
      <c r="C561" s="159"/>
      <c r="D561" s="160"/>
      <c r="E561" s="161"/>
      <c r="F561" s="162"/>
      <c r="G561" s="162"/>
      <c r="H561" s="160"/>
      <c r="I561" s="161"/>
      <c r="J561" s="163"/>
      <c r="K561" s="163"/>
      <c r="L561" s="163"/>
      <c r="M561" s="164"/>
      <c r="N561" s="164"/>
      <c r="O561" s="165"/>
      <c r="P561" s="166"/>
    </row>
    <row r="562" spans="1:16" ht="15.75" customHeight="1">
      <c r="A562" s="157"/>
      <c r="B562" s="158"/>
      <c r="C562" s="159"/>
      <c r="D562" s="160"/>
      <c r="E562" s="161"/>
      <c r="F562" s="162"/>
      <c r="G562" s="162"/>
      <c r="H562" s="160"/>
      <c r="I562" s="161"/>
      <c r="J562" s="163"/>
      <c r="K562" s="163"/>
      <c r="L562" s="163"/>
      <c r="M562" s="164"/>
      <c r="N562" s="164"/>
      <c r="O562" s="165"/>
      <c r="P562" s="166"/>
    </row>
    <row r="563" spans="1:16" ht="15.75" customHeight="1">
      <c r="A563" s="157"/>
      <c r="B563" s="158"/>
      <c r="C563" s="159"/>
      <c r="D563" s="160"/>
      <c r="E563" s="161"/>
      <c r="F563" s="162"/>
      <c r="G563" s="162"/>
      <c r="H563" s="160"/>
      <c r="I563" s="161"/>
      <c r="J563" s="163"/>
      <c r="K563" s="163"/>
      <c r="L563" s="163"/>
      <c r="M563" s="164"/>
      <c r="N563" s="164"/>
      <c r="O563" s="165"/>
      <c r="P563" s="166"/>
    </row>
    <row r="564" spans="1:16" ht="15.75" customHeight="1">
      <c r="A564" s="157"/>
      <c r="B564" s="158"/>
      <c r="C564" s="159"/>
      <c r="D564" s="160"/>
      <c r="E564" s="161"/>
      <c r="F564" s="162"/>
      <c r="G564" s="162"/>
      <c r="H564" s="160"/>
      <c r="I564" s="161"/>
      <c r="J564" s="163"/>
      <c r="K564" s="163"/>
      <c r="L564" s="163"/>
      <c r="M564" s="164"/>
      <c r="N564" s="164"/>
      <c r="O564" s="165"/>
      <c r="P564" s="166"/>
    </row>
    <row r="565" spans="1:16" ht="15.75" customHeight="1">
      <c r="A565" s="157"/>
      <c r="B565" s="158"/>
      <c r="C565" s="159"/>
      <c r="D565" s="160"/>
      <c r="E565" s="161"/>
      <c r="F565" s="162"/>
      <c r="G565" s="162"/>
      <c r="H565" s="160"/>
      <c r="I565" s="161"/>
      <c r="J565" s="163"/>
      <c r="K565" s="163"/>
      <c r="L565" s="163"/>
      <c r="M565" s="164"/>
      <c r="N565" s="164"/>
      <c r="O565" s="165"/>
      <c r="P565" s="166"/>
    </row>
    <row r="566" spans="1:16" ht="15.75" customHeight="1">
      <c r="A566" s="157"/>
      <c r="B566" s="158"/>
      <c r="C566" s="159"/>
      <c r="D566" s="160"/>
      <c r="E566" s="161"/>
      <c r="F566" s="162"/>
      <c r="G566" s="162"/>
      <c r="H566" s="160"/>
      <c r="I566" s="161"/>
      <c r="J566" s="163"/>
      <c r="K566" s="163"/>
      <c r="L566" s="163"/>
      <c r="M566" s="164"/>
      <c r="N566" s="164"/>
      <c r="O566" s="165"/>
      <c r="P566" s="166"/>
    </row>
    <row r="567" spans="1:16" ht="15.75" customHeight="1">
      <c r="A567" s="157"/>
      <c r="B567" s="158"/>
      <c r="C567" s="159"/>
      <c r="D567" s="160"/>
      <c r="E567" s="161"/>
      <c r="F567" s="162"/>
      <c r="G567" s="162"/>
      <c r="H567" s="160"/>
      <c r="I567" s="161"/>
      <c r="J567" s="163"/>
      <c r="K567" s="163"/>
      <c r="L567" s="163"/>
      <c r="M567" s="164"/>
      <c r="N567" s="164"/>
      <c r="O567" s="165"/>
      <c r="P567" s="166"/>
    </row>
    <row r="568" spans="1:16" ht="15.75" customHeight="1">
      <c r="A568" s="157"/>
      <c r="B568" s="158"/>
      <c r="C568" s="159"/>
      <c r="D568" s="160"/>
      <c r="E568" s="161"/>
      <c r="F568" s="162"/>
      <c r="G568" s="162"/>
      <c r="H568" s="160"/>
      <c r="I568" s="161"/>
      <c r="J568" s="163"/>
      <c r="K568" s="163"/>
      <c r="L568" s="163"/>
      <c r="M568" s="164"/>
      <c r="N568" s="164"/>
      <c r="O568" s="165"/>
      <c r="P568" s="166"/>
    </row>
    <row r="569" spans="1:16" ht="15.75" customHeight="1">
      <c r="A569" s="157"/>
      <c r="B569" s="158"/>
      <c r="C569" s="159"/>
      <c r="D569" s="160"/>
      <c r="E569" s="161"/>
      <c r="F569" s="162"/>
      <c r="G569" s="162"/>
      <c r="H569" s="160"/>
      <c r="I569" s="161"/>
      <c r="J569" s="163"/>
      <c r="K569" s="163"/>
      <c r="L569" s="163"/>
      <c r="M569" s="164"/>
      <c r="N569" s="164"/>
      <c r="O569" s="165"/>
      <c r="P569" s="166"/>
    </row>
    <row r="570" spans="1:16" ht="15.75" customHeight="1">
      <c r="A570" s="157"/>
      <c r="B570" s="158"/>
      <c r="C570" s="159"/>
      <c r="D570" s="160"/>
      <c r="E570" s="161"/>
      <c r="F570" s="162"/>
      <c r="G570" s="162"/>
      <c r="H570" s="160"/>
      <c r="I570" s="161"/>
      <c r="J570" s="163"/>
      <c r="K570" s="163"/>
      <c r="L570" s="163"/>
      <c r="M570" s="164"/>
      <c r="N570" s="164"/>
      <c r="O570" s="165"/>
      <c r="P570" s="166"/>
    </row>
    <row r="571" spans="1:16" ht="15.75" customHeight="1">
      <c r="A571" s="157"/>
      <c r="B571" s="158"/>
      <c r="C571" s="159"/>
      <c r="D571" s="160"/>
      <c r="E571" s="161"/>
      <c r="F571" s="162"/>
      <c r="G571" s="162"/>
      <c r="H571" s="160"/>
      <c r="I571" s="161"/>
      <c r="J571" s="163"/>
      <c r="K571" s="163"/>
      <c r="L571" s="163"/>
      <c r="M571" s="164"/>
      <c r="N571" s="164"/>
      <c r="O571" s="165"/>
      <c r="P571" s="166"/>
    </row>
    <row r="572" spans="1:16" ht="15.75" customHeight="1">
      <c r="A572" s="157"/>
      <c r="B572" s="158"/>
      <c r="C572" s="159"/>
      <c r="D572" s="160"/>
      <c r="E572" s="161"/>
      <c r="F572" s="162"/>
      <c r="G572" s="162"/>
      <c r="H572" s="160"/>
      <c r="I572" s="161"/>
      <c r="J572" s="163"/>
      <c r="K572" s="163"/>
      <c r="L572" s="163"/>
      <c r="M572" s="164"/>
      <c r="N572" s="164"/>
      <c r="O572" s="165"/>
      <c r="P572" s="166"/>
    </row>
    <row r="573" spans="1:16" ht="15.75" customHeight="1">
      <c r="A573" s="157"/>
      <c r="B573" s="158"/>
      <c r="C573" s="159"/>
      <c r="D573" s="160"/>
      <c r="E573" s="161"/>
      <c r="F573" s="162"/>
      <c r="G573" s="162"/>
      <c r="H573" s="160"/>
      <c r="I573" s="161"/>
      <c r="J573" s="163"/>
      <c r="K573" s="163"/>
      <c r="L573" s="163"/>
      <c r="M573" s="164"/>
      <c r="N573" s="164"/>
      <c r="O573" s="165"/>
      <c r="P573" s="166"/>
    </row>
    <row r="574" spans="1:16" ht="15.75" customHeight="1">
      <c r="A574" s="157"/>
      <c r="B574" s="158"/>
      <c r="C574" s="159"/>
      <c r="D574" s="160"/>
      <c r="E574" s="161"/>
      <c r="F574" s="162"/>
      <c r="G574" s="162"/>
      <c r="H574" s="160"/>
      <c r="I574" s="161"/>
      <c r="J574" s="163"/>
      <c r="K574" s="163"/>
      <c r="L574" s="163"/>
      <c r="M574" s="164"/>
      <c r="N574" s="164"/>
      <c r="O574" s="165"/>
      <c r="P574" s="166"/>
    </row>
    <row r="575" spans="1:16" ht="15.75" customHeight="1">
      <c r="A575" s="157"/>
      <c r="B575" s="158"/>
      <c r="C575" s="159"/>
      <c r="D575" s="160"/>
      <c r="E575" s="161"/>
      <c r="F575" s="162"/>
      <c r="G575" s="162"/>
      <c r="H575" s="160"/>
      <c r="I575" s="161"/>
      <c r="J575" s="163"/>
      <c r="K575" s="163"/>
      <c r="L575" s="163"/>
      <c r="M575" s="164"/>
      <c r="N575" s="164"/>
      <c r="O575" s="165"/>
      <c r="P575" s="166"/>
    </row>
    <row r="576" spans="1:16" ht="15.75" customHeight="1">
      <c r="A576" s="157"/>
      <c r="B576" s="158"/>
      <c r="C576" s="159"/>
      <c r="D576" s="160"/>
      <c r="E576" s="161"/>
      <c r="F576" s="162"/>
      <c r="G576" s="162"/>
      <c r="H576" s="160"/>
      <c r="I576" s="161"/>
      <c r="J576" s="163"/>
      <c r="K576" s="163"/>
      <c r="L576" s="163"/>
      <c r="M576" s="164"/>
      <c r="N576" s="164"/>
      <c r="O576" s="165"/>
      <c r="P576" s="166"/>
    </row>
    <row r="577" spans="1:16" ht="15.75" customHeight="1">
      <c r="A577" s="157"/>
      <c r="B577" s="158"/>
      <c r="C577" s="159"/>
      <c r="D577" s="160"/>
      <c r="E577" s="161"/>
      <c r="F577" s="162"/>
      <c r="G577" s="162"/>
      <c r="H577" s="160"/>
      <c r="I577" s="161"/>
      <c r="J577" s="163"/>
      <c r="K577" s="163"/>
      <c r="L577" s="163"/>
      <c r="M577" s="164"/>
      <c r="N577" s="164"/>
      <c r="O577" s="165"/>
      <c r="P577" s="166"/>
    </row>
    <row r="578" spans="1:16" ht="15.75" customHeight="1">
      <c r="A578" s="157"/>
      <c r="B578" s="158"/>
      <c r="C578" s="159"/>
      <c r="D578" s="160"/>
      <c r="E578" s="161"/>
      <c r="F578" s="162"/>
      <c r="G578" s="162"/>
      <c r="H578" s="160"/>
      <c r="I578" s="161"/>
      <c r="J578" s="163"/>
      <c r="K578" s="163"/>
      <c r="L578" s="163"/>
      <c r="M578" s="164"/>
      <c r="N578" s="164"/>
      <c r="O578" s="165"/>
      <c r="P578" s="166"/>
    </row>
    <row r="579" spans="1:16" ht="15.75" customHeight="1">
      <c r="A579" s="157"/>
      <c r="B579" s="158"/>
      <c r="C579" s="159"/>
      <c r="D579" s="160"/>
      <c r="E579" s="161"/>
      <c r="F579" s="162"/>
      <c r="G579" s="162"/>
      <c r="H579" s="160"/>
      <c r="I579" s="161"/>
      <c r="J579" s="163"/>
      <c r="K579" s="163"/>
      <c r="L579" s="163"/>
      <c r="M579" s="164"/>
      <c r="N579" s="164"/>
      <c r="O579" s="165"/>
      <c r="P579" s="166"/>
    </row>
    <row r="580" spans="1:16" ht="15.75" customHeight="1">
      <c r="A580" s="157"/>
      <c r="B580" s="158"/>
      <c r="C580" s="159"/>
      <c r="D580" s="160"/>
      <c r="E580" s="161"/>
      <c r="F580" s="162"/>
      <c r="G580" s="162"/>
      <c r="H580" s="160"/>
      <c r="I580" s="161"/>
      <c r="J580" s="163"/>
      <c r="K580" s="163"/>
      <c r="L580" s="163"/>
      <c r="M580" s="164"/>
      <c r="N580" s="164"/>
      <c r="O580" s="165"/>
      <c r="P580" s="166"/>
    </row>
    <row r="581" spans="1:16" ht="15.75" customHeight="1">
      <c r="A581" s="157"/>
      <c r="B581" s="158"/>
      <c r="C581" s="159"/>
      <c r="D581" s="160"/>
      <c r="E581" s="161"/>
      <c r="F581" s="162"/>
      <c r="G581" s="162"/>
      <c r="H581" s="160"/>
      <c r="I581" s="161"/>
      <c r="J581" s="163"/>
      <c r="K581" s="163"/>
      <c r="L581" s="163"/>
      <c r="M581" s="164"/>
      <c r="N581" s="164"/>
      <c r="O581" s="165"/>
      <c r="P581" s="166"/>
    </row>
    <row r="582" spans="1:16" ht="15.75" customHeight="1">
      <c r="A582" s="157"/>
      <c r="B582" s="158"/>
      <c r="C582" s="159"/>
      <c r="D582" s="160"/>
      <c r="E582" s="161"/>
      <c r="F582" s="162"/>
      <c r="G582" s="162"/>
      <c r="H582" s="160"/>
      <c r="I582" s="161"/>
      <c r="J582" s="163"/>
      <c r="K582" s="163"/>
      <c r="L582" s="163"/>
      <c r="M582" s="164"/>
      <c r="N582" s="164"/>
      <c r="O582" s="165"/>
      <c r="P582" s="166"/>
    </row>
    <row r="583" spans="1:16" ht="15.75" customHeight="1">
      <c r="A583" s="157"/>
      <c r="B583" s="158"/>
      <c r="C583" s="159"/>
      <c r="D583" s="160"/>
      <c r="E583" s="161"/>
      <c r="F583" s="162"/>
      <c r="G583" s="162"/>
      <c r="H583" s="160"/>
      <c r="I583" s="161"/>
      <c r="J583" s="163"/>
      <c r="K583" s="163"/>
      <c r="L583" s="163"/>
      <c r="M583" s="164"/>
      <c r="N583" s="164"/>
      <c r="O583" s="165"/>
      <c r="P583" s="166"/>
    </row>
    <row r="584" spans="1:16" ht="15.75" customHeight="1">
      <c r="A584" s="157"/>
      <c r="B584" s="158"/>
      <c r="C584" s="159"/>
      <c r="D584" s="160"/>
      <c r="E584" s="161"/>
      <c r="F584" s="162"/>
      <c r="G584" s="162"/>
      <c r="H584" s="160"/>
      <c r="I584" s="161"/>
      <c r="J584" s="163"/>
      <c r="K584" s="163"/>
      <c r="L584" s="163"/>
      <c r="M584" s="164"/>
      <c r="N584" s="164"/>
      <c r="O584" s="165"/>
      <c r="P584" s="166"/>
    </row>
    <row r="585" spans="1:16" ht="15.75" customHeight="1">
      <c r="A585" s="157"/>
      <c r="B585" s="158"/>
      <c r="C585" s="159"/>
      <c r="D585" s="160"/>
      <c r="E585" s="161"/>
      <c r="F585" s="162"/>
      <c r="G585" s="162"/>
      <c r="H585" s="160"/>
      <c r="I585" s="161"/>
      <c r="J585" s="163"/>
      <c r="K585" s="163"/>
      <c r="L585" s="163"/>
      <c r="M585" s="164"/>
      <c r="N585" s="164"/>
      <c r="O585" s="165"/>
      <c r="P585" s="166"/>
    </row>
    <row r="586" spans="1:16" ht="15.75" customHeight="1">
      <c r="A586" s="157"/>
      <c r="B586" s="158"/>
      <c r="C586" s="159"/>
      <c r="D586" s="160"/>
      <c r="E586" s="161"/>
      <c r="F586" s="162"/>
      <c r="G586" s="162"/>
      <c r="H586" s="160"/>
      <c r="I586" s="161"/>
      <c r="J586" s="163"/>
      <c r="K586" s="163"/>
      <c r="L586" s="163"/>
      <c r="M586" s="164"/>
      <c r="N586" s="164"/>
      <c r="O586" s="165"/>
      <c r="P586" s="166"/>
    </row>
    <row r="587" spans="1:16" ht="15.75" customHeight="1">
      <c r="A587" s="157"/>
      <c r="B587" s="158"/>
      <c r="C587" s="159"/>
      <c r="D587" s="160"/>
      <c r="E587" s="161"/>
      <c r="F587" s="162"/>
      <c r="G587" s="162"/>
      <c r="H587" s="160"/>
      <c r="I587" s="161"/>
      <c r="J587" s="163"/>
      <c r="K587" s="163"/>
      <c r="L587" s="163"/>
      <c r="M587" s="164"/>
      <c r="N587" s="164"/>
      <c r="O587" s="165"/>
      <c r="P587" s="166"/>
    </row>
    <row r="588" spans="1:16" ht="15.75" customHeight="1">
      <c r="A588" s="157"/>
      <c r="B588" s="158"/>
      <c r="C588" s="159"/>
      <c r="D588" s="160"/>
      <c r="E588" s="161"/>
      <c r="F588" s="162"/>
      <c r="G588" s="162"/>
      <c r="H588" s="160"/>
      <c r="I588" s="161"/>
      <c r="J588" s="163"/>
      <c r="K588" s="163"/>
      <c r="L588" s="163"/>
      <c r="M588" s="164"/>
      <c r="N588" s="164"/>
      <c r="O588" s="165"/>
      <c r="P588" s="166"/>
    </row>
    <row r="589" spans="1:16" ht="15.75" customHeight="1">
      <c r="A589" s="157"/>
      <c r="B589" s="158"/>
      <c r="C589" s="159"/>
      <c r="D589" s="160"/>
      <c r="E589" s="161"/>
      <c r="F589" s="162"/>
      <c r="G589" s="162"/>
      <c r="H589" s="160"/>
      <c r="I589" s="161"/>
      <c r="J589" s="163"/>
      <c r="K589" s="163"/>
      <c r="L589" s="163"/>
      <c r="M589" s="164"/>
      <c r="N589" s="164"/>
      <c r="O589" s="165"/>
      <c r="P589" s="166"/>
    </row>
    <row r="590" spans="1:16" ht="15.75" customHeight="1">
      <c r="A590" s="157"/>
      <c r="B590" s="158"/>
      <c r="C590" s="159"/>
      <c r="D590" s="160"/>
      <c r="E590" s="161"/>
      <c r="F590" s="162"/>
      <c r="G590" s="162"/>
      <c r="H590" s="160"/>
      <c r="I590" s="161"/>
      <c r="J590" s="163"/>
      <c r="K590" s="163"/>
      <c r="L590" s="163"/>
      <c r="M590" s="164"/>
      <c r="N590" s="164"/>
      <c r="O590" s="165"/>
      <c r="P590" s="166"/>
    </row>
    <row r="591" spans="1:16" ht="15.75" customHeight="1">
      <c r="A591" s="157"/>
      <c r="B591" s="158"/>
      <c r="C591" s="159"/>
      <c r="D591" s="160"/>
      <c r="E591" s="161"/>
      <c r="F591" s="162"/>
      <c r="G591" s="162"/>
      <c r="H591" s="160"/>
      <c r="I591" s="161"/>
      <c r="J591" s="163"/>
      <c r="K591" s="163"/>
      <c r="L591" s="163"/>
      <c r="M591" s="164"/>
      <c r="N591" s="164"/>
      <c r="O591" s="165"/>
      <c r="P591" s="166"/>
    </row>
    <row r="592" spans="1:16" ht="15.75" customHeight="1">
      <c r="A592" s="157"/>
      <c r="B592" s="158"/>
      <c r="C592" s="159"/>
      <c r="D592" s="160"/>
      <c r="E592" s="161"/>
      <c r="F592" s="162"/>
      <c r="G592" s="162"/>
      <c r="H592" s="160"/>
      <c r="I592" s="161"/>
      <c r="J592" s="163"/>
      <c r="K592" s="163"/>
      <c r="L592" s="163"/>
      <c r="M592" s="164"/>
      <c r="N592" s="164"/>
      <c r="O592" s="165"/>
      <c r="P592" s="166"/>
    </row>
    <row r="593" spans="1:16" ht="15.75" customHeight="1">
      <c r="A593" s="157"/>
      <c r="B593" s="158"/>
      <c r="C593" s="159"/>
      <c r="D593" s="160"/>
      <c r="E593" s="161"/>
      <c r="F593" s="162"/>
      <c r="G593" s="162"/>
      <c r="H593" s="160"/>
      <c r="I593" s="161"/>
      <c r="J593" s="163"/>
      <c r="K593" s="163"/>
      <c r="L593" s="163"/>
      <c r="M593" s="164"/>
      <c r="N593" s="164"/>
      <c r="O593" s="165"/>
      <c r="P593" s="166"/>
    </row>
    <row r="594" spans="1:16" ht="15.75" customHeight="1">
      <c r="A594" s="157"/>
      <c r="B594" s="158"/>
      <c r="C594" s="159"/>
      <c r="D594" s="160"/>
      <c r="E594" s="161"/>
      <c r="F594" s="162"/>
      <c r="G594" s="162"/>
      <c r="H594" s="160"/>
      <c r="I594" s="161"/>
      <c r="J594" s="163"/>
      <c r="K594" s="163"/>
      <c r="L594" s="163"/>
      <c r="M594" s="164"/>
      <c r="N594" s="164"/>
      <c r="O594" s="165"/>
      <c r="P594" s="166"/>
    </row>
    <row r="595" spans="1:16" ht="15.75" customHeight="1">
      <c r="A595" s="157"/>
      <c r="B595" s="158"/>
      <c r="C595" s="159"/>
      <c r="D595" s="160"/>
      <c r="E595" s="161"/>
      <c r="F595" s="162"/>
      <c r="G595" s="162"/>
      <c r="H595" s="160"/>
      <c r="I595" s="161"/>
      <c r="J595" s="163"/>
      <c r="K595" s="163"/>
      <c r="L595" s="163"/>
      <c r="M595" s="164"/>
      <c r="N595" s="164"/>
      <c r="O595" s="165"/>
      <c r="P595" s="166"/>
    </row>
    <row r="596" spans="1:16" ht="15.75" customHeight="1">
      <c r="A596" s="157"/>
      <c r="B596" s="158"/>
      <c r="C596" s="159"/>
      <c r="D596" s="160"/>
      <c r="E596" s="161"/>
      <c r="F596" s="162"/>
      <c r="G596" s="162"/>
      <c r="H596" s="160"/>
      <c r="I596" s="161"/>
      <c r="J596" s="163"/>
      <c r="K596" s="163"/>
      <c r="L596" s="163"/>
      <c r="M596" s="164"/>
      <c r="N596" s="164"/>
      <c r="O596" s="165"/>
      <c r="P596" s="166"/>
    </row>
    <row r="597" spans="1:16" ht="15.75" customHeight="1">
      <c r="A597" s="157"/>
      <c r="B597" s="158"/>
      <c r="C597" s="159"/>
      <c r="D597" s="160"/>
      <c r="E597" s="161"/>
      <c r="F597" s="162"/>
      <c r="G597" s="162"/>
      <c r="H597" s="160"/>
      <c r="I597" s="161"/>
      <c r="J597" s="163"/>
      <c r="K597" s="163"/>
      <c r="L597" s="163"/>
      <c r="M597" s="164"/>
      <c r="N597" s="164"/>
      <c r="O597" s="165"/>
      <c r="P597" s="166"/>
    </row>
    <row r="598" spans="1:16" ht="15.75" customHeight="1">
      <c r="A598" s="157"/>
      <c r="B598" s="158"/>
      <c r="C598" s="159"/>
      <c r="D598" s="160"/>
      <c r="E598" s="161"/>
      <c r="F598" s="162"/>
      <c r="G598" s="162"/>
      <c r="H598" s="160"/>
      <c r="I598" s="161"/>
      <c r="J598" s="163"/>
      <c r="K598" s="163"/>
      <c r="L598" s="163"/>
      <c r="M598" s="164"/>
      <c r="N598" s="164"/>
      <c r="O598" s="165"/>
      <c r="P598" s="166"/>
    </row>
    <row r="599" spans="1:16" ht="15.75" customHeight="1">
      <c r="A599" s="157"/>
      <c r="B599" s="158"/>
      <c r="C599" s="159"/>
      <c r="D599" s="160"/>
      <c r="E599" s="161"/>
      <c r="F599" s="162"/>
      <c r="G599" s="162"/>
      <c r="H599" s="160"/>
      <c r="I599" s="161"/>
      <c r="J599" s="163"/>
      <c r="K599" s="163"/>
      <c r="L599" s="163"/>
      <c r="M599" s="164"/>
      <c r="N599" s="164"/>
      <c r="O599" s="165"/>
      <c r="P599" s="166"/>
    </row>
    <row r="600" spans="1:16" ht="15.75" customHeight="1">
      <c r="A600" s="157"/>
      <c r="B600" s="158"/>
      <c r="C600" s="159"/>
      <c r="D600" s="160"/>
      <c r="E600" s="161"/>
      <c r="F600" s="162"/>
      <c r="G600" s="162"/>
      <c r="H600" s="160"/>
      <c r="I600" s="161"/>
      <c r="J600" s="163"/>
      <c r="K600" s="163"/>
      <c r="L600" s="163"/>
      <c r="M600" s="164"/>
      <c r="N600" s="164"/>
      <c r="O600" s="165"/>
      <c r="P600" s="166"/>
    </row>
    <row r="601" spans="1:16" ht="15.75" customHeight="1">
      <c r="A601" s="157"/>
      <c r="B601" s="158"/>
      <c r="C601" s="159"/>
      <c r="D601" s="160"/>
      <c r="E601" s="161"/>
      <c r="F601" s="162"/>
      <c r="G601" s="162"/>
      <c r="H601" s="160"/>
      <c r="I601" s="161"/>
      <c r="J601" s="163"/>
      <c r="K601" s="163"/>
      <c r="L601" s="163"/>
      <c r="M601" s="164"/>
      <c r="N601" s="164"/>
      <c r="O601" s="165"/>
      <c r="P601" s="166"/>
    </row>
    <row r="602" spans="1:16" ht="15.75" customHeight="1">
      <c r="A602" s="157"/>
      <c r="B602" s="158"/>
      <c r="C602" s="159"/>
      <c r="D602" s="160"/>
      <c r="E602" s="161"/>
      <c r="F602" s="162"/>
      <c r="G602" s="162"/>
      <c r="H602" s="160"/>
      <c r="I602" s="161"/>
      <c r="J602" s="163"/>
      <c r="K602" s="163"/>
      <c r="L602" s="163"/>
      <c r="M602" s="164"/>
      <c r="N602" s="164"/>
      <c r="O602" s="165"/>
      <c r="P602" s="166"/>
    </row>
    <row r="603" spans="1:16" ht="15.75" customHeight="1">
      <c r="A603" s="157"/>
      <c r="B603" s="158"/>
      <c r="C603" s="159"/>
      <c r="D603" s="160"/>
      <c r="E603" s="161"/>
      <c r="F603" s="162"/>
      <c r="G603" s="162"/>
      <c r="H603" s="160"/>
      <c r="I603" s="161"/>
      <c r="J603" s="163"/>
      <c r="K603" s="163"/>
      <c r="L603" s="163"/>
      <c r="M603" s="164"/>
      <c r="N603" s="164"/>
      <c r="O603" s="165"/>
      <c r="P603" s="166"/>
    </row>
    <row r="604" spans="1:16" ht="15.75" customHeight="1">
      <c r="A604" s="157"/>
      <c r="B604" s="158"/>
      <c r="C604" s="159"/>
      <c r="D604" s="160"/>
      <c r="E604" s="161"/>
      <c r="F604" s="162"/>
      <c r="G604" s="162"/>
      <c r="H604" s="160"/>
      <c r="I604" s="161"/>
      <c r="J604" s="163"/>
      <c r="K604" s="163"/>
      <c r="L604" s="163"/>
      <c r="M604" s="164"/>
      <c r="N604" s="164"/>
      <c r="O604" s="165"/>
      <c r="P604" s="166"/>
    </row>
    <row r="605" spans="1:16" ht="15.75" customHeight="1">
      <c r="A605" s="157"/>
      <c r="B605" s="158"/>
      <c r="C605" s="159"/>
      <c r="D605" s="160"/>
      <c r="E605" s="161"/>
      <c r="F605" s="162"/>
      <c r="G605" s="162"/>
      <c r="H605" s="160"/>
      <c r="I605" s="161"/>
      <c r="J605" s="163"/>
      <c r="K605" s="163"/>
      <c r="L605" s="163"/>
      <c r="M605" s="164"/>
      <c r="N605" s="164"/>
      <c r="O605" s="165"/>
      <c r="P605" s="166"/>
    </row>
    <row r="606" spans="1:16" ht="15.75" customHeight="1">
      <c r="A606" s="157"/>
      <c r="B606" s="158"/>
      <c r="C606" s="159"/>
      <c r="D606" s="160"/>
      <c r="E606" s="161"/>
      <c r="F606" s="162"/>
      <c r="G606" s="162"/>
      <c r="H606" s="160"/>
      <c r="I606" s="161"/>
      <c r="J606" s="163"/>
      <c r="K606" s="163"/>
      <c r="L606" s="163"/>
      <c r="M606" s="164"/>
      <c r="N606" s="164"/>
      <c r="O606" s="165"/>
      <c r="P606" s="166"/>
    </row>
    <row r="607" spans="1:16" ht="15.75" customHeight="1">
      <c r="A607" s="157"/>
      <c r="B607" s="158"/>
      <c r="C607" s="159"/>
      <c r="D607" s="160"/>
      <c r="E607" s="161"/>
      <c r="F607" s="162"/>
      <c r="G607" s="162"/>
      <c r="H607" s="160"/>
      <c r="I607" s="161"/>
      <c r="J607" s="163"/>
      <c r="K607" s="163"/>
      <c r="L607" s="163"/>
      <c r="M607" s="164"/>
      <c r="N607" s="164"/>
      <c r="O607" s="165"/>
      <c r="P607" s="166"/>
    </row>
    <row r="608" spans="1:16" ht="15.75" customHeight="1">
      <c r="A608" s="157"/>
      <c r="B608" s="158"/>
      <c r="C608" s="159"/>
      <c r="D608" s="160"/>
      <c r="E608" s="161"/>
      <c r="F608" s="162"/>
      <c r="G608" s="162"/>
      <c r="H608" s="160"/>
      <c r="I608" s="161"/>
      <c r="J608" s="163"/>
      <c r="K608" s="163"/>
      <c r="L608" s="163"/>
      <c r="M608" s="164"/>
      <c r="N608" s="164"/>
      <c r="O608" s="165"/>
      <c r="P608" s="166"/>
    </row>
    <row r="609" spans="1:16" ht="15.75" customHeight="1">
      <c r="A609" s="157"/>
      <c r="B609" s="158"/>
      <c r="C609" s="159"/>
      <c r="D609" s="160"/>
      <c r="E609" s="161"/>
      <c r="F609" s="162"/>
      <c r="G609" s="162"/>
      <c r="H609" s="160"/>
      <c r="I609" s="161"/>
      <c r="J609" s="163"/>
      <c r="K609" s="163"/>
      <c r="L609" s="163"/>
      <c r="M609" s="164"/>
      <c r="N609" s="164"/>
      <c r="O609" s="165"/>
      <c r="P609" s="166"/>
    </row>
    <row r="610" spans="1:16" ht="15.75" customHeight="1">
      <c r="A610" s="157"/>
      <c r="B610" s="158"/>
      <c r="C610" s="159"/>
      <c r="D610" s="160"/>
      <c r="E610" s="161"/>
      <c r="F610" s="162"/>
      <c r="G610" s="162"/>
      <c r="H610" s="160"/>
      <c r="I610" s="161"/>
      <c r="J610" s="163"/>
      <c r="K610" s="163"/>
      <c r="L610" s="163"/>
      <c r="M610" s="164"/>
      <c r="N610" s="164"/>
      <c r="O610" s="165"/>
      <c r="P610" s="166"/>
    </row>
    <row r="611" spans="1:16" ht="15.75" customHeight="1">
      <c r="A611" s="157"/>
      <c r="B611" s="158"/>
      <c r="C611" s="159"/>
      <c r="D611" s="160"/>
      <c r="E611" s="161"/>
      <c r="F611" s="162"/>
      <c r="G611" s="162"/>
      <c r="H611" s="160"/>
      <c r="I611" s="161"/>
      <c r="J611" s="163"/>
      <c r="K611" s="163"/>
      <c r="L611" s="163"/>
      <c r="M611" s="164"/>
      <c r="N611" s="164"/>
      <c r="O611" s="165"/>
      <c r="P611" s="166"/>
    </row>
    <row r="612" spans="1:16" ht="15.75" customHeight="1">
      <c r="A612" s="157"/>
      <c r="B612" s="158"/>
      <c r="C612" s="159"/>
      <c r="D612" s="160"/>
      <c r="E612" s="161"/>
      <c r="F612" s="162"/>
      <c r="G612" s="162"/>
      <c r="H612" s="160"/>
      <c r="I612" s="161"/>
      <c r="J612" s="163"/>
      <c r="K612" s="163"/>
      <c r="L612" s="163"/>
      <c r="M612" s="164"/>
      <c r="N612" s="164"/>
      <c r="O612" s="165"/>
      <c r="P612" s="166"/>
    </row>
    <row r="613" spans="1:16" ht="15.75" customHeight="1">
      <c r="A613" s="157"/>
      <c r="B613" s="158"/>
      <c r="C613" s="159"/>
      <c r="D613" s="160"/>
      <c r="E613" s="161"/>
      <c r="F613" s="162"/>
      <c r="G613" s="162"/>
      <c r="H613" s="160"/>
      <c r="I613" s="161"/>
      <c r="J613" s="163"/>
      <c r="K613" s="163"/>
      <c r="L613" s="163"/>
      <c r="M613" s="164"/>
      <c r="N613" s="164"/>
      <c r="O613" s="165"/>
      <c r="P613" s="166"/>
    </row>
    <row r="614" spans="1:16" ht="15.75" customHeight="1">
      <c r="A614" s="157"/>
      <c r="B614" s="158"/>
      <c r="C614" s="159"/>
      <c r="D614" s="160"/>
      <c r="E614" s="161"/>
      <c r="F614" s="162"/>
      <c r="G614" s="162"/>
      <c r="H614" s="160"/>
      <c r="I614" s="161"/>
      <c r="J614" s="163"/>
      <c r="K614" s="163"/>
      <c r="L614" s="163"/>
      <c r="M614" s="164"/>
      <c r="N614" s="164"/>
      <c r="O614" s="165"/>
      <c r="P614" s="166"/>
    </row>
    <row r="615" spans="1:16" ht="15.75" customHeight="1">
      <c r="A615" s="157"/>
      <c r="B615" s="158"/>
      <c r="C615" s="159"/>
      <c r="D615" s="160"/>
      <c r="E615" s="161"/>
      <c r="F615" s="162"/>
      <c r="G615" s="162"/>
      <c r="H615" s="160"/>
      <c r="I615" s="161"/>
      <c r="J615" s="163"/>
      <c r="K615" s="163"/>
      <c r="L615" s="163"/>
      <c r="M615" s="164"/>
      <c r="N615" s="164"/>
      <c r="O615" s="165"/>
      <c r="P615" s="166"/>
    </row>
    <row r="616" spans="1:16" ht="15.75" customHeight="1">
      <c r="A616" s="157"/>
      <c r="B616" s="158"/>
      <c r="C616" s="159"/>
      <c r="D616" s="160"/>
      <c r="E616" s="161"/>
      <c r="F616" s="162"/>
      <c r="G616" s="162"/>
      <c r="H616" s="160"/>
      <c r="I616" s="161"/>
      <c r="J616" s="163"/>
      <c r="K616" s="163"/>
      <c r="L616" s="163"/>
      <c r="M616" s="164"/>
      <c r="N616" s="164"/>
      <c r="O616" s="165"/>
      <c r="P616" s="166"/>
    </row>
    <row r="617" spans="1:16" ht="15.75" customHeight="1">
      <c r="A617" s="157"/>
      <c r="B617" s="158"/>
      <c r="C617" s="159"/>
      <c r="D617" s="160"/>
      <c r="E617" s="161"/>
      <c r="F617" s="162"/>
      <c r="G617" s="162"/>
      <c r="H617" s="160"/>
      <c r="I617" s="161"/>
      <c r="J617" s="163"/>
      <c r="K617" s="163"/>
      <c r="L617" s="163"/>
      <c r="M617" s="164"/>
      <c r="N617" s="164"/>
      <c r="O617" s="165"/>
      <c r="P617" s="166"/>
    </row>
    <row r="618" spans="1:16" ht="15.75" customHeight="1">
      <c r="A618" s="157"/>
      <c r="B618" s="158"/>
      <c r="C618" s="159"/>
      <c r="D618" s="160"/>
      <c r="E618" s="161"/>
      <c r="F618" s="162"/>
      <c r="G618" s="162"/>
      <c r="H618" s="160"/>
      <c r="I618" s="161"/>
      <c r="J618" s="163"/>
      <c r="K618" s="163"/>
      <c r="L618" s="163"/>
      <c r="M618" s="164"/>
      <c r="N618" s="164"/>
      <c r="O618" s="165"/>
      <c r="P618" s="166"/>
    </row>
    <row r="619" spans="1:16" ht="15.75" customHeight="1">
      <c r="A619" s="157"/>
      <c r="B619" s="158"/>
      <c r="C619" s="159"/>
      <c r="D619" s="160"/>
      <c r="E619" s="161"/>
      <c r="F619" s="162"/>
      <c r="G619" s="162"/>
      <c r="H619" s="160"/>
      <c r="I619" s="161"/>
      <c r="J619" s="163"/>
      <c r="K619" s="163"/>
      <c r="L619" s="163"/>
      <c r="M619" s="164"/>
      <c r="N619" s="164"/>
      <c r="O619" s="165"/>
      <c r="P619" s="166"/>
    </row>
    <row r="620" spans="1:16" ht="15.75" customHeight="1">
      <c r="A620" s="157"/>
      <c r="B620" s="158"/>
      <c r="C620" s="159"/>
      <c r="D620" s="160"/>
      <c r="E620" s="161"/>
      <c r="F620" s="162"/>
      <c r="G620" s="162"/>
      <c r="H620" s="160"/>
      <c r="I620" s="161"/>
      <c r="J620" s="163"/>
      <c r="K620" s="163"/>
      <c r="L620" s="163"/>
      <c r="M620" s="164"/>
      <c r="N620" s="164"/>
      <c r="O620" s="165"/>
      <c r="P620" s="166"/>
    </row>
    <row r="621" spans="1:16" ht="15.75" customHeight="1">
      <c r="A621" s="157"/>
      <c r="B621" s="158"/>
      <c r="C621" s="159"/>
      <c r="D621" s="160"/>
      <c r="E621" s="161"/>
      <c r="F621" s="162"/>
      <c r="G621" s="162"/>
      <c r="H621" s="160"/>
      <c r="I621" s="161"/>
      <c r="J621" s="163"/>
      <c r="K621" s="163"/>
      <c r="L621" s="163"/>
      <c r="M621" s="164"/>
      <c r="N621" s="164"/>
      <c r="O621" s="165"/>
      <c r="P621" s="166"/>
    </row>
    <row r="622" spans="1:16" ht="15.75" customHeight="1">
      <c r="A622" s="157"/>
      <c r="B622" s="158"/>
      <c r="C622" s="159"/>
      <c r="D622" s="160"/>
      <c r="E622" s="161"/>
      <c r="F622" s="162"/>
      <c r="G622" s="162"/>
      <c r="H622" s="160"/>
      <c r="I622" s="161"/>
      <c r="J622" s="163"/>
      <c r="K622" s="163"/>
      <c r="L622" s="163"/>
      <c r="M622" s="164"/>
      <c r="N622" s="164"/>
      <c r="O622" s="165"/>
      <c r="P622" s="166"/>
    </row>
    <row r="623" spans="1:16" ht="15.75" customHeight="1">
      <c r="A623" s="157"/>
      <c r="B623" s="158"/>
      <c r="C623" s="159"/>
      <c r="D623" s="160"/>
      <c r="E623" s="161"/>
      <c r="F623" s="162"/>
      <c r="G623" s="162"/>
      <c r="H623" s="160"/>
      <c r="I623" s="161"/>
      <c r="J623" s="163"/>
      <c r="K623" s="163"/>
      <c r="L623" s="163"/>
      <c r="M623" s="164"/>
      <c r="N623" s="164"/>
      <c r="O623" s="165"/>
      <c r="P623" s="166"/>
    </row>
    <row r="624" spans="1:16" ht="15.75" customHeight="1">
      <c r="A624" s="157"/>
      <c r="B624" s="158"/>
      <c r="C624" s="159"/>
      <c r="D624" s="160"/>
      <c r="E624" s="161"/>
      <c r="F624" s="162"/>
      <c r="G624" s="162"/>
      <c r="H624" s="160"/>
      <c r="I624" s="161"/>
      <c r="J624" s="163"/>
      <c r="K624" s="163"/>
      <c r="L624" s="163"/>
      <c r="M624" s="164"/>
      <c r="N624" s="164"/>
      <c r="O624" s="165"/>
      <c r="P624" s="166"/>
    </row>
    <row r="625" spans="1:16" ht="15.75" customHeight="1">
      <c r="A625" s="157"/>
      <c r="B625" s="158"/>
      <c r="C625" s="159"/>
      <c r="D625" s="160"/>
      <c r="E625" s="161"/>
      <c r="F625" s="162"/>
      <c r="G625" s="162"/>
      <c r="H625" s="160"/>
      <c r="I625" s="161"/>
      <c r="J625" s="163"/>
      <c r="K625" s="163"/>
      <c r="L625" s="163"/>
      <c r="M625" s="164"/>
      <c r="N625" s="164"/>
      <c r="O625" s="165"/>
      <c r="P625" s="166"/>
    </row>
    <row r="626" spans="1:16" ht="15.75" customHeight="1">
      <c r="A626" s="157"/>
      <c r="B626" s="158"/>
      <c r="C626" s="159"/>
      <c r="D626" s="160"/>
      <c r="E626" s="161"/>
      <c r="F626" s="162"/>
      <c r="G626" s="162"/>
      <c r="H626" s="160"/>
      <c r="I626" s="161"/>
      <c r="J626" s="163"/>
      <c r="K626" s="163"/>
      <c r="L626" s="163"/>
      <c r="M626" s="164"/>
      <c r="N626" s="164"/>
      <c r="O626" s="165"/>
      <c r="P626" s="166"/>
    </row>
    <row r="627" spans="1:16" ht="15.75" customHeight="1">
      <c r="A627" s="157"/>
      <c r="B627" s="158"/>
      <c r="C627" s="159"/>
      <c r="D627" s="160"/>
      <c r="E627" s="161"/>
      <c r="F627" s="162"/>
      <c r="G627" s="162"/>
      <c r="H627" s="160"/>
      <c r="I627" s="161"/>
      <c r="J627" s="163"/>
      <c r="K627" s="163"/>
      <c r="L627" s="163"/>
      <c r="M627" s="164"/>
      <c r="N627" s="164"/>
      <c r="O627" s="165"/>
      <c r="P627" s="166"/>
    </row>
    <row r="628" spans="1:16" ht="15.75" customHeight="1">
      <c r="A628" s="157"/>
      <c r="B628" s="158"/>
      <c r="C628" s="159"/>
      <c r="D628" s="160"/>
      <c r="E628" s="161"/>
      <c r="F628" s="162"/>
      <c r="G628" s="162"/>
      <c r="H628" s="160"/>
      <c r="I628" s="161"/>
      <c r="J628" s="163"/>
      <c r="K628" s="163"/>
      <c r="L628" s="163"/>
      <c r="M628" s="164"/>
      <c r="N628" s="164"/>
      <c r="O628" s="165"/>
      <c r="P628" s="166"/>
    </row>
    <row r="629" spans="1:16" ht="15.75" customHeight="1">
      <c r="A629" s="157"/>
      <c r="B629" s="158"/>
      <c r="C629" s="159"/>
      <c r="D629" s="160"/>
      <c r="E629" s="161"/>
      <c r="F629" s="162"/>
      <c r="G629" s="162"/>
      <c r="H629" s="160"/>
      <c r="I629" s="161"/>
      <c r="J629" s="163"/>
      <c r="K629" s="163"/>
      <c r="L629" s="163"/>
      <c r="M629" s="164"/>
      <c r="N629" s="164"/>
      <c r="O629" s="165"/>
      <c r="P629" s="166"/>
    </row>
    <row r="630" spans="1:16" ht="15.75" customHeight="1">
      <c r="A630" s="157"/>
      <c r="B630" s="158"/>
      <c r="C630" s="159"/>
      <c r="D630" s="160"/>
      <c r="E630" s="161"/>
      <c r="F630" s="162"/>
      <c r="G630" s="162"/>
      <c r="H630" s="160"/>
      <c r="I630" s="161"/>
      <c r="J630" s="163"/>
      <c r="K630" s="163"/>
      <c r="L630" s="163"/>
      <c r="M630" s="164"/>
      <c r="N630" s="164"/>
      <c r="O630" s="165"/>
      <c r="P630" s="166"/>
    </row>
    <row r="631" spans="1:16" ht="15.75" customHeight="1">
      <c r="A631" s="157"/>
      <c r="B631" s="158"/>
      <c r="C631" s="159"/>
      <c r="D631" s="160"/>
      <c r="E631" s="161"/>
      <c r="F631" s="162"/>
      <c r="G631" s="162"/>
      <c r="H631" s="160"/>
      <c r="I631" s="161"/>
      <c r="J631" s="163"/>
      <c r="K631" s="163"/>
      <c r="L631" s="163"/>
      <c r="M631" s="164"/>
      <c r="N631" s="164"/>
      <c r="O631" s="165"/>
      <c r="P631" s="166"/>
    </row>
    <row r="632" spans="1:16" ht="15.75" customHeight="1">
      <c r="A632" s="157"/>
      <c r="B632" s="158"/>
      <c r="C632" s="159"/>
      <c r="D632" s="160"/>
      <c r="E632" s="161"/>
      <c r="F632" s="162"/>
      <c r="G632" s="162"/>
      <c r="H632" s="160"/>
      <c r="I632" s="161"/>
      <c r="J632" s="163"/>
      <c r="K632" s="163"/>
      <c r="L632" s="163"/>
      <c r="M632" s="164"/>
      <c r="N632" s="164"/>
      <c r="O632" s="165"/>
      <c r="P632" s="166"/>
    </row>
    <row r="633" spans="1:16" ht="15.75" customHeight="1">
      <c r="A633" s="157"/>
      <c r="B633" s="158"/>
      <c r="C633" s="159"/>
      <c r="D633" s="160"/>
      <c r="E633" s="161"/>
      <c r="F633" s="162"/>
      <c r="G633" s="162"/>
      <c r="H633" s="160"/>
      <c r="I633" s="161"/>
      <c r="J633" s="163"/>
      <c r="K633" s="163"/>
      <c r="L633" s="163"/>
      <c r="M633" s="164"/>
      <c r="N633" s="164"/>
      <c r="O633" s="165"/>
      <c r="P633" s="166"/>
    </row>
    <row r="634" spans="1:16" ht="15.75" customHeight="1">
      <c r="A634" s="157"/>
      <c r="B634" s="158"/>
      <c r="C634" s="159"/>
      <c r="D634" s="160"/>
      <c r="E634" s="161"/>
      <c r="F634" s="162"/>
      <c r="G634" s="162"/>
      <c r="H634" s="160"/>
      <c r="I634" s="161"/>
      <c r="J634" s="163"/>
      <c r="K634" s="163"/>
      <c r="L634" s="163"/>
      <c r="M634" s="164"/>
      <c r="N634" s="164"/>
      <c r="O634" s="165"/>
      <c r="P634" s="166"/>
    </row>
    <row r="635" spans="1:16" ht="15.75" customHeight="1">
      <c r="A635" s="157"/>
      <c r="B635" s="158"/>
      <c r="C635" s="159"/>
      <c r="D635" s="160"/>
      <c r="E635" s="161"/>
      <c r="F635" s="162"/>
      <c r="G635" s="162"/>
      <c r="H635" s="160"/>
      <c r="I635" s="161"/>
      <c r="J635" s="163"/>
      <c r="K635" s="163"/>
      <c r="L635" s="163"/>
      <c r="M635" s="164"/>
      <c r="N635" s="164"/>
      <c r="O635" s="165"/>
      <c r="P635" s="166"/>
    </row>
    <row r="636" spans="1:16" ht="15.75" customHeight="1">
      <c r="A636" s="157"/>
      <c r="B636" s="158"/>
      <c r="C636" s="159"/>
      <c r="D636" s="160"/>
      <c r="E636" s="161"/>
      <c r="F636" s="162"/>
      <c r="G636" s="162"/>
      <c r="H636" s="160"/>
      <c r="I636" s="161"/>
      <c r="J636" s="163"/>
      <c r="K636" s="163"/>
      <c r="L636" s="163"/>
      <c r="M636" s="164"/>
      <c r="N636" s="164"/>
      <c r="O636" s="165"/>
      <c r="P636" s="166"/>
    </row>
    <row r="637" spans="1:16" ht="15.75" customHeight="1">
      <c r="A637" s="157"/>
      <c r="B637" s="158"/>
      <c r="C637" s="159"/>
      <c r="D637" s="160"/>
      <c r="E637" s="161"/>
      <c r="F637" s="162"/>
      <c r="G637" s="162"/>
      <c r="H637" s="160"/>
      <c r="I637" s="161"/>
      <c r="J637" s="163"/>
      <c r="K637" s="163"/>
      <c r="L637" s="163"/>
      <c r="M637" s="164"/>
      <c r="N637" s="164"/>
      <c r="O637" s="165"/>
      <c r="P637" s="166"/>
    </row>
    <row r="638" spans="1:16" ht="15.75" customHeight="1">
      <c r="A638" s="157"/>
      <c r="B638" s="158"/>
      <c r="C638" s="159"/>
      <c r="D638" s="160"/>
      <c r="E638" s="161"/>
      <c r="F638" s="162"/>
      <c r="G638" s="162"/>
      <c r="H638" s="160"/>
      <c r="I638" s="161"/>
      <c r="J638" s="163"/>
      <c r="K638" s="163"/>
      <c r="L638" s="163"/>
      <c r="M638" s="164"/>
      <c r="N638" s="164"/>
      <c r="O638" s="165"/>
      <c r="P638" s="166"/>
    </row>
    <row r="639" spans="1:16" ht="15.75" customHeight="1">
      <c r="A639" s="157"/>
      <c r="B639" s="158"/>
      <c r="C639" s="159"/>
      <c r="D639" s="160"/>
      <c r="E639" s="161"/>
      <c r="F639" s="162"/>
      <c r="G639" s="162"/>
      <c r="H639" s="160"/>
      <c r="I639" s="161"/>
      <c r="J639" s="163"/>
      <c r="K639" s="163"/>
      <c r="L639" s="163"/>
      <c r="M639" s="164"/>
      <c r="N639" s="164"/>
      <c r="O639" s="165"/>
      <c r="P639" s="166"/>
    </row>
    <row r="640" spans="1:16" ht="15.75" customHeight="1">
      <c r="A640" s="157"/>
      <c r="B640" s="158"/>
      <c r="C640" s="159"/>
      <c r="D640" s="160"/>
      <c r="E640" s="161"/>
      <c r="F640" s="162"/>
      <c r="G640" s="162"/>
      <c r="H640" s="160"/>
      <c r="I640" s="161"/>
      <c r="J640" s="163"/>
      <c r="K640" s="163"/>
      <c r="L640" s="163"/>
      <c r="M640" s="164"/>
      <c r="N640" s="164"/>
      <c r="O640" s="165"/>
      <c r="P640" s="166"/>
    </row>
    <row r="641" spans="1:16" ht="15.75" customHeight="1">
      <c r="A641" s="157"/>
      <c r="B641" s="158"/>
      <c r="C641" s="159"/>
      <c r="D641" s="160"/>
      <c r="E641" s="161"/>
      <c r="F641" s="162"/>
      <c r="G641" s="162"/>
      <c r="H641" s="160"/>
      <c r="I641" s="161"/>
      <c r="J641" s="163"/>
      <c r="K641" s="163"/>
      <c r="L641" s="163"/>
      <c r="M641" s="164"/>
      <c r="N641" s="164"/>
      <c r="O641" s="165"/>
      <c r="P641" s="166"/>
    </row>
    <row r="642" spans="1:16" ht="15.75" customHeight="1">
      <c r="A642" s="157"/>
      <c r="B642" s="158"/>
      <c r="C642" s="159"/>
      <c r="D642" s="160"/>
      <c r="E642" s="161"/>
      <c r="F642" s="162"/>
      <c r="G642" s="162"/>
      <c r="H642" s="160"/>
      <c r="I642" s="161"/>
      <c r="J642" s="163"/>
      <c r="K642" s="163"/>
      <c r="L642" s="163"/>
      <c r="M642" s="164"/>
      <c r="N642" s="164"/>
      <c r="O642" s="165"/>
      <c r="P642" s="166"/>
    </row>
    <row r="643" spans="1:16" ht="15.75" customHeight="1">
      <c r="A643" s="157"/>
      <c r="B643" s="158"/>
      <c r="C643" s="159"/>
      <c r="D643" s="160"/>
      <c r="E643" s="161"/>
      <c r="F643" s="162"/>
      <c r="G643" s="162"/>
      <c r="H643" s="160"/>
      <c r="I643" s="161"/>
      <c r="J643" s="163"/>
      <c r="K643" s="163"/>
      <c r="L643" s="163"/>
      <c r="M643" s="164"/>
      <c r="N643" s="164"/>
      <c r="O643" s="165"/>
      <c r="P643" s="166"/>
    </row>
    <row r="644" spans="1:16" ht="15.75" customHeight="1">
      <c r="A644" s="157"/>
      <c r="B644" s="158"/>
      <c r="C644" s="159"/>
      <c r="D644" s="160"/>
      <c r="E644" s="161"/>
      <c r="F644" s="162"/>
      <c r="G644" s="162"/>
      <c r="H644" s="160"/>
      <c r="I644" s="161"/>
      <c r="J644" s="163"/>
      <c r="K644" s="163"/>
      <c r="L644" s="163"/>
      <c r="M644" s="164"/>
      <c r="N644" s="164"/>
      <c r="O644" s="165"/>
      <c r="P644" s="166"/>
    </row>
    <row r="645" spans="1:16" ht="15.75" customHeight="1">
      <c r="A645" s="157"/>
      <c r="B645" s="158"/>
      <c r="C645" s="159"/>
      <c r="D645" s="160"/>
      <c r="E645" s="161"/>
      <c r="F645" s="162"/>
      <c r="G645" s="162"/>
      <c r="H645" s="160"/>
      <c r="I645" s="161"/>
      <c r="J645" s="163"/>
      <c r="K645" s="163"/>
      <c r="L645" s="163"/>
      <c r="M645" s="164"/>
      <c r="N645" s="164"/>
      <c r="O645" s="165"/>
      <c r="P645" s="166"/>
    </row>
    <row r="646" spans="1:16" ht="15.75" customHeight="1">
      <c r="A646" s="157"/>
      <c r="B646" s="158"/>
      <c r="C646" s="159"/>
      <c r="D646" s="160"/>
      <c r="E646" s="161"/>
      <c r="F646" s="162"/>
      <c r="G646" s="162"/>
      <c r="H646" s="160"/>
      <c r="I646" s="161"/>
      <c r="J646" s="163"/>
      <c r="K646" s="163"/>
      <c r="L646" s="163"/>
      <c r="M646" s="164"/>
      <c r="N646" s="164"/>
      <c r="O646" s="165"/>
      <c r="P646" s="166"/>
    </row>
    <row r="647" spans="1:16" ht="15.75" customHeight="1">
      <c r="A647" s="157"/>
      <c r="B647" s="158"/>
      <c r="C647" s="159"/>
      <c r="D647" s="160"/>
      <c r="E647" s="161"/>
      <c r="F647" s="162"/>
      <c r="G647" s="162"/>
      <c r="H647" s="160"/>
      <c r="I647" s="161"/>
      <c r="J647" s="163"/>
      <c r="K647" s="163"/>
      <c r="L647" s="163"/>
      <c r="M647" s="164"/>
      <c r="N647" s="164"/>
      <c r="O647" s="165"/>
      <c r="P647" s="166"/>
    </row>
    <row r="648" spans="1:16" ht="15.75" customHeight="1">
      <c r="A648" s="157"/>
      <c r="B648" s="158"/>
      <c r="C648" s="159"/>
      <c r="D648" s="160"/>
      <c r="E648" s="161"/>
      <c r="F648" s="162"/>
      <c r="G648" s="162"/>
      <c r="H648" s="160"/>
      <c r="I648" s="161"/>
      <c r="J648" s="163"/>
      <c r="K648" s="163"/>
      <c r="L648" s="163"/>
      <c r="M648" s="164"/>
      <c r="N648" s="164"/>
      <c r="O648" s="165"/>
      <c r="P648" s="166"/>
    </row>
    <row r="649" spans="1:16" ht="15.75" customHeight="1">
      <c r="A649" s="157"/>
      <c r="B649" s="158"/>
      <c r="C649" s="159"/>
      <c r="D649" s="160"/>
      <c r="E649" s="161"/>
      <c r="F649" s="162"/>
      <c r="G649" s="162"/>
      <c r="H649" s="160"/>
      <c r="I649" s="161"/>
      <c r="J649" s="163"/>
      <c r="K649" s="163"/>
      <c r="L649" s="163"/>
      <c r="M649" s="164"/>
      <c r="N649" s="164"/>
      <c r="O649" s="165"/>
      <c r="P649" s="166"/>
    </row>
    <row r="650" spans="1:16" ht="15.75" customHeight="1">
      <c r="A650" s="157"/>
      <c r="B650" s="158"/>
      <c r="C650" s="159"/>
      <c r="D650" s="160"/>
      <c r="E650" s="161"/>
      <c r="F650" s="162"/>
      <c r="G650" s="162"/>
      <c r="H650" s="160"/>
      <c r="I650" s="161"/>
      <c r="J650" s="163"/>
      <c r="K650" s="163"/>
      <c r="L650" s="163"/>
      <c r="M650" s="164"/>
      <c r="N650" s="164"/>
      <c r="O650" s="165"/>
      <c r="P650" s="166"/>
    </row>
    <row r="651" spans="1:16" ht="15.75" customHeight="1">
      <c r="A651" s="157"/>
      <c r="B651" s="158"/>
      <c r="C651" s="159"/>
      <c r="D651" s="160"/>
      <c r="E651" s="161"/>
      <c r="F651" s="162"/>
      <c r="G651" s="162"/>
      <c r="H651" s="160"/>
      <c r="I651" s="161"/>
      <c r="J651" s="163"/>
      <c r="K651" s="163"/>
      <c r="L651" s="163"/>
      <c r="M651" s="164"/>
      <c r="N651" s="164"/>
      <c r="O651" s="165"/>
      <c r="P651" s="166"/>
    </row>
    <row r="652" spans="1:16" ht="15.75" customHeight="1">
      <c r="A652" s="157"/>
      <c r="B652" s="158"/>
      <c r="C652" s="159"/>
      <c r="D652" s="160"/>
      <c r="E652" s="161"/>
      <c r="F652" s="162"/>
      <c r="G652" s="162"/>
      <c r="H652" s="160"/>
      <c r="I652" s="161"/>
      <c r="J652" s="163"/>
      <c r="K652" s="163"/>
      <c r="L652" s="163"/>
      <c r="M652" s="164"/>
      <c r="N652" s="164"/>
      <c r="O652" s="165"/>
      <c r="P652" s="166"/>
    </row>
    <row r="653" spans="1:16" ht="15.75" customHeight="1">
      <c r="A653" s="157"/>
      <c r="B653" s="158"/>
      <c r="C653" s="159"/>
      <c r="D653" s="160"/>
      <c r="E653" s="161"/>
      <c r="F653" s="162"/>
      <c r="G653" s="162"/>
      <c r="H653" s="160"/>
      <c r="I653" s="161"/>
      <c r="J653" s="163"/>
      <c r="K653" s="163"/>
      <c r="L653" s="163"/>
      <c r="M653" s="164"/>
      <c r="N653" s="164"/>
      <c r="O653" s="165"/>
      <c r="P653" s="166"/>
    </row>
    <row r="654" spans="1:16" ht="15.75" customHeight="1">
      <c r="A654" s="157"/>
      <c r="B654" s="158"/>
      <c r="C654" s="159"/>
      <c r="D654" s="160"/>
      <c r="E654" s="161"/>
      <c r="F654" s="162"/>
      <c r="G654" s="162"/>
      <c r="H654" s="160"/>
      <c r="I654" s="161"/>
      <c r="J654" s="163"/>
      <c r="K654" s="163"/>
      <c r="L654" s="163"/>
      <c r="M654" s="164"/>
      <c r="N654" s="164"/>
      <c r="O654" s="165"/>
      <c r="P654" s="166"/>
    </row>
    <row r="655" spans="1:16" ht="15.75" customHeight="1">
      <c r="A655" s="157"/>
      <c r="B655" s="158"/>
      <c r="C655" s="159"/>
      <c r="D655" s="160"/>
      <c r="E655" s="161"/>
      <c r="F655" s="162"/>
      <c r="G655" s="162"/>
      <c r="H655" s="160"/>
      <c r="I655" s="161"/>
      <c r="J655" s="163"/>
      <c r="K655" s="163"/>
      <c r="L655" s="163"/>
      <c r="M655" s="164"/>
      <c r="N655" s="164"/>
      <c r="O655" s="165"/>
      <c r="P655" s="166"/>
    </row>
    <row r="656" spans="1:16" ht="15.75" customHeight="1">
      <c r="A656" s="157"/>
      <c r="B656" s="158"/>
      <c r="C656" s="159"/>
      <c r="D656" s="160"/>
      <c r="E656" s="161"/>
      <c r="F656" s="162"/>
      <c r="G656" s="162"/>
      <c r="H656" s="160"/>
      <c r="I656" s="161"/>
      <c r="J656" s="163"/>
      <c r="K656" s="163"/>
      <c r="L656" s="163"/>
      <c r="M656" s="164"/>
      <c r="N656" s="164"/>
      <c r="O656" s="165"/>
      <c r="P656" s="166"/>
    </row>
    <row r="657" spans="1:16" ht="15.75" customHeight="1">
      <c r="A657" s="157"/>
      <c r="B657" s="158"/>
      <c r="C657" s="159"/>
      <c r="D657" s="160"/>
      <c r="E657" s="161"/>
      <c r="F657" s="162"/>
      <c r="G657" s="162"/>
      <c r="H657" s="160"/>
      <c r="I657" s="161"/>
      <c r="J657" s="163"/>
      <c r="K657" s="163"/>
      <c r="L657" s="163"/>
      <c r="M657" s="164"/>
      <c r="N657" s="164"/>
      <c r="O657" s="165"/>
      <c r="P657" s="166"/>
    </row>
    <row r="658" spans="1:16" ht="15.75" customHeight="1">
      <c r="A658" s="157"/>
      <c r="B658" s="158"/>
      <c r="C658" s="159"/>
      <c r="D658" s="160"/>
      <c r="E658" s="161"/>
      <c r="F658" s="162"/>
      <c r="G658" s="162"/>
      <c r="H658" s="160"/>
      <c r="I658" s="161"/>
      <c r="J658" s="163"/>
      <c r="K658" s="163"/>
      <c r="L658" s="163"/>
      <c r="M658" s="164"/>
      <c r="N658" s="164"/>
      <c r="O658" s="165"/>
      <c r="P658" s="166"/>
    </row>
    <row r="659" spans="1:16" ht="15.75" customHeight="1">
      <c r="A659" s="157"/>
      <c r="B659" s="158"/>
      <c r="C659" s="159"/>
      <c r="D659" s="160"/>
      <c r="E659" s="161"/>
      <c r="F659" s="162"/>
      <c r="G659" s="162"/>
      <c r="H659" s="160"/>
      <c r="I659" s="161"/>
      <c r="J659" s="163"/>
      <c r="K659" s="163"/>
      <c r="L659" s="163"/>
      <c r="M659" s="164"/>
      <c r="N659" s="164"/>
      <c r="O659" s="165"/>
      <c r="P659" s="166"/>
    </row>
    <row r="660" spans="1:16" ht="15.75" customHeight="1">
      <c r="A660" s="157"/>
      <c r="B660" s="158"/>
      <c r="C660" s="159"/>
      <c r="D660" s="160"/>
      <c r="E660" s="161"/>
      <c r="F660" s="162"/>
      <c r="G660" s="162"/>
      <c r="H660" s="160"/>
      <c r="I660" s="161"/>
      <c r="J660" s="163"/>
      <c r="K660" s="163"/>
      <c r="L660" s="163"/>
      <c r="M660" s="164"/>
      <c r="N660" s="164"/>
      <c r="O660" s="165"/>
      <c r="P660" s="166"/>
    </row>
    <row r="661" spans="1:16" ht="15.75" customHeight="1">
      <c r="A661" s="157"/>
      <c r="B661" s="158"/>
      <c r="C661" s="159"/>
      <c r="D661" s="160"/>
      <c r="E661" s="161"/>
      <c r="F661" s="162"/>
      <c r="G661" s="162"/>
      <c r="H661" s="160"/>
      <c r="I661" s="161"/>
      <c r="J661" s="163"/>
      <c r="K661" s="163"/>
      <c r="L661" s="163"/>
      <c r="M661" s="164"/>
      <c r="N661" s="164"/>
      <c r="O661" s="165"/>
      <c r="P661" s="166"/>
    </row>
    <row r="662" spans="1:16" ht="15.75" customHeight="1">
      <c r="A662" s="157"/>
      <c r="B662" s="158"/>
      <c r="C662" s="159"/>
      <c r="D662" s="160"/>
      <c r="E662" s="161"/>
      <c r="F662" s="162"/>
      <c r="G662" s="162"/>
      <c r="H662" s="160"/>
      <c r="I662" s="161"/>
      <c r="J662" s="163"/>
      <c r="K662" s="163"/>
      <c r="L662" s="163"/>
      <c r="M662" s="164"/>
      <c r="N662" s="164"/>
      <c r="O662" s="165"/>
      <c r="P662" s="166"/>
    </row>
    <row r="663" spans="1:16" ht="15.75" customHeight="1">
      <c r="A663" s="157"/>
      <c r="B663" s="158"/>
      <c r="C663" s="159"/>
      <c r="D663" s="160"/>
      <c r="E663" s="161"/>
      <c r="F663" s="162"/>
      <c r="G663" s="162"/>
      <c r="H663" s="160"/>
      <c r="I663" s="161"/>
      <c r="J663" s="163"/>
      <c r="K663" s="163"/>
      <c r="L663" s="163"/>
      <c r="M663" s="164"/>
      <c r="N663" s="164"/>
      <c r="O663" s="165"/>
      <c r="P663" s="166"/>
    </row>
    <row r="664" spans="1:16" ht="15.75" customHeight="1">
      <c r="A664" s="157"/>
      <c r="B664" s="158"/>
      <c r="C664" s="159"/>
      <c r="D664" s="160"/>
      <c r="E664" s="161"/>
      <c r="F664" s="162"/>
      <c r="G664" s="162"/>
      <c r="H664" s="160"/>
      <c r="I664" s="161"/>
      <c r="J664" s="163"/>
      <c r="K664" s="163"/>
      <c r="L664" s="163"/>
      <c r="M664" s="164"/>
      <c r="N664" s="164"/>
      <c r="O664" s="165"/>
      <c r="P664" s="166"/>
    </row>
    <row r="665" spans="1:16" ht="15.75" customHeight="1">
      <c r="A665" s="157"/>
      <c r="B665" s="158"/>
      <c r="C665" s="159"/>
      <c r="D665" s="160"/>
      <c r="E665" s="161"/>
      <c r="F665" s="162"/>
      <c r="G665" s="162"/>
      <c r="H665" s="160"/>
      <c r="I665" s="161"/>
      <c r="J665" s="163"/>
      <c r="K665" s="163"/>
      <c r="L665" s="163"/>
      <c r="M665" s="164"/>
      <c r="N665" s="164"/>
      <c r="O665" s="165"/>
      <c r="P665" s="166"/>
    </row>
    <row r="666" spans="1:16" ht="15.75" customHeight="1">
      <c r="A666" s="157"/>
      <c r="B666" s="158"/>
      <c r="C666" s="159"/>
      <c r="D666" s="160"/>
      <c r="E666" s="161"/>
      <c r="F666" s="162"/>
      <c r="G666" s="162"/>
      <c r="H666" s="160"/>
      <c r="I666" s="161"/>
      <c r="J666" s="163"/>
      <c r="K666" s="163"/>
      <c r="L666" s="163"/>
      <c r="M666" s="164"/>
      <c r="N666" s="164"/>
      <c r="O666" s="165"/>
      <c r="P666" s="166"/>
    </row>
    <row r="667" spans="1:16" ht="15.75" customHeight="1">
      <c r="A667" s="157"/>
      <c r="B667" s="158"/>
      <c r="C667" s="159"/>
      <c r="D667" s="160"/>
      <c r="E667" s="161"/>
      <c r="F667" s="162"/>
      <c r="G667" s="162"/>
      <c r="H667" s="160"/>
      <c r="I667" s="161"/>
      <c r="J667" s="163"/>
      <c r="K667" s="163"/>
      <c r="L667" s="163"/>
      <c r="M667" s="164"/>
      <c r="N667" s="164"/>
      <c r="O667" s="165"/>
      <c r="P667" s="166"/>
    </row>
    <row r="668" spans="1:16" ht="15.75" customHeight="1">
      <c r="A668" s="157"/>
      <c r="B668" s="158"/>
      <c r="C668" s="159"/>
      <c r="D668" s="160"/>
      <c r="E668" s="161"/>
      <c r="F668" s="162"/>
      <c r="G668" s="162"/>
      <c r="H668" s="160"/>
      <c r="I668" s="161"/>
      <c r="J668" s="163"/>
      <c r="K668" s="163"/>
      <c r="L668" s="163"/>
      <c r="M668" s="164"/>
      <c r="N668" s="164"/>
      <c r="O668" s="165"/>
      <c r="P668" s="166"/>
    </row>
    <row r="669" spans="1:16" ht="15.75" customHeight="1">
      <c r="A669" s="157"/>
      <c r="B669" s="158"/>
      <c r="C669" s="159"/>
      <c r="D669" s="160"/>
      <c r="E669" s="161"/>
      <c r="F669" s="162"/>
      <c r="G669" s="162"/>
      <c r="H669" s="160"/>
      <c r="I669" s="161"/>
      <c r="J669" s="163"/>
      <c r="K669" s="163"/>
      <c r="L669" s="163"/>
      <c r="M669" s="164"/>
      <c r="N669" s="164"/>
      <c r="O669" s="165"/>
      <c r="P669" s="166"/>
    </row>
    <row r="670" spans="1:16" ht="15.75" customHeight="1">
      <c r="A670" s="157"/>
      <c r="B670" s="158"/>
      <c r="C670" s="159"/>
      <c r="D670" s="160"/>
      <c r="E670" s="161"/>
      <c r="F670" s="162"/>
      <c r="G670" s="162"/>
      <c r="H670" s="160"/>
      <c r="I670" s="161"/>
      <c r="J670" s="163"/>
      <c r="K670" s="163"/>
      <c r="L670" s="163"/>
      <c r="M670" s="164"/>
      <c r="N670" s="164"/>
      <c r="O670" s="165"/>
      <c r="P670" s="166"/>
    </row>
    <row r="671" spans="1:16" ht="15.75" customHeight="1">
      <c r="A671" s="157"/>
      <c r="B671" s="158"/>
      <c r="C671" s="159"/>
      <c r="D671" s="160"/>
      <c r="E671" s="161"/>
      <c r="F671" s="162"/>
      <c r="G671" s="162"/>
      <c r="H671" s="160"/>
      <c r="I671" s="161"/>
      <c r="J671" s="163"/>
      <c r="K671" s="163"/>
      <c r="L671" s="163"/>
      <c r="M671" s="164"/>
      <c r="N671" s="164"/>
      <c r="O671" s="165"/>
      <c r="P671" s="166"/>
    </row>
    <row r="672" spans="1:16" ht="15.75" customHeight="1">
      <c r="A672" s="157"/>
      <c r="B672" s="158"/>
      <c r="C672" s="159"/>
      <c r="D672" s="160"/>
      <c r="E672" s="161"/>
      <c r="F672" s="162"/>
      <c r="G672" s="162"/>
      <c r="H672" s="160"/>
      <c r="I672" s="161"/>
      <c r="J672" s="163"/>
      <c r="K672" s="163"/>
      <c r="L672" s="163"/>
      <c r="M672" s="164"/>
      <c r="N672" s="164"/>
      <c r="O672" s="165"/>
      <c r="P672" s="166"/>
    </row>
    <row r="673" spans="1:16" ht="15.75" customHeight="1">
      <c r="A673" s="157"/>
      <c r="B673" s="158"/>
      <c r="C673" s="159"/>
      <c r="D673" s="160"/>
      <c r="E673" s="161"/>
      <c r="F673" s="162"/>
      <c r="G673" s="162"/>
      <c r="H673" s="160"/>
      <c r="I673" s="161"/>
      <c r="J673" s="163"/>
      <c r="K673" s="163"/>
      <c r="L673" s="163"/>
      <c r="M673" s="164"/>
      <c r="N673" s="164"/>
      <c r="O673" s="165"/>
      <c r="P673" s="166"/>
    </row>
    <row r="674" spans="1:16" ht="15.75" customHeight="1">
      <c r="A674" s="157"/>
      <c r="B674" s="158"/>
      <c r="C674" s="159"/>
      <c r="D674" s="160"/>
      <c r="E674" s="161"/>
      <c r="F674" s="162"/>
      <c r="G674" s="162"/>
      <c r="H674" s="160"/>
      <c r="I674" s="161"/>
      <c r="J674" s="163"/>
      <c r="K674" s="163"/>
      <c r="L674" s="163"/>
      <c r="M674" s="164"/>
      <c r="N674" s="164"/>
      <c r="O674" s="165"/>
      <c r="P674" s="166"/>
    </row>
    <row r="675" spans="1:16" ht="15.75" customHeight="1">
      <c r="A675" s="157"/>
      <c r="B675" s="158"/>
      <c r="C675" s="159"/>
      <c r="D675" s="160"/>
      <c r="E675" s="161"/>
      <c r="F675" s="162"/>
      <c r="G675" s="162"/>
      <c r="H675" s="160"/>
      <c r="I675" s="161"/>
      <c r="J675" s="163"/>
      <c r="K675" s="163"/>
      <c r="L675" s="163"/>
      <c r="M675" s="164"/>
      <c r="N675" s="164"/>
      <c r="O675" s="165"/>
      <c r="P675" s="166"/>
    </row>
    <row r="676" spans="1:16" ht="15.75" customHeight="1">
      <c r="A676" s="157"/>
      <c r="B676" s="158"/>
      <c r="C676" s="159"/>
      <c r="D676" s="160"/>
      <c r="E676" s="161"/>
      <c r="F676" s="162"/>
      <c r="G676" s="162"/>
      <c r="H676" s="160"/>
      <c r="I676" s="161"/>
      <c r="J676" s="163"/>
      <c r="K676" s="163"/>
      <c r="L676" s="163"/>
      <c r="M676" s="164"/>
      <c r="N676" s="164"/>
      <c r="O676" s="165"/>
      <c r="P676" s="166"/>
    </row>
    <row r="677" spans="1:16" ht="15.75" customHeight="1">
      <c r="A677" s="157"/>
      <c r="B677" s="158"/>
      <c r="C677" s="159"/>
      <c r="D677" s="160"/>
      <c r="E677" s="161"/>
      <c r="F677" s="162"/>
      <c r="G677" s="162"/>
      <c r="H677" s="160"/>
      <c r="I677" s="161"/>
      <c r="J677" s="163"/>
      <c r="K677" s="163"/>
      <c r="L677" s="163"/>
      <c r="M677" s="164"/>
      <c r="N677" s="164"/>
      <c r="O677" s="165"/>
      <c r="P677" s="166"/>
    </row>
    <row r="678" spans="1:16" ht="15.75" customHeight="1">
      <c r="A678" s="157"/>
      <c r="B678" s="158"/>
      <c r="C678" s="159"/>
      <c r="D678" s="160"/>
      <c r="E678" s="161"/>
      <c r="F678" s="162"/>
      <c r="G678" s="162"/>
      <c r="H678" s="160"/>
      <c r="I678" s="161"/>
      <c r="J678" s="163"/>
      <c r="K678" s="163"/>
      <c r="L678" s="163"/>
      <c r="M678" s="164"/>
      <c r="N678" s="164"/>
      <c r="O678" s="165"/>
      <c r="P678" s="166"/>
    </row>
    <row r="679" spans="1:16" ht="15.75" customHeight="1">
      <c r="A679" s="157"/>
      <c r="B679" s="158"/>
      <c r="C679" s="159"/>
      <c r="D679" s="160"/>
      <c r="E679" s="161"/>
      <c r="F679" s="162"/>
      <c r="G679" s="162"/>
      <c r="H679" s="160"/>
      <c r="I679" s="161"/>
      <c r="J679" s="163"/>
      <c r="K679" s="163"/>
      <c r="L679" s="163"/>
      <c r="M679" s="164"/>
      <c r="N679" s="164"/>
      <c r="O679" s="165"/>
      <c r="P679" s="166"/>
    </row>
    <row r="680" spans="1:16" ht="15.75" customHeight="1">
      <c r="A680" s="157"/>
      <c r="B680" s="158"/>
      <c r="C680" s="159"/>
      <c r="D680" s="160"/>
      <c r="E680" s="161"/>
      <c r="F680" s="162"/>
      <c r="G680" s="162"/>
      <c r="H680" s="160"/>
      <c r="I680" s="161"/>
      <c r="J680" s="163"/>
      <c r="K680" s="163"/>
      <c r="L680" s="163"/>
      <c r="M680" s="164"/>
      <c r="N680" s="164"/>
      <c r="O680" s="165"/>
      <c r="P680" s="166"/>
    </row>
    <row r="681" spans="1:16" ht="15.75" customHeight="1">
      <c r="A681" s="157"/>
      <c r="B681" s="158"/>
      <c r="C681" s="159"/>
      <c r="D681" s="160"/>
      <c r="E681" s="161"/>
      <c r="F681" s="162"/>
      <c r="G681" s="162"/>
      <c r="H681" s="160"/>
      <c r="I681" s="161"/>
      <c r="J681" s="163"/>
      <c r="K681" s="163"/>
      <c r="L681" s="163"/>
      <c r="M681" s="164"/>
      <c r="N681" s="164"/>
      <c r="O681" s="165"/>
      <c r="P681" s="166"/>
    </row>
    <row r="682" spans="1:16" ht="15.75" customHeight="1">
      <c r="A682" s="157"/>
      <c r="B682" s="158"/>
      <c r="C682" s="159"/>
      <c r="D682" s="160"/>
      <c r="E682" s="161"/>
      <c r="F682" s="162"/>
      <c r="G682" s="162"/>
      <c r="H682" s="160"/>
      <c r="I682" s="161"/>
      <c r="J682" s="163"/>
      <c r="K682" s="163"/>
      <c r="L682" s="163"/>
      <c r="M682" s="164"/>
      <c r="N682" s="164"/>
      <c r="O682" s="165"/>
      <c r="P682" s="166"/>
    </row>
    <row r="683" spans="1:16" ht="15.75" customHeight="1">
      <c r="A683" s="157"/>
      <c r="B683" s="158"/>
      <c r="C683" s="159"/>
      <c r="D683" s="160"/>
      <c r="E683" s="161"/>
      <c r="F683" s="162"/>
      <c r="G683" s="162"/>
      <c r="H683" s="160"/>
      <c r="I683" s="161"/>
      <c r="J683" s="163"/>
      <c r="K683" s="163"/>
      <c r="L683" s="163"/>
      <c r="M683" s="164"/>
      <c r="N683" s="164"/>
      <c r="O683" s="165"/>
      <c r="P683" s="166"/>
    </row>
    <row r="684" spans="1:16" ht="15.75" customHeight="1">
      <c r="A684" s="157"/>
      <c r="B684" s="158"/>
      <c r="C684" s="159"/>
      <c r="D684" s="160"/>
      <c r="E684" s="161"/>
      <c r="F684" s="162"/>
      <c r="G684" s="162"/>
      <c r="H684" s="160"/>
      <c r="I684" s="161"/>
      <c r="J684" s="163"/>
      <c r="K684" s="163"/>
      <c r="L684" s="163"/>
      <c r="M684" s="164"/>
      <c r="N684" s="164"/>
      <c r="O684" s="165"/>
      <c r="P684" s="166"/>
    </row>
    <row r="685" spans="1:16" ht="15.75" customHeight="1">
      <c r="A685" s="157"/>
      <c r="B685" s="158"/>
      <c r="C685" s="159"/>
      <c r="D685" s="160"/>
      <c r="E685" s="161"/>
      <c r="F685" s="162"/>
      <c r="G685" s="162"/>
      <c r="H685" s="160"/>
      <c r="I685" s="161"/>
      <c r="J685" s="163"/>
      <c r="K685" s="163"/>
      <c r="L685" s="163"/>
      <c r="M685" s="164"/>
      <c r="N685" s="164"/>
      <c r="O685" s="165"/>
      <c r="P685" s="166"/>
    </row>
    <row r="686" spans="1:16" ht="15.75" customHeight="1">
      <c r="A686" s="157"/>
      <c r="B686" s="158"/>
      <c r="C686" s="159"/>
      <c r="D686" s="160"/>
      <c r="E686" s="161"/>
      <c r="F686" s="162"/>
      <c r="G686" s="162"/>
      <c r="H686" s="160"/>
      <c r="I686" s="161"/>
      <c r="J686" s="163"/>
      <c r="K686" s="163"/>
      <c r="L686" s="163"/>
      <c r="M686" s="164"/>
      <c r="N686" s="164"/>
      <c r="O686" s="165"/>
      <c r="P686" s="166"/>
    </row>
    <row r="687" spans="1:16" ht="15.75" customHeight="1">
      <c r="A687" s="157"/>
      <c r="B687" s="158"/>
      <c r="C687" s="159"/>
      <c r="D687" s="160"/>
      <c r="E687" s="161"/>
      <c r="F687" s="162"/>
      <c r="G687" s="162"/>
      <c r="H687" s="160"/>
      <c r="I687" s="161"/>
      <c r="J687" s="163"/>
      <c r="K687" s="163"/>
      <c r="L687" s="163"/>
      <c r="M687" s="164"/>
      <c r="N687" s="164"/>
      <c r="O687" s="165"/>
      <c r="P687" s="166"/>
    </row>
    <row r="688" spans="1:16" ht="15.75" customHeight="1">
      <c r="A688" s="157"/>
      <c r="B688" s="158"/>
      <c r="C688" s="159"/>
      <c r="D688" s="160"/>
      <c r="E688" s="161"/>
      <c r="F688" s="162"/>
      <c r="G688" s="162"/>
      <c r="H688" s="160"/>
      <c r="I688" s="161"/>
      <c r="J688" s="163"/>
      <c r="K688" s="163"/>
      <c r="L688" s="163"/>
      <c r="M688" s="164"/>
      <c r="N688" s="164"/>
      <c r="O688" s="165"/>
      <c r="P688" s="166"/>
    </row>
    <row r="689" spans="1:16" ht="15.75" customHeight="1">
      <c r="A689" s="157"/>
      <c r="B689" s="158"/>
      <c r="C689" s="159"/>
      <c r="D689" s="160"/>
      <c r="E689" s="161"/>
      <c r="F689" s="162"/>
      <c r="G689" s="162"/>
      <c r="H689" s="160"/>
      <c r="I689" s="161"/>
      <c r="J689" s="163"/>
      <c r="K689" s="163"/>
      <c r="L689" s="163"/>
      <c r="M689" s="164"/>
      <c r="N689" s="164"/>
      <c r="O689" s="165"/>
      <c r="P689" s="166"/>
    </row>
    <row r="690" spans="1:16" ht="15.75" customHeight="1">
      <c r="A690" s="157"/>
      <c r="B690" s="158"/>
      <c r="C690" s="159"/>
      <c r="D690" s="160"/>
      <c r="E690" s="161"/>
      <c r="F690" s="162"/>
      <c r="G690" s="162"/>
      <c r="H690" s="160"/>
      <c r="I690" s="161"/>
      <c r="J690" s="163"/>
      <c r="K690" s="163"/>
      <c r="L690" s="163"/>
      <c r="M690" s="164"/>
      <c r="N690" s="164"/>
      <c r="O690" s="165"/>
      <c r="P690" s="166"/>
    </row>
    <row r="691" spans="1:16" ht="15.75" customHeight="1">
      <c r="A691" s="157"/>
      <c r="B691" s="158"/>
      <c r="C691" s="159"/>
      <c r="D691" s="160"/>
      <c r="E691" s="161"/>
      <c r="F691" s="162"/>
      <c r="G691" s="162"/>
      <c r="H691" s="160"/>
      <c r="I691" s="161"/>
      <c r="J691" s="163"/>
      <c r="K691" s="163"/>
      <c r="L691" s="163"/>
      <c r="M691" s="164"/>
      <c r="N691" s="164"/>
      <c r="O691" s="165"/>
      <c r="P691" s="166"/>
    </row>
    <row r="692" spans="1:16" ht="15.75" customHeight="1">
      <c r="A692" s="157"/>
      <c r="B692" s="158"/>
      <c r="C692" s="159"/>
      <c r="D692" s="160"/>
      <c r="E692" s="161"/>
      <c r="F692" s="162"/>
      <c r="G692" s="162"/>
      <c r="H692" s="160"/>
      <c r="I692" s="161"/>
      <c r="J692" s="163"/>
      <c r="K692" s="163"/>
      <c r="L692" s="163"/>
      <c r="M692" s="164"/>
      <c r="N692" s="164"/>
      <c r="O692" s="165"/>
      <c r="P692" s="166"/>
    </row>
    <row r="693" spans="1:16" ht="15.75" customHeight="1">
      <c r="A693" s="157"/>
      <c r="B693" s="158"/>
      <c r="C693" s="159"/>
      <c r="D693" s="160"/>
      <c r="E693" s="161"/>
      <c r="F693" s="162"/>
      <c r="G693" s="162"/>
      <c r="H693" s="160"/>
      <c r="I693" s="161"/>
      <c r="J693" s="163"/>
      <c r="K693" s="163"/>
      <c r="L693" s="163"/>
      <c r="M693" s="164"/>
      <c r="N693" s="164"/>
      <c r="O693" s="165"/>
      <c r="P693" s="166"/>
    </row>
    <row r="694" spans="1:16" ht="15.75" customHeight="1">
      <c r="A694" s="157"/>
      <c r="B694" s="158"/>
      <c r="C694" s="159"/>
      <c r="D694" s="160"/>
      <c r="E694" s="161"/>
      <c r="F694" s="162"/>
      <c r="G694" s="162"/>
      <c r="H694" s="160"/>
      <c r="I694" s="161"/>
      <c r="J694" s="163"/>
      <c r="K694" s="163"/>
      <c r="L694" s="163"/>
      <c r="M694" s="164"/>
      <c r="N694" s="164"/>
      <c r="O694" s="165"/>
      <c r="P694" s="166"/>
    </row>
    <row r="695" spans="1:16" ht="15.75" customHeight="1">
      <c r="A695" s="157"/>
      <c r="B695" s="158"/>
      <c r="C695" s="159"/>
      <c r="D695" s="160"/>
      <c r="E695" s="161"/>
      <c r="F695" s="162"/>
      <c r="G695" s="162"/>
      <c r="H695" s="160"/>
      <c r="I695" s="161"/>
      <c r="J695" s="163"/>
      <c r="K695" s="163"/>
      <c r="L695" s="163"/>
      <c r="M695" s="164"/>
      <c r="N695" s="164"/>
      <c r="O695" s="165"/>
      <c r="P695" s="166"/>
    </row>
    <row r="696" spans="1:16" ht="15.75" customHeight="1">
      <c r="A696" s="157"/>
      <c r="B696" s="158"/>
      <c r="C696" s="159"/>
      <c r="D696" s="160"/>
      <c r="E696" s="161"/>
      <c r="F696" s="162"/>
      <c r="G696" s="162"/>
      <c r="H696" s="160"/>
      <c r="I696" s="161"/>
      <c r="J696" s="163"/>
      <c r="K696" s="163"/>
      <c r="L696" s="163"/>
      <c r="M696" s="164"/>
      <c r="N696" s="164"/>
      <c r="O696" s="165"/>
      <c r="P696" s="166"/>
    </row>
    <row r="697" spans="1:16" ht="15.75" customHeight="1">
      <c r="A697" s="157"/>
      <c r="B697" s="158"/>
      <c r="C697" s="159"/>
      <c r="D697" s="160"/>
      <c r="E697" s="161"/>
      <c r="F697" s="162"/>
      <c r="G697" s="162"/>
      <c r="H697" s="160"/>
      <c r="I697" s="161"/>
      <c r="J697" s="163"/>
      <c r="K697" s="163"/>
      <c r="L697" s="163"/>
      <c r="M697" s="164"/>
      <c r="N697" s="164"/>
      <c r="O697" s="165"/>
      <c r="P697" s="166"/>
    </row>
    <row r="698" spans="1:16" ht="15.75" customHeight="1">
      <c r="A698" s="157"/>
      <c r="B698" s="158"/>
      <c r="C698" s="159"/>
      <c r="D698" s="160"/>
      <c r="E698" s="161"/>
      <c r="F698" s="162"/>
      <c r="G698" s="162"/>
      <c r="H698" s="160"/>
      <c r="I698" s="161"/>
      <c r="J698" s="163"/>
      <c r="K698" s="163"/>
      <c r="L698" s="163"/>
      <c r="M698" s="164"/>
      <c r="N698" s="164"/>
      <c r="O698" s="165"/>
      <c r="P698" s="166"/>
    </row>
    <row r="699" spans="1:16" ht="15.75" customHeight="1">
      <c r="A699" s="157"/>
      <c r="B699" s="158"/>
      <c r="C699" s="159"/>
      <c r="D699" s="160"/>
      <c r="E699" s="161"/>
      <c r="F699" s="162"/>
      <c r="G699" s="162"/>
      <c r="H699" s="160"/>
      <c r="I699" s="161"/>
      <c r="J699" s="163"/>
      <c r="K699" s="163"/>
      <c r="L699" s="163"/>
      <c r="M699" s="164"/>
      <c r="N699" s="164"/>
      <c r="O699" s="165"/>
      <c r="P699" s="166"/>
    </row>
    <row r="700" spans="1:16" ht="15.75" customHeight="1">
      <c r="A700" s="157"/>
      <c r="B700" s="158"/>
      <c r="C700" s="159"/>
      <c r="D700" s="160"/>
      <c r="E700" s="161"/>
      <c r="F700" s="162"/>
      <c r="G700" s="162"/>
      <c r="H700" s="160"/>
      <c r="I700" s="161"/>
      <c r="J700" s="163"/>
      <c r="K700" s="163"/>
      <c r="L700" s="163"/>
      <c r="M700" s="164"/>
      <c r="N700" s="164"/>
      <c r="O700" s="165"/>
      <c r="P700" s="166"/>
    </row>
    <row r="701" spans="1:16" ht="15.75" customHeight="1">
      <c r="A701" s="157"/>
      <c r="B701" s="158"/>
      <c r="C701" s="159"/>
      <c r="D701" s="160"/>
      <c r="E701" s="161"/>
      <c r="F701" s="162"/>
      <c r="G701" s="162"/>
      <c r="H701" s="160"/>
      <c r="I701" s="161"/>
      <c r="J701" s="163"/>
      <c r="K701" s="163"/>
      <c r="L701" s="163"/>
      <c r="M701" s="164"/>
      <c r="N701" s="164"/>
      <c r="O701" s="165"/>
      <c r="P701" s="166"/>
    </row>
    <row r="702" spans="1:16" ht="15.75" customHeight="1">
      <c r="A702" s="157"/>
      <c r="B702" s="158"/>
      <c r="C702" s="159"/>
      <c r="D702" s="160"/>
      <c r="E702" s="161"/>
      <c r="F702" s="162"/>
      <c r="G702" s="162"/>
      <c r="H702" s="160"/>
      <c r="I702" s="161"/>
      <c r="J702" s="163"/>
      <c r="K702" s="163"/>
      <c r="L702" s="163"/>
      <c r="M702" s="164"/>
      <c r="N702" s="164"/>
      <c r="O702" s="165"/>
      <c r="P702" s="166"/>
    </row>
    <row r="703" spans="1:16" ht="15.75" customHeight="1">
      <c r="A703" s="157"/>
      <c r="B703" s="158"/>
      <c r="C703" s="159"/>
      <c r="D703" s="160"/>
      <c r="E703" s="161"/>
      <c r="F703" s="162"/>
      <c r="G703" s="162"/>
      <c r="H703" s="160"/>
      <c r="I703" s="161"/>
      <c r="J703" s="163"/>
      <c r="K703" s="163"/>
      <c r="L703" s="163"/>
      <c r="M703" s="164"/>
      <c r="N703" s="164"/>
      <c r="O703" s="165"/>
      <c r="P703" s="166"/>
    </row>
    <row r="704" spans="1:16" ht="15.75" customHeight="1">
      <c r="A704" s="157"/>
      <c r="B704" s="158"/>
      <c r="C704" s="159"/>
      <c r="D704" s="160"/>
      <c r="E704" s="161"/>
      <c r="F704" s="162"/>
      <c r="G704" s="162"/>
      <c r="H704" s="160"/>
      <c r="I704" s="161"/>
      <c r="J704" s="163"/>
      <c r="K704" s="163"/>
      <c r="L704" s="163"/>
      <c r="M704" s="164"/>
      <c r="N704" s="164"/>
      <c r="O704" s="165"/>
      <c r="P704" s="166"/>
    </row>
    <row r="705" spans="1:16" ht="15.75" customHeight="1">
      <c r="A705" s="157"/>
      <c r="B705" s="158"/>
      <c r="C705" s="159"/>
      <c r="D705" s="160"/>
      <c r="E705" s="161"/>
      <c r="F705" s="162"/>
      <c r="G705" s="162"/>
      <c r="H705" s="160"/>
      <c r="I705" s="161"/>
      <c r="J705" s="163"/>
      <c r="K705" s="163"/>
      <c r="L705" s="163"/>
      <c r="M705" s="164"/>
      <c r="N705" s="164"/>
      <c r="O705" s="165"/>
      <c r="P705" s="166"/>
    </row>
    <row r="706" spans="1:16" ht="15.75" customHeight="1">
      <c r="A706" s="157"/>
      <c r="B706" s="158"/>
      <c r="C706" s="159"/>
      <c r="D706" s="160"/>
      <c r="E706" s="161"/>
      <c r="F706" s="162"/>
      <c r="G706" s="162"/>
      <c r="H706" s="160"/>
      <c r="I706" s="161"/>
      <c r="J706" s="163"/>
      <c r="K706" s="163"/>
      <c r="L706" s="163"/>
      <c r="M706" s="164"/>
      <c r="N706" s="164"/>
      <c r="O706" s="165"/>
      <c r="P706" s="166"/>
    </row>
    <row r="707" spans="1:16" ht="15.75" customHeight="1">
      <c r="A707" s="157"/>
      <c r="B707" s="158"/>
      <c r="C707" s="159"/>
      <c r="D707" s="160"/>
      <c r="E707" s="161"/>
      <c r="F707" s="162"/>
      <c r="G707" s="162"/>
      <c r="H707" s="160"/>
      <c r="I707" s="161"/>
      <c r="J707" s="163"/>
      <c r="K707" s="163"/>
      <c r="L707" s="163"/>
      <c r="M707" s="164"/>
      <c r="N707" s="164"/>
      <c r="O707" s="165"/>
      <c r="P707" s="166"/>
    </row>
    <row r="708" spans="1:16" ht="15.75" customHeight="1">
      <c r="A708" s="157"/>
      <c r="B708" s="158"/>
      <c r="C708" s="159"/>
      <c r="D708" s="160"/>
      <c r="E708" s="161"/>
      <c r="F708" s="162"/>
      <c r="G708" s="162"/>
      <c r="H708" s="160"/>
      <c r="I708" s="161"/>
      <c r="J708" s="163"/>
      <c r="K708" s="163"/>
      <c r="L708" s="163"/>
      <c r="M708" s="164"/>
      <c r="N708" s="164"/>
      <c r="O708" s="165"/>
      <c r="P708" s="166"/>
    </row>
    <row r="709" spans="1:16" ht="15.75" customHeight="1">
      <c r="A709" s="157"/>
      <c r="B709" s="158"/>
      <c r="C709" s="159"/>
      <c r="D709" s="160"/>
      <c r="E709" s="161"/>
      <c r="F709" s="162"/>
      <c r="G709" s="162"/>
      <c r="H709" s="160"/>
      <c r="I709" s="161"/>
      <c r="J709" s="163"/>
      <c r="K709" s="163"/>
      <c r="L709" s="163"/>
      <c r="M709" s="164"/>
      <c r="N709" s="164"/>
      <c r="O709" s="165"/>
      <c r="P709" s="166"/>
    </row>
    <row r="710" spans="1:16" ht="15.75" customHeight="1">
      <c r="A710" s="157"/>
      <c r="B710" s="158"/>
      <c r="C710" s="159"/>
      <c r="D710" s="160"/>
      <c r="E710" s="161"/>
      <c r="F710" s="162"/>
      <c r="G710" s="162"/>
      <c r="H710" s="160"/>
      <c r="I710" s="161"/>
      <c r="J710" s="163"/>
      <c r="K710" s="163"/>
      <c r="L710" s="163"/>
      <c r="M710" s="164"/>
      <c r="N710" s="164"/>
      <c r="O710" s="165"/>
      <c r="P710" s="166"/>
    </row>
    <row r="711" spans="1:16" ht="15.75" customHeight="1">
      <c r="A711" s="157"/>
      <c r="B711" s="158"/>
      <c r="C711" s="159"/>
      <c r="D711" s="160"/>
      <c r="E711" s="161"/>
      <c r="F711" s="162"/>
      <c r="G711" s="162"/>
      <c r="H711" s="160"/>
      <c r="I711" s="161"/>
      <c r="J711" s="163"/>
      <c r="K711" s="163"/>
      <c r="L711" s="163"/>
      <c r="M711" s="164"/>
      <c r="N711" s="164"/>
      <c r="O711" s="165"/>
      <c r="P711" s="166"/>
    </row>
    <row r="712" spans="1:16" ht="15.75" customHeight="1">
      <c r="A712" s="157"/>
      <c r="B712" s="158"/>
      <c r="C712" s="159"/>
      <c r="D712" s="160"/>
      <c r="E712" s="161"/>
      <c r="F712" s="162"/>
      <c r="G712" s="162"/>
      <c r="H712" s="160"/>
      <c r="I712" s="161"/>
      <c r="J712" s="163"/>
      <c r="K712" s="163"/>
      <c r="L712" s="163"/>
      <c r="M712" s="164"/>
      <c r="N712" s="164"/>
      <c r="O712" s="165"/>
      <c r="P712" s="166"/>
    </row>
    <row r="713" spans="1:16" ht="15.75" customHeight="1">
      <c r="A713" s="157"/>
      <c r="B713" s="158"/>
      <c r="C713" s="159"/>
      <c r="D713" s="160"/>
      <c r="E713" s="161"/>
      <c r="F713" s="162"/>
      <c r="G713" s="162"/>
      <c r="H713" s="160"/>
      <c r="I713" s="161"/>
      <c r="J713" s="163"/>
      <c r="K713" s="163"/>
      <c r="L713" s="163"/>
      <c r="M713" s="164"/>
      <c r="N713" s="164"/>
      <c r="O713" s="165"/>
      <c r="P713" s="166"/>
    </row>
    <row r="714" spans="1:16" ht="15.75" customHeight="1">
      <c r="A714" s="157"/>
      <c r="B714" s="158"/>
      <c r="C714" s="159"/>
      <c r="D714" s="160"/>
      <c r="E714" s="161"/>
      <c r="F714" s="162"/>
      <c r="G714" s="162"/>
      <c r="H714" s="160"/>
      <c r="I714" s="161"/>
      <c r="J714" s="163"/>
      <c r="K714" s="163"/>
      <c r="L714" s="163"/>
      <c r="M714" s="164"/>
      <c r="N714" s="164"/>
      <c r="O714" s="165"/>
      <c r="P714" s="166"/>
    </row>
    <row r="715" spans="1:16" ht="15.75" customHeight="1">
      <c r="A715" s="157"/>
      <c r="B715" s="158"/>
      <c r="C715" s="159"/>
      <c r="D715" s="160"/>
      <c r="E715" s="161"/>
      <c r="F715" s="162"/>
      <c r="G715" s="162"/>
      <c r="H715" s="160"/>
      <c r="I715" s="161"/>
      <c r="J715" s="163"/>
      <c r="K715" s="163"/>
      <c r="L715" s="163"/>
      <c r="M715" s="164"/>
      <c r="N715" s="164"/>
      <c r="O715" s="165"/>
      <c r="P715" s="166"/>
    </row>
    <row r="716" spans="1:16" ht="15.75" customHeight="1">
      <c r="A716" s="157"/>
      <c r="B716" s="158"/>
      <c r="C716" s="159"/>
      <c r="D716" s="160"/>
      <c r="E716" s="161"/>
      <c r="F716" s="162"/>
      <c r="G716" s="162"/>
      <c r="H716" s="160"/>
      <c r="I716" s="161"/>
      <c r="J716" s="163"/>
      <c r="K716" s="163"/>
      <c r="L716" s="163"/>
      <c r="M716" s="164"/>
      <c r="N716" s="164"/>
      <c r="O716" s="165"/>
      <c r="P716" s="166"/>
    </row>
    <row r="717" spans="1:16" ht="15.75" customHeight="1">
      <c r="A717" s="157"/>
      <c r="B717" s="158"/>
      <c r="C717" s="159"/>
      <c r="D717" s="160"/>
      <c r="E717" s="161"/>
      <c r="F717" s="162"/>
      <c r="G717" s="162"/>
      <c r="H717" s="160"/>
      <c r="I717" s="161"/>
      <c r="J717" s="163"/>
      <c r="K717" s="163"/>
      <c r="L717" s="163"/>
      <c r="M717" s="164"/>
      <c r="N717" s="164"/>
      <c r="O717" s="165"/>
      <c r="P717" s="166"/>
    </row>
    <row r="718" spans="1:16" ht="15.75" customHeight="1">
      <c r="A718" s="157"/>
      <c r="B718" s="158"/>
      <c r="C718" s="159"/>
      <c r="D718" s="160"/>
      <c r="E718" s="161"/>
      <c r="F718" s="162"/>
      <c r="G718" s="162"/>
      <c r="H718" s="160"/>
      <c r="I718" s="161"/>
      <c r="J718" s="163"/>
      <c r="K718" s="163"/>
      <c r="L718" s="163"/>
      <c r="M718" s="164"/>
      <c r="N718" s="164"/>
      <c r="O718" s="165"/>
      <c r="P718" s="166"/>
    </row>
    <row r="719" spans="1:16" ht="15.75" customHeight="1">
      <c r="A719" s="157"/>
      <c r="B719" s="158"/>
      <c r="C719" s="159"/>
      <c r="D719" s="160"/>
      <c r="E719" s="161"/>
      <c r="F719" s="162"/>
      <c r="G719" s="162"/>
      <c r="H719" s="160"/>
      <c r="I719" s="161"/>
      <c r="J719" s="163"/>
      <c r="K719" s="163"/>
      <c r="L719" s="163"/>
      <c r="M719" s="164"/>
      <c r="N719" s="164"/>
      <c r="O719" s="165"/>
      <c r="P719" s="166"/>
    </row>
    <row r="720" spans="1:16" ht="15.75" customHeight="1">
      <c r="A720" s="157"/>
      <c r="B720" s="158"/>
      <c r="C720" s="159"/>
      <c r="D720" s="160"/>
      <c r="E720" s="161"/>
      <c r="F720" s="162"/>
      <c r="G720" s="162"/>
      <c r="H720" s="160"/>
      <c r="I720" s="161"/>
      <c r="J720" s="163"/>
      <c r="K720" s="163"/>
      <c r="L720" s="163"/>
      <c r="M720" s="164"/>
      <c r="N720" s="164"/>
      <c r="O720" s="165"/>
      <c r="P720" s="166"/>
    </row>
    <row r="721" spans="1:16" ht="15.75" customHeight="1">
      <c r="A721" s="157"/>
      <c r="B721" s="158"/>
      <c r="C721" s="159"/>
      <c r="D721" s="160"/>
      <c r="E721" s="161"/>
      <c r="F721" s="162"/>
      <c r="G721" s="162"/>
      <c r="H721" s="160"/>
      <c r="I721" s="161"/>
      <c r="J721" s="163"/>
      <c r="K721" s="163"/>
      <c r="L721" s="163"/>
      <c r="M721" s="164"/>
      <c r="N721" s="164"/>
      <c r="O721" s="165"/>
      <c r="P721" s="166"/>
    </row>
    <row r="722" spans="1:16" ht="15.75" customHeight="1">
      <c r="A722" s="157"/>
      <c r="B722" s="158"/>
      <c r="C722" s="159"/>
      <c r="D722" s="160"/>
      <c r="E722" s="161"/>
      <c r="F722" s="162"/>
      <c r="G722" s="162"/>
      <c r="H722" s="160"/>
      <c r="I722" s="161"/>
      <c r="J722" s="163"/>
      <c r="K722" s="163"/>
      <c r="L722" s="163"/>
      <c r="M722" s="164"/>
      <c r="N722" s="164"/>
      <c r="O722" s="165"/>
      <c r="P722" s="166"/>
    </row>
    <row r="723" spans="1:16" ht="15.75" customHeight="1">
      <c r="A723" s="157"/>
      <c r="B723" s="158"/>
      <c r="C723" s="159"/>
      <c r="D723" s="160"/>
      <c r="E723" s="161"/>
      <c r="F723" s="162"/>
      <c r="G723" s="162"/>
      <c r="H723" s="160"/>
      <c r="I723" s="161"/>
      <c r="J723" s="163"/>
      <c r="K723" s="163"/>
      <c r="L723" s="163"/>
      <c r="M723" s="164"/>
      <c r="N723" s="164"/>
      <c r="O723" s="165"/>
      <c r="P723" s="166"/>
    </row>
    <row r="724" spans="1:16" ht="15.75" customHeight="1">
      <c r="A724" s="157"/>
      <c r="B724" s="158"/>
      <c r="C724" s="159"/>
      <c r="D724" s="160"/>
      <c r="E724" s="161"/>
      <c r="F724" s="162"/>
      <c r="G724" s="162"/>
      <c r="H724" s="160"/>
      <c r="I724" s="161"/>
      <c r="J724" s="163"/>
      <c r="K724" s="163"/>
      <c r="L724" s="163"/>
      <c r="M724" s="164"/>
      <c r="N724" s="164"/>
      <c r="O724" s="165"/>
      <c r="P724" s="166"/>
    </row>
    <row r="725" spans="1:16" ht="15.75" customHeight="1">
      <c r="A725" s="157"/>
      <c r="B725" s="158"/>
      <c r="C725" s="159"/>
      <c r="D725" s="160"/>
      <c r="E725" s="161"/>
      <c r="F725" s="162"/>
      <c r="G725" s="162"/>
      <c r="H725" s="160"/>
      <c r="I725" s="161"/>
      <c r="J725" s="163"/>
      <c r="K725" s="163"/>
      <c r="L725" s="163"/>
      <c r="M725" s="164"/>
      <c r="N725" s="164"/>
      <c r="O725" s="165"/>
      <c r="P725" s="166"/>
    </row>
    <row r="726" spans="1:16" ht="15.75" customHeight="1">
      <c r="A726" s="157"/>
      <c r="B726" s="158"/>
      <c r="C726" s="159"/>
      <c r="D726" s="160"/>
      <c r="E726" s="161"/>
      <c r="F726" s="162"/>
      <c r="G726" s="162"/>
      <c r="H726" s="160"/>
      <c r="I726" s="161"/>
      <c r="J726" s="163"/>
      <c r="K726" s="163"/>
      <c r="L726" s="163"/>
      <c r="M726" s="164"/>
      <c r="N726" s="164"/>
      <c r="O726" s="165"/>
      <c r="P726" s="166"/>
    </row>
    <row r="727" spans="1:16" ht="15.75" customHeight="1">
      <c r="A727" s="157"/>
      <c r="B727" s="158"/>
      <c r="C727" s="159"/>
      <c r="D727" s="160"/>
      <c r="E727" s="161"/>
      <c r="F727" s="162"/>
      <c r="G727" s="162"/>
      <c r="H727" s="160"/>
      <c r="I727" s="161"/>
      <c r="J727" s="163"/>
      <c r="K727" s="163"/>
      <c r="L727" s="163"/>
      <c r="M727" s="164"/>
      <c r="N727" s="164"/>
      <c r="O727" s="165"/>
      <c r="P727" s="166"/>
    </row>
    <row r="728" spans="1:16" ht="15.75" customHeight="1">
      <c r="A728" s="157"/>
      <c r="B728" s="158"/>
      <c r="C728" s="159"/>
      <c r="D728" s="160"/>
      <c r="E728" s="161"/>
      <c r="F728" s="162"/>
      <c r="G728" s="162"/>
      <c r="H728" s="160"/>
      <c r="I728" s="161"/>
      <c r="J728" s="163"/>
      <c r="K728" s="163"/>
      <c r="L728" s="163"/>
      <c r="M728" s="164"/>
      <c r="N728" s="164"/>
      <c r="O728" s="165"/>
      <c r="P728" s="166"/>
    </row>
    <row r="729" spans="1:16" ht="15.75" customHeight="1">
      <c r="A729" s="157"/>
      <c r="B729" s="158"/>
      <c r="C729" s="159"/>
      <c r="D729" s="160"/>
      <c r="E729" s="161"/>
      <c r="F729" s="162"/>
      <c r="G729" s="162"/>
      <c r="H729" s="160"/>
      <c r="I729" s="161"/>
      <c r="J729" s="163"/>
      <c r="K729" s="163"/>
      <c r="L729" s="163"/>
      <c r="M729" s="164"/>
      <c r="N729" s="164"/>
      <c r="O729" s="165"/>
      <c r="P729" s="166"/>
    </row>
    <row r="730" spans="1:16" ht="15.75" customHeight="1">
      <c r="A730" s="157"/>
      <c r="B730" s="158"/>
      <c r="C730" s="159"/>
      <c r="D730" s="160"/>
      <c r="E730" s="161"/>
      <c r="F730" s="162"/>
      <c r="G730" s="162"/>
      <c r="H730" s="160"/>
      <c r="I730" s="161"/>
      <c r="J730" s="163"/>
      <c r="K730" s="163"/>
      <c r="L730" s="163"/>
      <c r="M730" s="164"/>
      <c r="N730" s="164"/>
      <c r="O730" s="165"/>
      <c r="P730" s="166"/>
    </row>
    <row r="731" spans="1:16" ht="15.75" customHeight="1">
      <c r="A731" s="157"/>
      <c r="B731" s="158"/>
      <c r="C731" s="159"/>
      <c r="D731" s="160"/>
      <c r="E731" s="161"/>
      <c r="F731" s="162"/>
      <c r="G731" s="162"/>
      <c r="H731" s="160"/>
      <c r="I731" s="161"/>
      <c r="J731" s="163"/>
      <c r="K731" s="163"/>
      <c r="L731" s="163"/>
      <c r="M731" s="164"/>
      <c r="N731" s="164"/>
      <c r="O731" s="165"/>
      <c r="P731" s="166"/>
    </row>
    <row r="732" spans="1:16" ht="15.75" customHeight="1">
      <c r="A732" s="157"/>
      <c r="B732" s="158"/>
      <c r="C732" s="159"/>
      <c r="D732" s="160"/>
      <c r="E732" s="161"/>
      <c r="F732" s="162"/>
      <c r="G732" s="162"/>
      <c r="H732" s="160"/>
      <c r="I732" s="161"/>
      <c r="J732" s="163"/>
      <c r="K732" s="163"/>
      <c r="L732" s="163"/>
      <c r="M732" s="164"/>
      <c r="N732" s="164"/>
      <c r="O732" s="165"/>
      <c r="P732" s="166"/>
    </row>
    <row r="733" spans="1:16" ht="15.75" customHeight="1">
      <c r="A733" s="157"/>
      <c r="B733" s="158"/>
      <c r="C733" s="159"/>
      <c r="D733" s="160"/>
      <c r="E733" s="161"/>
      <c r="F733" s="162"/>
      <c r="G733" s="162"/>
      <c r="H733" s="160"/>
      <c r="I733" s="161"/>
      <c r="J733" s="163"/>
      <c r="K733" s="163"/>
      <c r="L733" s="163"/>
      <c r="M733" s="164"/>
      <c r="N733" s="164"/>
      <c r="O733" s="165"/>
      <c r="P733" s="166"/>
    </row>
    <row r="734" spans="1:16" ht="15.75" customHeight="1">
      <c r="A734" s="157"/>
      <c r="B734" s="158"/>
      <c r="C734" s="159"/>
      <c r="D734" s="160"/>
      <c r="E734" s="161"/>
      <c r="F734" s="162"/>
      <c r="G734" s="162"/>
      <c r="H734" s="160"/>
      <c r="I734" s="161"/>
      <c r="J734" s="163"/>
      <c r="K734" s="163"/>
      <c r="L734" s="163"/>
      <c r="M734" s="164"/>
      <c r="N734" s="164"/>
      <c r="O734" s="165"/>
      <c r="P734" s="166"/>
    </row>
    <row r="735" spans="1:16" ht="15.75" customHeight="1">
      <c r="A735" s="157"/>
      <c r="B735" s="158"/>
      <c r="C735" s="159"/>
      <c r="D735" s="160"/>
      <c r="E735" s="161"/>
      <c r="F735" s="162"/>
      <c r="G735" s="162"/>
      <c r="H735" s="160"/>
      <c r="I735" s="161"/>
      <c r="J735" s="163"/>
      <c r="K735" s="163"/>
      <c r="L735" s="163"/>
      <c r="M735" s="164"/>
      <c r="N735" s="164"/>
      <c r="O735" s="165"/>
      <c r="P735" s="166"/>
    </row>
    <row r="736" spans="1:16" ht="15.75" customHeight="1">
      <c r="A736" s="157"/>
      <c r="B736" s="158"/>
      <c r="C736" s="159"/>
      <c r="D736" s="160"/>
      <c r="E736" s="161"/>
      <c r="F736" s="162"/>
      <c r="G736" s="162"/>
      <c r="H736" s="160"/>
      <c r="I736" s="161"/>
      <c r="J736" s="163"/>
      <c r="K736" s="163"/>
      <c r="L736" s="163"/>
      <c r="M736" s="164"/>
      <c r="N736" s="164"/>
      <c r="O736" s="165"/>
      <c r="P736" s="166"/>
    </row>
    <row r="737" spans="1:16" ht="15.75" customHeight="1">
      <c r="A737" s="157"/>
      <c r="B737" s="158"/>
      <c r="C737" s="159"/>
      <c r="D737" s="160"/>
      <c r="E737" s="161"/>
      <c r="F737" s="162"/>
      <c r="G737" s="162"/>
      <c r="H737" s="160"/>
      <c r="I737" s="161"/>
      <c r="J737" s="163"/>
      <c r="K737" s="163"/>
      <c r="L737" s="163"/>
      <c r="M737" s="164"/>
      <c r="N737" s="164"/>
      <c r="O737" s="165"/>
      <c r="P737" s="166"/>
    </row>
    <row r="738" spans="1:16" ht="15.75" customHeight="1">
      <c r="A738" s="157"/>
      <c r="B738" s="158"/>
      <c r="C738" s="159"/>
      <c r="D738" s="160"/>
      <c r="E738" s="161"/>
      <c r="F738" s="162"/>
      <c r="G738" s="162"/>
      <c r="H738" s="160"/>
      <c r="I738" s="161"/>
      <c r="J738" s="163"/>
      <c r="K738" s="163"/>
      <c r="L738" s="163"/>
      <c r="M738" s="164"/>
      <c r="N738" s="164"/>
      <c r="O738" s="165"/>
      <c r="P738" s="166"/>
    </row>
    <row r="739" spans="1:16" ht="15.75" customHeight="1">
      <c r="A739" s="157"/>
      <c r="B739" s="158"/>
      <c r="C739" s="159"/>
      <c r="D739" s="160"/>
      <c r="E739" s="161"/>
      <c r="F739" s="162"/>
      <c r="G739" s="162"/>
      <c r="H739" s="160"/>
      <c r="I739" s="161"/>
      <c r="J739" s="163"/>
      <c r="K739" s="163"/>
      <c r="L739" s="163"/>
      <c r="M739" s="164"/>
      <c r="N739" s="164"/>
      <c r="O739" s="165"/>
      <c r="P739" s="166"/>
    </row>
    <row r="740" spans="1:16" ht="15.75" customHeight="1">
      <c r="A740" s="157"/>
      <c r="B740" s="158"/>
      <c r="C740" s="159"/>
      <c r="D740" s="160"/>
      <c r="E740" s="161"/>
      <c r="F740" s="162"/>
      <c r="G740" s="162"/>
      <c r="H740" s="160"/>
      <c r="I740" s="161"/>
      <c r="J740" s="163"/>
      <c r="K740" s="163"/>
      <c r="L740" s="163"/>
      <c r="M740" s="164"/>
      <c r="N740" s="164"/>
      <c r="O740" s="165"/>
      <c r="P740" s="166"/>
    </row>
    <row r="741" spans="1:16" ht="15.75" customHeight="1">
      <c r="A741" s="157"/>
      <c r="B741" s="158"/>
      <c r="C741" s="159"/>
      <c r="D741" s="160"/>
      <c r="E741" s="161"/>
      <c r="F741" s="162"/>
      <c r="G741" s="162"/>
      <c r="H741" s="160"/>
      <c r="I741" s="161"/>
      <c r="J741" s="163"/>
      <c r="K741" s="163"/>
      <c r="L741" s="163"/>
      <c r="M741" s="164"/>
      <c r="N741" s="164"/>
      <c r="O741" s="165"/>
      <c r="P741" s="166"/>
    </row>
    <row r="742" spans="1:16" ht="15.75" customHeight="1">
      <c r="A742" s="157"/>
      <c r="B742" s="158"/>
      <c r="C742" s="159"/>
      <c r="D742" s="160"/>
      <c r="E742" s="161"/>
      <c r="F742" s="162"/>
      <c r="G742" s="162"/>
      <c r="H742" s="160"/>
      <c r="I742" s="161"/>
      <c r="J742" s="163"/>
      <c r="K742" s="163"/>
      <c r="L742" s="163"/>
      <c r="M742" s="164"/>
      <c r="N742" s="164"/>
      <c r="O742" s="165"/>
      <c r="P742" s="166"/>
    </row>
    <row r="743" spans="1:16" ht="15.75" customHeight="1">
      <c r="A743" s="157"/>
      <c r="B743" s="158"/>
      <c r="C743" s="159"/>
      <c r="D743" s="160"/>
      <c r="E743" s="161"/>
      <c r="F743" s="162"/>
      <c r="G743" s="162"/>
      <c r="H743" s="160"/>
      <c r="I743" s="161"/>
      <c r="J743" s="163"/>
      <c r="K743" s="163"/>
      <c r="L743" s="163"/>
      <c r="M743" s="164"/>
      <c r="N743" s="164"/>
      <c r="O743" s="165"/>
      <c r="P743" s="166"/>
    </row>
    <row r="744" spans="1:16" ht="15.75" customHeight="1">
      <c r="A744" s="157"/>
      <c r="B744" s="158"/>
      <c r="C744" s="159"/>
      <c r="D744" s="160"/>
      <c r="E744" s="161"/>
      <c r="F744" s="162"/>
      <c r="G744" s="162"/>
      <c r="H744" s="160"/>
      <c r="I744" s="161"/>
      <c r="J744" s="163"/>
      <c r="K744" s="163"/>
      <c r="L744" s="163"/>
      <c r="M744" s="164"/>
      <c r="N744" s="164"/>
      <c r="O744" s="165"/>
      <c r="P744" s="166"/>
    </row>
    <row r="745" spans="1:16" ht="15.75" customHeight="1">
      <c r="A745" s="157"/>
      <c r="B745" s="158"/>
      <c r="C745" s="159"/>
      <c r="D745" s="160"/>
      <c r="E745" s="161"/>
      <c r="F745" s="162"/>
      <c r="G745" s="162"/>
      <c r="H745" s="160"/>
      <c r="I745" s="161"/>
      <c r="J745" s="163"/>
      <c r="K745" s="163"/>
      <c r="L745" s="163"/>
      <c r="M745" s="164"/>
      <c r="N745" s="164"/>
      <c r="O745" s="165"/>
      <c r="P745" s="166"/>
    </row>
    <row r="746" spans="1:16" ht="15.75" customHeight="1">
      <c r="A746" s="157"/>
      <c r="B746" s="158"/>
      <c r="C746" s="159"/>
      <c r="D746" s="160"/>
      <c r="E746" s="161"/>
      <c r="F746" s="162"/>
      <c r="G746" s="162"/>
      <c r="H746" s="160"/>
      <c r="I746" s="161"/>
      <c r="J746" s="163"/>
      <c r="K746" s="163"/>
      <c r="L746" s="163"/>
      <c r="M746" s="164"/>
      <c r="N746" s="164"/>
      <c r="O746" s="165"/>
      <c r="P746" s="166"/>
    </row>
    <row r="747" spans="1:16" ht="15.75" customHeight="1">
      <c r="A747" s="157"/>
      <c r="B747" s="158"/>
      <c r="C747" s="159"/>
      <c r="D747" s="160"/>
      <c r="E747" s="161"/>
      <c r="F747" s="162"/>
      <c r="G747" s="162"/>
      <c r="H747" s="160"/>
      <c r="I747" s="161"/>
      <c r="J747" s="163"/>
      <c r="K747" s="163"/>
      <c r="L747" s="163"/>
      <c r="M747" s="164"/>
      <c r="N747" s="164"/>
      <c r="O747" s="165"/>
      <c r="P747" s="166"/>
    </row>
    <row r="748" spans="1:16" ht="15.75" customHeight="1">
      <c r="A748" s="157"/>
      <c r="B748" s="158"/>
      <c r="C748" s="159"/>
      <c r="D748" s="160"/>
      <c r="E748" s="161"/>
      <c r="F748" s="162"/>
      <c r="G748" s="162"/>
      <c r="H748" s="160"/>
      <c r="I748" s="161"/>
      <c r="J748" s="163"/>
      <c r="K748" s="163"/>
      <c r="L748" s="163"/>
      <c r="M748" s="164"/>
      <c r="N748" s="164"/>
      <c r="O748" s="165"/>
      <c r="P748" s="166"/>
    </row>
    <row r="749" spans="1:16" ht="15.75" customHeight="1">
      <c r="A749" s="157"/>
      <c r="B749" s="158"/>
      <c r="C749" s="159"/>
      <c r="D749" s="160"/>
      <c r="E749" s="161"/>
      <c r="F749" s="162"/>
      <c r="G749" s="162"/>
      <c r="H749" s="160"/>
      <c r="I749" s="161"/>
      <c r="J749" s="163"/>
      <c r="K749" s="163"/>
      <c r="L749" s="163"/>
      <c r="M749" s="164"/>
      <c r="N749" s="164"/>
      <c r="O749" s="165"/>
      <c r="P749" s="166"/>
    </row>
    <row r="750" spans="1:16" ht="15.75" customHeight="1">
      <c r="A750" s="157"/>
      <c r="B750" s="158"/>
      <c r="C750" s="159"/>
      <c r="D750" s="160"/>
      <c r="E750" s="161"/>
      <c r="F750" s="162"/>
      <c r="G750" s="162"/>
      <c r="H750" s="160"/>
      <c r="I750" s="161"/>
      <c r="J750" s="163"/>
      <c r="K750" s="163"/>
      <c r="L750" s="163"/>
      <c r="M750" s="164"/>
      <c r="N750" s="164"/>
      <c r="O750" s="165"/>
      <c r="P750" s="166"/>
    </row>
    <row r="751" spans="1:16" ht="15.75" customHeight="1">
      <c r="A751" s="157"/>
      <c r="B751" s="158"/>
      <c r="C751" s="159"/>
      <c r="D751" s="160"/>
      <c r="E751" s="161"/>
      <c r="F751" s="162"/>
      <c r="G751" s="162"/>
      <c r="H751" s="160"/>
      <c r="I751" s="161"/>
      <c r="J751" s="163"/>
      <c r="K751" s="163"/>
      <c r="L751" s="163"/>
      <c r="M751" s="164"/>
      <c r="N751" s="164"/>
      <c r="O751" s="165"/>
      <c r="P751" s="166"/>
    </row>
    <row r="752" spans="1:16" ht="15.75" customHeight="1">
      <c r="A752" s="157"/>
      <c r="B752" s="158"/>
      <c r="C752" s="159"/>
      <c r="D752" s="160"/>
      <c r="E752" s="161"/>
      <c r="F752" s="162"/>
      <c r="G752" s="162"/>
      <c r="H752" s="160"/>
      <c r="I752" s="161"/>
      <c r="J752" s="163"/>
      <c r="K752" s="163"/>
      <c r="L752" s="163"/>
      <c r="M752" s="164"/>
      <c r="N752" s="164"/>
      <c r="O752" s="165"/>
      <c r="P752" s="166"/>
    </row>
    <row r="753" spans="1:16" ht="15.75" customHeight="1">
      <c r="A753" s="157"/>
      <c r="B753" s="158"/>
      <c r="C753" s="159"/>
      <c r="D753" s="160"/>
      <c r="E753" s="161"/>
      <c r="F753" s="162"/>
      <c r="G753" s="162"/>
      <c r="H753" s="160"/>
      <c r="I753" s="161"/>
      <c r="J753" s="163"/>
      <c r="K753" s="163"/>
      <c r="L753" s="163"/>
      <c r="M753" s="164"/>
      <c r="N753" s="164"/>
      <c r="O753" s="165"/>
      <c r="P753" s="166"/>
    </row>
    <row r="754" spans="1:16" ht="15.75" customHeight="1">
      <c r="A754" s="157"/>
      <c r="B754" s="158"/>
      <c r="C754" s="159"/>
      <c r="D754" s="160"/>
      <c r="E754" s="161"/>
      <c r="F754" s="162"/>
      <c r="G754" s="162"/>
      <c r="H754" s="160"/>
      <c r="I754" s="161"/>
      <c r="J754" s="163"/>
      <c r="K754" s="163"/>
      <c r="L754" s="163"/>
      <c r="M754" s="164"/>
      <c r="N754" s="164"/>
      <c r="O754" s="165"/>
      <c r="P754" s="166"/>
    </row>
    <row r="755" spans="1:16" ht="15.75" customHeight="1">
      <c r="A755" s="157"/>
      <c r="B755" s="158"/>
      <c r="C755" s="159"/>
      <c r="D755" s="160"/>
      <c r="E755" s="161"/>
      <c r="F755" s="162"/>
      <c r="G755" s="162"/>
      <c r="H755" s="160"/>
      <c r="I755" s="161"/>
      <c r="J755" s="163"/>
      <c r="K755" s="163"/>
      <c r="L755" s="163"/>
      <c r="M755" s="164"/>
      <c r="N755" s="164"/>
      <c r="O755" s="165"/>
      <c r="P755" s="166"/>
    </row>
    <row r="756" spans="1:16" ht="15.75" customHeight="1">
      <c r="A756" s="157"/>
      <c r="B756" s="158"/>
      <c r="C756" s="159"/>
      <c r="D756" s="160"/>
      <c r="E756" s="161"/>
      <c r="F756" s="162"/>
      <c r="G756" s="162"/>
      <c r="H756" s="160"/>
      <c r="I756" s="161"/>
      <c r="J756" s="163"/>
      <c r="K756" s="163"/>
      <c r="L756" s="163"/>
      <c r="M756" s="164"/>
      <c r="N756" s="164"/>
      <c r="O756" s="165"/>
      <c r="P756" s="166"/>
    </row>
    <row r="757" spans="1:16" ht="15.75" customHeight="1">
      <c r="A757" s="157"/>
      <c r="B757" s="158"/>
      <c r="C757" s="159"/>
      <c r="D757" s="160"/>
      <c r="E757" s="161"/>
      <c r="F757" s="162"/>
      <c r="G757" s="162"/>
      <c r="H757" s="160"/>
      <c r="I757" s="161"/>
      <c r="J757" s="163"/>
      <c r="K757" s="163"/>
      <c r="L757" s="163"/>
      <c r="M757" s="164"/>
      <c r="N757" s="164"/>
      <c r="O757" s="165"/>
      <c r="P757" s="166"/>
    </row>
    <row r="758" spans="1:16" ht="15.75" customHeight="1">
      <c r="A758" s="157"/>
      <c r="B758" s="158"/>
      <c r="C758" s="159"/>
      <c r="D758" s="160"/>
      <c r="E758" s="161"/>
      <c r="F758" s="162"/>
      <c r="G758" s="162"/>
      <c r="H758" s="160"/>
      <c r="I758" s="161"/>
      <c r="J758" s="163"/>
      <c r="K758" s="163"/>
      <c r="L758" s="163"/>
      <c r="M758" s="164"/>
      <c r="N758" s="164"/>
      <c r="O758" s="165"/>
      <c r="P758" s="166"/>
    </row>
    <row r="759" spans="1:16" ht="15.75" customHeight="1">
      <c r="A759" s="157"/>
      <c r="B759" s="158"/>
      <c r="C759" s="159"/>
      <c r="D759" s="160"/>
      <c r="E759" s="161"/>
      <c r="F759" s="162"/>
      <c r="G759" s="162"/>
      <c r="H759" s="160"/>
      <c r="I759" s="161"/>
      <c r="J759" s="163"/>
      <c r="K759" s="163"/>
      <c r="L759" s="163"/>
      <c r="M759" s="164"/>
      <c r="N759" s="164"/>
      <c r="O759" s="165"/>
      <c r="P759" s="166"/>
    </row>
    <row r="760" spans="1:16" ht="15.75" customHeight="1">
      <c r="A760" s="157"/>
      <c r="B760" s="158"/>
      <c r="C760" s="159"/>
      <c r="D760" s="160"/>
      <c r="E760" s="161"/>
      <c r="F760" s="162"/>
      <c r="G760" s="162"/>
      <c r="H760" s="160"/>
      <c r="I760" s="161"/>
      <c r="J760" s="163"/>
      <c r="K760" s="163"/>
      <c r="L760" s="163"/>
      <c r="M760" s="164"/>
      <c r="N760" s="164"/>
      <c r="O760" s="165"/>
      <c r="P760" s="166"/>
    </row>
    <row r="761" spans="1:16" ht="15.75" customHeight="1">
      <c r="A761" s="157"/>
      <c r="B761" s="158"/>
      <c r="C761" s="159"/>
      <c r="D761" s="160"/>
      <c r="E761" s="161"/>
      <c r="F761" s="162"/>
      <c r="G761" s="162"/>
      <c r="H761" s="160"/>
      <c r="I761" s="161"/>
      <c r="J761" s="163"/>
      <c r="K761" s="163"/>
      <c r="L761" s="163"/>
      <c r="M761" s="164"/>
      <c r="N761" s="164"/>
      <c r="O761" s="165"/>
      <c r="P761" s="166"/>
    </row>
    <row r="762" spans="1:16" ht="15.75" customHeight="1">
      <c r="A762" s="157"/>
      <c r="B762" s="158"/>
      <c r="C762" s="159"/>
      <c r="D762" s="160"/>
      <c r="E762" s="161"/>
      <c r="F762" s="162"/>
      <c r="G762" s="162"/>
      <c r="H762" s="160"/>
      <c r="I762" s="161"/>
      <c r="J762" s="163"/>
      <c r="K762" s="163"/>
      <c r="L762" s="163"/>
      <c r="M762" s="164"/>
      <c r="N762" s="164"/>
      <c r="O762" s="165"/>
      <c r="P762" s="166"/>
    </row>
    <row r="763" spans="1:16" ht="15.75" customHeight="1">
      <c r="A763" s="157"/>
      <c r="B763" s="158"/>
      <c r="C763" s="159"/>
      <c r="D763" s="160"/>
      <c r="E763" s="161"/>
      <c r="F763" s="162"/>
      <c r="G763" s="162"/>
      <c r="H763" s="160"/>
      <c r="I763" s="161"/>
      <c r="J763" s="163"/>
      <c r="K763" s="163"/>
      <c r="L763" s="163"/>
      <c r="M763" s="164"/>
      <c r="N763" s="164"/>
      <c r="O763" s="165"/>
      <c r="P763" s="166"/>
    </row>
    <row r="764" spans="1:16" ht="15.75" customHeight="1">
      <c r="A764" s="157"/>
      <c r="B764" s="158"/>
      <c r="C764" s="159"/>
      <c r="D764" s="160"/>
      <c r="E764" s="161"/>
      <c r="F764" s="162"/>
      <c r="G764" s="162"/>
      <c r="H764" s="160"/>
      <c r="I764" s="161"/>
      <c r="J764" s="163"/>
      <c r="K764" s="163"/>
      <c r="L764" s="163"/>
      <c r="M764" s="164"/>
      <c r="N764" s="164"/>
      <c r="O764" s="165"/>
      <c r="P764" s="166"/>
    </row>
    <row r="765" spans="1:16" ht="15.75" customHeight="1">
      <c r="A765" s="157"/>
      <c r="B765" s="158"/>
      <c r="C765" s="159"/>
      <c r="D765" s="160"/>
      <c r="E765" s="161"/>
      <c r="F765" s="162"/>
      <c r="G765" s="162"/>
      <c r="H765" s="160"/>
      <c r="I765" s="161"/>
      <c r="J765" s="163"/>
      <c r="K765" s="163"/>
      <c r="L765" s="163"/>
      <c r="M765" s="164"/>
      <c r="N765" s="164"/>
      <c r="O765" s="165"/>
      <c r="P765" s="166"/>
    </row>
    <row r="766" spans="1:16" ht="15.75" customHeight="1">
      <c r="A766" s="157"/>
      <c r="B766" s="158"/>
      <c r="C766" s="159"/>
      <c r="D766" s="160"/>
      <c r="E766" s="161"/>
      <c r="F766" s="162"/>
      <c r="G766" s="162"/>
      <c r="H766" s="160"/>
      <c r="I766" s="161"/>
      <c r="J766" s="163"/>
      <c r="K766" s="163"/>
      <c r="L766" s="163"/>
      <c r="M766" s="164"/>
      <c r="N766" s="164"/>
      <c r="O766" s="165"/>
      <c r="P766" s="166"/>
    </row>
    <row r="767" spans="1:16" ht="15.75" customHeight="1">
      <c r="A767" s="157"/>
      <c r="B767" s="158"/>
      <c r="C767" s="159"/>
      <c r="D767" s="160"/>
      <c r="E767" s="161"/>
      <c r="F767" s="162"/>
      <c r="G767" s="162"/>
      <c r="H767" s="160"/>
      <c r="I767" s="161"/>
      <c r="J767" s="163"/>
      <c r="K767" s="163"/>
      <c r="L767" s="163"/>
      <c r="M767" s="164"/>
      <c r="N767" s="164"/>
      <c r="O767" s="165"/>
      <c r="P767" s="166"/>
    </row>
    <row r="768" spans="1:16" ht="15.75" customHeight="1">
      <c r="A768" s="157"/>
      <c r="B768" s="158"/>
      <c r="C768" s="159"/>
      <c r="D768" s="160"/>
      <c r="E768" s="161"/>
      <c r="F768" s="162"/>
      <c r="G768" s="162"/>
      <c r="H768" s="160"/>
      <c r="I768" s="161"/>
      <c r="J768" s="163"/>
      <c r="K768" s="163"/>
      <c r="L768" s="163"/>
      <c r="M768" s="164"/>
      <c r="N768" s="164"/>
      <c r="O768" s="165"/>
      <c r="P768" s="166"/>
    </row>
    <row r="769" spans="1:16" ht="15.75" customHeight="1">
      <c r="A769" s="157"/>
      <c r="B769" s="158"/>
      <c r="C769" s="159"/>
      <c r="D769" s="160"/>
      <c r="E769" s="161"/>
      <c r="F769" s="162"/>
      <c r="G769" s="162"/>
      <c r="H769" s="160"/>
      <c r="I769" s="161"/>
      <c r="J769" s="163"/>
      <c r="K769" s="163"/>
      <c r="L769" s="163"/>
      <c r="M769" s="164"/>
      <c r="N769" s="164"/>
      <c r="O769" s="165"/>
      <c r="P769" s="166"/>
    </row>
    <row r="770" spans="1:16" ht="15.75" customHeight="1">
      <c r="A770" s="157"/>
      <c r="B770" s="158"/>
      <c r="C770" s="159"/>
      <c r="D770" s="160"/>
      <c r="E770" s="161"/>
      <c r="F770" s="162"/>
      <c r="G770" s="162"/>
      <c r="H770" s="160"/>
      <c r="I770" s="161"/>
      <c r="J770" s="163"/>
      <c r="K770" s="163"/>
      <c r="L770" s="163"/>
      <c r="M770" s="164"/>
      <c r="N770" s="164"/>
      <c r="O770" s="165"/>
      <c r="P770" s="166"/>
    </row>
    <row r="771" spans="1:16" ht="15.75" customHeight="1">
      <c r="A771" s="157"/>
      <c r="B771" s="158"/>
      <c r="C771" s="159"/>
      <c r="D771" s="160"/>
      <c r="E771" s="161"/>
      <c r="F771" s="162"/>
      <c r="G771" s="162"/>
      <c r="H771" s="160"/>
      <c r="I771" s="161"/>
      <c r="J771" s="163"/>
      <c r="K771" s="163"/>
      <c r="L771" s="163"/>
      <c r="M771" s="164"/>
      <c r="N771" s="164"/>
      <c r="O771" s="165"/>
      <c r="P771" s="166"/>
    </row>
    <row r="772" spans="1:16" ht="15.75" customHeight="1">
      <c r="A772" s="157"/>
      <c r="B772" s="158"/>
      <c r="C772" s="159"/>
      <c r="D772" s="160"/>
      <c r="E772" s="161"/>
      <c r="F772" s="162"/>
      <c r="G772" s="162"/>
      <c r="H772" s="160"/>
      <c r="I772" s="161"/>
      <c r="J772" s="163"/>
      <c r="K772" s="163"/>
      <c r="L772" s="163"/>
      <c r="M772" s="164"/>
      <c r="N772" s="164"/>
      <c r="O772" s="165"/>
      <c r="P772" s="166"/>
    </row>
    <row r="773" spans="1:16" ht="15.75" customHeight="1">
      <c r="A773" s="157"/>
      <c r="B773" s="158"/>
      <c r="C773" s="159"/>
      <c r="D773" s="160"/>
      <c r="E773" s="161"/>
      <c r="F773" s="162"/>
      <c r="G773" s="162"/>
      <c r="H773" s="160"/>
      <c r="I773" s="161"/>
      <c r="J773" s="163"/>
      <c r="K773" s="163"/>
      <c r="L773" s="163"/>
      <c r="M773" s="164"/>
      <c r="N773" s="164"/>
      <c r="O773" s="165"/>
      <c r="P773" s="166"/>
    </row>
    <row r="774" spans="1:16" ht="15.75" customHeight="1">
      <c r="A774" s="157"/>
      <c r="B774" s="158"/>
      <c r="C774" s="159"/>
      <c r="D774" s="160"/>
      <c r="E774" s="161"/>
      <c r="F774" s="162"/>
      <c r="G774" s="162"/>
      <c r="H774" s="160"/>
      <c r="I774" s="161"/>
      <c r="J774" s="163"/>
      <c r="K774" s="163"/>
      <c r="L774" s="163"/>
      <c r="M774" s="164"/>
      <c r="N774" s="164"/>
      <c r="O774" s="165"/>
      <c r="P774" s="166"/>
    </row>
    <row r="775" spans="1:16" ht="15.75" customHeight="1">
      <c r="A775" s="157"/>
      <c r="B775" s="158"/>
      <c r="C775" s="159"/>
      <c r="D775" s="160"/>
      <c r="E775" s="161"/>
      <c r="F775" s="162"/>
      <c r="G775" s="162"/>
      <c r="H775" s="160"/>
      <c r="I775" s="161"/>
      <c r="J775" s="163"/>
      <c r="K775" s="163"/>
      <c r="L775" s="163"/>
      <c r="M775" s="164"/>
      <c r="N775" s="164"/>
      <c r="O775" s="165"/>
      <c r="P775" s="166"/>
    </row>
    <row r="776" spans="1:16" ht="15.75" customHeight="1">
      <c r="A776" s="157"/>
      <c r="B776" s="158"/>
      <c r="C776" s="159"/>
      <c r="D776" s="160"/>
      <c r="E776" s="161"/>
      <c r="F776" s="162"/>
      <c r="G776" s="162"/>
      <c r="H776" s="160"/>
      <c r="I776" s="161"/>
      <c r="J776" s="163"/>
      <c r="K776" s="163"/>
      <c r="L776" s="163"/>
      <c r="M776" s="164"/>
      <c r="N776" s="164"/>
      <c r="O776" s="165"/>
      <c r="P776" s="166"/>
    </row>
    <row r="777" spans="1:16" ht="15.75" customHeight="1">
      <c r="A777" s="157"/>
      <c r="B777" s="158"/>
      <c r="C777" s="159"/>
      <c r="D777" s="160"/>
      <c r="E777" s="161"/>
      <c r="F777" s="162"/>
      <c r="G777" s="162"/>
      <c r="H777" s="160"/>
      <c r="I777" s="161"/>
      <c r="J777" s="163"/>
      <c r="K777" s="163"/>
      <c r="L777" s="163"/>
      <c r="M777" s="164"/>
      <c r="N777" s="164"/>
      <c r="O777" s="165"/>
      <c r="P777" s="166"/>
    </row>
    <row r="778" spans="1:16" ht="15.75" customHeight="1">
      <c r="A778" s="157"/>
      <c r="B778" s="158"/>
      <c r="C778" s="159"/>
      <c r="D778" s="160"/>
      <c r="E778" s="161"/>
      <c r="F778" s="162"/>
      <c r="G778" s="162"/>
      <c r="H778" s="160"/>
      <c r="I778" s="161"/>
      <c r="J778" s="163"/>
      <c r="K778" s="163"/>
      <c r="L778" s="163"/>
      <c r="M778" s="164"/>
      <c r="N778" s="164"/>
      <c r="O778" s="165"/>
      <c r="P778" s="166"/>
    </row>
    <row r="779" spans="1:16" ht="15.75" customHeight="1">
      <c r="A779" s="157"/>
      <c r="B779" s="158"/>
      <c r="C779" s="159"/>
      <c r="D779" s="160"/>
      <c r="E779" s="161"/>
      <c r="F779" s="162"/>
      <c r="G779" s="162"/>
      <c r="H779" s="160"/>
      <c r="I779" s="161"/>
      <c r="J779" s="163"/>
      <c r="K779" s="163"/>
      <c r="L779" s="163"/>
      <c r="M779" s="164"/>
      <c r="N779" s="164"/>
      <c r="O779" s="165"/>
      <c r="P779" s="166"/>
    </row>
    <row r="780" spans="1:16" ht="15.75" customHeight="1">
      <c r="A780" s="157"/>
      <c r="B780" s="158"/>
      <c r="C780" s="159"/>
      <c r="D780" s="160"/>
      <c r="E780" s="161"/>
      <c r="F780" s="162"/>
      <c r="G780" s="162"/>
      <c r="H780" s="160"/>
      <c r="I780" s="161"/>
      <c r="J780" s="163"/>
      <c r="K780" s="163"/>
      <c r="L780" s="163"/>
      <c r="M780" s="164"/>
      <c r="N780" s="164"/>
      <c r="O780" s="165"/>
      <c r="P780" s="166"/>
    </row>
    <row r="781" spans="1:16" ht="15.75" customHeight="1">
      <c r="A781" s="157"/>
      <c r="B781" s="158"/>
      <c r="C781" s="159"/>
      <c r="D781" s="160"/>
      <c r="E781" s="161"/>
      <c r="F781" s="162"/>
      <c r="G781" s="162"/>
      <c r="H781" s="160"/>
      <c r="I781" s="161"/>
      <c r="J781" s="163"/>
      <c r="K781" s="163"/>
      <c r="L781" s="163"/>
      <c r="M781" s="164"/>
      <c r="N781" s="164"/>
      <c r="O781" s="165"/>
      <c r="P781" s="166"/>
    </row>
    <row r="782" spans="1:16" ht="15.75" customHeight="1">
      <c r="A782" s="157"/>
      <c r="B782" s="158"/>
      <c r="C782" s="159"/>
      <c r="D782" s="160"/>
      <c r="E782" s="161"/>
      <c r="F782" s="162"/>
      <c r="G782" s="162"/>
      <c r="H782" s="160"/>
      <c r="I782" s="161"/>
      <c r="J782" s="163"/>
      <c r="K782" s="163"/>
      <c r="L782" s="163"/>
      <c r="M782" s="164"/>
      <c r="N782" s="164"/>
      <c r="O782" s="165"/>
      <c r="P782" s="166"/>
    </row>
    <row r="783" spans="1:16" ht="15.75" customHeight="1">
      <c r="A783" s="157"/>
      <c r="B783" s="158"/>
      <c r="C783" s="159"/>
      <c r="D783" s="160"/>
      <c r="E783" s="161"/>
      <c r="F783" s="162"/>
      <c r="G783" s="162"/>
      <c r="H783" s="160"/>
      <c r="I783" s="161"/>
      <c r="J783" s="163"/>
      <c r="K783" s="163"/>
      <c r="L783" s="163"/>
      <c r="M783" s="164"/>
      <c r="N783" s="164"/>
      <c r="O783" s="165"/>
      <c r="P783" s="166"/>
    </row>
    <row r="784" spans="1:16" ht="15.75" customHeight="1">
      <c r="A784" s="157"/>
      <c r="B784" s="158"/>
      <c r="C784" s="159"/>
      <c r="D784" s="160"/>
      <c r="E784" s="161"/>
      <c r="F784" s="162"/>
      <c r="G784" s="162"/>
      <c r="H784" s="160"/>
      <c r="I784" s="161"/>
      <c r="J784" s="163"/>
      <c r="K784" s="163"/>
      <c r="L784" s="163"/>
      <c r="M784" s="164"/>
      <c r="N784" s="164"/>
      <c r="O784" s="165"/>
      <c r="P784" s="166"/>
    </row>
    <row r="785" spans="1:16" ht="15.75" customHeight="1">
      <c r="A785" s="157"/>
      <c r="B785" s="158"/>
      <c r="C785" s="159"/>
      <c r="D785" s="160"/>
      <c r="E785" s="161"/>
      <c r="F785" s="162"/>
      <c r="G785" s="162"/>
      <c r="H785" s="160"/>
      <c r="I785" s="161"/>
      <c r="J785" s="163"/>
      <c r="K785" s="163"/>
      <c r="L785" s="163"/>
      <c r="M785" s="164"/>
      <c r="N785" s="164"/>
      <c r="O785" s="165"/>
      <c r="P785" s="166"/>
    </row>
    <row r="786" spans="1:16" ht="15.75" customHeight="1">
      <c r="A786" s="157"/>
      <c r="B786" s="158"/>
      <c r="C786" s="159"/>
      <c r="D786" s="160"/>
      <c r="E786" s="161"/>
      <c r="F786" s="162"/>
      <c r="G786" s="162"/>
      <c r="H786" s="160"/>
      <c r="I786" s="161"/>
      <c r="J786" s="163"/>
      <c r="K786" s="163"/>
      <c r="L786" s="163"/>
      <c r="M786" s="164"/>
      <c r="N786" s="164"/>
      <c r="O786" s="165"/>
      <c r="P786" s="166"/>
    </row>
    <row r="787" spans="1:16" ht="15.75" customHeight="1">
      <c r="A787" s="157"/>
      <c r="B787" s="158"/>
      <c r="C787" s="159"/>
      <c r="D787" s="160"/>
      <c r="E787" s="161"/>
      <c r="F787" s="162"/>
      <c r="G787" s="162"/>
      <c r="H787" s="160"/>
      <c r="I787" s="161"/>
      <c r="J787" s="163"/>
      <c r="K787" s="163"/>
      <c r="L787" s="163"/>
      <c r="M787" s="164"/>
      <c r="N787" s="164"/>
      <c r="O787" s="165"/>
      <c r="P787" s="166"/>
    </row>
    <row r="788" spans="1:16" ht="15.75" customHeight="1">
      <c r="A788" s="157"/>
      <c r="B788" s="158"/>
      <c r="C788" s="159"/>
      <c r="D788" s="160"/>
      <c r="E788" s="161"/>
      <c r="F788" s="162"/>
      <c r="G788" s="162"/>
      <c r="H788" s="160"/>
      <c r="I788" s="161"/>
      <c r="J788" s="163"/>
      <c r="K788" s="163"/>
      <c r="L788" s="163"/>
      <c r="M788" s="164"/>
      <c r="N788" s="164"/>
      <c r="O788" s="165"/>
      <c r="P788" s="166"/>
    </row>
    <row r="789" spans="1:16" ht="15.75" customHeight="1">
      <c r="A789" s="157"/>
      <c r="B789" s="158"/>
      <c r="C789" s="159"/>
      <c r="D789" s="160"/>
      <c r="E789" s="161"/>
      <c r="F789" s="162"/>
      <c r="G789" s="162"/>
      <c r="H789" s="160"/>
      <c r="I789" s="161"/>
      <c r="J789" s="163"/>
      <c r="K789" s="163"/>
      <c r="L789" s="163"/>
      <c r="M789" s="164"/>
      <c r="N789" s="164"/>
      <c r="O789" s="165"/>
      <c r="P789" s="166"/>
    </row>
    <row r="790" spans="1:16" ht="15.75" customHeight="1">
      <c r="A790" s="157"/>
      <c r="B790" s="158"/>
      <c r="C790" s="159"/>
      <c r="D790" s="160"/>
      <c r="E790" s="161"/>
      <c r="F790" s="162"/>
      <c r="G790" s="162"/>
      <c r="H790" s="160"/>
      <c r="I790" s="161"/>
      <c r="J790" s="163"/>
      <c r="K790" s="163"/>
      <c r="L790" s="163"/>
      <c r="M790" s="164"/>
      <c r="N790" s="164"/>
      <c r="O790" s="165"/>
      <c r="P790" s="166"/>
    </row>
    <row r="791" spans="1:16" ht="15.75" customHeight="1">
      <c r="A791" s="157"/>
      <c r="B791" s="158"/>
      <c r="C791" s="159"/>
      <c r="D791" s="160"/>
      <c r="E791" s="161"/>
      <c r="F791" s="162"/>
      <c r="G791" s="162"/>
      <c r="H791" s="160"/>
      <c r="I791" s="161"/>
      <c r="J791" s="163"/>
      <c r="K791" s="163"/>
      <c r="L791" s="163"/>
      <c r="M791" s="164"/>
      <c r="N791" s="164"/>
      <c r="O791" s="165"/>
      <c r="P791" s="166"/>
    </row>
    <row r="792" spans="1:16" ht="15.75" customHeight="1">
      <c r="A792" s="157"/>
      <c r="B792" s="158"/>
      <c r="C792" s="159"/>
      <c r="D792" s="160"/>
      <c r="E792" s="161"/>
      <c r="F792" s="162"/>
      <c r="G792" s="162"/>
      <c r="H792" s="160"/>
      <c r="I792" s="161"/>
      <c r="J792" s="163"/>
      <c r="K792" s="163"/>
      <c r="L792" s="163"/>
      <c r="M792" s="164"/>
      <c r="N792" s="164"/>
      <c r="O792" s="165"/>
      <c r="P792" s="166"/>
    </row>
    <row r="793" spans="1:16" ht="15.75" customHeight="1">
      <c r="A793" s="157"/>
      <c r="B793" s="158"/>
      <c r="C793" s="159"/>
      <c r="D793" s="160"/>
      <c r="E793" s="161"/>
      <c r="F793" s="162"/>
      <c r="G793" s="162"/>
      <c r="H793" s="160"/>
      <c r="I793" s="161"/>
      <c r="J793" s="163"/>
      <c r="K793" s="163"/>
      <c r="L793" s="163"/>
      <c r="M793" s="164"/>
      <c r="N793" s="164"/>
      <c r="O793" s="165"/>
      <c r="P793" s="166"/>
    </row>
    <row r="794" spans="1:16" ht="15.75" customHeight="1">
      <c r="A794" s="157"/>
      <c r="B794" s="158"/>
      <c r="C794" s="159"/>
      <c r="D794" s="160"/>
      <c r="E794" s="161"/>
      <c r="F794" s="162"/>
      <c r="G794" s="162"/>
      <c r="H794" s="160"/>
      <c r="I794" s="161"/>
      <c r="J794" s="163"/>
      <c r="K794" s="163"/>
      <c r="L794" s="163"/>
      <c r="M794" s="164"/>
      <c r="N794" s="164"/>
      <c r="O794" s="165"/>
      <c r="P794" s="166"/>
    </row>
    <row r="795" spans="1:16" ht="15.75" customHeight="1">
      <c r="A795" s="157"/>
      <c r="B795" s="158"/>
      <c r="C795" s="159"/>
      <c r="D795" s="160"/>
      <c r="E795" s="161"/>
      <c r="F795" s="162"/>
      <c r="G795" s="162"/>
      <c r="H795" s="160"/>
      <c r="I795" s="161"/>
      <c r="J795" s="163"/>
      <c r="K795" s="163"/>
      <c r="L795" s="163"/>
      <c r="M795" s="164"/>
      <c r="N795" s="164"/>
      <c r="O795" s="165"/>
      <c r="P795" s="166"/>
    </row>
    <row r="796" spans="1:16" ht="15.75" customHeight="1">
      <c r="A796" s="157"/>
      <c r="B796" s="158"/>
      <c r="C796" s="159"/>
      <c r="D796" s="160"/>
      <c r="E796" s="161"/>
      <c r="F796" s="162"/>
      <c r="G796" s="162"/>
      <c r="H796" s="160"/>
      <c r="I796" s="161"/>
      <c r="J796" s="163"/>
      <c r="K796" s="163"/>
      <c r="L796" s="163"/>
      <c r="M796" s="164"/>
      <c r="N796" s="164"/>
      <c r="O796" s="165"/>
      <c r="P796" s="166"/>
    </row>
    <row r="797" spans="1:16" ht="15.75" customHeight="1">
      <c r="A797" s="157"/>
      <c r="B797" s="158"/>
      <c r="C797" s="159"/>
      <c r="D797" s="160"/>
      <c r="E797" s="161"/>
      <c r="F797" s="162"/>
      <c r="G797" s="162"/>
      <c r="H797" s="160"/>
      <c r="I797" s="161"/>
      <c r="J797" s="163"/>
      <c r="K797" s="163"/>
      <c r="L797" s="163"/>
      <c r="M797" s="164"/>
      <c r="N797" s="164"/>
      <c r="O797" s="165"/>
      <c r="P797" s="166"/>
    </row>
    <row r="798" spans="1:16" ht="15.75" customHeight="1">
      <c r="A798" s="157"/>
      <c r="B798" s="158"/>
      <c r="C798" s="159"/>
      <c r="D798" s="160"/>
      <c r="E798" s="161"/>
      <c r="F798" s="162"/>
      <c r="G798" s="162"/>
      <c r="H798" s="160"/>
      <c r="I798" s="161"/>
      <c r="J798" s="163"/>
      <c r="K798" s="163"/>
      <c r="L798" s="163"/>
      <c r="M798" s="164"/>
      <c r="N798" s="164"/>
      <c r="O798" s="165"/>
      <c r="P798" s="166"/>
    </row>
    <row r="799" spans="1:16" ht="15.75" customHeight="1">
      <c r="A799" s="157"/>
      <c r="B799" s="158"/>
      <c r="C799" s="159"/>
      <c r="D799" s="160"/>
      <c r="E799" s="161"/>
      <c r="F799" s="162"/>
      <c r="G799" s="162"/>
      <c r="H799" s="160"/>
      <c r="I799" s="161"/>
      <c r="J799" s="163"/>
      <c r="K799" s="163"/>
      <c r="L799" s="163"/>
      <c r="M799" s="164"/>
      <c r="N799" s="164"/>
      <c r="O799" s="165"/>
      <c r="P799" s="166"/>
    </row>
    <row r="800" spans="1:16" ht="15.75" customHeight="1">
      <c r="A800" s="157"/>
      <c r="B800" s="158"/>
      <c r="C800" s="159"/>
      <c r="D800" s="160"/>
      <c r="E800" s="161"/>
      <c r="F800" s="162"/>
      <c r="G800" s="162"/>
      <c r="H800" s="160"/>
      <c r="I800" s="161"/>
      <c r="J800" s="163"/>
      <c r="K800" s="163"/>
      <c r="L800" s="163"/>
      <c r="M800" s="164"/>
      <c r="N800" s="164"/>
      <c r="O800" s="165"/>
      <c r="P800" s="166"/>
    </row>
    <row r="801" spans="1:16" ht="15.75" customHeight="1">
      <c r="A801" s="157"/>
      <c r="B801" s="158"/>
      <c r="C801" s="159"/>
      <c r="D801" s="160"/>
      <c r="E801" s="161"/>
      <c r="F801" s="162"/>
      <c r="G801" s="162"/>
      <c r="H801" s="160"/>
      <c r="I801" s="161"/>
      <c r="J801" s="163"/>
      <c r="K801" s="163"/>
      <c r="L801" s="163"/>
      <c r="M801" s="164"/>
      <c r="N801" s="164"/>
      <c r="O801" s="165"/>
      <c r="P801" s="166"/>
    </row>
    <row r="802" spans="1:16" ht="15.75" customHeight="1">
      <c r="A802" s="157"/>
      <c r="B802" s="158"/>
      <c r="C802" s="159"/>
      <c r="D802" s="160"/>
      <c r="E802" s="161"/>
      <c r="F802" s="162"/>
      <c r="G802" s="162"/>
      <c r="H802" s="160"/>
      <c r="I802" s="161"/>
      <c r="J802" s="163"/>
      <c r="K802" s="163"/>
      <c r="L802" s="163"/>
      <c r="M802" s="164"/>
      <c r="N802" s="164"/>
      <c r="O802" s="165"/>
      <c r="P802" s="166"/>
    </row>
    <row r="803" spans="1:16" ht="15.75" customHeight="1">
      <c r="A803" s="157"/>
      <c r="B803" s="158"/>
      <c r="C803" s="159"/>
      <c r="D803" s="160"/>
      <c r="E803" s="161"/>
      <c r="F803" s="162"/>
      <c r="G803" s="162"/>
      <c r="H803" s="160"/>
      <c r="I803" s="161"/>
      <c r="J803" s="163"/>
      <c r="K803" s="163"/>
      <c r="L803" s="163"/>
      <c r="M803" s="164"/>
      <c r="N803" s="164"/>
      <c r="O803" s="165"/>
      <c r="P803" s="166"/>
    </row>
    <row r="804" spans="1:16" ht="15.75" customHeight="1">
      <c r="A804" s="157"/>
      <c r="B804" s="158"/>
      <c r="C804" s="159"/>
      <c r="D804" s="160"/>
      <c r="E804" s="161"/>
      <c r="F804" s="162"/>
      <c r="G804" s="162"/>
      <c r="H804" s="160"/>
      <c r="I804" s="161"/>
      <c r="J804" s="163"/>
      <c r="K804" s="163"/>
      <c r="L804" s="163"/>
      <c r="M804" s="164"/>
      <c r="N804" s="164"/>
      <c r="O804" s="165"/>
      <c r="P804" s="166"/>
    </row>
    <row r="805" spans="1:16" ht="15.75" customHeight="1">
      <c r="A805" s="157"/>
      <c r="B805" s="158"/>
      <c r="C805" s="159"/>
      <c r="D805" s="160"/>
      <c r="E805" s="161"/>
      <c r="F805" s="162"/>
      <c r="G805" s="162"/>
      <c r="H805" s="160"/>
      <c r="I805" s="161"/>
      <c r="J805" s="163"/>
      <c r="K805" s="163"/>
      <c r="L805" s="163"/>
      <c r="M805" s="164"/>
      <c r="N805" s="164"/>
      <c r="O805" s="165"/>
      <c r="P805" s="166"/>
    </row>
    <row r="806" spans="1:16" ht="15.75" customHeight="1">
      <c r="A806" s="157"/>
      <c r="B806" s="158"/>
      <c r="C806" s="159"/>
      <c r="D806" s="160"/>
      <c r="E806" s="161"/>
      <c r="F806" s="162"/>
      <c r="G806" s="162"/>
      <c r="H806" s="160"/>
      <c r="I806" s="161"/>
      <c r="J806" s="163"/>
      <c r="K806" s="163"/>
      <c r="L806" s="163"/>
      <c r="M806" s="164"/>
      <c r="N806" s="164"/>
      <c r="O806" s="165"/>
      <c r="P806" s="166"/>
    </row>
    <row r="807" spans="1:16" ht="15.75" customHeight="1">
      <c r="A807" s="157"/>
      <c r="B807" s="158"/>
      <c r="C807" s="159"/>
      <c r="D807" s="160"/>
      <c r="E807" s="161"/>
      <c r="F807" s="162"/>
      <c r="G807" s="162"/>
      <c r="H807" s="160"/>
      <c r="I807" s="161"/>
      <c r="J807" s="163"/>
      <c r="K807" s="163"/>
      <c r="L807" s="163"/>
      <c r="M807" s="164"/>
      <c r="N807" s="164"/>
      <c r="O807" s="165"/>
      <c r="P807" s="166"/>
    </row>
    <row r="808" spans="1:16" ht="15.75" customHeight="1">
      <c r="A808" s="157"/>
      <c r="B808" s="158"/>
      <c r="C808" s="159"/>
      <c r="D808" s="160"/>
      <c r="E808" s="161"/>
      <c r="F808" s="162"/>
      <c r="G808" s="162"/>
      <c r="H808" s="160"/>
      <c r="I808" s="161"/>
      <c r="J808" s="163"/>
      <c r="K808" s="163"/>
      <c r="L808" s="163"/>
      <c r="M808" s="164"/>
      <c r="N808" s="164"/>
      <c r="O808" s="165"/>
      <c r="P808" s="166"/>
    </row>
    <row r="809" spans="1:16" ht="15.75" customHeight="1">
      <c r="A809" s="157"/>
      <c r="B809" s="158"/>
      <c r="C809" s="159"/>
      <c r="D809" s="160"/>
      <c r="E809" s="161"/>
      <c r="F809" s="162"/>
      <c r="G809" s="162"/>
      <c r="H809" s="160"/>
      <c r="I809" s="161"/>
      <c r="J809" s="163"/>
      <c r="K809" s="163"/>
      <c r="L809" s="163"/>
      <c r="M809" s="164"/>
      <c r="N809" s="164"/>
      <c r="O809" s="165"/>
      <c r="P809" s="166"/>
    </row>
    <row r="810" spans="1:16" ht="15.75" customHeight="1">
      <c r="A810" s="157"/>
      <c r="B810" s="158"/>
      <c r="C810" s="159"/>
      <c r="D810" s="160"/>
      <c r="E810" s="161"/>
      <c r="F810" s="162"/>
      <c r="G810" s="162"/>
      <c r="H810" s="160"/>
      <c r="I810" s="161"/>
      <c r="J810" s="163"/>
      <c r="K810" s="163"/>
      <c r="L810" s="163"/>
      <c r="M810" s="164"/>
      <c r="N810" s="164"/>
      <c r="O810" s="165"/>
      <c r="P810" s="166"/>
    </row>
    <row r="811" spans="1:16" ht="15.75" customHeight="1">
      <c r="A811" s="157"/>
      <c r="B811" s="158"/>
      <c r="C811" s="159"/>
      <c r="D811" s="160"/>
      <c r="E811" s="161"/>
      <c r="F811" s="162"/>
      <c r="G811" s="162"/>
      <c r="H811" s="160"/>
      <c r="I811" s="161"/>
      <c r="J811" s="163"/>
      <c r="K811" s="163"/>
      <c r="L811" s="163"/>
      <c r="M811" s="164"/>
      <c r="N811" s="164"/>
      <c r="O811" s="165"/>
      <c r="P811" s="166"/>
    </row>
    <row r="812" spans="1:16" ht="15.75" customHeight="1">
      <c r="A812" s="157"/>
      <c r="B812" s="158"/>
      <c r="C812" s="159"/>
      <c r="D812" s="160"/>
      <c r="E812" s="161"/>
      <c r="F812" s="162"/>
      <c r="G812" s="162"/>
      <c r="H812" s="160"/>
      <c r="I812" s="161"/>
      <c r="J812" s="163"/>
      <c r="K812" s="163"/>
      <c r="L812" s="163"/>
      <c r="M812" s="164"/>
      <c r="N812" s="164"/>
      <c r="O812" s="165"/>
      <c r="P812" s="166"/>
    </row>
    <row r="813" spans="1:16" ht="15.75" customHeight="1">
      <c r="A813" s="157"/>
      <c r="B813" s="158"/>
      <c r="C813" s="159"/>
      <c r="D813" s="160"/>
      <c r="E813" s="161"/>
      <c r="F813" s="162"/>
      <c r="G813" s="162"/>
      <c r="H813" s="160"/>
      <c r="I813" s="161"/>
      <c r="J813" s="163"/>
      <c r="K813" s="163"/>
      <c r="L813" s="163"/>
      <c r="M813" s="164"/>
      <c r="N813" s="164"/>
      <c r="O813" s="165"/>
      <c r="P813" s="166"/>
    </row>
    <row r="814" spans="1:16" ht="15.75" customHeight="1">
      <c r="A814" s="157"/>
      <c r="B814" s="158"/>
      <c r="C814" s="159"/>
      <c r="D814" s="160"/>
      <c r="E814" s="161"/>
      <c r="F814" s="162"/>
      <c r="G814" s="162"/>
      <c r="H814" s="160"/>
      <c r="I814" s="161"/>
      <c r="J814" s="163"/>
      <c r="K814" s="163"/>
      <c r="L814" s="163"/>
      <c r="M814" s="164"/>
      <c r="N814" s="164"/>
      <c r="O814" s="165"/>
      <c r="P814" s="166"/>
    </row>
    <row r="815" spans="1:16" ht="15.75" customHeight="1">
      <c r="A815" s="157"/>
      <c r="B815" s="158"/>
      <c r="C815" s="159"/>
      <c r="D815" s="160"/>
      <c r="E815" s="161"/>
      <c r="F815" s="162"/>
      <c r="G815" s="162"/>
      <c r="H815" s="160"/>
      <c r="I815" s="161"/>
      <c r="J815" s="163"/>
      <c r="K815" s="163"/>
      <c r="L815" s="163"/>
      <c r="M815" s="164"/>
      <c r="N815" s="164"/>
      <c r="O815" s="165"/>
      <c r="P815" s="166"/>
    </row>
    <row r="816" spans="1:16" ht="15.75" customHeight="1">
      <c r="A816" s="157"/>
      <c r="B816" s="158"/>
      <c r="C816" s="159"/>
      <c r="D816" s="160"/>
      <c r="E816" s="161"/>
      <c r="F816" s="162"/>
      <c r="G816" s="162"/>
      <c r="H816" s="160"/>
      <c r="I816" s="161"/>
      <c r="J816" s="163"/>
      <c r="K816" s="163"/>
      <c r="L816" s="163"/>
      <c r="M816" s="164"/>
      <c r="N816" s="164"/>
      <c r="O816" s="165"/>
      <c r="P816" s="166"/>
    </row>
    <row r="817" spans="1:16" ht="15.75" customHeight="1">
      <c r="A817" s="157"/>
      <c r="B817" s="158"/>
      <c r="C817" s="159"/>
      <c r="D817" s="160"/>
      <c r="E817" s="161"/>
      <c r="F817" s="162"/>
      <c r="G817" s="162"/>
      <c r="H817" s="160"/>
      <c r="I817" s="161"/>
      <c r="J817" s="163"/>
      <c r="K817" s="163"/>
      <c r="L817" s="163"/>
      <c r="M817" s="164"/>
      <c r="N817" s="164"/>
      <c r="O817" s="165"/>
      <c r="P817" s="166"/>
    </row>
    <row r="818" spans="1:16" ht="15.75" customHeight="1">
      <c r="A818" s="157"/>
      <c r="B818" s="158"/>
      <c r="C818" s="159"/>
      <c r="D818" s="160"/>
      <c r="E818" s="161"/>
      <c r="F818" s="162"/>
      <c r="G818" s="162"/>
      <c r="H818" s="160"/>
      <c r="I818" s="161"/>
      <c r="J818" s="163"/>
      <c r="K818" s="163"/>
      <c r="L818" s="163"/>
      <c r="M818" s="164"/>
      <c r="N818" s="164"/>
      <c r="O818" s="165"/>
      <c r="P818" s="166"/>
    </row>
    <row r="819" spans="1:16" ht="15.75" customHeight="1">
      <c r="A819" s="157"/>
      <c r="B819" s="158"/>
      <c r="C819" s="159"/>
      <c r="D819" s="160"/>
      <c r="E819" s="161"/>
      <c r="F819" s="162"/>
      <c r="G819" s="162"/>
      <c r="H819" s="160"/>
      <c r="I819" s="161"/>
      <c r="J819" s="163"/>
      <c r="K819" s="163"/>
      <c r="L819" s="163"/>
      <c r="M819" s="164"/>
      <c r="N819" s="164"/>
      <c r="O819" s="165"/>
      <c r="P819" s="166"/>
    </row>
    <row r="820" spans="1:16" ht="15.75" customHeight="1">
      <c r="A820" s="157"/>
      <c r="B820" s="158"/>
      <c r="C820" s="159"/>
      <c r="D820" s="160"/>
      <c r="E820" s="161"/>
      <c r="F820" s="162"/>
      <c r="G820" s="162"/>
      <c r="H820" s="160"/>
      <c r="I820" s="161"/>
      <c r="J820" s="163"/>
      <c r="K820" s="163"/>
      <c r="L820" s="163"/>
      <c r="M820" s="164"/>
      <c r="N820" s="164"/>
      <c r="O820" s="165"/>
      <c r="P820" s="166"/>
    </row>
    <row r="821" spans="1:16" ht="15.75" customHeight="1">
      <c r="A821" s="157"/>
      <c r="B821" s="158"/>
      <c r="C821" s="159"/>
      <c r="D821" s="160"/>
      <c r="E821" s="161"/>
      <c r="F821" s="162"/>
      <c r="G821" s="162"/>
      <c r="H821" s="160"/>
      <c r="I821" s="161"/>
      <c r="J821" s="163"/>
      <c r="K821" s="163"/>
      <c r="L821" s="163"/>
      <c r="M821" s="164"/>
      <c r="N821" s="164"/>
      <c r="O821" s="165"/>
      <c r="P821" s="166"/>
    </row>
    <row r="822" spans="1:16" ht="15.75" customHeight="1">
      <c r="A822" s="157"/>
      <c r="B822" s="158"/>
      <c r="C822" s="159"/>
      <c r="D822" s="160"/>
      <c r="E822" s="161"/>
      <c r="F822" s="162"/>
      <c r="G822" s="162"/>
      <c r="H822" s="160"/>
      <c r="I822" s="161"/>
      <c r="J822" s="163"/>
      <c r="K822" s="163"/>
      <c r="L822" s="163"/>
      <c r="M822" s="164"/>
      <c r="N822" s="164"/>
      <c r="O822" s="165"/>
      <c r="P822" s="166"/>
    </row>
    <row r="823" spans="1:16" ht="15.75" customHeight="1">
      <c r="A823" s="157"/>
      <c r="B823" s="158"/>
      <c r="C823" s="159"/>
      <c r="D823" s="160"/>
      <c r="E823" s="161"/>
      <c r="F823" s="162"/>
      <c r="G823" s="162"/>
      <c r="H823" s="160"/>
      <c r="I823" s="161"/>
      <c r="J823" s="163"/>
      <c r="K823" s="163"/>
      <c r="L823" s="163"/>
      <c r="M823" s="164"/>
      <c r="N823" s="164"/>
      <c r="O823" s="165"/>
      <c r="P823" s="166"/>
    </row>
    <row r="824" spans="1:16" ht="15.75" customHeight="1">
      <c r="A824" s="157"/>
      <c r="B824" s="158"/>
      <c r="C824" s="159"/>
      <c r="D824" s="160"/>
      <c r="E824" s="161"/>
      <c r="F824" s="162"/>
      <c r="G824" s="162"/>
      <c r="H824" s="160"/>
      <c r="I824" s="161"/>
      <c r="J824" s="163"/>
      <c r="K824" s="163"/>
      <c r="L824" s="163"/>
      <c r="M824" s="164"/>
      <c r="N824" s="164"/>
      <c r="O824" s="165"/>
      <c r="P824" s="166"/>
    </row>
    <row r="825" spans="1:16" ht="15.75" customHeight="1">
      <c r="A825" s="157"/>
      <c r="B825" s="158"/>
      <c r="C825" s="159"/>
      <c r="D825" s="160"/>
      <c r="E825" s="161"/>
      <c r="F825" s="162"/>
      <c r="G825" s="162"/>
      <c r="H825" s="160"/>
      <c r="I825" s="161"/>
      <c r="J825" s="163"/>
      <c r="K825" s="163"/>
      <c r="L825" s="163"/>
      <c r="M825" s="164"/>
      <c r="N825" s="164"/>
      <c r="O825" s="165"/>
      <c r="P825" s="166"/>
    </row>
    <row r="826" spans="1:16" ht="15.75" customHeight="1">
      <c r="A826" s="157"/>
      <c r="B826" s="158"/>
      <c r="C826" s="159"/>
      <c r="D826" s="160"/>
      <c r="E826" s="161"/>
      <c r="F826" s="162"/>
      <c r="G826" s="162"/>
      <c r="H826" s="160"/>
      <c r="I826" s="161"/>
      <c r="J826" s="163"/>
      <c r="K826" s="163"/>
      <c r="L826" s="163"/>
      <c r="M826" s="164"/>
      <c r="N826" s="164"/>
      <c r="O826" s="165"/>
      <c r="P826" s="166"/>
    </row>
    <row r="827" spans="1:16" ht="15.75" customHeight="1">
      <c r="A827" s="157"/>
      <c r="B827" s="158"/>
      <c r="C827" s="159"/>
      <c r="D827" s="160"/>
      <c r="E827" s="161"/>
      <c r="F827" s="162"/>
      <c r="G827" s="162"/>
      <c r="H827" s="160"/>
      <c r="I827" s="161"/>
      <c r="J827" s="163"/>
      <c r="K827" s="163"/>
      <c r="L827" s="163"/>
      <c r="M827" s="164"/>
      <c r="N827" s="164"/>
      <c r="O827" s="165"/>
      <c r="P827" s="166"/>
    </row>
    <row r="828" spans="1:16" ht="15.75" customHeight="1">
      <c r="A828" s="157"/>
      <c r="B828" s="158"/>
      <c r="C828" s="159"/>
      <c r="D828" s="160"/>
      <c r="E828" s="161"/>
      <c r="F828" s="162"/>
      <c r="G828" s="162"/>
      <c r="H828" s="160"/>
      <c r="I828" s="161"/>
      <c r="J828" s="163"/>
      <c r="K828" s="163"/>
      <c r="L828" s="163"/>
      <c r="M828" s="164"/>
      <c r="N828" s="164"/>
      <c r="O828" s="165"/>
      <c r="P828" s="166"/>
    </row>
    <row r="829" spans="1:16" ht="15.75" customHeight="1">
      <c r="A829" s="157"/>
      <c r="B829" s="158"/>
      <c r="C829" s="159"/>
      <c r="D829" s="160"/>
      <c r="E829" s="161"/>
      <c r="F829" s="162"/>
      <c r="G829" s="162"/>
      <c r="H829" s="160"/>
      <c r="I829" s="161"/>
      <c r="J829" s="163"/>
      <c r="K829" s="163"/>
      <c r="L829" s="163"/>
      <c r="M829" s="164"/>
      <c r="N829" s="164"/>
      <c r="O829" s="165"/>
      <c r="P829" s="166"/>
    </row>
    <row r="830" spans="1:16" ht="15.75" customHeight="1">
      <c r="A830" s="157"/>
      <c r="B830" s="158"/>
      <c r="C830" s="159"/>
      <c r="D830" s="160"/>
      <c r="E830" s="161"/>
      <c r="F830" s="162"/>
      <c r="G830" s="162"/>
      <c r="H830" s="160"/>
      <c r="I830" s="161"/>
      <c r="J830" s="163"/>
      <c r="K830" s="163"/>
      <c r="L830" s="163"/>
      <c r="M830" s="164"/>
      <c r="N830" s="164"/>
      <c r="O830" s="165"/>
      <c r="P830" s="166"/>
    </row>
    <row r="831" spans="1:16" ht="15.75" customHeight="1">
      <c r="A831" s="157"/>
      <c r="B831" s="158"/>
      <c r="C831" s="159"/>
      <c r="D831" s="160"/>
      <c r="E831" s="161"/>
      <c r="F831" s="162"/>
      <c r="G831" s="162"/>
      <c r="H831" s="160"/>
      <c r="I831" s="161"/>
      <c r="J831" s="163"/>
      <c r="K831" s="163"/>
      <c r="L831" s="163"/>
      <c r="M831" s="164"/>
      <c r="N831" s="164"/>
      <c r="O831" s="165"/>
      <c r="P831" s="166"/>
    </row>
    <row r="832" spans="1:16" ht="15.75" customHeight="1">
      <c r="A832" s="157"/>
      <c r="B832" s="158"/>
      <c r="C832" s="159"/>
      <c r="D832" s="160"/>
      <c r="E832" s="161"/>
      <c r="F832" s="162"/>
      <c r="G832" s="162"/>
      <c r="H832" s="160"/>
      <c r="I832" s="161"/>
      <c r="J832" s="163"/>
      <c r="K832" s="163"/>
      <c r="L832" s="163"/>
      <c r="M832" s="164"/>
      <c r="N832" s="164"/>
      <c r="O832" s="165"/>
      <c r="P832" s="166"/>
    </row>
    <row r="833" spans="1:16" ht="15.75" customHeight="1">
      <c r="A833" s="157"/>
      <c r="B833" s="158"/>
      <c r="C833" s="159"/>
      <c r="D833" s="160"/>
      <c r="E833" s="161"/>
      <c r="F833" s="162"/>
      <c r="G833" s="162"/>
      <c r="H833" s="160"/>
      <c r="I833" s="161"/>
      <c r="J833" s="163"/>
      <c r="K833" s="163"/>
      <c r="L833" s="163"/>
      <c r="M833" s="164"/>
      <c r="N833" s="164"/>
      <c r="O833" s="165"/>
      <c r="P833" s="166"/>
    </row>
    <row r="834" spans="1:16" ht="15.75" customHeight="1">
      <c r="A834" s="157"/>
      <c r="B834" s="158"/>
      <c r="C834" s="159"/>
      <c r="D834" s="160"/>
      <c r="E834" s="161"/>
      <c r="F834" s="162"/>
      <c r="G834" s="162"/>
      <c r="H834" s="160"/>
      <c r="I834" s="161"/>
      <c r="J834" s="163"/>
      <c r="K834" s="163"/>
      <c r="L834" s="163"/>
      <c r="M834" s="164"/>
      <c r="N834" s="164"/>
      <c r="O834" s="165"/>
      <c r="P834" s="166"/>
    </row>
    <row r="835" spans="1:16" ht="15.75" customHeight="1">
      <c r="A835" s="157"/>
      <c r="B835" s="158"/>
      <c r="C835" s="159"/>
      <c r="D835" s="160"/>
      <c r="E835" s="161"/>
      <c r="F835" s="162"/>
      <c r="G835" s="162"/>
      <c r="H835" s="160"/>
      <c r="I835" s="161"/>
      <c r="J835" s="163"/>
      <c r="K835" s="163"/>
      <c r="L835" s="163"/>
      <c r="M835" s="164"/>
      <c r="N835" s="164"/>
      <c r="O835" s="165"/>
      <c r="P835" s="166"/>
    </row>
    <row r="836" spans="1:16" ht="15.75" customHeight="1">
      <c r="A836" s="157"/>
      <c r="B836" s="158"/>
      <c r="C836" s="159"/>
      <c r="D836" s="160"/>
      <c r="E836" s="161"/>
      <c r="F836" s="162"/>
      <c r="G836" s="162"/>
      <c r="H836" s="160"/>
      <c r="I836" s="161"/>
      <c r="J836" s="163"/>
      <c r="K836" s="163"/>
      <c r="L836" s="163"/>
      <c r="M836" s="164"/>
      <c r="N836" s="164"/>
      <c r="O836" s="165"/>
      <c r="P836" s="166"/>
    </row>
    <row r="837" spans="1:16" ht="15.75" customHeight="1">
      <c r="A837" s="157"/>
      <c r="B837" s="158"/>
      <c r="C837" s="159"/>
      <c r="D837" s="160"/>
      <c r="E837" s="161"/>
      <c r="F837" s="162"/>
      <c r="G837" s="162"/>
      <c r="H837" s="160"/>
      <c r="I837" s="161"/>
      <c r="J837" s="163"/>
      <c r="K837" s="163"/>
      <c r="L837" s="163"/>
      <c r="M837" s="164"/>
      <c r="N837" s="164"/>
      <c r="O837" s="165"/>
      <c r="P837" s="166"/>
    </row>
    <row r="838" spans="1:16" ht="15.75" customHeight="1">
      <c r="A838" s="157"/>
      <c r="B838" s="158"/>
      <c r="C838" s="159"/>
      <c r="D838" s="160"/>
      <c r="E838" s="161"/>
      <c r="F838" s="162"/>
      <c r="G838" s="162"/>
      <c r="H838" s="160"/>
      <c r="I838" s="161"/>
      <c r="J838" s="163"/>
      <c r="K838" s="163"/>
      <c r="L838" s="163"/>
      <c r="M838" s="164"/>
      <c r="N838" s="164"/>
      <c r="O838" s="165"/>
      <c r="P838" s="166"/>
    </row>
    <row r="839" spans="1:16" ht="15.75" customHeight="1">
      <c r="A839" s="157"/>
      <c r="B839" s="158"/>
      <c r="C839" s="159"/>
      <c r="D839" s="160"/>
      <c r="E839" s="161"/>
      <c r="F839" s="162"/>
      <c r="G839" s="162"/>
      <c r="H839" s="160"/>
      <c r="I839" s="161"/>
      <c r="J839" s="163"/>
      <c r="K839" s="163"/>
      <c r="L839" s="163"/>
      <c r="M839" s="164"/>
      <c r="N839" s="164"/>
      <c r="O839" s="165"/>
      <c r="P839" s="166"/>
    </row>
    <row r="840" spans="1:16" ht="15.75" customHeight="1">
      <c r="A840" s="157"/>
      <c r="B840" s="158"/>
      <c r="C840" s="159"/>
      <c r="D840" s="160"/>
      <c r="E840" s="161"/>
      <c r="F840" s="162"/>
      <c r="G840" s="162"/>
      <c r="H840" s="160"/>
      <c r="I840" s="161"/>
      <c r="J840" s="163"/>
      <c r="K840" s="163"/>
      <c r="L840" s="163"/>
      <c r="M840" s="164"/>
      <c r="N840" s="164"/>
      <c r="O840" s="165"/>
      <c r="P840" s="166"/>
    </row>
    <row r="841" spans="1:16" ht="15.75" customHeight="1">
      <c r="A841" s="157"/>
      <c r="B841" s="158"/>
      <c r="C841" s="159"/>
      <c r="D841" s="160"/>
      <c r="E841" s="161"/>
      <c r="F841" s="162"/>
      <c r="G841" s="162"/>
      <c r="H841" s="160"/>
      <c r="I841" s="161"/>
      <c r="J841" s="163"/>
      <c r="K841" s="163"/>
      <c r="L841" s="163"/>
      <c r="M841" s="164"/>
      <c r="N841" s="164"/>
      <c r="O841" s="165"/>
      <c r="P841" s="166"/>
    </row>
    <row r="842" spans="1:16" ht="15.75" customHeight="1">
      <c r="A842" s="157"/>
      <c r="B842" s="158"/>
      <c r="C842" s="159"/>
      <c r="D842" s="160"/>
      <c r="E842" s="161"/>
      <c r="F842" s="162"/>
      <c r="G842" s="162"/>
      <c r="H842" s="160"/>
      <c r="I842" s="161"/>
      <c r="J842" s="163"/>
      <c r="K842" s="163"/>
      <c r="L842" s="163"/>
      <c r="M842" s="164"/>
      <c r="N842" s="164"/>
      <c r="O842" s="165"/>
      <c r="P842" s="166"/>
    </row>
    <row r="843" spans="1:16" ht="15.75" customHeight="1">
      <c r="A843" s="157"/>
      <c r="B843" s="158"/>
      <c r="C843" s="159"/>
      <c r="D843" s="160"/>
      <c r="E843" s="161"/>
      <c r="F843" s="162"/>
      <c r="G843" s="162"/>
      <c r="H843" s="160"/>
      <c r="I843" s="161"/>
      <c r="J843" s="163"/>
      <c r="K843" s="163"/>
      <c r="L843" s="163"/>
      <c r="M843" s="164"/>
      <c r="N843" s="164"/>
      <c r="O843" s="165"/>
      <c r="P843" s="166"/>
    </row>
    <row r="844" spans="1:16" ht="15.75" customHeight="1">
      <c r="A844" s="157"/>
      <c r="B844" s="158"/>
      <c r="C844" s="159"/>
      <c r="D844" s="160"/>
      <c r="E844" s="161"/>
      <c r="F844" s="162"/>
      <c r="G844" s="162"/>
      <c r="H844" s="160"/>
      <c r="I844" s="161"/>
      <c r="J844" s="163"/>
      <c r="K844" s="163"/>
      <c r="L844" s="163"/>
      <c r="M844" s="164"/>
      <c r="N844" s="164"/>
      <c r="O844" s="165"/>
      <c r="P844" s="166"/>
    </row>
    <row r="845" spans="1:16" ht="15.75" customHeight="1">
      <c r="A845" s="157"/>
      <c r="B845" s="158"/>
      <c r="C845" s="159"/>
      <c r="D845" s="160"/>
      <c r="E845" s="161"/>
      <c r="F845" s="162"/>
      <c r="G845" s="162"/>
      <c r="H845" s="160"/>
      <c r="I845" s="161"/>
      <c r="J845" s="163"/>
      <c r="K845" s="163"/>
      <c r="L845" s="163"/>
      <c r="M845" s="164"/>
      <c r="N845" s="164"/>
      <c r="O845" s="165"/>
      <c r="P845" s="166"/>
    </row>
    <row r="846" spans="1:16" ht="15.75" customHeight="1">
      <c r="A846" s="157"/>
      <c r="B846" s="158"/>
      <c r="C846" s="159"/>
      <c r="D846" s="160"/>
      <c r="E846" s="161"/>
      <c r="F846" s="162"/>
      <c r="G846" s="162"/>
      <c r="H846" s="160"/>
      <c r="I846" s="161"/>
      <c r="J846" s="163"/>
      <c r="K846" s="163"/>
      <c r="L846" s="163"/>
      <c r="M846" s="164"/>
      <c r="N846" s="164"/>
      <c r="O846" s="165"/>
      <c r="P846" s="166"/>
    </row>
    <row r="847" spans="1:16" ht="15.75" customHeight="1">
      <c r="A847" s="157"/>
      <c r="B847" s="158"/>
      <c r="C847" s="159"/>
      <c r="D847" s="160"/>
      <c r="E847" s="161"/>
      <c r="F847" s="162"/>
      <c r="G847" s="162"/>
      <c r="H847" s="160"/>
      <c r="I847" s="161"/>
      <c r="J847" s="163"/>
      <c r="K847" s="163"/>
      <c r="L847" s="163"/>
      <c r="M847" s="164"/>
      <c r="N847" s="164"/>
      <c r="O847" s="165"/>
      <c r="P847" s="166"/>
    </row>
    <row r="848" spans="1:16" ht="15.75" customHeight="1">
      <c r="A848" s="157"/>
      <c r="B848" s="158"/>
      <c r="C848" s="159"/>
      <c r="D848" s="160"/>
      <c r="E848" s="161"/>
      <c r="F848" s="162"/>
      <c r="G848" s="162"/>
      <c r="H848" s="160"/>
      <c r="I848" s="161"/>
      <c r="J848" s="163"/>
      <c r="K848" s="163"/>
      <c r="L848" s="163"/>
      <c r="M848" s="164"/>
      <c r="N848" s="164"/>
      <c r="O848" s="165"/>
      <c r="P848" s="166"/>
    </row>
    <row r="849" spans="1:16" ht="15.75" customHeight="1">
      <c r="A849" s="157"/>
      <c r="B849" s="158"/>
      <c r="C849" s="159"/>
      <c r="D849" s="160"/>
      <c r="E849" s="161"/>
      <c r="F849" s="162"/>
      <c r="G849" s="162"/>
      <c r="H849" s="160"/>
      <c r="I849" s="161"/>
      <c r="J849" s="163"/>
      <c r="K849" s="163"/>
      <c r="L849" s="163"/>
      <c r="M849" s="164"/>
      <c r="N849" s="164"/>
      <c r="O849" s="165"/>
      <c r="P849" s="166"/>
    </row>
    <row r="850" spans="1:16" ht="15.75" customHeight="1">
      <c r="A850" s="157"/>
      <c r="B850" s="158"/>
      <c r="C850" s="159"/>
      <c r="D850" s="160"/>
      <c r="E850" s="161"/>
      <c r="F850" s="162"/>
      <c r="G850" s="162"/>
      <c r="H850" s="160"/>
      <c r="I850" s="161"/>
      <c r="J850" s="163"/>
      <c r="K850" s="163"/>
      <c r="L850" s="163"/>
      <c r="M850" s="164"/>
      <c r="N850" s="164"/>
      <c r="O850" s="165"/>
      <c r="P850" s="166"/>
    </row>
    <row r="851" spans="1:16" ht="15.75" customHeight="1">
      <c r="A851" s="157"/>
      <c r="B851" s="158"/>
      <c r="C851" s="159"/>
      <c r="D851" s="160"/>
      <c r="E851" s="161"/>
      <c r="F851" s="162"/>
      <c r="G851" s="162"/>
      <c r="H851" s="160"/>
      <c r="I851" s="161"/>
      <c r="J851" s="163"/>
      <c r="K851" s="163"/>
      <c r="L851" s="163"/>
      <c r="M851" s="164"/>
      <c r="N851" s="164"/>
      <c r="O851" s="165"/>
      <c r="P851" s="166"/>
    </row>
    <row r="852" spans="1:16" ht="15.75" customHeight="1">
      <c r="A852" s="157"/>
      <c r="B852" s="158"/>
      <c r="C852" s="159"/>
      <c r="D852" s="160"/>
      <c r="E852" s="161"/>
      <c r="F852" s="162"/>
      <c r="G852" s="162"/>
      <c r="H852" s="160"/>
      <c r="I852" s="161"/>
      <c r="J852" s="163"/>
      <c r="K852" s="163"/>
      <c r="L852" s="163"/>
      <c r="M852" s="164"/>
      <c r="N852" s="164"/>
      <c r="O852" s="165"/>
      <c r="P852" s="166"/>
    </row>
    <row r="853" spans="1:16" ht="15.75" customHeight="1">
      <c r="A853" s="157"/>
      <c r="B853" s="158"/>
      <c r="C853" s="159"/>
      <c r="D853" s="160"/>
      <c r="E853" s="161"/>
      <c r="F853" s="162"/>
      <c r="G853" s="162"/>
      <c r="H853" s="160"/>
      <c r="I853" s="161"/>
      <c r="J853" s="163"/>
      <c r="K853" s="163"/>
      <c r="L853" s="163"/>
      <c r="M853" s="164"/>
      <c r="N853" s="164"/>
      <c r="O853" s="165"/>
      <c r="P853" s="166"/>
    </row>
    <row r="854" spans="1:16" ht="15.75" customHeight="1">
      <c r="A854" s="157"/>
      <c r="B854" s="158"/>
      <c r="C854" s="159"/>
      <c r="D854" s="160"/>
      <c r="E854" s="161"/>
      <c r="F854" s="162"/>
      <c r="G854" s="162"/>
      <c r="H854" s="160"/>
      <c r="I854" s="161"/>
      <c r="J854" s="163"/>
      <c r="K854" s="163"/>
      <c r="L854" s="163"/>
      <c r="M854" s="164"/>
      <c r="N854" s="164"/>
      <c r="O854" s="165"/>
      <c r="P854" s="166"/>
    </row>
    <row r="855" spans="1:16" ht="15.75" customHeight="1">
      <c r="A855" s="157"/>
      <c r="B855" s="158"/>
      <c r="C855" s="159"/>
      <c r="D855" s="160"/>
      <c r="E855" s="161"/>
      <c r="F855" s="162"/>
      <c r="G855" s="162"/>
      <c r="H855" s="160"/>
      <c r="I855" s="161"/>
      <c r="J855" s="163"/>
      <c r="K855" s="163"/>
      <c r="L855" s="163"/>
      <c r="M855" s="164"/>
      <c r="N855" s="164"/>
      <c r="O855" s="165"/>
      <c r="P855" s="166"/>
    </row>
    <row r="856" spans="1:16" ht="15.75" customHeight="1">
      <c r="A856" s="157"/>
      <c r="B856" s="158"/>
      <c r="C856" s="159"/>
      <c r="D856" s="160"/>
      <c r="E856" s="161"/>
      <c r="F856" s="162"/>
      <c r="G856" s="162"/>
      <c r="H856" s="160"/>
      <c r="I856" s="161"/>
      <c r="J856" s="163"/>
      <c r="K856" s="163"/>
      <c r="L856" s="163"/>
      <c r="M856" s="164"/>
      <c r="N856" s="164"/>
      <c r="O856" s="165"/>
      <c r="P856" s="166"/>
    </row>
    <row r="857" spans="1:16" ht="15.75" customHeight="1">
      <c r="A857" s="157"/>
      <c r="B857" s="158"/>
      <c r="C857" s="159"/>
      <c r="D857" s="160"/>
      <c r="E857" s="161"/>
      <c r="F857" s="162"/>
      <c r="G857" s="162"/>
      <c r="H857" s="160"/>
      <c r="I857" s="161"/>
      <c r="J857" s="163"/>
      <c r="K857" s="163"/>
      <c r="L857" s="163"/>
      <c r="M857" s="164"/>
      <c r="N857" s="164"/>
      <c r="O857" s="165"/>
      <c r="P857" s="166"/>
    </row>
    <row r="858" spans="1:16" ht="15.75" customHeight="1">
      <c r="A858" s="157"/>
      <c r="B858" s="158"/>
      <c r="C858" s="159"/>
      <c r="D858" s="160"/>
      <c r="E858" s="161"/>
      <c r="F858" s="162"/>
      <c r="G858" s="162"/>
      <c r="H858" s="160"/>
      <c r="I858" s="161"/>
      <c r="J858" s="163"/>
      <c r="K858" s="163"/>
      <c r="L858" s="163"/>
      <c r="M858" s="164"/>
      <c r="N858" s="164"/>
      <c r="O858" s="165"/>
      <c r="P858" s="166"/>
    </row>
    <row r="859" spans="1:16" ht="15.75" customHeight="1">
      <c r="A859" s="157"/>
      <c r="B859" s="158"/>
      <c r="C859" s="159"/>
      <c r="D859" s="160"/>
      <c r="E859" s="161"/>
      <c r="F859" s="162"/>
      <c r="G859" s="162"/>
      <c r="H859" s="160"/>
      <c r="I859" s="161"/>
      <c r="J859" s="163"/>
      <c r="K859" s="163"/>
      <c r="L859" s="163"/>
      <c r="M859" s="164"/>
      <c r="N859" s="164"/>
      <c r="O859" s="165"/>
      <c r="P859" s="166"/>
    </row>
    <row r="860" spans="1:16" ht="15.75" customHeight="1">
      <c r="A860" s="157"/>
      <c r="B860" s="158"/>
      <c r="C860" s="159"/>
      <c r="D860" s="160"/>
      <c r="E860" s="161"/>
      <c r="F860" s="162"/>
      <c r="G860" s="162"/>
      <c r="H860" s="160"/>
      <c r="I860" s="161"/>
      <c r="J860" s="163"/>
      <c r="K860" s="163"/>
      <c r="L860" s="163"/>
      <c r="M860" s="164"/>
      <c r="N860" s="164"/>
      <c r="O860" s="165"/>
      <c r="P860" s="166"/>
    </row>
    <row r="861" spans="1:16" ht="15.75" customHeight="1">
      <c r="A861" s="157"/>
      <c r="B861" s="158"/>
      <c r="C861" s="159"/>
      <c r="D861" s="160"/>
      <c r="E861" s="161"/>
      <c r="F861" s="162"/>
      <c r="G861" s="162"/>
      <c r="H861" s="160"/>
      <c r="I861" s="161"/>
      <c r="J861" s="163"/>
      <c r="K861" s="163"/>
      <c r="L861" s="163"/>
      <c r="M861" s="164"/>
      <c r="N861" s="164"/>
      <c r="O861" s="165"/>
      <c r="P861" s="166"/>
    </row>
    <row r="862" spans="1:16" ht="15.75" customHeight="1">
      <c r="A862" s="157"/>
      <c r="B862" s="158"/>
      <c r="C862" s="159"/>
      <c r="D862" s="160"/>
      <c r="E862" s="161"/>
      <c r="F862" s="162"/>
      <c r="G862" s="162"/>
      <c r="H862" s="160"/>
      <c r="I862" s="161"/>
      <c r="J862" s="163"/>
      <c r="K862" s="163"/>
      <c r="L862" s="163"/>
      <c r="M862" s="164"/>
      <c r="N862" s="164"/>
      <c r="O862" s="165"/>
      <c r="P862" s="166"/>
    </row>
    <row r="863" spans="1:16" ht="15.75" customHeight="1">
      <c r="A863" s="157"/>
      <c r="B863" s="158"/>
      <c r="C863" s="159"/>
      <c r="D863" s="160"/>
      <c r="E863" s="161"/>
      <c r="F863" s="162"/>
      <c r="G863" s="162"/>
      <c r="H863" s="160"/>
      <c r="I863" s="161"/>
      <c r="J863" s="163"/>
      <c r="K863" s="163"/>
      <c r="L863" s="163"/>
      <c r="M863" s="164"/>
      <c r="N863" s="164"/>
      <c r="O863" s="165"/>
      <c r="P863" s="166"/>
    </row>
    <row r="864" spans="1:16" ht="15.75" customHeight="1">
      <c r="A864" s="157"/>
      <c r="B864" s="158"/>
      <c r="C864" s="159"/>
      <c r="D864" s="160"/>
      <c r="E864" s="161"/>
      <c r="F864" s="162"/>
      <c r="G864" s="162"/>
      <c r="H864" s="160"/>
      <c r="I864" s="161"/>
      <c r="J864" s="163"/>
      <c r="K864" s="163"/>
      <c r="L864" s="163"/>
      <c r="M864" s="164"/>
      <c r="N864" s="164"/>
      <c r="O864" s="165"/>
      <c r="P864" s="166"/>
    </row>
    <row r="865" spans="1:16" ht="15.75" customHeight="1">
      <c r="A865" s="157"/>
      <c r="B865" s="158"/>
      <c r="C865" s="159"/>
      <c r="D865" s="160"/>
      <c r="E865" s="161"/>
      <c r="F865" s="162"/>
      <c r="G865" s="162"/>
      <c r="H865" s="160"/>
      <c r="I865" s="161"/>
      <c r="J865" s="163"/>
      <c r="K865" s="163"/>
      <c r="L865" s="163"/>
      <c r="M865" s="164"/>
      <c r="N865" s="164"/>
      <c r="O865" s="165"/>
      <c r="P865" s="166"/>
    </row>
    <row r="866" spans="1:16" ht="15.75" customHeight="1">
      <c r="A866" s="157"/>
      <c r="B866" s="158"/>
      <c r="C866" s="159"/>
      <c r="D866" s="160"/>
      <c r="E866" s="161"/>
      <c r="F866" s="162"/>
      <c r="G866" s="162"/>
      <c r="H866" s="160"/>
      <c r="I866" s="161"/>
      <c r="J866" s="163"/>
      <c r="K866" s="163"/>
      <c r="L866" s="163"/>
      <c r="M866" s="164"/>
      <c r="N866" s="164"/>
      <c r="O866" s="165"/>
      <c r="P866" s="166"/>
    </row>
    <row r="867" spans="1:16" ht="15.75" customHeight="1">
      <c r="A867" s="157"/>
      <c r="B867" s="158"/>
      <c r="C867" s="159"/>
      <c r="D867" s="160"/>
      <c r="E867" s="161"/>
      <c r="F867" s="162"/>
      <c r="G867" s="162"/>
      <c r="H867" s="160"/>
      <c r="I867" s="161"/>
      <c r="J867" s="163"/>
      <c r="K867" s="163"/>
      <c r="L867" s="163"/>
      <c r="M867" s="164"/>
      <c r="N867" s="164"/>
      <c r="O867" s="165"/>
      <c r="P867" s="166"/>
    </row>
    <row r="868" spans="1:16" ht="15.75" customHeight="1">
      <c r="A868" s="157"/>
      <c r="B868" s="158"/>
      <c r="C868" s="159"/>
      <c r="D868" s="160"/>
      <c r="E868" s="161"/>
      <c r="F868" s="162"/>
      <c r="G868" s="162"/>
      <c r="H868" s="160"/>
      <c r="I868" s="161"/>
      <c r="J868" s="163"/>
      <c r="K868" s="163"/>
      <c r="L868" s="163"/>
      <c r="M868" s="164"/>
      <c r="N868" s="164"/>
      <c r="O868" s="165"/>
      <c r="P868" s="166"/>
    </row>
    <row r="869" spans="1:16" ht="15.75" customHeight="1">
      <c r="A869" s="157"/>
      <c r="B869" s="158"/>
      <c r="C869" s="159"/>
      <c r="D869" s="160"/>
      <c r="E869" s="161"/>
      <c r="F869" s="162"/>
      <c r="G869" s="162"/>
      <c r="H869" s="160"/>
      <c r="I869" s="161"/>
      <c r="J869" s="163"/>
      <c r="K869" s="163"/>
      <c r="L869" s="163"/>
      <c r="M869" s="164"/>
      <c r="N869" s="164"/>
      <c r="O869" s="165"/>
      <c r="P869" s="166"/>
    </row>
    <row r="870" spans="1:16" ht="15.75" customHeight="1">
      <c r="A870" s="157"/>
      <c r="B870" s="158"/>
      <c r="C870" s="159"/>
      <c r="D870" s="160"/>
      <c r="E870" s="161"/>
      <c r="F870" s="162"/>
      <c r="G870" s="162"/>
      <c r="H870" s="160"/>
      <c r="I870" s="161"/>
      <c r="J870" s="163"/>
      <c r="K870" s="163"/>
      <c r="L870" s="163"/>
      <c r="M870" s="164"/>
      <c r="N870" s="164"/>
      <c r="O870" s="165"/>
      <c r="P870" s="166"/>
    </row>
    <row r="871" spans="1:16" ht="15.75" customHeight="1">
      <c r="A871" s="157"/>
      <c r="B871" s="158"/>
      <c r="C871" s="159"/>
      <c r="D871" s="160"/>
      <c r="E871" s="161"/>
      <c r="F871" s="162"/>
      <c r="G871" s="162"/>
      <c r="H871" s="160"/>
      <c r="I871" s="161"/>
      <c r="J871" s="163"/>
      <c r="K871" s="163"/>
      <c r="L871" s="163"/>
      <c r="M871" s="164"/>
      <c r="N871" s="164"/>
      <c r="O871" s="165"/>
      <c r="P871" s="166"/>
    </row>
    <row r="872" spans="1:16" ht="15.75" customHeight="1">
      <c r="A872" s="157"/>
      <c r="B872" s="158"/>
      <c r="C872" s="159"/>
      <c r="D872" s="160"/>
      <c r="E872" s="161"/>
      <c r="F872" s="162"/>
      <c r="G872" s="162"/>
      <c r="H872" s="160"/>
      <c r="I872" s="161"/>
      <c r="J872" s="163"/>
      <c r="K872" s="163"/>
      <c r="L872" s="163"/>
      <c r="M872" s="164"/>
      <c r="N872" s="164"/>
      <c r="O872" s="165"/>
      <c r="P872" s="166"/>
    </row>
    <row r="873" spans="1:16" ht="15.75" customHeight="1">
      <c r="A873" s="157"/>
      <c r="B873" s="158"/>
      <c r="C873" s="159"/>
      <c r="D873" s="160"/>
      <c r="E873" s="161"/>
      <c r="F873" s="162"/>
      <c r="G873" s="162"/>
      <c r="H873" s="160"/>
      <c r="I873" s="161"/>
      <c r="J873" s="163"/>
      <c r="K873" s="163"/>
      <c r="L873" s="163"/>
      <c r="M873" s="164"/>
      <c r="N873" s="164"/>
      <c r="O873" s="165"/>
      <c r="P873" s="166"/>
    </row>
    <row r="874" spans="1:16" ht="15.75" customHeight="1">
      <c r="A874" s="157"/>
      <c r="B874" s="158"/>
      <c r="C874" s="159"/>
      <c r="D874" s="160"/>
      <c r="E874" s="161"/>
      <c r="F874" s="162"/>
      <c r="G874" s="162"/>
      <c r="H874" s="160"/>
      <c r="I874" s="161"/>
      <c r="J874" s="163"/>
      <c r="K874" s="163"/>
      <c r="L874" s="163"/>
      <c r="M874" s="164"/>
      <c r="N874" s="164"/>
      <c r="O874" s="165"/>
      <c r="P874" s="166"/>
    </row>
    <row r="875" spans="1:16" ht="15.75" customHeight="1">
      <c r="A875" s="157"/>
      <c r="B875" s="158"/>
      <c r="C875" s="159"/>
      <c r="D875" s="160"/>
      <c r="E875" s="161"/>
      <c r="F875" s="162"/>
      <c r="G875" s="162"/>
      <c r="H875" s="160"/>
      <c r="I875" s="161"/>
      <c r="J875" s="163"/>
      <c r="K875" s="163"/>
      <c r="L875" s="163"/>
      <c r="M875" s="164"/>
      <c r="N875" s="164"/>
      <c r="O875" s="165"/>
      <c r="P875" s="166"/>
    </row>
    <row r="876" spans="1:16" ht="15.75" customHeight="1">
      <c r="A876" s="157"/>
      <c r="B876" s="158"/>
      <c r="C876" s="159"/>
      <c r="D876" s="160"/>
      <c r="E876" s="161"/>
      <c r="F876" s="162"/>
      <c r="G876" s="162"/>
      <c r="H876" s="160"/>
      <c r="I876" s="161"/>
      <c r="J876" s="163"/>
      <c r="K876" s="163"/>
      <c r="L876" s="163"/>
      <c r="M876" s="164"/>
      <c r="N876" s="164"/>
      <c r="O876" s="165"/>
      <c r="P876" s="166"/>
    </row>
    <row r="877" spans="1:16" ht="15.75" customHeight="1">
      <c r="A877" s="157"/>
      <c r="B877" s="158"/>
      <c r="C877" s="159"/>
      <c r="D877" s="160"/>
      <c r="E877" s="161"/>
      <c r="F877" s="162"/>
      <c r="G877" s="162"/>
      <c r="H877" s="160"/>
      <c r="I877" s="161"/>
      <c r="J877" s="163"/>
      <c r="K877" s="163"/>
      <c r="L877" s="163"/>
      <c r="M877" s="164"/>
      <c r="N877" s="164"/>
      <c r="O877" s="165"/>
      <c r="P877" s="166"/>
    </row>
    <row r="878" spans="1:16" ht="15.75" customHeight="1">
      <c r="A878" s="157"/>
      <c r="B878" s="158"/>
      <c r="C878" s="159"/>
      <c r="D878" s="160"/>
      <c r="E878" s="161"/>
      <c r="F878" s="162"/>
      <c r="G878" s="162"/>
      <c r="H878" s="160"/>
      <c r="I878" s="161"/>
      <c r="J878" s="163"/>
      <c r="K878" s="163"/>
      <c r="L878" s="163"/>
      <c r="M878" s="164"/>
      <c r="N878" s="164"/>
      <c r="O878" s="165"/>
      <c r="P878" s="166"/>
    </row>
    <row r="879" spans="1:16" ht="15.75" customHeight="1">
      <c r="A879" s="157"/>
      <c r="B879" s="158"/>
      <c r="C879" s="159"/>
      <c r="D879" s="160"/>
      <c r="E879" s="161"/>
      <c r="F879" s="162"/>
      <c r="G879" s="162"/>
      <c r="H879" s="160"/>
      <c r="I879" s="161"/>
      <c r="J879" s="163"/>
      <c r="K879" s="163"/>
      <c r="L879" s="163"/>
      <c r="M879" s="164"/>
      <c r="N879" s="164"/>
      <c r="O879" s="165"/>
      <c r="P879" s="166"/>
    </row>
    <row r="880" spans="1:16" ht="15.75" customHeight="1">
      <c r="A880" s="157"/>
      <c r="B880" s="158"/>
      <c r="C880" s="159"/>
      <c r="D880" s="160"/>
      <c r="E880" s="161"/>
      <c r="F880" s="162"/>
      <c r="G880" s="162"/>
      <c r="H880" s="160"/>
      <c r="I880" s="161"/>
      <c r="J880" s="163"/>
      <c r="K880" s="163"/>
      <c r="L880" s="163"/>
      <c r="M880" s="164"/>
      <c r="N880" s="164"/>
      <c r="O880" s="165"/>
      <c r="P880" s="166"/>
    </row>
    <row r="881" spans="1:16" ht="15.75" customHeight="1">
      <c r="A881" s="157"/>
      <c r="B881" s="158"/>
      <c r="C881" s="159"/>
      <c r="D881" s="160"/>
      <c r="E881" s="161"/>
      <c r="F881" s="162"/>
      <c r="G881" s="162"/>
      <c r="H881" s="160"/>
      <c r="I881" s="161"/>
      <c r="J881" s="163"/>
      <c r="K881" s="163"/>
      <c r="L881" s="163"/>
      <c r="M881" s="164"/>
      <c r="N881" s="164"/>
      <c r="O881" s="165"/>
      <c r="P881" s="166"/>
    </row>
    <row r="882" spans="1:16" ht="15.75" customHeight="1">
      <c r="A882" s="157"/>
      <c r="B882" s="158"/>
      <c r="C882" s="159"/>
      <c r="D882" s="160"/>
      <c r="E882" s="161"/>
      <c r="F882" s="162"/>
      <c r="G882" s="162"/>
      <c r="H882" s="160"/>
      <c r="I882" s="161"/>
      <c r="J882" s="163"/>
      <c r="K882" s="163"/>
      <c r="L882" s="163"/>
      <c r="M882" s="164"/>
      <c r="N882" s="164"/>
      <c r="O882" s="165"/>
      <c r="P882" s="166"/>
    </row>
    <row r="883" spans="1:16" ht="15.75" customHeight="1">
      <c r="A883" s="157"/>
      <c r="B883" s="158"/>
      <c r="C883" s="159"/>
      <c r="D883" s="160"/>
      <c r="E883" s="161"/>
      <c r="F883" s="162"/>
      <c r="G883" s="162"/>
      <c r="H883" s="160"/>
      <c r="I883" s="161"/>
      <c r="J883" s="163"/>
      <c r="K883" s="163"/>
      <c r="L883" s="163"/>
      <c r="M883" s="164"/>
      <c r="N883" s="164"/>
      <c r="O883" s="165"/>
      <c r="P883" s="166"/>
    </row>
    <row r="884" spans="1:16" ht="15.75" customHeight="1">
      <c r="A884" s="157"/>
      <c r="B884" s="158"/>
      <c r="C884" s="159"/>
      <c r="D884" s="160"/>
      <c r="E884" s="161"/>
      <c r="F884" s="162"/>
      <c r="G884" s="162"/>
      <c r="H884" s="160"/>
      <c r="I884" s="161"/>
      <c r="J884" s="163"/>
      <c r="K884" s="163"/>
      <c r="L884" s="163"/>
      <c r="M884" s="164"/>
      <c r="N884" s="164"/>
      <c r="O884" s="165"/>
      <c r="P884" s="166"/>
    </row>
    <row r="885" spans="1:16" ht="15.75" customHeight="1">
      <c r="A885" s="157"/>
      <c r="B885" s="158"/>
      <c r="C885" s="159"/>
      <c r="D885" s="160"/>
      <c r="E885" s="161"/>
      <c r="F885" s="162"/>
      <c r="G885" s="162"/>
      <c r="H885" s="160"/>
      <c r="I885" s="161"/>
      <c r="J885" s="163"/>
      <c r="K885" s="163"/>
      <c r="L885" s="163"/>
      <c r="M885" s="164"/>
      <c r="N885" s="164"/>
      <c r="O885" s="165"/>
      <c r="P885" s="166"/>
    </row>
    <row r="886" spans="1:16" ht="15.75" customHeight="1">
      <c r="A886" s="157"/>
      <c r="B886" s="158"/>
      <c r="C886" s="159"/>
      <c r="D886" s="160"/>
      <c r="E886" s="161"/>
      <c r="F886" s="162"/>
      <c r="G886" s="162"/>
      <c r="H886" s="160"/>
      <c r="I886" s="161"/>
      <c r="J886" s="163"/>
      <c r="K886" s="163"/>
      <c r="L886" s="163"/>
      <c r="M886" s="164"/>
      <c r="N886" s="164"/>
      <c r="O886" s="165"/>
      <c r="P886" s="166"/>
    </row>
    <row r="887" spans="1:16" ht="15.75" customHeight="1">
      <c r="A887" s="157"/>
      <c r="B887" s="158"/>
      <c r="C887" s="159"/>
      <c r="D887" s="160"/>
      <c r="E887" s="161"/>
      <c r="F887" s="162"/>
      <c r="G887" s="162"/>
      <c r="H887" s="160"/>
      <c r="I887" s="161"/>
      <c r="J887" s="163"/>
      <c r="K887" s="163"/>
      <c r="L887" s="163"/>
      <c r="M887" s="164"/>
      <c r="N887" s="164"/>
      <c r="O887" s="165"/>
      <c r="P887" s="166"/>
    </row>
    <row r="888" spans="1:16" ht="15.75" customHeight="1">
      <c r="A888" s="157"/>
      <c r="B888" s="158"/>
      <c r="C888" s="159"/>
      <c r="D888" s="160"/>
      <c r="E888" s="161"/>
      <c r="F888" s="162"/>
      <c r="G888" s="162"/>
      <c r="H888" s="160"/>
      <c r="I888" s="161"/>
      <c r="J888" s="163"/>
      <c r="K888" s="163"/>
      <c r="L888" s="163"/>
      <c r="M888" s="164"/>
      <c r="N888" s="164"/>
      <c r="O888" s="165"/>
      <c r="P888" s="166"/>
    </row>
    <row r="889" spans="1:16" ht="15.75" customHeight="1">
      <c r="A889" s="157"/>
      <c r="B889" s="158"/>
      <c r="C889" s="159"/>
      <c r="D889" s="160"/>
      <c r="E889" s="161"/>
      <c r="F889" s="162"/>
      <c r="G889" s="162"/>
      <c r="H889" s="160"/>
      <c r="I889" s="161"/>
      <c r="J889" s="163"/>
      <c r="K889" s="163"/>
      <c r="L889" s="163"/>
      <c r="M889" s="164"/>
      <c r="N889" s="164"/>
      <c r="O889" s="165"/>
      <c r="P889" s="166"/>
    </row>
    <row r="890" spans="1:16" ht="15.75" customHeight="1">
      <c r="A890" s="157"/>
      <c r="B890" s="158"/>
      <c r="C890" s="159"/>
      <c r="D890" s="160"/>
      <c r="E890" s="161"/>
      <c r="F890" s="162"/>
      <c r="G890" s="162"/>
      <c r="H890" s="160"/>
      <c r="I890" s="161"/>
      <c r="J890" s="163"/>
      <c r="K890" s="163"/>
      <c r="L890" s="163"/>
      <c r="M890" s="164"/>
      <c r="N890" s="164"/>
      <c r="O890" s="165"/>
      <c r="P890" s="166"/>
    </row>
    <row r="891" spans="1:16" ht="15.75" customHeight="1">
      <c r="A891" s="157"/>
      <c r="B891" s="158"/>
      <c r="C891" s="159"/>
      <c r="D891" s="160"/>
      <c r="E891" s="161"/>
      <c r="F891" s="162"/>
      <c r="G891" s="162"/>
      <c r="H891" s="160"/>
      <c r="I891" s="161"/>
      <c r="J891" s="163"/>
      <c r="K891" s="163"/>
      <c r="L891" s="163"/>
      <c r="M891" s="164"/>
      <c r="N891" s="164"/>
      <c r="O891" s="165"/>
      <c r="P891" s="166"/>
    </row>
    <row r="892" spans="1:16" ht="15.75" customHeight="1">
      <c r="A892" s="157"/>
      <c r="B892" s="158"/>
      <c r="C892" s="159"/>
      <c r="D892" s="160"/>
      <c r="E892" s="161"/>
      <c r="F892" s="162"/>
      <c r="G892" s="162"/>
      <c r="H892" s="160"/>
      <c r="I892" s="161"/>
      <c r="J892" s="163"/>
      <c r="K892" s="163"/>
      <c r="L892" s="163"/>
      <c r="M892" s="164"/>
      <c r="N892" s="164"/>
      <c r="O892" s="165"/>
      <c r="P892" s="166"/>
    </row>
    <row r="893" spans="1:16" ht="15.75" customHeight="1">
      <c r="A893" s="157"/>
      <c r="B893" s="158"/>
      <c r="C893" s="159"/>
      <c r="D893" s="160"/>
      <c r="E893" s="161"/>
      <c r="F893" s="162"/>
      <c r="G893" s="162"/>
      <c r="H893" s="160"/>
      <c r="I893" s="161"/>
      <c r="J893" s="163"/>
      <c r="K893" s="163"/>
      <c r="L893" s="163"/>
      <c r="M893" s="164"/>
      <c r="N893" s="164"/>
      <c r="O893" s="165"/>
      <c r="P893" s="166"/>
    </row>
    <row r="894" spans="1:16" ht="15.75" customHeight="1">
      <c r="A894" s="157"/>
      <c r="B894" s="158"/>
      <c r="C894" s="159"/>
      <c r="D894" s="160"/>
      <c r="E894" s="161"/>
      <c r="F894" s="162"/>
      <c r="G894" s="162"/>
      <c r="H894" s="160"/>
      <c r="I894" s="161"/>
      <c r="J894" s="163"/>
      <c r="K894" s="163"/>
      <c r="L894" s="163"/>
      <c r="M894" s="164"/>
      <c r="N894" s="164"/>
      <c r="O894" s="165"/>
      <c r="P894" s="166"/>
    </row>
    <row r="895" spans="1:16" ht="15.75" customHeight="1">
      <c r="A895" s="157"/>
      <c r="B895" s="158"/>
      <c r="C895" s="159"/>
      <c r="D895" s="160"/>
      <c r="E895" s="161"/>
      <c r="F895" s="162"/>
      <c r="G895" s="162"/>
      <c r="H895" s="160"/>
      <c r="I895" s="161"/>
      <c r="J895" s="163"/>
      <c r="K895" s="163"/>
      <c r="L895" s="163"/>
      <c r="M895" s="164"/>
      <c r="N895" s="164"/>
      <c r="O895" s="165"/>
      <c r="P895" s="166"/>
    </row>
    <row r="896" spans="1:16" ht="15.75" customHeight="1">
      <c r="A896" s="157"/>
      <c r="B896" s="158"/>
      <c r="C896" s="159"/>
      <c r="D896" s="160"/>
      <c r="E896" s="161"/>
      <c r="F896" s="162"/>
      <c r="G896" s="162"/>
      <c r="H896" s="160"/>
      <c r="I896" s="161"/>
      <c r="J896" s="163"/>
      <c r="K896" s="163"/>
      <c r="L896" s="163"/>
      <c r="M896" s="164"/>
      <c r="N896" s="164"/>
      <c r="O896" s="165"/>
      <c r="P896" s="166"/>
    </row>
    <row r="897" spans="1:16" ht="15.75" customHeight="1">
      <c r="A897" s="157"/>
      <c r="B897" s="158"/>
      <c r="C897" s="159"/>
      <c r="D897" s="160"/>
      <c r="E897" s="161"/>
      <c r="F897" s="162"/>
      <c r="G897" s="162"/>
      <c r="H897" s="160"/>
      <c r="I897" s="161"/>
      <c r="J897" s="163"/>
      <c r="K897" s="163"/>
      <c r="L897" s="163"/>
      <c r="M897" s="164"/>
      <c r="N897" s="164"/>
      <c r="O897" s="165"/>
      <c r="P897" s="166"/>
    </row>
    <row r="898" spans="1:16" ht="15.75" customHeight="1">
      <c r="A898" s="157"/>
      <c r="B898" s="158"/>
      <c r="C898" s="159"/>
      <c r="D898" s="160"/>
      <c r="E898" s="161"/>
      <c r="F898" s="162"/>
      <c r="G898" s="162"/>
      <c r="H898" s="160"/>
      <c r="I898" s="161"/>
      <c r="J898" s="163"/>
      <c r="K898" s="163"/>
      <c r="L898" s="163"/>
      <c r="M898" s="164"/>
      <c r="N898" s="164"/>
      <c r="O898" s="165"/>
      <c r="P898" s="166"/>
    </row>
    <row r="899" spans="1:16" ht="15.75" customHeight="1">
      <c r="A899" s="157"/>
      <c r="B899" s="158"/>
      <c r="C899" s="159"/>
      <c r="D899" s="160"/>
      <c r="E899" s="161"/>
      <c r="F899" s="162"/>
      <c r="G899" s="162"/>
      <c r="H899" s="160"/>
      <c r="I899" s="161"/>
      <c r="J899" s="163"/>
      <c r="K899" s="163"/>
      <c r="L899" s="163"/>
      <c r="M899" s="164"/>
      <c r="N899" s="164"/>
      <c r="O899" s="165"/>
      <c r="P899" s="166"/>
    </row>
    <row r="900" spans="1:16" ht="15.75" customHeight="1">
      <c r="A900" s="157"/>
      <c r="B900" s="158"/>
      <c r="C900" s="159"/>
      <c r="D900" s="160"/>
      <c r="E900" s="161"/>
      <c r="F900" s="162"/>
      <c r="G900" s="162"/>
      <c r="H900" s="160"/>
      <c r="I900" s="161"/>
      <c r="J900" s="163"/>
      <c r="K900" s="163"/>
      <c r="L900" s="163"/>
      <c r="M900" s="164"/>
      <c r="N900" s="164"/>
      <c r="O900" s="165"/>
      <c r="P900" s="166"/>
    </row>
    <row r="901" spans="1:16" ht="15.75" customHeight="1">
      <c r="A901" s="157"/>
      <c r="B901" s="158"/>
      <c r="C901" s="159"/>
      <c r="D901" s="160"/>
      <c r="E901" s="161"/>
      <c r="F901" s="162"/>
      <c r="G901" s="162"/>
      <c r="H901" s="160"/>
      <c r="I901" s="161"/>
      <c r="J901" s="163"/>
      <c r="K901" s="163"/>
      <c r="L901" s="163"/>
      <c r="M901" s="164"/>
      <c r="N901" s="164"/>
      <c r="O901" s="165"/>
      <c r="P901" s="166"/>
    </row>
    <row r="902" spans="1:16" ht="15.75" customHeight="1">
      <c r="A902" s="157"/>
      <c r="B902" s="158"/>
      <c r="C902" s="159"/>
      <c r="D902" s="160"/>
      <c r="E902" s="161"/>
      <c r="F902" s="162"/>
      <c r="G902" s="162"/>
      <c r="H902" s="160"/>
      <c r="I902" s="161"/>
      <c r="J902" s="163"/>
      <c r="K902" s="163"/>
      <c r="L902" s="163"/>
      <c r="M902" s="164"/>
      <c r="N902" s="164"/>
      <c r="O902" s="165"/>
      <c r="P902" s="166"/>
    </row>
    <row r="903" spans="1:16" ht="15.75" customHeight="1">
      <c r="A903" s="157"/>
      <c r="B903" s="158"/>
      <c r="C903" s="159"/>
      <c r="D903" s="160"/>
      <c r="E903" s="161"/>
      <c r="F903" s="162"/>
      <c r="G903" s="162"/>
      <c r="H903" s="160"/>
      <c r="I903" s="161"/>
      <c r="J903" s="163"/>
      <c r="K903" s="163"/>
      <c r="L903" s="163"/>
      <c r="M903" s="164"/>
      <c r="N903" s="164"/>
      <c r="O903" s="165"/>
      <c r="P903" s="166"/>
    </row>
    <row r="904" spans="1:16" ht="15.75" customHeight="1">
      <c r="A904" s="157"/>
      <c r="B904" s="158"/>
      <c r="C904" s="159"/>
      <c r="D904" s="160"/>
      <c r="E904" s="161"/>
      <c r="F904" s="162"/>
      <c r="G904" s="162"/>
      <c r="H904" s="160"/>
      <c r="I904" s="161"/>
      <c r="J904" s="163"/>
      <c r="K904" s="163"/>
      <c r="L904" s="163"/>
      <c r="M904" s="164"/>
      <c r="N904" s="164"/>
      <c r="O904" s="165"/>
      <c r="P904" s="166"/>
    </row>
    <row r="905" spans="1:16" ht="15.75" customHeight="1">
      <c r="A905" s="157"/>
      <c r="B905" s="158"/>
      <c r="C905" s="159"/>
      <c r="D905" s="160"/>
      <c r="E905" s="161"/>
      <c r="F905" s="162"/>
      <c r="G905" s="162"/>
      <c r="H905" s="160"/>
      <c r="I905" s="161"/>
      <c r="J905" s="163"/>
      <c r="K905" s="163"/>
      <c r="L905" s="163"/>
      <c r="M905" s="164"/>
      <c r="N905" s="164"/>
      <c r="O905" s="165"/>
      <c r="P905" s="166"/>
    </row>
    <row r="906" spans="1:16" ht="15.75" customHeight="1">
      <c r="A906" s="157"/>
      <c r="B906" s="158"/>
      <c r="C906" s="159"/>
      <c r="D906" s="160"/>
      <c r="E906" s="161"/>
      <c r="F906" s="162"/>
      <c r="G906" s="162"/>
      <c r="H906" s="160"/>
      <c r="I906" s="161"/>
      <c r="J906" s="163"/>
      <c r="K906" s="163"/>
      <c r="L906" s="163"/>
      <c r="M906" s="164"/>
      <c r="N906" s="164"/>
      <c r="O906" s="165"/>
      <c r="P906" s="166"/>
    </row>
    <row r="907" spans="1:16" ht="15.75" customHeight="1">
      <c r="A907" s="157"/>
      <c r="B907" s="158"/>
      <c r="C907" s="159"/>
      <c r="D907" s="160"/>
      <c r="E907" s="161"/>
      <c r="F907" s="162"/>
      <c r="G907" s="162"/>
      <c r="H907" s="160"/>
      <c r="I907" s="161"/>
      <c r="J907" s="163"/>
      <c r="K907" s="163"/>
      <c r="L907" s="163"/>
      <c r="M907" s="164"/>
      <c r="N907" s="164"/>
      <c r="O907" s="165"/>
      <c r="P907" s="166"/>
    </row>
    <row r="908" spans="1:16" ht="15.75" customHeight="1">
      <c r="A908" s="157"/>
      <c r="B908" s="158"/>
      <c r="C908" s="159"/>
      <c r="D908" s="160"/>
      <c r="E908" s="161"/>
      <c r="F908" s="162"/>
      <c r="G908" s="162"/>
      <c r="H908" s="160"/>
      <c r="I908" s="161"/>
      <c r="J908" s="163"/>
      <c r="K908" s="163"/>
      <c r="L908" s="163"/>
      <c r="M908" s="164"/>
      <c r="N908" s="164"/>
      <c r="O908" s="165"/>
      <c r="P908" s="166"/>
    </row>
    <row r="909" spans="1:16" ht="15.75" customHeight="1">
      <c r="A909" s="157"/>
      <c r="B909" s="158"/>
      <c r="C909" s="159"/>
      <c r="D909" s="160"/>
      <c r="E909" s="161"/>
      <c r="F909" s="162"/>
      <c r="G909" s="162"/>
      <c r="H909" s="160"/>
      <c r="I909" s="161"/>
      <c r="J909" s="163"/>
      <c r="K909" s="163"/>
      <c r="L909" s="163"/>
      <c r="M909" s="164"/>
      <c r="N909" s="164"/>
      <c r="O909" s="165"/>
      <c r="P909" s="166"/>
    </row>
    <row r="910" spans="1:16" ht="15.75" customHeight="1">
      <c r="A910" s="157"/>
      <c r="B910" s="158"/>
      <c r="C910" s="159"/>
      <c r="D910" s="160"/>
      <c r="E910" s="161"/>
      <c r="F910" s="162"/>
      <c r="G910" s="162"/>
      <c r="H910" s="160"/>
      <c r="I910" s="161"/>
      <c r="J910" s="163"/>
      <c r="K910" s="163"/>
      <c r="L910" s="163"/>
      <c r="M910" s="164"/>
      <c r="N910" s="164"/>
      <c r="O910" s="165"/>
      <c r="P910" s="166"/>
    </row>
    <row r="911" spans="1:16" ht="15.75" customHeight="1">
      <c r="A911" s="157"/>
      <c r="B911" s="158"/>
      <c r="C911" s="159"/>
      <c r="D911" s="160"/>
      <c r="E911" s="161"/>
      <c r="F911" s="162"/>
      <c r="G911" s="162"/>
      <c r="H911" s="160"/>
      <c r="I911" s="161"/>
      <c r="J911" s="163"/>
      <c r="K911" s="163"/>
      <c r="L911" s="163"/>
      <c r="M911" s="164"/>
      <c r="N911" s="164"/>
      <c r="O911" s="165"/>
      <c r="P911" s="166"/>
    </row>
    <row r="912" spans="1:16" ht="15.75" customHeight="1">
      <c r="A912" s="157"/>
      <c r="B912" s="158"/>
      <c r="C912" s="159"/>
      <c r="D912" s="160"/>
      <c r="E912" s="161"/>
      <c r="F912" s="162"/>
      <c r="G912" s="162"/>
      <c r="H912" s="160"/>
      <c r="I912" s="161"/>
      <c r="J912" s="163"/>
      <c r="K912" s="163"/>
      <c r="L912" s="163"/>
      <c r="M912" s="164"/>
      <c r="N912" s="164"/>
      <c r="O912" s="165"/>
      <c r="P912" s="166"/>
    </row>
    <row r="913" spans="1:16" ht="15.75" customHeight="1">
      <c r="A913" s="157"/>
      <c r="B913" s="158"/>
      <c r="C913" s="159"/>
      <c r="D913" s="160"/>
      <c r="E913" s="161"/>
      <c r="F913" s="162"/>
      <c r="G913" s="162"/>
      <c r="H913" s="160"/>
      <c r="I913" s="161"/>
      <c r="J913" s="163"/>
      <c r="K913" s="163"/>
      <c r="L913" s="163"/>
      <c r="M913" s="164"/>
      <c r="N913" s="164"/>
      <c r="O913" s="165"/>
      <c r="P913" s="166"/>
    </row>
    <row r="914" spans="1:16" ht="15.75" customHeight="1">
      <c r="A914" s="157"/>
      <c r="B914" s="158"/>
      <c r="C914" s="159"/>
      <c r="D914" s="160"/>
      <c r="E914" s="161"/>
      <c r="F914" s="162"/>
      <c r="G914" s="162"/>
      <c r="H914" s="160"/>
      <c r="I914" s="161"/>
      <c r="J914" s="163"/>
      <c r="K914" s="163"/>
      <c r="L914" s="163"/>
      <c r="M914" s="164"/>
      <c r="N914" s="164"/>
      <c r="O914" s="165"/>
      <c r="P914" s="166"/>
    </row>
    <row r="915" spans="1:16" ht="15.75" customHeight="1">
      <c r="A915" s="157"/>
      <c r="B915" s="158"/>
      <c r="C915" s="159"/>
      <c r="D915" s="160"/>
      <c r="E915" s="161"/>
      <c r="F915" s="162"/>
      <c r="G915" s="162"/>
      <c r="H915" s="160"/>
      <c r="I915" s="161"/>
      <c r="J915" s="163"/>
      <c r="K915" s="163"/>
      <c r="L915" s="163"/>
      <c r="M915" s="164"/>
      <c r="N915" s="164"/>
      <c r="O915" s="165"/>
      <c r="P915" s="166"/>
    </row>
    <row r="916" spans="1:16" ht="15.75" customHeight="1">
      <c r="A916" s="157"/>
      <c r="B916" s="158"/>
      <c r="C916" s="159"/>
      <c r="D916" s="160"/>
      <c r="E916" s="161"/>
      <c r="F916" s="162"/>
      <c r="G916" s="162"/>
      <c r="H916" s="160"/>
      <c r="I916" s="161"/>
      <c r="J916" s="163"/>
      <c r="K916" s="163"/>
      <c r="L916" s="163"/>
      <c r="M916" s="164"/>
      <c r="N916" s="164"/>
      <c r="O916" s="165"/>
      <c r="P916" s="166"/>
    </row>
    <row r="917" spans="1:16" ht="15.75" customHeight="1">
      <c r="A917" s="157"/>
      <c r="B917" s="158"/>
      <c r="C917" s="159"/>
      <c r="D917" s="160"/>
      <c r="E917" s="161"/>
      <c r="F917" s="162"/>
      <c r="G917" s="162"/>
      <c r="H917" s="160"/>
      <c r="I917" s="161"/>
      <c r="J917" s="163"/>
      <c r="K917" s="163"/>
      <c r="L917" s="163"/>
      <c r="M917" s="164"/>
      <c r="N917" s="164"/>
      <c r="O917" s="165"/>
      <c r="P917" s="166"/>
    </row>
    <row r="918" spans="1:16" ht="15.75" customHeight="1">
      <c r="A918" s="157"/>
      <c r="B918" s="158"/>
      <c r="C918" s="159"/>
      <c r="D918" s="160"/>
      <c r="E918" s="161"/>
      <c r="F918" s="162"/>
      <c r="G918" s="162"/>
      <c r="H918" s="160"/>
      <c r="I918" s="161"/>
      <c r="J918" s="163"/>
      <c r="K918" s="163"/>
      <c r="L918" s="163"/>
      <c r="M918" s="164"/>
      <c r="N918" s="164"/>
      <c r="O918" s="165"/>
      <c r="P918" s="166"/>
    </row>
    <row r="919" spans="1:16" ht="15.75" customHeight="1">
      <c r="A919" s="157"/>
      <c r="B919" s="158"/>
      <c r="C919" s="159"/>
      <c r="D919" s="160"/>
      <c r="E919" s="161"/>
      <c r="F919" s="162"/>
      <c r="G919" s="162"/>
      <c r="H919" s="160"/>
      <c r="I919" s="161"/>
      <c r="J919" s="163"/>
      <c r="K919" s="163"/>
      <c r="L919" s="163"/>
      <c r="M919" s="164"/>
      <c r="N919" s="164"/>
      <c r="O919" s="165"/>
      <c r="P919" s="166"/>
    </row>
    <row r="920" spans="1:16" ht="15.75" customHeight="1">
      <c r="A920" s="157"/>
      <c r="B920" s="158"/>
      <c r="C920" s="159"/>
      <c r="D920" s="160"/>
      <c r="E920" s="161"/>
      <c r="F920" s="162"/>
      <c r="G920" s="162"/>
      <c r="H920" s="160"/>
      <c r="I920" s="161"/>
      <c r="J920" s="163"/>
      <c r="K920" s="163"/>
      <c r="L920" s="163"/>
      <c r="M920" s="164"/>
      <c r="N920" s="164"/>
      <c r="O920" s="165"/>
      <c r="P920" s="166"/>
    </row>
    <row r="921" spans="1:16" ht="15.75" customHeight="1">
      <c r="A921" s="157"/>
      <c r="B921" s="158"/>
      <c r="C921" s="159"/>
      <c r="D921" s="160"/>
      <c r="E921" s="161"/>
      <c r="F921" s="162"/>
      <c r="G921" s="162"/>
      <c r="H921" s="160"/>
      <c r="I921" s="161"/>
      <c r="J921" s="163"/>
      <c r="K921" s="163"/>
      <c r="L921" s="163"/>
      <c r="M921" s="164"/>
      <c r="N921" s="164"/>
      <c r="O921" s="165"/>
      <c r="P921" s="166"/>
    </row>
    <row r="922" spans="1:16" ht="15.75" customHeight="1">
      <c r="A922" s="157"/>
      <c r="B922" s="158"/>
      <c r="C922" s="159"/>
      <c r="D922" s="160"/>
      <c r="E922" s="161"/>
      <c r="F922" s="162"/>
      <c r="G922" s="162"/>
      <c r="H922" s="160"/>
      <c r="I922" s="161"/>
      <c r="J922" s="163"/>
      <c r="K922" s="163"/>
      <c r="L922" s="163"/>
      <c r="M922" s="164"/>
      <c r="N922" s="164"/>
      <c r="O922" s="165"/>
      <c r="P922" s="166"/>
    </row>
    <row r="923" spans="1:16" ht="15.75" customHeight="1">
      <c r="A923" s="157"/>
      <c r="B923" s="158"/>
      <c r="C923" s="159"/>
      <c r="D923" s="160"/>
      <c r="E923" s="161"/>
      <c r="F923" s="162"/>
      <c r="G923" s="162"/>
      <c r="H923" s="160"/>
      <c r="I923" s="161"/>
      <c r="J923" s="163"/>
      <c r="K923" s="163"/>
      <c r="L923" s="163"/>
      <c r="M923" s="164"/>
      <c r="N923" s="164"/>
      <c r="O923" s="165"/>
      <c r="P923" s="166"/>
    </row>
    <row r="924" spans="1:16" ht="15.75" customHeight="1">
      <c r="A924" s="157"/>
      <c r="B924" s="158"/>
      <c r="C924" s="159"/>
      <c r="D924" s="160"/>
      <c r="E924" s="161"/>
      <c r="F924" s="162"/>
      <c r="G924" s="162"/>
      <c r="H924" s="160"/>
      <c r="I924" s="161"/>
      <c r="J924" s="163"/>
      <c r="K924" s="163"/>
      <c r="L924" s="163"/>
      <c r="M924" s="164"/>
      <c r="N924" s="164"/>
      <c r="O924" s="165"/>
      <c r="P924" s="166"/>
    </row>
    <row r="925" spans="1:16" ht="15.75" customHeight="1">
      <c r="A925" s="157"/>
      <c r="B925" s="158"/>
      <c r="C925" s="159"/>
      <c r="D925" s="160"/>
      <c r="E925" s="161"/>
      <c r="F925" s="162"/>
      <c r="G925" s="162"/>
      <c r="H925" s="160"/>
      <c r="I925" s="161"/>
      <c r="J925" s="163"/>
      <c r="K925" s="163"/>
      <c r="L925" s="163"/>
      <c r="M925" s="164"/>
      <c r="N925" s="164"/>
      <c r="O925" s="165"/>
      <c r="P925" s="166"/>
    </row>
    <row r="926" spans="1:16" ht="15.75" customHeight="1">
      <c r="A926" s="157"/>
      <c r="B926" s="158"/>
      <c r="C926" s="159"/>
      <c r="D926" s="160"/>
      <c r="E926" s="161"/>
      <c r="F926" s="162"/>
      <c r="G926" s="162"/>
      <c r="H926" s="160"/>
      <c r="I926" s="161"/>
      <c r="J926" s="163"/>
      <c r="K926" s="163"/>
      <c r="L926" s="163"/>
      <c r="M926" s="164"/>
      <c r="N926" s="164"/>
      <c r="O926" s="165"/>
      <c r="P926" s="166"/>
    </row>
    <row r="927" spans="1:16" ht="15.75" customHeight="1">
      <c r="A927" s="157"/>
      <c r="B927" s="158"/>
      <c r="C927" s="159"/>
      <c r="D927" s="160"/>
      <c r="E927" s="161"/>
      <c r="F927" s="162"/>
      <c r="G927" s="162"/>
      <c r="H927" s="160"/>
      <c r="I927" s="161"/>
      <c r="J927" s="163"/>
      <c r="K927" s="163"/>
      <c r="L927" s="163"/>
      <c r="M927" s="164"/>
      <c r="N927" s="164"/>
      <c r="O927" s="165"/>
      <c r="P927" s="166"/>
    </row>
    <row r="928" spans="1:16" ht="15.75" customHeight="1">
      <c r="A928" s="157"/>
      <c r="B928" s="158"/>
      <c r="C928" s="159"/>
      <c r="D928" s="160"/>
      <c r="E928" s="161"/>
      <c r="F928" s="162"/>
      <c r="G928" s="162"/>
      <c r="H928" s="160"/>
      <c r="I928" s="161"/>
      <c r="J928" s="163"/>
      <c r="K928" s="163"/>
      <c r="L928" s="163"/>
      <c r="M928" s="164"/>
      <c r="N928" s="164"/>
      <c r="O928" s="165"/>
      <c r="P928" s="166"/>
    </row>
    <row r="929" spans="1:16" ht="15.75" customHeight="1">
      <c r="A929" s="157"/>
      <c r="B929" s="158"/>
      <c r="C929" s="159"/>
      <c r="D929" s="160"/>
      <c r="E929" s="161"/>
      <c r="F929" s="162"/>
      <c r="G929" s="162"/>
      <c r="H929" s="160"/>
      <c r="I929" s="161"/>
      <c r="J929" s="163"/>
      <c r="K929" s="163"/>
      <c r="L929" s="163"/>
      <c r="M929" s="164"/>
      <c r="N929" s="164"/>
      <c r="O929" s="165"/>
      <c r="P929" s="166"/>
    </row>
    <row r="930" spans="1:16" ht="15.75" customHeight="1">
      <c r="A930" s="157"/>
      <c r="B930" s="158"/>
      <c r="C930" s="159"/>
      <c r="D930" s="160"/>
      <c r="E930" s="161"/>
      <c r="F930" s="162"/>
      <c r="G930" s="162"/>
      <c r="H930" s="160"/>
      <c r="I930" s="161"/>
      <c r="J930" s="163"/>
      <c r="K930" s="163"/>
      <c r="L930" s="163"/>
      <c r="M930" s="164"/>
      <c r="N930" s="164"/>
      <c r="O930" s="165"/>
      <c r="P930" s="166"/>
    </row>
    <row r="931" spans="1:16" ht="15.75" customHeight="1">
      <c r="A931" s="157"/>
      <c r="B931" s="158"/>
      <c r="C931" s="159"/>
      <c r="D931" s="160"/>
      <c r="E931" s="161"/>
      <c r="F931" s="162"/>
      <c r="G931" s="162"/>
      <c r="H931" s="160"/>
      <c r="I931" s="161"/>
      <c r="J931" s="163"/>
      <c r="K931" s="163"/>
      <c r="L931" s="163"/>
      <c r="M931" s="164"/>
      <c r="N931" s="164"/>
      <c r="O931" s="165"/>
      <c r="P931" s="166"/>
    </row>
    <row r="932" spans="1:16" ht="15.75" customHeight="1">
      <c r="A932" s="157"/>
      <c r="B932" s="158"/>
      <c r="C932" s="159"/>
      <c r="D932" s="160"/>
      <c r="E932" s="161"/>
      <c r="F932" s="162"/>
      <c r="G932" s="162"/>
      <c r="H932" s="160"/>
      <c r="I932" s="161"/>
      <c r="J932" s="163"/>
      <c r="K932" s="163"/>
      <c r="L932" s="163"/>
      <c r="M932" s="164"/>
      <c r="N932" s="164"/>
      <c r="O932" s="165"/>
      <c r="P932" s="166"/>
    </row>
    <row r="933" spans="1:16" ht="15.75" customHeight="1">
      <c r="A933" s="157"/>
      <c r="B933" s="158"/>
      <c r="C933" s="159"/>
      <c r="D933" s="160"/>
      <c r="E933" s="161"/>
      <c r="F933" s="162"/>
      <c r="G933" s="162"/>
      <c r="H933" s="160"/>
      <c r="I933" s="161"/>
      <c r="J933" s="163"/>
      <c r="K933" s="163"/>
      <c r="L933" s="163"/>
      <c r="M933" s="164"/>
      <c r="N933" s="164"/>
      <c r="O933" s="165"/>
      <c r="P933" s="166"/>
    </row>
    <row r="934" spans="1:16" ht="15.75" customHeight="1">
      <c r="A934" s="157"/>
      <c r="B934" s="158"/>
      <c r="C934" s="159"/>
      <c r="D934" s="160"/>
      <c r="E934" s="161"/>
      <c r="F934" s="162"/>
      <c r="G934" s="162"/>
      <c r="H934" s="160"/>
      <c r="I934" s="161"/>
      <c r="J934" s="163"/>
      <c r="K934" s="163"/>
      <c r="L934" s="163"/>
      <c r="M934" s="164"/>
      <c r="N934" s="164"/>
      <c r="O934" s="165"/>
      <c r="P934" s="166"/>
    </row>
    <row r="935" spans="1:16" ht="15.75" customHeight="1">
      <c r="A935" s="157"/>
      <c r="B935" s="158"/>
      <c r="C935" s="159"/>
      <c r="D935" s="160"/>
      <c r="E935" s="161"/>
      <c r="F935" s="162"/>
      <c r="G935" s="162"/>
      <c r="H935" s="160"/>
      <c r="I935" s="161"/>
      <c r="J935" s="163"/>
      <c r="K935" s="163"/>
      <c r="L935" s="163"/>
      <c r="M935" s="164"/>
      <c r="N935" s="164"/>
      <c r="O935" s="165"/>
      <c r="P935" s="166"/>
    </row>
    <row r="936" spans="1:16" ht="15.75" customHeight="1">
      <c r="A936" s="157"/>
      <c r="B936" s="158"/>
      <c r="C936" s="159"/>
      <c r="D936" s="160"/>
      <c r="E936" s="161"/>
      <c r="F936" s="162"/>
      <c r="G936" s="162"/>
      <c r="H936" s="160"/>
      <c r="I936" s="161"/>
      <c r="J936" s="163"/>
      <c r="K936" s="163"/>
      <c r="L936" s="163"/>
      <c r="M936" s="164"/>
      <c r="N936" s="164"/>
      <c r="O936" s="165"/>
      <c r="P936" s="166"/>
    </row>
    <row r="937" spans="1:16" ht="15.75" customHeight="1">
      <c r="A937" s="157"/>
      <c r="B937" s="158"/>
      <c r="C937" s="159"/>
      <c r="D937" s="160"/>
      <c r="E937" s="161"/>
      <c r="F937" s="162"/>
      <c r="G937" s="162"/>
      <c r="H937" s="160"/>
      <c r="I937" s="161"/>
      <c r="J937" s="163"/>
      <c r="K937" s="163"/>
      <c r="L937" s="163"/>
      <c r="M937" s="164"/>
      <c r="N937" s="164"/>
      <c r="O937" s="165"/>
      <c r="P937" s="166"/>
    </row>
    <row r="938" spans="1:16" ht="15.75" customHeight="1">
      <c r="A938" s="157"/>
      <c r="B938" s="158"/>
      <c r="C938" s="159"/>
      <c r="D938" s="160"/>
      <c r="E938" s="161"/>
      <c r="F938" s="162"/>
      <c r="G938" s="162"/>
      <c r="H938" s="160"/>
      <c r="I938" s="161"/>
      <c r="J938" s="163"/>
      <c r="K938" s="163"/>
      <c r="L938" s="163"/>
      <c r="M938" s="164"/>
      <c r="N938" s="164"/>
      <c r="O938" s="165"/>
      <c r="P938" s="166"/>
    </row>
    <row r="939" spans="1:16" ht="15.75" customHeight="1">
      <c r="A939" s="157"/>
      <c r="B939" s="158"/>
      <c r="C939" s="159"/>
      <c r="D939" s="160"/>
      <c r="E939" s="161"/>
      <c r="F939" s="162"/>
      <c r="G939" s="162"/>
      <c r="H939" s="160"/>
      <c r="I939" s="161"/>
      <c r="J939" s="163"/>
      <c r="K939" s="163"/>
      <c r="L939" s="163"/>
      <c r="M939" s="164"/>
      <c r="N939" s="164"/>
      <c r="O939" s="165"/>
      <c r="P939" s="166"/>
    </row>
    <row r="940" spans="1:16" ht="15.75" customHeight="1">
      <c r="A940" s="157"/>
      <c r="B940" s="158"/>
      <c r="C940" s="159"/>
      <c r="D940" s="160"/>
      <c r="E940" s="161"/>
      <c r="F940" s="162"/>
      <c r="G940" s="162"/>
      <c r="H940" s="160"/>
      <c r="I940" s="161"/>
      <c r="J940" s="163"/>
      <c r="K940" s="163"/>
      <c r="L940" s="163"/>
      <c r="M940" s="164"/>
      <c r="N940" s="164"/>
      <c r="O940" s="165"/>
      <c r="P940" s="166"/>
    </row>
    <row r="941" spans="1:16" ht="15.75" customHeight="1">
      <c r="A941" s="157"/>
      <c r="B941" s="158"/>
      <c r="C941" s="159"/>
      <c r="D941" s="160"/>
      <c r="E941" s="161"/>
      <c r="F941" s="162"/>
      <c r="G941" s="162"/>
      <c r="H941" s="160"/>
      <c r="I941" s="161"/>
      <c r="J941" s="163"/>
      <c r="K941" s="163"/>
      <c r="L941" s="163"/>
      <c r="M941" s="164"/>
      <c r="N941" s="164"/>
      <c r="O941" s="165"/>
      <c r="P941" s="166"/>
    </row>
    <row r="942" spans="1:16" ht="15.75" customHeight="1">
      <c r="A942" s="157"/>
      <c r="B942" s="158"/>
      <c r="C942" s="159"/>
      <c r="D942" s="160"/>
      <c r="E942" s="161"/>
      <c r="F942" s="162"/>
      <c r="G942" s="162"/>
      <c r="H942" s="160"/>
      <c r="I942" s="161"/>
      <c r="J942" s="163"/>
      <c r="K942" s="163"/>
      <c r="L942" s="163"/>
      <c r="M942" s="164"/>
      <c r="N942" s="164"/>
      <c r="O942" s="165"/>
      <c r="P942" s="166"/>
    </row>
    <row r="943" spans="1:16" ht="15.75" customHeight="1">
      <c r="A943" s="157"/>
      <c r="B943" s="158"/>
      <c r="C943" s="159"/>
      <c r="D943" s="160"/>
      <c r="E943" s="161"/>
      <c r="F943" s="162"/>
      <c r="G943" s="162"/>
      <c r="H943" s="160"/>
      <c r="I943" s="161"/>
      <c r="J943" s="163"/>
      <c r="K943" s="163"/>
      <c r="L943" s="163"/>
      <c r="M943" s="164"/>
      <c r="N943" s="164"/>
      <c r="O943" s="165"/>
      <c r="P943" s="166"/>
    </row>
    <row r="944" spans="1:16" ht="15.75" customHeight="1">
      <c r="A944" s="157"/>
      <c r="B944" s="158"/>
      <c r="C944" s="159"/>
      <c r="D944" s="160"/>
      <c r="E944" s="161"/>
      <c r="F944" s="162"/>
      <c r="G944" s="162"/>
      <c r="H944" s="160"/>
      <c r="I944" s="161"/>
      <c r="J944" s="163"/>
      <c r="K944" s="163"/>
      <c r="L944" s="163"/>
      <c r="M944" s="164"/>
      <c r="N944" s="164"/>
      <c r="O944" s="165"/>
      <c r="P944" s="166"/>
    </row>
    <row r="945" spans="1:16" ht="15.75" customHeight="1">
      <c r="A945" s="157"/>
      <c r="B945" s="158"/>
      <c r="C945" s="159"/>
      <c r="D945" s="160"/>
      <c r="E945" s="161"/>
      <c r="F945" s="162"/>
      <c r="G945" s="162"/>
      <c r="H945" s="160"/>
      <c r="I945" s="161"/>
      <c r="J945" s="163"/>
      <c r="K945" s="163"/>
      <c r="L945" s="163"/>
      <c r="M945" s="164"/>
      <c r="N945" s="164"/>
      <c r="O945" s="165"/>
      <c r="P945" s="166"/>
    </row>
    <row r="946" spans="1:16" ht="15.75" customHeight="1">
      <c r="A946" s="157"/>
      <c r="B946" s="158"/>
      <c r="C946" s="159"/>
      <c r="D946" s="160"/>
      <c r="E946" s="161"/>
      <c r="F946" s="162"/>
      <c r="G946" s="162"/>
      <c r="H946" s="160"/>
      <c r="I946" s="161"/>
      <c r="J946" s="163"/>
      <c r="K946" s="163"/>
      <c r="L946" s="163"/>
      <c r="M946" s="164"/>
      <c r="N946" s="164"/>
      <c r="O946" s="165"/>
      <c r="P946" s="166"/>
    </row>
    <row r="947" spans="1:16" ht="15.75" customHeight="1">
      <c r="A947" s="157"/>
      <c r="B947" s="158"/>
      <c r="C947" s="159"/>
      <c r="D947" s="160"/>
      <c r="E947" s="161"/>
      <c r="F947" s="162"/>
      <c r="G947" s="162"/>
      <c r="H947" s="160"/>
      <c r="I947" s="161"/>
      <c r="J947" s="163"/>
      <c r="K947" s="163"/>
      <c r="L947" s="163"/>
      <c r="M947" s="164"/>
      <c r="N947" s="164"/>
      <c r="O947" s="165"/>
      <c r="P947" s="166"/>
    </row>
    <row r="948" spans="1:16" ht="15.75" customHeight="1">
      <c r="A948" s="157"/>
      <c r="B948" s="158"/>
      <c r="C948" s="159"/>
      <c r="D948" s="160"/>
      <c r="E948" s="161"/>
      <c r="F948" s="162"/>
      <c r="G948" s="162"/>
      <c r="H948" s="160"/>
      <c r="I948" s="161"/>
      <c r="J948" s="163"/>
      <c r="K948" s="163"/>
      <c r="L948" s="163"/>
      <c r="M948" s="164"/>
      <c r="N948" s="164"/>
      <c r="O948" s="165"/>
      <c r="P948" s="166"/>
    </row>
    <row r="949" spans="1:16" ht="15.75" customHeight="1">
      <c r="A949" s="157"/>
      <c r="B949" s="158"/>
      <c r="C949" s="159"/>
      <c r="D949" s="160"/>
      <c r="E949" s="161"/>
      <c r="F949" s="162"/>
      <c r="G949" s="162"/>
      <c r="H949" s="160"/>
      <c r="I949" s="161"/>
      <c r="J949" s="163"/>
      <c r="K949" s="163"/>
      <c r="L949" s="163"/>
      <c r="M949" s="164"/>
      <c r="N949" s="164"/>
      <c r="O949" s="165"/>
      <c r="P949" s="166"/>
    </row>
    <row r="950" spans="1:16" ht="15.75" customHeight="1">
      <c r="A950" s="157"/>
      <c r="B950" s="158"/>
      <c r="C950" s="159"/>
      <c r="D950" s="160"/>
      <c r="E950" s="161"/>
      <c r="F950" s="162"/>
      <c r="G950" s="162"/>
      <c r="H950" s="160"/>
      <c r="I950" s="161"/>
      <c r="J950" s="163"/>
      <c r="K950" s="163"/>
      <c r="L950" s="163"/>
      <c r="M950" s="164"/>
      <c r="N950" s="164"/>
      <c r="O950" s="165"/>
      <c r="P950" s="166"/>
    </row>
    <row r="951" spans="1:16" ht="15.75" customHeight="1">
      <c r="A951" s="157"/>
      <c r="B951" s="158"/>
      <c r="C951" s="159"/>
      <c r="D951" s="160"/>
      <c r="E951" s="161"/>
      <c r="F951" s="162"/>
      <c r="G951" s="162"/>
      <c r="H951" s="160"/>
      <c r="I951" s="161"/>
      <c r="J951" s="163"/>
      <c r="K951" s="163"/>
      <c r="L951" s="163"/>
      <c r="M951" s="164"/>
      <c r="N951" s="164"/>
      <c r="O951" s="165"/>
      <c r="P951" s="166"/>
    </row>
    <row r="952" spans="1:16" ht="15.75" customHeight="1">
      <c r="A952" s="157"/>
      <c r="B952" s="158"/>
      <c r="C952" s="159"/>
      <c r="D952" s="160"/>
      <c r="E952" s="161"/>
      <c r="F952" s="162"/>
      <c r="G952" s="162"/>
      <c r="H952" s="160"/>
      <c r="I952" s="161"/>
      <c r="J952" s="163"/>
      <c r="K952" s="163"/>
      <c r="L952" s="163"/>
      <c r="M952" s="164"/>
      <c r="N952" s="164"/>
      <c r="O952" s="165"/>
      <c r="P952" s="166"/>
    </row>
    <row r="953" spans="1:16" ht="15.75" customHeight="1">
      <c r="A953" s="157"/>
      <c r="B953" s="158"/>
      <c r="C953" s="159"/>
      <c r="D953" s="160"/>
      <c r="E953" s="161"/>
      <c r="F953" s="162"/>
      <c r="G953" s="162"/>
      <c r="H953" s="160"/>
      <c r="I953" s="161"/>
      <c r="J953" s="163"/>
      <c r="K953" s="163"/>
      <c r="L953" s="163"/>
      <c r="M953" s="164"/>
      <c r="N953" s="164"/>
      <c r="O953" s="165"/>
      <c r="P953" s="166"/>
    </row>
    <row r="954" spans="1:16" ht="15.75" customHeight="1">
      <c r="A954" s="157"/>
      <c r="B954" s="158"/>
      <c r="C954" s="159"/>
      <c r="D954" s="160"/>
      <c r="E954" s="161"/>
      <c r="F954" s="162"/>
      <c r="G954" s="162"/>
      <c r="H954" s="160"/>
      <c r="I954" s="161"/>
      <c r="J954" s="163"/>
      <c r="K954" s="163"/>
      <c r="L954" s="163"/>
      <c r="M954" s="164"/>
      <c r="N954" s="164"/>
      <c r="O954" s="165"/>
      <c r="P954" s="166"/>
    </row>
    <row r="955" spans="1:16" ht="15.75" customHeight="1">
      <c r="A955" s="157"/>
      <c r="B955" s="158"/>
      <c r="C955" s="159"/>
      <c r="D955" s="160"/>
      <c r="E955" s="161"/>
      <c r="F955" s="162"/>
      <c r="G955" s="162"/>
      <c r="H955" s="160"/>
      <c r="I955" s="161"/>
      <c r="J955" s="163"/>
      <c r="K955" s="163"/>
      <c r="L955" s="163"/>
      <c r="M955" s="164"/>
      <c r="N955" s="164"/>
      <c r="O955" s="165"/>
      <c r="P955" s="166"/>
    </row>
    <row r="956" spans="1:16" ht="15.75" customHeight="1">
      <c r="A956" s="157"/>
      <c r="B956" s="158"/>
      <c r="C956" s="159"/>
      <c r="D956" s="160"/>
      <c r="E956" s="161"/>
      <c r="F956" s="162"/>
      <c r="G956" s="162"/>
      <c r="H956" s="160"/>
      <c r="I956" s="161"/>
      <c r="J956" s="163"/>
      <c r="K956" s="163"/>
      <c r="L956" s="163"/>
      <c r="M956" s="164"/>
      <c r="N956" s="164"/>
      <c r="O956" s="165"/>
      <c r="P956" s="166"/>
    </row>
    <row r="957" spans="1:16" ht="15.75" customHeight="1">
      <c r="A957" s="157"/>
      <c r="B957" s="158"/>
      <c r="C957" s="159"/>
      <c r="D957" s="160"/>
      <c r="E957" s="161"/>
      <c r="F957" s="162"/>
      <c r="G957" s="162"/>
      <c r="H957" s="160"/>
      <c r="I957" s="161"/>
      <c r="J957" s="163"/>
      <c r="K957" s="163"/>
      <c r="L957" s="163"/>
      <c r="M957" s="164"/>
      <c r="N957" s="164"/>
      <c r="O957" s="165"/>
      <c r="P957" s="166"/>
    </row>
    <row r="958" spans="1:16" ht="15.75" customHeight="1">
      <c r="A958" s="157"/>
      <c r="B958" s="158"/>
      <c r="C958" s="159"/>
      <c r="D958" s="160"/>
      <c r="E958" s="161"/>
      <c r="F958" s="162"/>
      <c r="G958" s="162"/>
      <c r="H958" s="160"/>
      <c r="I958" s="161"/>
      <c r="J958" s="163"/>
      <c r="K958" s="163"/>
      <c r="L958" s="163"/>
      <c r="M958" s="164"/>
      <c r="N958" s="164"/>
      <c r="O958" s="165"/>
      <c r="P958" s="166"/>
    </row>
    <row r="959" spans="1:16" ht="15.75" customHeight="1">
      <c r="A959" s="157"/>
      <c r="B959" s="158"/>
      <c r="C959" s="159"/>
      <c r="D959" s="160"/>
      <c r="E959" s="161"/>
      <c r="F959" s="162"/>
      <c r="G959" s="162"/>
      <c r="H959" s="160"/>
      <c r="I959" s="161"/>
      <c r="J959" s="163"/>
      <c r="K959" s="163"/>
      <c r="L959" s="163"/>
      <c r="M959" s="164"/>
      <c r="N959" s="164"/>
      <c r="O959" s="165"/>
      <c r="P959" s="166"/>
    </row>
    <row r="960" spans="1:16" ht="15.75" customHeight="1">
      <c r="A960" s="157"/>
      <c r="B960" s="158"/>
      <c r="C960" s="159"/>
      <c r="D960" s="160"/>
      <c r="E960" s="161"/>
      <c r="F960" s="162"/>
      <c r="G960" s="162"/>
      <c r="H960" s="160"/>
      <c r="I960" s="161"/>
      <c r="J960" s="163"/>
      <c r="K960" s="163"/>
      <c r="L960" s="163"/>
      <c r="M960" s="164"/>
      <c r="N960" s="164"/>
      <c r="O960" s="165"/>
      <c r="P960" s="166"/>
    </row>
    <row r="961" spans="1:16" ht="15.75" customHeight="1">
      <c r="A961" s="157"/>
      <c r="B961" s="158"/>
      <c r="C961" s="159"/>
      <c r="D961" s="160"/>
      <c r="E961" s="161"/>
      <c r="F961" s="162"/>
      <c r="G961" s="162"/>
      <c r="H961" s="160"/>
      <c r="I961" s="161"/>
      <c r="J961" s="163"/>
      <c r="K961" s="163"/>
      <c r="L961" s="163"/>
      <c r="M961" s="164"/>
      <c r="N961" s="164"/>
      <c r="O961" s="165"/>
      <c r="P961" s="166"/>
    </row>
    <row r="962" spans="1:16" ht="15.75" customHeight="1">
      <c r="A962" s="157"/>
      <c r="B962" s="158"/>
      <c r="C962" s="159"/>
      <c r="D962" s="160"/>
      <c r="E962" s="161"/>
      <c r="F962" s="162"/>
      <c r="G962" s="162"/>
      <c r="H962" s="160"/>
      <c r="I962" s="161"/>
      <c r="J962" s="163"/>
      <c r="K962" s="163"/>
      <c r="L962" s="163"/>
      <c r="M962" s="164"/>
      <c r="N962" s="164"/>
      <c r="O962" s="165"/>
      <c r="P962" s="166"/>
    </row>
    <row r="963" spans="1:16" ht="15.75" customHeight="1">
      <c r="A963" s="157"/>
      <c r="B963" s="158"/>
      <c r="C963" s="159"/>
      <c r="D963" s="160"/>
      <c r="E963" s="161"/>
      <c r="F963" s="162"/>
      <c r="G963" s="162"/>
      <c r="H963" s="160"/>
      <c r="I963" s="161"/>
      <c r="J963" s="163"/>
      <c r="K963" s="163"/>
      <c r="L963" s="163"/>
      <c r="M963" s="164"/>
      <c r="N963" s="164"/>
      <c r="O963" s="165"/>
      <c r="P963" s="166"/>
    </row>
    <row r="964" spans="1:16" ht="15.75" customHeight="1">
      <c r="A964" s="157"/>
      <c r="B964" s="158"/>
      <c r="C964" s="159"/>
      <c r="D964" s="160"/>
      <c r="E964" s="161"/>
      <c r="F964" s="162"/>
      <c r="G964" s="162"/>
      <c r="H964" s="160"/>
      <c r="I964" s="161"/>
      <c r="J964" s="163"/>
      <c r="K964" s="163"/>
      <c r="L964" s="163"/>
      <c r="M964" s="164"/>
      <c r="N964" s="164"/>
      <c r="O964" s="165"/>
      <c r="P964" s="166"/>
    </row>
    <row r="965" spans="1:16" ht="15.75" customHeight="1">
      <c r="A965" s="157"/>
      <c r="B965" s="158"/>
      <c r="C965" s="159"/>
      <c r="D965" s="160"/>
      <c r="E965" s="161"/>
      <c r="F965" s="162"/>
      <c r="G965" s="162"/>
      <c r="H965" s="160"/>
      <c r="I965" s="161"/>
      <c r="J965" s="163"/>
      <c r="K965" s="163"/>
      <c r="L965" s="163"/>
      <c r="M965" s="164"/>
      <c r="N965" s="164"/>
      <c r="O965" s="165"/>
      <c r="P965" s="166"/>
    </row>
    <row r="966" spans="1:16" ht="15.75" customHeight="1">
      <c r="A966" s="157"/>
      <c r="B966" s="158"/>
      <c r="C966" s="159"/>
      <c r="D966" s="160"/>
      <c r="E966" s="161"/>
      <c r="F966" s="162"/>
      <c r="G966" s="162"/>
      <c r="H966" s="160"/>
      <c r="I966" s="161"/>
      <c r="J966" s="163"/>
      <c r="K966" s="163"/>
      <c r="L966" s="163"/>
      <c r="M966" s="164"/>
      <c r="N966" s="164"/>
      <c r="O966" s="165"/>
      <c r="P966" s="166"/>
    </row>
    <row r="967" spans="1:16" ht="15.75" customHeight="1">
      <c r="A967" s="157"/>
      <c r="B967" s="158"/>
      <c r="C967" s="159"/>
      <c r="D967" s="160"/>
      <c r="E967" s="161"/>
      <c r="F967" s="162"/>
      <c r="G967" s="162"/>
      <c r="H967" s="160"/>
      <c r="I967" s="161"/>
      <c r="J967" s="163"/>
      <c r="K967" s="163"/>
      <c r="L967" s="163"/>
      <c r="M967" s="164"/>
      <c r="N967" s="164"/>
      <c r="O967" s="165"/>
      <c r="P967" s="166"/>
    </row>
    <row r="968" spans="1:16" ht="15.75" customHeight="1">
      <c r="A968" s="157"/>
      <c r="B968" s="158"/>
      <c r="C968" s="159"/>
      <c r="D968" s="160"/>
      <c r="E968" s="161"/>
      <c r="F968" s="162"/>
      <c r="G968" s="162"/>
      <c r="H968" s="160"/>
      <c r="I968" s="161"/>
      <c r="J968" s="163"/>
      <c r="K968" s="163"/>
      <c r="L968" s="163"/>
      <c r="M968" s="164"/>
      <c r="N968" s="164"/>
      <c r="O968" s="165"/>
      <c r="P968" s="166"/>
    </row>
    <row r="969" spans="1:16" ht="15.75" customHeight="1">
      <c r="A969" s="157"/>
      <c r="B969" s="158"/>
      <c r="C969" s="159"/>
      <c r="D969" s="160"/>
      <c r="E969" s="161"/>
      <c r="F969" s="162"/>
      <c r="G969" s="162"/>
      <c r="H969" s="160"/>
      <c r="I969" s="161"/>
      <c r="J969" s="163"/>
      <c r="K969" s="163"/>
      <c r="L969" s="163"/>
      <c r="M969" s="164"/>
      <c r="N969" s="164"/>
      <c r="O969" s="165"/>
      <c r="P969" s="166"/>
    </row>
    <row r="970" spans="1:16" ht="15.75" customHeight="1">
      <c r="A970" s="157"/>
      <c r="B970" s="158"/>
      <c r="C970" s="159"/>
      <c r="D970" s="160"/>
      <c r="E970" s="161"/>
      <c r="F970" s="162"/>
      <c r="G970" s="162"/>
      <c r="H970" s="160"/>
      <c r="I970" s="161"/>
      <c r="J970" s="163"/>
      <c r="K970" s="163"/>
      <c r="L970" s="163"/>
      <c r="M970" s="164"/>
      <c r="N970" s="164"/>
      <c r="O970" s="165"/>
      <c r="P970" s="166"/>
    </row>
    <row r="971" spans="1:16" ht="15.75" customHeight="1">
      <c r="A971" s="157"/>
      <c r="B971" s="158"/>
      <c r="C971" s="159"/>
      <c r="D971" s="160"/>
      <c r="E971" s="161"/>
      <c r="F971" s="162"/>
      <c r="G971" s="162"/>
      <c r="H971" s="160"/>
      <c r="I971" s="161"/>
      <c r="J971" s="163"/>
      <c r="K971" s="163"/>
      <c r="L971" s="163"/>
      <c r="M971" s="164"/>
      <c r="N971" s="164"/>
      <c r="O971" s="165"/>
      <c r="P971" s="166"/>
    </row>
    <row r="972" spans="1:16" ht="15.75" customHeight="1">
      <c r="A972" s="157"/>
      <c r="B972" s="158"/>
      <c r="C972" s="159"/>
      <c r="D972" s="160"/>
      <c r="E972" s="161"/>
      <c r="F972" s="162"/>
      <c r="G972" s="162"/>
      <c r="H972" s="160"/>
      <c r="I972" s="161"/>
      <c r="J972" s="163"/>
      <c r="K972" s="163"/>
      <c r="L972" s="163"/>
      <c r="M972" s="164"/>
      <c r="N972" s="164"/>
      <c r="O972" s="165"/>
      <c r="P972" s="166"/>
    </row>
    <row r="973" spans="1:16" ht="15.75" customHeight="1">
      <c r="A973" s="157"/>
      <c r="B973" s="158"/>
      <c r="C973" s="159"/>
      <c r="D973" s="160"/>
      <c r="E973" s="161"/>
      <c r="F973" s="162"/>
      <c r="G973" s="162"/>
      <c r="H973" s="160"/>
      <c r="I973" s="161"/>
      <c r="J973" s="163"/>
      <c r="K973" s="163"/>
      <c r="L973" s="163"/>
      <c r="M973" s="164"/>
      <c r="N973" s="164"/>
      <c r="O973" s="165"/>
      <c r="P973" s="166"/>
    </row>
    <row r="974" spans="1:16" ht="15.75" customHeight="1">
      <c r="A974" s="157"/>
      <c r="B974" s="158"/>
      <c r="C974" s="159"/>
      <c r="D974" s="160"/>
      <c r="E974" s="161"/>
      <c r="F974" s="162"/>
      <c r="G974" s="162"/>
      <c r="H974" s="160"/>
      <c r="I974" s="161"/>
      <c r="J974" s="163"/>
      <c r="K974" s="163"/>
      <c r="L974" s="163"/>
      <c r="M974" s="164"/>
      <c r="N974" s="164"/>
      <c r="O974" s="165"/>
      <c r="P974" s="166"/>
    </row>
    <row r="975" spans="1:16" ht="15.75" customHeight="1">
      <c r="A975" s="157"/>
      <c r="B975" s="158"/>
      <c r="C975" s="159"/>
      <c r="D975" s="160"/>
      <c r="E975" s="161"/>
      <c r="F975" s="162"/>
      <c r="G975" s="162"/>
      <c r="H975" s="160"/>
      <c r="I975" s="161"/>
      <c r="J975" s="163"/>
      <c r="K975" s="163"/>
      <c r="L975" s="163"/>
      <c r="M975" s="164"/>
      <c r="N975" s="164"/>
      <c r="O975" s="165"/>
      <c r="P975" s="166"/>
    </row>
    <row r="976" spans="1:16" ht="15.75" customHeight="1">
      <c r="A976" s="157"/>
      <c r="B976" s="158"/>
      <c r="C976" s="159"/>
      <c r="D976" s="160"/>
      <c r="E976" s="161"/>
      <c r="F976" s="162"/>
      <c r="G976" s="162"/>
      <c r="H976" s="160"/>
      <c r="I976" s="161"/>
      <c r="J976" s="163"/>
      <c r="K976" s="163"/>
      <c r="L976" s="163"/>
      <c r="M976" s="164"/>
      <c r="N976" s="164"/>
      <c r="O976" s="165"/>
      <c r="P976" s="166"/>
    </row>
    <row r="977" spans="1:16" ht="15.75" customHeight="1">
      <c r="A977" s="157"/>
      <c r="B977" s="158"/>
      <c r="C977" s="159"/>
      <c r="D977" s="160"/>
      <c r="E977" s="161"/>
      <c r="F977" s="162"/>
      <c r="G977" s="162"/>
      <c r="H977" s="160"/>
      <c r="I977" s="161"/>
      <c r="J977" s="163"/>
      <c r="K977" s="163"/>
      <c r="L977" s="163"/>
      <c r="M977" s="164"/>
      <c r="N977" s="164"/>
      <c r="O977" s="165"/>
      <c r="P977" s="166"/>
    </row>
    <row r="978" spans="1:16" ht="15.75" customHeight="1">
      <c r="A978" s="157"/>
      <c r="B978" s="158"/>
      <c r="C978" s="159"/>
      <c r="D978" s="160"/>
      <c r="E978" s="161"/>
      <c r="F978" s="162"/>
      <c r="G978" s="162"/>
      <c r="H978" s="160"/>
      <c r="I978" s="161"/>
      <c r="J978" s="163"/>
      <c r="K978" s="163"/>
      <c r="L978" s="163"/>
      <c r="M978" s="164"/>
      <c r="N978" s="164"/>
      <c r="O978" s="165"/>
      <c r="P978" s="166"/>
    </row>
    <row r="979" spans="1:16" ht="15.75" customHeight="1">
      <c r="A979" s="157"/>
      <c r="B979" s="158"/>
      <c r="C979" s="159"/>
      <c r="D979" s="160"/>
      <c r="E979" s="161"/>
      <c r="F979" s="162"/>
      <c r="G979" s="162"/>
      <c r="H979" s="160"/>
      <c r="I979" s="161"/>
      <c r="J979" s="163"/>
      <c r="K979" s="163"/>
      <c r="L979" s="163"/>
      <c r="M979" s="164"/>
      <c r="N979" s="164"/>
      <c r="O979" s="165"/>
      <c r="P979" s="166"/>
    </row>
    <row r="980" spans="1:16" ht="15.75" customHeight="1">
      <c r="A980" s="157"/>
      <c r="B980" s="158"/>
      <c r="C980" s="159"/>
      <c r="D980" s="160"/>
      <c r="E980" s="161"/>
      <c r="F980" s="162"/>
      <c r="G980" s="162"/>
      <c r="H980" s="160"/>
      <c r="I980" s="161"/>
      <c r="J980" s="163"/>
      <c r="K980" s="163"/>
      <c r="L980" s="163"/>
      <c r="M980" s="164"/>
      <c r="N980" s="164"/>
      <c r="O980" s="165"/>
      <c r="P980" s="166"/>
    </row>
    <row r="981" spans="1:16" ht="15.75" customHeight="1">
      <c r="A981" s="157"/>
      <c r="B981" s="158"/>
      <c r="C981" s="159"/>
      <c r="D981" s="160"/>
      <c r="E981" s="161"/>
      <c r="F981" s="162"/>
      <c r="G981" s="162"/>
      <c r="H981" s="160"/>
      <c r="I981" s="161"/>
      <c r="J981" s="163"/>
      <c r="K981" s="163"/>
      <c r="L981" s="163"/>
      <c r="M981" s="164"/>
      <c r="N981" s="164"/>
      <c r="O981" s="165"/>
      <c r="P981" s="166"/>
    </row>
    <row r="982" spans="1:16" ht="15.75" customHeight="1">
      <c r="A982" s="157"/>
      <c r="B982" s="158"/>
      <c r="C982" s="159"/>
      <c r="D982" s="160"/>
      <c r="E982" s="161"/>
      <c r="F982" s="162"/>
      <c r="G982" s="162"/>
      <c r="H982" s="160"/>
      <c r="I982" s="161"/>
      <c r="J982" s="163"/>
      <c r="K982" s="163"/>
      <c r="L982" s="163"/>
      <c r="M982" s="164"/>
      <c r="N982" s="164"/>
      <c r="O982" s="165"/>
      <c r="P982" s="166"/>
    </row>
    <row r="983" spans="1:16" ht="15.75" customHeight="1">
      <c r="A983" s="157"/>
      <c r="B983" s="158"/>
      <c r="C983" s="159"/>
      <c r="D983" s="160"/>
      <c r="E983" s="161"/>
      <c r="F983" s="162"/>
      <c r="G983" s="162"/>
      <c r="H983" s="160"/>
      <c r="I983" s="161"/>
      <c r="J983" s="163"/>
      <c r="K983" s="163"/>
      <c r="L983" s="163"/>
      <c r="M983" s="164"/>
      <c r="N983" s="164"/>
      <c r="O983" s="165"/>
      <c r="P983" s="166"/>
    </row>
    <row r="984" spans="1:16" ht="15.75" customHeight="1">
      <c r="A984" s="157"/>
      <c r="B984" s="158"/>
      <c r="C984" s="159"/>
      <c r="D984" s="160"/>
      <c r="E984" s="161"/>
      <c r="F984" s="162"/>
      <c r="G984" s="162"/>
      <c r="H984" s="160"/>
      <c r="I984" s="161"/>
      <c r="J984" s="163"/>
      <c r="K984" s="163"/>
      <c r="L984" s="163"/>
      <c r="M984" s="164"/>
      <c r="N984" s="164"/>
      <c r="O984" s="165"/>
      <c r="P984" s="166"/>
    </row>
    <row r="985" spans="1:16" ht="15.75" customHeight="1">
      <c r="A985" s="157"/>
      <c r="B985" s="158"/>
      <c r="C985" s="159"/>
      <c r="D985" s="160"/>
      <c r="E985" s="161"/>
      <c r="F985" s="162"/>
      <c r="G985" s="162"/>
      <c r="H985" s="160"/>
      <c r="I985" s="161"/>
      <c r="J985" s="163"/>
      <c r="K985" s="163"/>
      <c r="L985" s="163"/>
      <c r="M985" s="164"/>
      <c r="N985" s="164"/>
      <c r="O985" s="165"/>
      <c r="P985" s="166"/>
    </row>
    <row r="986" spans="1:16" ht="15.75" customHeight="1">
      <c r="A986" s="157"/>
      <c r="B986" s="158"/>
      <c r="C986" s="159"/>
      <c r="D986" s="160"/>
      <c r="E986" s="161"/>
      <c r="F986" s="162"/>
      <c r="G986" s="162"/>
      <c r="H986" s="160"/>
      <c r="I986" s="161"/>
      <c r="J986" s="163"/>
      <c r="K986" s="163"/>
      <c r="L986" s="163"/>
      <c r="M986" s="164"/>
      <c r="N986" s="164"/>
      <c r="O986" s="165"/>
      <c r="P986" s="166"/>
    </row>
    <row r="987" spans="1:16" ht="15.75" customHeight="1">
      <c r="A987" s="157"/>
      <c r="B987" s="158"/>
      <c r="C987" s="159"/>
      <c r="D987" s="160"/>
      <c r="E987" s="161"/>
      <c r="F987" s="162"/>
      <c r="G987" s="162"/>
      <c r="H987" s="160"/>
      <c r="I987" s="161"/>
      <c r="J987" s="163"/>
      <c r="K987" s="163"/>
      <c r="L987" s="163"/>
      <c r="M987" s="164"/>
      <c r="N987" s="164"/>
      <c r="O987" s="165"/>
      <c r="P987" s="166"/>
    </row>
    <row r="988" spans="1:16" ht="15.75" customHeight="1">
      <c r="A988" s="157"/>
      <c r="B988" s="158"/>
      <c r="C988" s="159"/>
      <c r="D988" s="160"/>
      <c r="E988" s="161"/>
      <c r="F988" s="162"/>
      <c r="G988" s="162"/>
      <c r="H988" s="160"/>
      <c r="I988" s="161"/>
      <c r="J988" s="163"/>
      <c r="K988" s="163"/>
      <c r="L988" s="163"/>
      <c r="M988" s="164"/>
      <c r="N988" s="164"/>
      <c r="O988" s="165"/>
      <c r="P988" s="166"/>
    </row>
  </sheetData>
  <mergeCells count="21">
    <mergeCell ref="O2:O3"/>
    <mergeCell ref="O7:O8"/>
    <mergeCell ref="O10:O12"/>
    <mergeCell ref="O13:O14"/>
    <mergeCell ref="O16:O18"/>
    <mergeCell ref="O19:O25"/>
    <mergeCell ref="P19:P25"/>
    <mergeCell ref="O89:O97"/>
    <mergeCell ref="O99:O107"/>
    <mergeCell ref="P101:P113"/>
    <mergeCell ref="O108:O113"/>
    <mergeCell ref="O115:O118"/>
    <mergeCell ref="P115:P122"/>
    <mergeCell ref="O119:O122"/>
    <mergeCell ref="O26:O30"/>
    <mergeCell ref="O31:O35"/>
    <mergeCell ref="O36:O53"/>
    <mergeCell ref="O54:O61"/>
    <mergeCell ref="O62:O74"/>
    <mergeCell ref="O75:O81"/>
    <mergeCell ref="O83:O88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991"/>
  <sheetViews>
    <sheetView tabSelected="1" workbookViewId="0">
      <pane ySplit="1" topLeftCell="A16" activePane="bottomLeft" state="frozen"/>
      <selection pane="bottomLeft" activeCell="Q17" sqref="Q17"/>
    </sheetView>
  </sheetViews>
  <sheetFormatPr defaultColWidth="11.125" defaultRowHeight="15" customHeight="1"/>
  <cols>
    <col min="1" max="1" width="17.625" customWidth="1"/>
    <col min="2" max="2" width="9.5" customWidth="1"/>
    <col min="3" max="3" width="8.875" customWidth="1"/>
    <col min="4" max="4" width="8.625" customWidth="1"/>
    <col min="5" max="5" width="7.5" customWidth="1"/>
    <col min="6" max="6" width="8.875" customWidth="1"/>
    <col min="7" max="7" width="8" customWidth="1"/>
    <col min="8" max="8" width="7.5" customWidth="1"/>
    <col min="9" max="9" width="7.125" customWidth="1"/>
    <col min="10" max="10" width="6.5" customWidth="1"/>
    <col min="11" max="11" width="7.875" customWidth="1"/>
    <col min="12" max="12" width="8.875" customWidth="1"/>
    <col min="13" max="16" width="7.875" customWidth="1"/>
    <col min="17" max="17" width="7.125" customWidth="1"/>
    <col min="18" max="19" width="6.375" customWidth="1"/>
    <col min="20" max="20" width="51" customWidth="1"/>
    <col min="21" max="27" width="10.5" customWidth="1"/>
  </cols>
  <sheetData>
    <row r="1" spans="1:27" ht="15.75" customHeight="1">
      <c r="A1" s="167" t="s">
        <v>0</v>
      </c>
      <c r="B1" s="168" t="s">
        <v>481</v>
      </c>
      <c r="C1" s="167" t="s">
        <v>482</v>
      </c>
      <c r="D1" s="167" t="s">
        <v>483</v>
      </c>
      <c r="E1" s="167" t="s">
        <v>484</v>
      </c>
      <c r="F1" s="169" t="s">
        <v>485</v>
      </c>
      <c r="G1" s="167" t="s">
        <v>486</v>
      </c>
      <c r="H1" s="167" t="s">
        <v>487</v>
      </c>
      <c r="I1" s="169" t="s">
        <v>488</v>
      </c>
      <c r="J1" s="167" t="s">
        <v>489</v>
      </c>
      <c r="K1" s="170" t="s">
        <v>490</v>
      </c>
      <c r="L1" s="170" t="s">
        <v>491</v>
      </c>
      <c r="M1" s="170" t="s">
        <v>492</v>
      </c>
      <c r="N1" s="170" t="s">
        <v>493</v>
      </c>
      <c r="O1" s="170" t="s">
        <v>494</v>
      </c>
      <c r="P1" s="170" t="s">
        <v>495</v>
      </c>
      <c r="Q1" s="169" t="s">
        <v>496</v>
      </c>
      <c r="R1" s="167" t="s">
        <v>14</v>
      </c>
      <c r="S1" s="167" t="s">
        <v>12</v>
      </c>
      <c r="T1" s="167" t="s">
        <v>181</v>
      </c>
      <c r="U1" s="171"/>
      <c r="V1" s="171"/>
      <c r="W1" s="171"/>
      <c r="X1" s="171"/>
      <c r="Y1" s="171"/>
      <c r="Z1" s="171"/>
      <c r="AA1" s="171"/>
    </row>
    <row r="2" spans="1:27" ht="15.75" customHeight="1">
      <c r="A2" s="66" t="s">
        <v>497</v>
      </c>
      <c r="B2" s="63">
        <v>45012</v>
      </c>
      <c r="C2" s="172">
        <v>0.38472222222222224</v>
      </c>
      <c r="D2" s="173">
        <v>45012</v>
      </c>
      <c r="E2" s="172">
        <v>0.65763888888888888</v>
      </c>
      <c r="F2" s="65">
        <v>1072</v>
      </c>
      <c r="G2" s="173">
        <v>45014</v>
      </c>
      <c r="H2" s="172">
        <v>0.45416666666666666</v>
      </c>
      <c r="I2" s="65">
        <v>10</v>
      </c>
      <c r="J2" s="66">
        <v>1</v>
      </c>
      <c r="K2" s="174">
        <v>5.0000000000000001E-3</v>
      </c>
      <c r="L2" s="174">
        <v>5.0000000000000001E-3</v>
      </c>
      <c r="M2" s="174">
        <v>1E-3</v>
      </c>
      <c r="N2" s="174">
        <v>5.0000000000000001E-3</v>
      </c>
      <c r="O2" s="174">
        <v>5.0000000000000001E-3</v>
      </c>
      <c r="P2" s="174">
        <v>2E-3</v>
      </c>
      <c r="Q2" s="65">
        <f t="shared" ref="Q2:Q6" si="0">((26.7*((K2-M2)-(O2-P2))*I2)/(F2*J2))*1000</f>
        <v>0.24906716417910452</v>
      </c>
      <c r="R2" s="66" t="s">
        <v>21</v>
      </c>
      <c r="S2" s="66" t="s">
        <v>20</v>
      </c>
      <c r="T2" s="175" t="s">
        <v>498</v>
      </c>
      <c r="U2" s="176"/>
      <c r="V2" s="176"/>
      <c r="W2" s="176"/>
      <c r="X2" s="176"/>
      <c r="Y2" s="176"/>
      <c r="Z2" s="176"/>
      <c r="AA2" s="176"/>
    </row>
    <row r="3" spans="1:27" ht="15.75" customHeight="1">
      <c r="A3" s="66" t="s">
        <v>499</v>
      </c>
      <c r="B3" s="63">
        <v>45012</v>
      </c>
      <c r="C3" s="172">
        <v>0.38472222222222224</v>
      </c>
      <c r="D3" s="173">
        <v>45012</v>
      </c>
      <c r="E3" s="172">
        <v>0.67638888888888893</v>
      </c>
      <c r="F3" s="65">
        <v>1068</v>
      </c>
      <c r="G3" s="173">
        <v>45014</v>
      </c>
      <c r="H3" s="172">
        <v>0.46180555555555558</v>
      </c>
      <c r="I3" s="65">
        <v>10</v>
      </c>
      <c r="J3" s="66">
        <v>1</v>
      </c>
      <c r="K3" s="174">
        <v>4.0000000000000001E-3</v>
      </c>
      <c r="L3" s="174">
        <v>4.0000000000000001E-3</v>
      </c>
      <c r="M3" s="174">
        <v>2E-3</v>
      </c>
      <c r="N3" s="174">
        <v>3.0000000000000001E-3</v>
      </c>
      <c r="O3" s="174">
        <v>3.0000000000000001E-3</v>
      </c>
      <c r="P3" s="174">
        <v>2E-3</v>
      </c>
      <c r="Q3" s="65">
        <f t="shared" si="0"/>
        <v>0.25</v>
      </c>
      <c r="R3" s="66" t="s">
        <v>21</v>
      </c>
      <c r="S3" s="66" t="s">
        <v>20</v>
      </c>
      <c r="T3" s="175" t="s">
        <v>498</v>
      </c>
      <c r="U3" s="176"/>
      <c r="V3" s="176"/>
      <c r="W3" s="176"/>
      <c r="X3" s="176"/>
      <c r="Y3" s="176"/>
      <c r="Z3" s="176"/>
      <c r="AA3" s="176"/>
    </row>
    <row r="4" spans="1:27" ht="15.75" customHeight="1">
      <c r="A4" s="177" t="s">
        <v>500</v>
      </c>
      <c r="B4" s="178">
        <v>45015</v>
      </c>
      <c r="C4" s="177" t="s">
        <v>18</v>
      </c>
      <c r="D4" s="179">
        <v>45015</v>
      </c>
      <c r="E4" s="180">
        <v>0.54166666666666663</v>
      </c>
      <c r="F4" s="181">
        <v>1001</v>
      </c>
      <c r="G4" s="179">
        <v>45015</v>
      </c>
      <c r="H4" s="180">
        <v>0.45416666666666666</v>
      </c>
      <c r="I4" s="181">
        <v>9.6</v>
      </c>
      <c r="J4" s="177">
        <v>1</v>
      </c>
      <c r="K4" s="182">
        <v>0.83699999999999997</v>
      </c>
      <c r="L4" s="182">
        <v>0.83399999999999996</v>
      </c>
      <c r="M4" s="182">
        <v>4.0000000000000001E-3</v>
      </c>
      <c r="N4" s="182">
        <v>0.503</v>
      </c>
      <c r="O4" s="182">
        <v>0.51300000000000001</v>
      </c>
      <c r="P4" s="182">
        <v>5.0000000000000001E-3</v>
      </c>
      <c r="Q4" s="181">
        <f t="shared" si="0"/>
        <v>83.220779220779207</v>
      </c>
      <c r="R4" s="66" t="s">
        <v>21</v>
      </c>
      <c r="S4" s="177" t="s">
        <v>20</v>
      </c>
      <c r="T4" s="183" t="s">
        <v>501</v>
      </c>
      <c r="U4" s="176"/>
      <c r="V4" s="176"/>
      <c r="W4" s="176"/>
      <c r="X4" s="176"/>
      <c r="Y4" s="176"/>
      <c r="Z4" s="176"/>
      <c r="AA4" s="176"/>
    </row>
    <row r="5" spans="1:27" ht="15.75" customHeight="1">
      <c r="A5" s="66" t="s">
        <v>502</v>
      </c>
      <c r="B5" s="63">
        <v>45015</v>
      </c>
      <c r="C5" s="66" t="s">
        <v>18</v>
      </c>
      <c r="D5" s="173">
        <v>45015</v>
      </c>
      <c r="E5" s="172">
        <v>0.5</v>
      </c>
      <c r="F5" s="65">
        <v>1000</v>
      </c>
      <c r="G5" s="173">
        <v>45015</v>
      </c>
      <c r="H5" s="172">
        <v>0.46180555555555558</v>
      </c>
      <c r="I5" s="65">
        <v>8.98</v>
      </c>
      <c r="J5" s="66">
        <v>1</v>
      </c>
      <c r="K5" s="174">
        <v>4.0000000000000001E-3</v>
      </c>
      <c r="L5" s="174">
        <v>4.0000000000000001E-3</v>
      </c>
      <c r="M5" s="174">
        <v>1E-3</v>
      </c>
      <c r="N5" s="174">
        <v>4.0000000000000001E-3</v>
      </c>
      <c r="O5" s="174">
        <v>4.0000000000000001E-3</v>
      </c>
      <c r="P5" s="174">
        <v>3.0000000000000001E-3</v>
      </c>
      <c r="Q5" s="65">
        <f t="shared" si="0"/>
        <v>0.47953200000000007</v>
      </c>
      <c r="R5" s="66" t="s">
        <v>21</v>
      </c>
      <c r="S5" s="66" t="s">
        <v>20</v>
      </c>
      <c r="T5" s="175"/>
      <c r="U5" s="176"/>
      <c r="V5" s="176"/>
      <c r="W5" s="176"/>
      <c r="X5" s="176"/>
      <c r="Y5" s="176"/>
      <c r="Z5" s="176"/>
      <c r="AA5" s="176"/>
    </row>
    <row r="6" spans="1:27" ht="15.75" customHeight="1">
      <c r="A6" s="66" t="s">
        <v>503</v>
      </c>
      <c r="B6" s="63">
        <v>45015</v>
      </c>
      <c r="C6" s="66" t="s">
        <v>18</v>
      </c>
      <c r="D6" s="173">
        <v>45015</v>
      </c>
      <c r="E6" s="172">
        <v>0.52569444444444446</v>
      </c>
      <c r="F6" s="65">
        <v>1001</v>
      </c>
      <c r="G6" s="173">
        <v>45015</v>
      </c>
      <c r="H6" s="172">
        <v>0.45416666666666666</v>
      </c>
      <c r="I6" s="65">
        <v>9.5</v>
      </c>
      <c r="J6" s="66">
        <v>1</v>
      </c>
      <c r="K6" s="174">
        <v>7.0000000000000001E-3</v>
      </c>
      <c r="L6" s="174">
        <v>7.0000000000000001E-3</v>
      </c>
      <c r="M6" s="174">
        <v>4.0000000000000001E-3</v>
      </c>
      <c r="N6" s="174">
        <v>6.0000000000000001E-3</v>
      </c>
      <c r="O6" s="174">
        <v>6.0000000000000001E-3</v>
      </c>
      <c r="P6" s="174">
        <v>5.0000000000000001E-3</v>
      </c>
      <c r="Q6" s="65">
        <f t="shared" si="0"/>
        <v>0.50679320679320683</v>
      </c>
      <c r="R6" s="66" t="s">
        <v>21</v>
      </c>
      <c r="S6" s="66" t="s">
        <v>20</v>
      </c>
      <c r="U6" s="176"/>
      <c r="V6" s="176"/>
      <c r="W6" s="176"/>
      <c r="X6" s="176"/>
      <c r="Y6" s="176"/>
      <c r="Z6" s="176"/>
      <c r="AA6" s="176"/>
    </row>
    <row r="7" spans="1:27" ht="15.75" customHeight="1">
      <c r="A7" s="184" t="s">
        <v>504</v>
      </c>
      <c r="B7" s="181" t="s">
        <v>17</v>
      </c>
      <c r="C7" s="181" t="s">
        <v>17</v>
      </c>
      <c r="D7" s="181" t="s">
        <v>17</v>
      </c>
      <c r="E7" s="181" t="s">
        <v>17</v>
      </c>
      <c r="F7" s="181" t="s">
        <v>17</v>
      </c>
      <c r="G7" s="179">
        <v>45093</v>
      </c>
      <c r="H7" s="180">
        <v>0.74305555555555558</v>
      </c>
      <c r="I7" s="181" t="s">
        <v>17</v>
      </c>
      <c r="J7" s="177">
        <v>1</v>
      </c>
      <c r="K7" s="182">
        <v>8.9999999999999993E-3</v>
      </c>
      <c r="L7" s="182">
        <v>0.01</v>
      </c>
      <c r="M7" s="182">
        <v>-8.9999999999999993E-3</v>
      </c>
      <c r="N7" s="182">
        <v>2E-3</v>
      </c>
      <c r="O7" s="182">
        <v>2E-3</v>
      </c>
      <c r="P7" s="182">
        <v>-8.0000000000000002E-3</v>
      </c>
      <c r="Q7" s="65">
        <f>((26.7*((K7-M7)-(O7-P7))*1000))</f>
        <v>213.59999999999997</v>
      </c>
      <c r="R7" s="66" t="s">
        <v>21</v>
      </c>
      <c r="S7" s="66" t="s">
        <v>20</v>
      </c>
      <c r="T7" s="185"/>
      <c r="U7" s="186"/>
      <c r="V7" s="176"/>
      <c r="W7" s="176"/>
      <c r="X7" s="176"/>
      <c r="Y7" s="176"/>
      <c r="Z7" s="176"/>
      <c r="AA7" s="176"/>
    </row>
    <row r="8" spans="1:27" ht="15.75" customHeight="1">
      <c r="A8" s="177" t="s">
        <v>505</v>
      </c>
      <c r="B8" s="178">
        <v>45058</v>
      </c>
      <c r="C8" s="180">
        <v>0.37222222222222223</v>
      </c>
      <c r="D8" s="179">
        <v>45058</v>
      </c>
      <c r="E8" s="180">
        <v>0.5</v>
      </c>
      <c r="F8" s="181">
        <v>960</v>
      </c>
      <c r="G8" s="179">
        <v>45093</v>
      </c>
      <c r="H8" s="180">
        <v>0.54166666666666663</v>
      </c>
      <c r="I8" s="181">
        <v>6.5</v>
      </c>
      <c r="J8" s="177">
        <v>1</v>
      </c>
      <c r="K8" s="182">
        <v>4.0000000000000001E-3</v>
      </c>
      <c r="L8" s="182">
        <v>4.0000000000000001E-3</v>
      </c>
      <c r="M8" s="182">
        <v>1E-3</v>
      </c>
      <c r="N8" s="182">
        <v>3.0000000000000001E-3</v>
      </c>
      <c r="O8" s="182">
        <v>2E-3</v>
      </c>
      <c r="P8" s="182">
        <v>1E-3</v>
      </c>
      <c r="Q8" s="181">
        <f t="shared" ref="Q8:Q24" si="1">((26.7*((K8-M8)-(O8-P8))*I8)/(F8*J8))*1000</f>
        <v>0.36156250000000001</v>
      </c>
      <c r="R8" s="66" t="s">
        <v>21</v>
      </c>
      <c r="S8" s="177" t="s">
        <v>20</v>
      </c>
      <c r="T8" s="187" t="s">
        <v>506</v>
      </c>
      <c r="U8" s="186" t="s">
        <v>507</v>
      </c>
      <c r="V8" s="176"/>
      <c r="W8" s="176"/>
      <c r="X8" s="176"/>
      <c r="Y8" s="176"/>
      <c r="Z8" s="176"/>
      <c r="AA8" s="176"/>
    </row>
    <row r="9" spans="1:27" ht="15.75" customHeight="1">
      <c r="A9" s="66" t="s">
        <v>508</v>
      </c>
      <c r="B9" s="63">
        <v>45064</v>
      </c>
      <c r="C9" s="172">
        <v>0.32361111111111113</v>
      </c>
      <c r="D9" s="173">
        <v>45064</v>
      </c>
      <c r="E9" s="172">
        <v>0.55486111111111114</v>
      </c>
      <c r="F9" s="65">
        <v>1000</v>
      </c>
      <c r="G9" s="179">
        <v>45093</v>
      </c>
      <c r="H9" s="180">
        <v>0.59930555555555554</v>
      </c>
      <c r="I9" s="65">
        <v>6.5</v>
      </c>
      <c r="J9" s="66">
        <v>1</v>
      </c>
      <c r="K9" s="182">
        <v>1E-3</v>
      </c>
      <c r="L9" s="182">
        <v>1E-3</v>
      </c>
      <c r="M9" s="174">
        <v>0</v>
      </c>
      <c r="N9" s="182">
        <v>1E-3</v>
      </c>
      <c r="O9" s="182">
        <v>1E-3</v>
      </c>
      <c r="P9" s="182">
        <v>1E-3</v>
      </c>
      <c r="Q9" s="181">
        <f t="shared" si="1"/>
        <v>0.17355000000000001</v>
      </c>
      <c r="R9" s="66" t="s">
        <v>21</v>
      </c>
      <c r="S9" s="177" t="s">
        <v>20</v>
      </c>
      <c r="T9" s="276" t="s">
        <v>509</v>
      </c>
      <c r="U9" s="176"/>
      <c r="V9" s="176"/>
      <c r="W9" s="176"/>
      <c r="X9" s="176"/>
      <c r="Y9" s="176"/>
      <c r="Z9" s="176"/>
      <c r="AA9" s="176"/>
    </row>
    <row r="10" spans="1:27" ht="15.75" customHeight="1">
      <c r="A10" s="66" t="s">
        <v>510</v>
      </c>
      <c r="B10" s="63">
        <v>45064</v>
      </c>
      <c r="C10" s="172">
        <v>0.39513888888888887</v>
      </c>
      <c r="D10" s="173">
        <v>45064</v>
      </c>
      <c r="E10" s="172">
        <v>0.56527777777777777</v>
      </c>
      <c r="F10" s="65">
        <v>1000</v>
      </c>
      <c r="G10" s="179">
        <v>45093</v>
      </c>
      <c r="H10" s="180">
        <v>0.59305555555555556</v>
      </c>
      <c r="I10" s="65">
        <v>9</v>
      </c>
      <c r="J10" s="66">
        <v>1</v>
      </c>
      <c r="K10" s="174">
        <v>6.0000000000000001E-3</v>
      </c>
      <c r="L10" s="174">
        <v>6.0000000000000001E-3</v>
      </c>
      <c r="M10" s="174">
        <v>4.0000000000000001E-3</v>
      </c>
      <c r="N10" s="174">
        <v>3.0000000000000001E-3</v>
      </c>
      <c r="O10" s="174">
        <v>3.0000000000000001E-3</v>
      </c>
      <c r="P10" s="174">
        <v>2E-3</v>
      </c>
      <c r="Q10" s="181">
        <f t="shared" si="1"/>
        <v>0.24030000000000001</v>
      </c>
      <c r="R10" s="66" t="s">
        <v>21</v>
      </c>
      <c r="S10" s="177" t="s">
        <v>20</v>
      </c>
      <c r="T10" s="253"/>
      <c r="U10" s="176"/>
      <c r="V10" s="176"/>
      <c r="W10" s="176"/>
      <c r="X10" s="176"/>
      <c r="Y10" s="176"/>
      <c r="Z10" s="176"/>
      <c r="AA10" s="176"/>
    </row>
    <row r="11" spans="1:27" ht="15.75" customHeight="1">
      <c r="A11" s="66" t="s">
        <v>511</v>
      </c>
      <c r="B11" s="63">
        <v>45064</v>
      </c>
      <c r="C11" s="172">
        <v>0.42916666666666664</v>
      </c>
      <c r="D11" s="173">
        <v>45064</v>
      </c>
      <c r="E11" s="172">
        <v>0.47222222222222221</v>
      </c>
      <c r="F11" s="65">
        <v>1000</v>
      </c>
      <c r="G11" s="179">
        <v>45093</v>
      </c>
      <c r="H11" s="180">
        <v>0.59375</v>
      </c>
      <c r="I11" s="65">
        <v>8.5</v>
      </c>
      <c r="J11" s="66">
        <v>1</v>
      </c>
      <c r="K11" s="182">
        <v>4.0000000000000001E-3</v>
      </c>
      <c r="L11" s="182">
        <v>4.0000000000000001E-3</v>
      </c>
      <c r="M11" s="182">
        <v>1E-3</v>
      </c>
      <c r="N11" s="174">
        <v>3.0000000000000001E-3</v>
      </c>
      <c r="O11" s="174">
        <v>2E-3</v>
      </c>
      <c r="P11" s="174">
        <v>1E-3</v>
      </c>
      <c r="Q11" s="181">
        <f t="shared" si="1"/>
        <v>0.45390000000000003</v>
      </c>
      <c r="R11" s="66" t="s">
        <v>21</v>
      </c>
      <c r="S11" s="177" t="s">
        <v>20</v>
      </c>
      <c r="T11" s="254"/>
      <c r="U11" s="176"/>
      <c r="V11" s="176"/>
      <c r="W11" s="176"/>
      <c r="X11" s="176"/>
      <c r="Y11" s="176"/>
      <c r="Z11" s="176"/>
      <c r="AA11" s="176"/>
    </row>
    <row r="12" spans="1:27" ht="15.75" customHeight="1">
      <c r="A12" s="66" t="s">
        <v>512</v>
      </c>
      <c r="B12" s="63">
        <v>45065</v>
      </c>
      <c r="C12" s="172">
        <v>0.37222222222222223</v>
      </c>
      <c r="D12" s="173">
        <v>45058</v>
      </c>
      <c r="E12" s="172">
        <v>0.55486111111111114</v>
      </c>
      <c r="F12" s="65">
        <v>1053</v>
      </c>
      <c r="G12" s="173">
        <v>45093</v>
      </c>
      <c r="H12" s="172">
        <v>0.57638888888888884</v>
      </c>
      <c r="I12" s="65">
        <v>5.5</v>
      </c>
      <c r="J12" s="66">
        <v>1</v>
      </c>
      <c r="K12" s="174">
        <v>3.0000000000000001E-3</v>
      </c>
      <c r="L12" s="174">
        <v>3.0000000000000001E-3</v>
      </c>
      <c r="M12" s="174">
        <v>1E-3</v>
      </c>
      <c r="N12" s="174">
        <v>3.0000000000000001E-3</v>
      </c>
      <c r="O12" s="174">
        <v>3.0000000000000001E-3</v>
      </c>
      <c r="P12" s="174">
        <v>3.0000000000000001E-3</v>
      </c>
      <c r="Q12" s="65">
        <f t="shared" si="1"/>
        <v>0.27891737891737894</v>
      </c>
      <c r="R12" s="66" t="s">
        <v>21</v>
      </c>
      <c r="S12" s="66" t="s">
        <v>20</v>
      </c>
      <c r="T12" s="276" t="s">
        <v>513</v>
      </c>
      <c r="U12" s="176"/>
      <c r="V12" s="176"/>
      <c r="W12" s="176"/>
      <c r="X12" s="176"/>
      <c r="Y12" s="176"/>
      <c r="Z12" s="176"/>
      <c r="AA12" s="176"/>
    </row>
    <row r="13" spans="1:27" ht="15.75" customHeight="1">
      <c r="A13" s="66" t="s">
        <v>514</v>
      </c>
      <c r="B13" s="63">
        <v>45065</v>
      </c>
      <c r="C13" s="172">
        <v>0.37222222222222223</v>
      </c>
      <c r="D13" s="173">
        <v>45058</v>
      </c>
      <c r="E13" s="172">
        <v>0.56527777777777777</v>
      </c>
      <c r="F13" s="65">
        <v>1026</v>
      </c>
      <c r="G13" s="173">
        <v>45093</v>
      </c>
      <c r="H13" s="172">
        <v>0.57916666666666672</v>
      </c>
      <c r="I13" s="65">
        <v>7.5</v>
      </c>
      <c r="J13" s="66">
        <v>1</v>
      </c>
      <c r="K13" s="174">
        <v>6.0000000000000001E-3</v>
      </c>
      <c r="L13" s="174">
        <v>6.0000000000000001E-3</v>
      </c>
      <c r="M13" s="174">
        <v>4.0000000000000001E-3</v>
      </c>
      <c r="N13" s="174">
        <v>7.0000000000000001E-3</v>
      </c>
      <c r="O13" s="174">
        <v>7.0000000000000001E-3</v>
      </c>
      <c r="P13" s="174">
        <v>7.0000000000000001E-3</v>
      </c>
      <c r="Q13" s="65">
        <f t="shared" si="1"/>
        <v>0.3903508771929825</v>
      </c>
      <c r="R13" s="66" t="s">
        <v>21</v>
      </c>
      <c r="S13" s="66" t="s">
        <v>20</v>
      </c>
      <c r="T13" s="254"/>
      <c r="U13" s="176"/>
      <c r="V13" s="176"/>
      <c r="W13" s="176"/>
      <c r="X13" s="176"/>
      <c r="Y13" s="176"/>
      <c r="Z13" s="176"/>
      <c r="AA13" s="176"/>
    </row>
    <row r="14" spans="1:27" ht="15.75" customHeight="1">
      <c r="A14" s="66" t="s">
        <v>515</v>
      </c>
      <c r="B14" s="63">
        <v>45068</v>
      </c>
      <c r="C14" s="172">
        <v>0.37222222222222223</v>
      </c>
      <c r="D14" s="173">
        <v>45058</v>
      </c>
      <c r="E14" s="172">
        <v>0.47222222222222221</v>
      </c>
      <c r="F14" s="65">
        <v>1058</v>
      </c>
      <c r="G14" s="173">
        <v>45093</v>
      </c>
      <c r="H14" s="172">
        <v>0.58402777777777781</v>
      </c>
      <c r="I14" s="65">
        <v>9.1999999999999993</v>
      </c>
      <c r="J14" s="66">
        <v>1</v>
      </c>
      <c r="K14" s="174">
        <v>6.0000000000000001E-3</v>
      </c>
      <c r="L14" s="174">
        <v>6.0000000000000001E-3</v>
      </c>
      <c r="M14" s="174">
        <v>3.0000000000000001E-3</v>
      </c>
      <c r="N14" s="174">
        <v>3.0000000000000001E-3</v>
      </c>
      <c r="O14" s="174">
        <v>2E-3</v>
      </c>
      <c r="P14" s="174">
        <v>1E-3</v>
      </c>
      <c r="Q14" s="65">
        <f t="shared" si="1"/>
        <v>0.46434782608695652</v>
      </c>
      <c r="R14" s="66" t="s">
        <v>21</v>
      </c>
      <c r="S14" s="66" t="s">
        <v>20</v>
      </c>
      <c r="T14" s="265" t="s">
        <v>516</v>
      </c>
      <c r="U14" s="176"/>
      <c r="V14" s="176"/>
      <c r="W14" s="176"/>
      <c r="X14" s="176"/>
      <c r="Y14" s="176"/>
      <c r="Z14" s="176"/>
      <c r="AA14" s="176"/>
    </row>
    <row r="15" spans="1:27" ht="15.75" customHeight="1">
      <c r="A15" s="66" t="s">
        <v>517</v>
      </c>
      <c r="B15" s="63">
        <v>45068</v>
      </c>
      <c r="C15" s="172">
        <v>0.37222222222222223</v>
      </c>
      <c r="D15" s="173">
        <v>45058</v>
      </c>
      <c r="E15" s="172">
        <v>0.48055555555555557</v>
      </c>
      <c r="F15" s="65">
        <v>1056</v>
      </c>
      <c r="G15" s="173">
        <v>45093</v>
      </c>
      <c r="H15" s="172">
        <v>0.57499999999999996</v>
      </c>
      <c r="I15" s="65">
        <v>7.6</v>
      </c>
      <c r="J15" s="66">
        <v>1</v>
      </c>
      <c r="K15" s="174">
        <v>4.0000000000000001E-3</v>
      </c>
      <c r="L15" s="174">
        <v>4.0000000000000001E-3</v>
      </c>
      <c r="M15" s="174">
        <v>1E-3</v>
      </c>
      <c r="N15" s="174">
        <v>3.0000000000000001E-3</v>
      </c>
      <c r="O15" s="174">
        <v>2E-3</v>
      </c>
      <c r="P15" s="174">
        <v>1E-3</v>
      </c>
      <c r="Q15" s="65">
        <f t="shared" si="1"/>
        <v>0.38431818181818178</v>
      </c>
      <c r="R15" s="66" t="s">
        <v>21</v>
      </c>
      <c r="S15" s="66" t="s">
        <v>20</v>
      </c>
      <c r="T15" s="254"/>
      <c r="U15" s="176"/>
      <c r="V15" s="176"/>
      <c r="W15" s="176"/>
      <c r="X15" s="176"/>
      <c r="Y15" s="176"/>
      <c r="Z15" s="176"/>
      <c r="AA15" s="176"/>
    </row>
    <row r="16" spans="1:27" ht="15.75" customHeight="1">
      <c r="A16" s="66" t="s">
        <v>518</v>
      </c>
      <c r="B16" s="12">
        <v>45070</v>
      </c>
      <c r="C16" s="13">
        <v>0.31944444444444442</v>
      </c>
      <c r="D16" s="12">
        <v>45070</v>
      </c>
      <c r="E16" s="57">
        <v>0.5708333333333333</v>
      </c>
      <c r="F16" s="188">
        <v>1048</v>
      </c>
      <c r="G16" s="173">
        <v>45093</v>
      </c>
      <c r="H16" s="172">
        <v>0.59305555555555556</v>
      </c>
      <c r="I16" s="188">
        <v>7.5</v>
      </c>
      <c r="J16" s="54">
        <v>1</v>
      </c>
      <c r="K16" s="174">
        <v>4.0000000000000001E-3</v>
      </c>
      <c r="L16" s="174">
        <v>4.0000000000000001E-3</v>
      </c>
      <c r="M16" s="174">
        <v>1E-3</v>
      </c>
      <c r="N16" s="174">
        <v>2E-3</v>
      </c>
      <c r="O16" s="174">
        <v>2E-3</v>
      </c>
      <c r="P16" s="174">
        <v>1E-3</v>
      </c>
      <c r="Q16" s="65">
        <f t="shared" si="1"/>
        <v>0.38215648854961831</v>
      </c>
      <c r="R16" s="66" t="s">
        <v>21</v>
      </c>
      <c r="S16" s="66" t="s">
        <v>20</v>
      </c>
      <c r="T16" s="103" t="s">
        <v>519</v>
      </c>
      <c r="U16" s="176"/>
      <c r="V16" s="176"/>
      <c r="W16" s="176"/>
      <c r="X16" s="176"/>
      <c r="Y16" s="176"/>
      <c r="Z16" s="176"/>
      <c r="AA16" s="176"/>
    </row>
    <row r="17" spans="1:27" ht="15.75" customHeight="1">
      <c r="A17" s="66" t="s">
        <v>520</v>
      </c>
      <c r="B17" s="12">
        <v>45070</v>
      </c>
      <c r="C17" s="13">
        <v>0.41666666666666669</v>
      </c>
      <c r="D17" s="12">
        <v>45070</v>
      </c>
      <c r="E17" s="57">
        <v>0.57847222222222228</v>
      </c>
      <c r="F17" s="188">
        <v>1059</v>
      </c>
      <c r="G17" s="173">
        <v>45093</v>
      </c>
      <c r="H17" s="57">
        <v>0.67152777777777772</v>
      </c>
      <c r="I17" s="188">
        <v>9.5</v>
      </c>
      <c r="J17" s="54">
        <v>1</v>
      </c>
      <c r="K17" s="174">
        <v>8.0000000000000002E-3</v>
      </c>
      <c r="L17" s="174">
        <v>8.0000000000000002E-3</v>
      </c>
      <c r="M17" s="174">
        <v>4.0000000000000001E-3</v>
      </c>
      <c r="N17" s="189">
        <v>0.01</v>
      </c>
      <c r="O17" s="189">
        <v>0.01</v>
      </c>
      <c r="P17" s="189">
        <v>7.0000000000000007E-2</v>
      </c>
      <c r="Q17" s="65">
        <f t="shared" si="1"/>
        <v>15.329178470254961</v>
      </c>
      <c r="R17" s="66" t="s">
        <v>21</v>
      </c>
      <c r="S17" s="66" t="s">
        <v>20</v>
      </c>
      <c r="T17" s="102" t="s">
        <v>521</v>
      </c>
      <c r="U17" s="176"/>
      <c r="V17" s="176"/>
      <c r="W17" s="176"/>
      <c r="X17" s="176"/>
      <c r="Y17" s="176"/>
      <c r="Z17" s="176"/>
      <c r="AA17" s="176"/>
    </row>
    <row r="18" spans="1:27" ht="15.75" customHeight="1">
      <c r="A18" s="66" t="s">
        <v>522</v>
      </c>
      <c r="B18" s="12">
        <v>45070</v>
      </c>
      <c r="C18" s="13">
        <v>0.38472222222222224</v>
      </c>
      <c r="D18" s="12">
        <v>45070</v>
      </c>
      <c r="E18" s="57">
        <v>0.58611111111111114</v>
      </c>
      <c r="F18" s="188">
        <v>1062</v>
      </c>
      <c r="G18" s="173">
        <v>45093</v>
      </c>
      <c r="H18" s="57">
        <v>0.67708333333333337</v>
      </c>
      <c r="I18" s="188">
        <v>8.6999999999999993</v>
      </c>
      <c r="J18" s="54">
        <v>1</v>
      </c>
      <c r="K18" s="189">
        <v>0.02</v>
      </c>
      <c r="L18" s="189">
        <v>0.02</v>
      </c>
      <c r="M18" s="189">
        <v>1.4E-2</v>
      </c>
      <c r="N18" s="189">
        <v>0.02</v>
      </c>
      <c r="O18" s="189">
        <v>0.02</v>
      </c>
      <c r="P18" s="189">
        <v>1.6E-2</v>
      </c>
      <c r="Q18" s="65">
        <f t="shared" si="1"/>
        <v>0.43745762711864405</v>
      </c>
      <c r="R18" s="66" t="s">
        <v>21</v>
      </c>
      <c r="S18" s="66" t="s">
        <v>20</v>
      </c>
      <c r="T18" s="102" t="s">
        <v>521</v>
      </c>
      <c r="U18" s="176"/>
      <c r="V18" s="176"/>
      <c r="W18" s="176"/>
      <c r="X18" s="176"/>
      <c r="Y18" s="176"/>
      <c r="Z18" s="176"/>
      <c r="AA18" s="176"/>
    </row>
    <row r="19" spans="1:27" ht="15.75" customHeight="1">
      <c r="A19" s="66" t="s">
        <v>523</v>
      </c>
      <c r="B19" s="12">
        <v>45070</v>
      </c>
      <c r="C19" s="13">
        <v>0.39027777777777778</v>
      </c>
      <c r="D19" s="12">
        <v>45070</v>
      </c>
      <c r="E19" s="57">
        <v>0.59097222222222223</v>
      </c>
      <c r="F19" s="188">
        <v>1063</v>
      </c>
      <c r="G19" s="173">
        <v>45093</v>
      </c>
      <c r="H19" s="57">
        <v>0.66736111111111107</v>
      </c>
      <c r="I19" s="188">
        <v>9</v>
      </c>
      <c r="J19" s="54">
        <v>1</v>
      </c>
      <c r="K19" s="174">
        <v>6.0000000000000001E-3</v>
      </c>
      <c r="L19" s="174">
        <v>6.0000000000000001E-3</v>
      </c>
      <c r="M19" s="174">
        <v>3.0000000000000001E-3</v>
      </c>
      <c r="N19" s="174">
        <v>6.0000000000000001E-3</v>
      </c>
      <c r="O19" s="174">
        <v>6.0000000000000001E-3</v>
      </c>
      <c r="P19" s="174">
        <v>5.0000000000000001E-3</v>
      </c>
      <c r="Q19" s="65">
        <f t="shared" si="1"/>
        <v>0.45211665098777049</v>
      </c>
      <c r="R19" s="66" t="s">
        <v>21</v>
      </c>
      <c r="S19" s="66" t="s">
        <v>20</v>
      </c>
      <c r="T19" s="102" t="s">
        <v>521</v>
      </c>
      <c r="U19" s="176"/>
      <c r="V19" s="176"/>
      <c r="W19" s="176"/>
      <c r="X19" s="176"/>
      <c r="Y19" s="176"/>
      <c r="Z19" s="176"/>
      <c r="AA19" s="176"/>
    </row>
    <row r="20" spans="1:27" ht="15.75" customHeight="1">
      <c r="A20" s="66" t="s">
        <v>524</v>
      </c>
      <c r="B20" s="12">
        <v>45070</v>
      </c>
      <c r="C20" s="13">
        <v>0.35833333333333334</v>
      </c>
      <c r="D20" s="12">
        <v>45070</v>
      </c>
      <c r="E20" s="57">
        <v>0.59652777777777777</v>
      </c>
      <c r="F20" s="188">
        <v>1040</v>
      </c>
      <c r="G20" s="173">
        <v>45093</v>
      </c>
      <c r="H20" s="57">
        <v>0.57638888888888884</v>
      </c>
      <c r="I20" s="188">
        <v>9</v>
      </c>
      <c r="J20" s="54">
        <v>1</v>
      </c>
      <c r="K20" s="174">
        <v>5.0000000000000001E-3</v>
      </c>
      <c r="L20" s="174">
        <v>5.0000000000000001E-3</v>
      </c>
      <c r="M20" s="174">
        <v>1E-3</v>
      </c>
      <c r="N20" s="174">
        <v>4.0000000000000001E-3</v>
      </c>
      <c r="O20" s="174">
        <v>4.0000000000000001E-3</v>
      </c>
      <c r="P20" s="174">
        <v>2E-3</v>
      </c>
      <c r="Q20" s="65">
        <f t="shared" si="1"/>
        <v>0.46211538461538465</v>
      </c>
      <c r="R20" s="66" t="s">
        <v>21</v>
      </c>
      <c r="S20" s="66" t="s">
        <v>20</v>
      </c>
      <c r="T20" s="102" t="s">
        <v>521</v>
      </c>
      <c r="U20" s="176"/>
      <c r="V20" s="176"/>
      <c r="W20" s="176"/>
      <c r="X20" s="176"/>
      <c r="Y20" s="176"/>
      <c r="Z20" s="176"/>
      <c r="AA20" s="176"/>
    </row>
    <row r="21" spans="1:27" ht="15.75" customHeight="1">
      <c r="A21" s="66" t="s">
        <v>525</v>
      </c>
      <c r="B21" s="12">
        <v>45070</v>
      </c>
      <c r="C21" s="13">
        <v>0.44930555555555557</v>
      </c>
      <c r="D21" s="12">
        <v>45070</v>
      </c>
      <c r="E21" s="57">
        <v>0.72013888888888888</v>
      </c>
      <c r="F21" s="188">
        <v>1052</v>
      </c>
      <c r="G21" s="173">
        <v>45093</v>
      </c>
      <c r="H21" s="57">
        <v>0.65416666666666667</v>
      </c>
      <c r="I21" s="188">
        <v>7</v>
      </c>
      <c r="J21" s="54">
        <v>1</v>
      </c>
      <c r="K21" s="189">
        <v>8.0000000000000002E-3</v>
      </c>
      <c r="L21" s="189">
        <v>8.0000000000000002E-3</v>
      </c>
      <c r="M21" s="174">
        <v>3.0000000000000001E-3</v>
      </c>
      <c r="N21" s="174">
        <v>6.0000000000000001E-3</v>
      </c>
      <c r="O21" s="174">
        <v>6.0000000000000001E-3</v>
      </c>
      <c r="P21" s="174">
        <v>3.0000000000000001E-3</v>
      </c>
      <c r="Q21" s="65">
        <f t="shared" si="1"/>
        <v>0.35532319391634981</v>
      </c>
      <c r="R21" s="66" t="s">
        <v>21</v>
      </c>
      <c r="S21" s="66" t="s">
        <v>20</v>
      </c>
      <c r="T21" s="102" t="s">
        <v>521</v>
      </c>
      <c r="U21" s="176"/>
      <c r="V21" s="176"/>
      <c r="W21" s="176"/>
      <c r="X21" s="176"/>
      <c r="Y21" s="176"/>
      <c r="Z21" s="176"/>
      <c r="AA21" s="176"/>
    </row>
    <row r="22" spans="1:27" ht="15.75" customHeight="1">
      <c r="A22" s="66" t="s">
        <v>526</v>
      </c>
      <c r="B22" s="12">
        <v>45070</v>
      </c>
      <c r="C22" s="13">
        <v>0.38472222222222224</v>
      </c>
      <c r="D22" s="12">
        <v>45070</v>
      </c>
      <c r="E22" s="57">
        <v>0.72361111111111109</v>
      </c>
      <c r="F22" s="188">
        <v>1057</v>
      </c>
      <c r="G22" s="173">
        <v>45093</v>
      </c>
      <c r="H22" s="57">
        <v>0.65277777777777779</v>
      </c>
      <c r="I22" s="188">
        <v>8</v>
      </c>
      <c r="J22" s="54">
        <v>1</v>
      </c>
      <c r="K22" s="189">
        <v>1.7999999999999999E-2</v>
      </c>
      <c r="L22" s="189">
        <v>1.7999999999999999E-2</v>
      </c>
      <c r="M22" s="189">
        <v>1.2E-2</v>
      </c>
      <c r="N22" s="189">
        <v>2.4E-2</v>
      </c>
      <c r="O22" s="189">
        <v>2.4E-2</v>
      </c>
      <c r="P22" s="189">
        <v>1.9E-2</v>
      </c>
      <c r="Q22" s="65">
        <f t="shared" si="1"/>
        <v>0.20208136234626245</v>
      </c>
      <c r="R22" s="66" t="s">
        <v>21</v>
      </c>
      <c r="S22" s="66" t="s">
        <v>20</v>
      </c>
      <c r="T22" s="102" t="s">
        <v>521</v>
      </c>
      <c r="U22" s="176"/>
      <c r="V22" s="176"/>
      <c r="W22" s="176"/>
      <c r="X22" s="176"/>
      <c r="Y22" s="176"/>
      <c r="Z22" s="176"/>
      <c r="AA22" s="176"/>
    </row>
    <row r="23" spans="1:27" ht="15.75" customHeight="1">
      <c r="A23" s="66" t="s">
        <v>527</v>
      </c>
      <c r="B23" s="12">
        <v>45070</v>
      </c>
      <c r="C23" s="13">
        <v>5.8333333333333334E-2</v>
      </c>
      <c r="D23" s="12">
        <v>45070</v>
      </c>
      <c r="E23" s="57">
        <v>0.71666666666666667</v>
      </c>
      <c r="F23" s="188">
        <v>1052</v>
      </c>
      <c r="G23" s="173">
        <v>45093</v>
      </c>
      <c r="H23" s="57">
        <v>0.66249999999999998</v>
      </c>
      <c r="I23" s="188">
        <v>9.9</v>
      </c>
      <c r="J23" s="54">
        <v>1</v>
      </c>
      <c r="K23" s="174">
        <v>4.0000000000000001E-3</v>
      </c>
      <c r="L23" s="174">
        <v>3.0000000000000001E-3</v>
      </c>
      <c r="M23" s="189">
        <v>0</v>
      </c>
      <c r="N23" s="174">
        <v>7.0000000000000001E-3</v>
      </c>
      <c r="O23" s="174">
        <v>6.0000000000000001E-3</v>
      </c>
      <c r="P23" s="174">
        <v>4.0000000000000001E-3</v>
      </c>
      <c r="Q23" s="65">
        <f t="shared" si="1"/>
        <v>0.50252851711026625</v>
      </c>
      <c r="R23" s="66" t="s">
        <v>21</v>
      </c>
      <c r="S23" s="66" t="s">
        <v>20</v>
      </c>
      <c r="T23" s="102" t="s">
        <v>521</v>
      </c>
      <c r="U23" s="176"/>
      <c r="V23" s="176"/>
      <c r="W23" s="176"/>
      <c r="X23" s="176"/>
      <c r="Y23" s="176"/>
      <c r="Z23" s="176"/>
      <c r="AA23" s="176"/>
    </row>
    <row r="24" spans="1:27" ht="15.75" customHeight="1">
      <c r="A24" s="66" t="s">
        <v>528</v>
      </c>
      <c r="B24" s="12">
        <v>45070</v>
      </c>
      <c r="C24" s="13">
        <v>0.5180555555555556</v>
      </c>
      <c r="D24" s="12">
        <v>45070</v>
      </c>
      <c r="E24" s="57">
        <v>0.67222222222222228</v>
      </c>
      <c r="F24" s="188">
        <v>1052</v>
      </c>
      <c r="G24" s="173">
        <v>45093</v>
      </c>
      <c r="H24" s="57">
        <v>0.65833333333333333</v>
      </c>
      <c r="I24" s="188">
        <v>9.8000000000000007</v>
      </c>
      <c r="J24" s="54">
        <v>1</v>
      </c>
      <c r="K24" s="189">
        <v>7.0000000000000001E-3</v>
      </c>
      <c r="L24" s="189">
        <v>7.0000000000000001E-3</v>
      </c>
      <c r="M24" s="174">
        <v>4.0000000000000001E-3</v>
      </c>
      <c r="N24" s="189">
        <v>8.0000000000000002E-3</v>
      </c>
      <c r="O24" s="189">
        <v>8.0000000000000002E-3</v>
      </c>
      <c r="P24" s="174">
        <v>5.0000000000000001E-3</v>
      </c>
      <c r="Q24" s="65">
        <f t="shared" si="1"/>
        <v>0</v>
      </c>
      <c r="R24" s="66" t="s">
        <v>21</v>
      </c>
      <c r="S24" s="66" t="s">
        <v>20</v>
      </c>
      <c r="T24" s="190"/>
      <c r="U24" s="176"/>
      <c r="V24" s="176"/>
      <c r="W24" s="176"/>
      <c r="X24" s="176"/>
      <c r="Y24" s="176"/>
      <c r="Z24" s="176"/>
      <c r="AA24" s="176"/>
    </row>
    <row r="25" spans="1:27" ht="15.75" customHeight="1">
      <c r="A25" s="184" t="s">
        <v>504</v>
      </c>
      <c r="B25" s="181" t="s">
        <v>17</v>
      </c>
      <c r="C25" s="181" t="s">
        <v>17</v>
      </c>
      <c r="D25" s="181" t="s">
        <v>17</v>
      </c>
      <c r="E25" s="181" t="s">
        <v>17</v>
      </c>
      <c r="F25" s="181" t="s">
        <v>17</v>
      </c>
      <c r="G25" s="191">
        <v>45097</v>
      </c>
      <c r="H25" s="57">
        <v>0.75</v>
      </c>
      <c r="I25" s="181" t="s">
        <v>17</v>
      </c>
      <c r="J25" s="54">
        <v>1</v>
      </c>
      <c r="K25" s="182">
        <v>1.2E-2</v>
      </c>
      <c r="L25" s="182">
        <v>1.2E-2</v>
      </c>
      <c r="M25" s="182">
        <v>-5.0000000000000001E-3</v>
      </c>
      <c r="N25" s="182">
        <v>4.0000000000000001E-3</v>
      </c>
      <c r="O25" s="182">
        <v>5.0000000000000001E-3</v>
      </c>
      <c r="P25" s="182">
        <v>-5.0000000000000001E-3</v>
      </c>
      <c r="Q25" s="181">
        <f>((26.7*((K25-M25)-(O25-P25))*1000))</f>
        <v>186.9</v>
      </c>
      <c r="R25" s="66" t="s">
        <v>21</v>
      </c>
      <c r="S25" s="177" t="s">
        <v>20</v>
      </c>
      <c r="T25" s="102" t="s">
        <v>529</v>
      </c>
      <c r="U25" s="176"/>
      <c r="V25" s="176"/>
      <c r="W25" s="176"/>
      <c r="X25" s="176"/>
      <c r="Y25" s="176"/>
      <c r="Z25" s="176"/>
      <c r="AA25" s="176"/>
    </row>
    <row r="26" spans="1:27" ht="15.75" customHeight="1">
      <c r="A26" s="66" t="s">
        <v>530</v>
      </c>
      <c r="B26" s="12">
        <v>45071</v>
      </c>
      <c r="C26" s="13">
        <v>0.36319444444444443</v>
      </c>
      <c r="D26" s="12">
        <v>45071</v>
      </c>
      <c r="E26" s="57">
        <v>0.55555555555555558</v>
      </c>
      <c r="F26" s="188">
        <v>1054</v>
      </c>
      <c r="G26" s="191">
        <v>45097</v>
      </c>
      <c r="H26" s="57">
        <v>0.55694444444444446</v>
      </c>
      <c r="I26" s="188">
        <v>8</v>
      </c>
      <c r="J26" s="54">
        <v>1</v>
      </c>
      <c r="K26" s="174">
        <v>5.0000000000000001E-3</v>
      </c>
      <c r="L26" s="174">
        <v>5.0000000000000001E-3</v>
      </c>
      <c r="M26" s="174">
        <v>3.0000000000000001E-3</v>
      </c>
      <c r="N26" s="189">
        <v>8.0000000000000002E-3</v>
      </c>
      <c r="O26" s="189">
        <v>8.0000000000000002E-3</v>
      </c>
      <c r="P26" s="174">
        <v>6.0000000000000001E-3</v>
      </c>
      <c r="Q26" s="65">
        <f t="shared" ref="Q26:Q40" si="2">((26.7*((K26-M26)-(O26-P26))*I26)/(F26*J26))*1000</f>
        <v>0</v>
      </c>
      <c r="R26" s="66" t="s">
        <v>21</v>
      </c>
      <c r="S26" s="66" t="s">
        <v>20</v>
      </c>
      <c r="T26" s="265" t="s">
        <v>531</v>
      </c>
      <c r="U26" s="176"/>
      <c r="V26" s="176"/>
      <c r="W26" s="176"/>
      <c r="X26" s="176"/>
      <c r="Y26" s="176"/>
      <c r="Z26" s="176"/>
      <c r="AA26" s="176"/>
    </row>
    <row r="27" spans="1:27" ht="15.75" customHeight="1">
      <c r="A27" s="66" t="s">
        <v>532</v>
      </c>
      <c r="B27" s="12">
        <v>45071</v>
      </c>
      <c r="C27" s="13">
        <v>0.40208333333333335</v>
      </c>
      <c r="D27" s="12">
        <v>45071</v>
      </c>
      <c r="E27" s="57">
        <v>0.56111111111111112</v>
      </c>
      <c r="F27" s="188">
        <v>1048</v>
      </c>
      <c r="G27" s="191">
        <v>45097</v>
      </c>
      <c r="H27" s="57">
        <v>0.52986111111111112</v>
      </c>
      <c r="I27" s="188">
        <v>7.5</v>
      </c>
      <c r="J27" s="54">
        <v>1</v>
      </c>
      <c r="K27" s="174">
        <v>4.0000000000000001E-3</v>
      </c>
      <c r="L27" s="174">
        <v>4.0000000000000001E-3</v>
      </c>
      <c r="M27" s="174">
        <v>3.0000000000000001E-3</v>
      </c>
      <c r="N27" s="174">
        <v>6.0000000000000001E-3</v>
      </c>
      <c r="O27" s="174">
        <v>6.0000000000000001E-3</v>
      </c>
      <c r="P27" s="174">
        <v>5.0000000000000001E-3</v>
      </c>
      <c r="Q27" s="65">
        <f t="shared" si="2"/>
        <v>0</v>
      </c>
      <c r="R27" s="66" t="s">
        <v>21</v>
      </c>
      <c r="S27" s="66" t="s">
        <v>20</v>
      </c>
      <c r="T27" s="253"/>
      <c r="U27" s="176"/>
      <c r="V27" s="176"/>
      <c r="W27" s="176"/>
      <c r="X27" s="176"/>
      <c r="Y27" s="176"/>
      <c r="Z27" s="176"/>
      <c r="AA27" s="176"/>
    </row>
    <row r="28" spans="1:27" ht="15.75" customHeight="1">
      <c r="A28" s="66" t="s">
        <v>533</v>
      </c>
      <c r="B28" s="12">
        <v>45071</v>
      </c>
      <c r="C28" s="13">
        <v>0.42638888888888887</v>
      </c>
      <c r="D28" s="12">
        <v>45071</v>
      </c>
      <c r="E28" s="57">
        <v>0.57013888888888886</v>
      </c>
      <c r="F28" s="188">
        <v>1052</v>
      </c>
      <c r="G28" s="191">
        <v>45097</v>
      </c>
      <c r="H28" s="57">
        <v>0.54374999999999996</v>
      </c>
      <c r="I28" s="188">
        <v>7.9</v>
      </c>
      <c r="J28" s="54">
        <v>1</v>
      </c>
      <c r="K28" s="174">
        <v>8.9999999999999993E-3</v>
      </c>
      <c r="L28" s="174">
        <v>8.9999999999999993E-3</v>
      </c>
      <c r="M28" s="174">
        <v>6.0000000000000001E-3</v>
      </c>
      <c r="N28" s="174">
        <v>5.0000000000000001E-3</v>
      </c>
      <c r="O28" s="174">
        <v>5.0000000000000001E-3</v>
      </c>
      <c r="P28" s="174">
        <v>3.0000000000000001E-3</v>
      </c>
      <c r="Q28" s="65">
        <f t="shared" si="2"/>
        <v>0.20050380228136866</v>
      </c>
      <c r="R28" s="66" t="s">
        <v>21</v>
      </c>
      <c r="S28" s="66" t="s">
        <v>20</v>
      </c>
      <c r="T28" s="254"/>
      <c r="U28" s="176"/>
      <c r="V28" s="176"/>
      <c r="W28" s="176"/>
      <c r="X28" s="176"/>
      <c r="Y28" s="176"/>
      <c r="Z28" s="176"/>
      <c r="AA28" s="176"/>
    </row>
    <row r="29" spans="1:27" ht="15.75" customHeight="1">
      <c r="A29" s="66" t="s">
        <v>534</v>
      </c>
      <c r="B29" s="12">
        <v>45089</v>
      </c>
      <c r="C29" s="192">
        <v>0.4548611111111111</v>
      </c>
      <c r="D29" s="12">
        <v>45089</v>
      </c>
      <c r="E29" s="22">
        <v>0.63611111111111107</v>
      </c>
      <c r="F29" s="188">
        <v>1058</v>
      </c>
      <c r="G29" s="191">
        <v>45097</v>
      </c>
      <c r="H29" s="57">
        <v>0.58402777777777781</v>
      </c>
      <c r="I29" s="188">
        <v>6</v>
      </c>
      <c r="J29" s="54">
        <v>1</v>
      </c>
      <c r="K29" s="174">
        <v>6.0000000000000001E-3</v>
      </c>
      <c r="L29" s="174">
        <v>6.0000000000000001E-3</v>
      </c>
      <c r="M29" s="174">
        <v>2E-3</v>
      </c>
      <c r="N29" s="174">
        <v>6.0000000000000001E-3</v>
      </c>
      <c r="O29" s="174">
        <v>6.0000000000000001E-3</v>
      </c>
      <c r="P29" s="174">
        <v>4.0000000000000001E-3</v>
      </c>
      <c r="Q29" s="65">
        <f t="shared" si="2"/>
        <v>0.30283553875236296</v>
      </c>
      <c r="R29" s="66" t="s">
        <v>21</v>
      </c>
      <c r="S29" s="66" t="s">
        <v>20</v>
      </c>
      <c r="T29" s="102" t="s">
        <v>535</v>
      </c>
      <c r="U29" s="176"/>
      <c r="V29" s="176"/>
      <c r="W29" s="176"/>
      <c r="X29" s="176"/>
      <c r="Y29" s="176"/>
      <c r="Z29" s="176"/>
      <c r="AA29" s="176"/>
    </row>
    <row r="30" spans="1:27" ht="15.75" customHeight="1">
      <c r="A30" s="66" t="s">
        <v>536</v>
      </c>
      <c r="B30" s="12">
        <v>45089</v>
      </c>
      <c r="C30" s="13">
        <v>0.42083333333333334</v>
      </c>
      <c r="D30" s="12">
        <v>45089</v>
      </c>
      <c r="E30" s="57">
        <v>0.65</v>
      </c>
      <c r="F30" s="188">
        <v>1060</v>
      </c>
      <c r="G30" s="191">
        <v>45097</v>
      </c>
      <c r="H30" s="57">
        <v>0.59444444444444444</v>
      </c>
      <c r="I30" s="188">
        <v>8.1</v>
      </c>
      <c r="J30" s="54">
        <v>1</v>
      </c>
      <c r="K30" s="174">
        <v>8.9999999999999993E-3</v>
      </c>
      <c r="L30" s="174">
        <v>8.9999999999999993E-3</v>
      </c>
      <c r="M30" s="174">
        <v>6.0000000000000001E-3</v>
      </c>
      <c r="N30" s="174">
        <v>5.0000000000000001E-3</v>
      </c>
      <c r="O30" s="174">
        <v>5.0000000000000001E-3</v>
      </c>
      <c r="P30" s="174">
        <v>3.0000000000000001E-3</v>
      </c>
      <c r="Q30" s="65">
        <f t="shared" si="2"/>
        <v>0.20402830188679227</v>
      </c>
      <c r="R30" s="66" t="s">
        <v>21</v>
      </c>
      <c r="S30" s="66" t="s">
        <v>20</v>
      </c>
      <c r="T30" s="102" t="s">
        <v>535</v>
      </c>
      <c r="U30" s="176"/>
      <c r="V30" s="176"/>
      <c r="W30" s="176"/>
      <c r="X30" s="176"/>
      <c r="Y30" s="176"/>
      <c r="Z30" s="176"/>
      <c r="AA30" s="176"/>
    </row>
    <row r="31" spans="1:27" ht="15.75" customHeight="1">
      <c r="A31" s="66" t="s">
        <v>537</v>
      </c>
      <c r="B31" s="12">
        <v>45089</v>
      </c>
      <c r="C31" s="13">
        <v>0.47222222222222221</v>
      </c>
      <c r="D31" s="12">
        <v>45089</v>
      </c>
      <c r="E31" s="57">
        <v>0.65486111111111112</v>
      </c>
      <c r="F31" s="188">
        <v>1058</v>
      </c>
      <c r="G31" s="191">
        <v>45097</v>
      </c>
      <c r="H31" s="57">
        <v>0.57847222222222228</v>
      </c>
      <c r="I31" s="188">
        <v>7.9</v>
      </c>
      <c r="J31" s="54">
        <v>1</v>
      </c>
      <c r="K31" s="174">
        <v>8.9999999999999993E-3</v>
      </c>
      <c r="L31" s="174">
        <v>8.9999999999999993E-3</v>
      </c>
      <c r="M31" s="174">
        <v>6.0000000000000001E-3</v>
      </c>
      <c r="N31" s="174">
        <v>5.0000000000000001E-3</v>
      </c>
      <c r="O31" s="174">
        <v>5.0000000000000001E-3</v>
      </c>
      <c r="P31" s="174">
        <v>3.0000000000000001E-3</v>
      </c>
      <c r="Q31" s="65">
        <f t="shared" si="2"/>
        <v>0.1993667296786388</v>
      </c>
      <c r="R31" s="66" t="s">
        <v>21</v>
      </c>
      <c r="S31" s="66" t="s">
        <v>20</v>
      </c>
      <c r="T31" s="102" t="s">
        <v>535</v>
      </c>
      <c r="U31" s="176"/>
      <c r="V31" s="176"/>
      <c r="W31" s="176"/>
      <c r="X31" s="176"/>
      <c r="Y31" s="176"/>
      <c r="Z31" s="176"/>
      <c r="AA31" s="176"/>
    </row>
    <row r="32" spans="1:27" ht="15.75" customHeight="1">
      <c r="A32" s="66" t="s">
        <v>538</v>
      </c>
      <c r="B32" s="12">
        <v>45089</v>
      </c>
      <c r="C32" s="13">
        <v>0.52013888888888893</v>
      </c>
      <c r="D32" s="12">
        <v>45089</v>
      </c>
      <c r="E32" s="57">
        <v>0.66041666666666665</v>
      </c>
      <c r="F32" s="188">
        <v>1056</v>
      </c>
      <c r="G32" s="191">
        <v>45097</v>
      </c>
      <c r="H32" s="57">
        <v>0.57013888888888886</v>
      </c>
      <c r="I32" s="188">
        <v>7.9</v>
      </c>
      <c r="J32" s="54">
        <v>1</v>
      </c>
      <c r="K32" s="174">
        <v>8.9999999999999993E-3</v>
      </c>
      <c r="L32" s="174">
        <v>8.9999999999999993E-3</v>
      </c>
      <c r="M32" s="174">
        <v>6.0000000000000001E-3</v>
      </c>
      <c r="N32" s="174">
        <v>5.0000000000000001E-3</v>
      </c>
      <c r="O32" s="174">
        <v>5.0000000000000001E-3</v>
      </c>
      <c r="P32" s="174">
        <v>3.0000000000000001E-3</v>
      </c>
      <c r="Q32" s="65">
        <f t="shared" si="2"/>
        <v>0.19974431818181804</v>
      </c>
      <c r="R32" s="66" t="s">
        <v>21</v>
      </c>
      <c r="S32" s="66" t="s">
        <v>20</v>
      </c>
      <c r="T32" s="102" t="s">
        <v>535</v>
      </c>
      <c r="U32" s="176"/>
      <c r="V32" s="176"/>
      <c r="W32" s="176"/>
      <c r="X32" s="176"/>
      <c r="Y32" s="176"/>
      <c r="Z32" s="176"/>
      <c r="AA32" s="176"/>
    </row>
    <row r="33" spans="1:27" ht="15.75" customHeight="1">
      <c r="A33" s="66" t="s">
        <v>539</v>
      </c>
      <c r="B33" s="12">
        <v>45089</v>
      </c>
      <c r="C33" s="13">
        <v>0.59236111111111112</v>
      </c>
      <c r="D33" s="12">
        <v>45090</v>
      </c>
      <c r="E33" s="57">
        <v>0.35</v>
      </c>
      <c r="F33" s="188">
        <v>1042</v>
      </c>
      <c r="G33" s="191">
        <v>45097</v>
      </c>
      <c r="H33" s="57">
        <v>0.6020833333333333</v>
      </c>
      <c r="I33" s="188">
        <v>8</v>
      </c>
      <c r="J33" s="54">
        <v>1</v>
      </c>
      <c r="K33" s="174">
        <v>8.9999999999999993E-3</v>
      </c>
      <c r="L33" s="174">
        <v>8.9999999999999993E-3</v>
      </c>
      <c r="M33" s="174">
        <v>6.0000000000000001E-3</v>
      </c>
      <c r="N33" s="174">
        <v>5.0000000000000001E-3</v>
      </c>
      <c r="O33" s="174">
        <v>5.0000000000000001E-3</v>
      </c>
      <c r="P33" s="174">
        <v>3.0000000000000001E-3</v>
      </c>
      <c r="Q33" s="65">
        <f t="shared" si="2"/>
        <v>0.2049904030710171</v>
      </c>
      <c r="R33" s="66" t="s">
        <v>21</v>
      </c>
      <c r="S33" s="66" t="s">
        <v>20</v>
      </c>
      <c r="T33" s="102" t="s">
        <v>535</v>
      </c>
      <c r="U33" s="176"/>
      <c r="V33" s="176"/>
      <c r="W33" s="176"/>
      <c r="X33" s="176"/>
      <c r="Y33" s="176"/>
      <c r="Z33" s="176"/>
      <c r="AA33" s="176"/>
    </row>
    <row r="34" spans="1:27" ht="15.75" customHeight="1">
      <c r="A34" s="66" t="s">
        <v>540</v>
      </c>
      <c r="B34" s="12">
        <v>45089</v>
      </c>
      <c r="C34" s="13">
        <v>0.61041666666666672</v>
      </c>
      <c r="D34" s="12">
        <v>45090</v>
      </c>
      <c r="E34" s="57">
        <v>0.57013888888888886</v>
      </c>
      <c r="F34" s="188">
        <v>1042</v>
      </c>
      <c r="G34" s="191">
        <v>45097</v>
      </c>
      <c r="H34" s="57">
        <v>0.61250000000000004</v>
      </c>
      <c r="I34" s="188">
        <v>7.7</v>
      </c>
      <c r="J34" s="54">
        <v>1</v>
      </c>
      <c r="K34" s="174">
        <v>8.9999999999999993E-3</v>
      </c>
      <c r="L34" s="174">
        <v>8.9999999999999993E-3</v>
      </c>
      <c r="M34" s="174">
        <v>6.0000000000000001E-3</v>
      </c>
      <c r="N34" s="174">
        <v>5.0000000000000001E-3</v>
      </c>
      <c r="O34" s="174">
        <v>5.0000000000000001E-3</v>
      </c>
      <c r="P34" s="174">
        <v>3.0000000000000001E-3</v>
      </c>
      <c r="Q34" s="65">
        <f t="shared" si="2"/>
        <v>0.19730326295585396</v>
      </c>
      <c r="R34" s="66" t="s">
        <v>21</v>
      </c>
      <c r="S34" s="66" t="s">
        <v>20</v>
      </c>
      <c r="T34" s="102" t="s">
        <v>541</v>
      </c>
      <c r="U34" s="176"/>
      <c r="V34" s="176"/>
      <c r="W34" s="176"/>
      <c r="X34" s="176"/>
      <c r="Y34" s="176"/>
      <c r="Z34" s="176"/>
      <c r="AA34" s="176"/>
    </row>
    <row r="35" spans="1:27" ht="15.75" customHeight="1">
      <c r="A35" s="66" t="s">
        <v>542</v>
      </c>
      <c r="B35" s="12">
        <v>45091</v>
      </c>
      <c r="C35" s="57">
        <v>0.38055555555555554</v>
      </c>
      <c r="D35" s="12">
        <v>45091</v>
      </c>
      <c r="E35" s="57">
        <v>0.58472222222222225</v>
      </c>
      <c r="F35" s="188">
        <v>1050</v>
      </c>
      <c r="G35" s="191">
        <v>45097</v>
      </c>
      <c r="H35" s="57">
        <v>0.625</v>
      </c>
      <c r="I35" s="188">
        <v>7.8</v>
      </c>
      <c r="J35" s="54">
        <v>1</v>
      </c>
      <c r="K35" s="189">
        <v>8.0000000000000002E-3</v>
      </c>
      <c r="L35" s="189">
        <v>8.0000000000000002E-3</v>
      </c>
      <c r="M35" s="189">
        <v>7.0000000000000001E-3</v>
      </c>
      <c r="N35" s="174">
        <v>6.0000000000000001E-3</v>
      </c>
      <c r="O35" s="174">
        <v>6.0000000000000001E-3</v>
      </c>
      <c r="P35" s="174">
        <v>6.0000000000000001E-3</v>
      </c>
      <c r="Q35" s="65">
        <f t="shared" si="2"/>
        <v>0.19834285714285713</v>
      </c>
      <c r="R35" s="66" t="s">
        <v>21</v>
      </c>
      <c r="S35" s="66" t="s">
        <v>20</v>
      </c>
      <c r="T35" s="102" t="s">
        <v>541</v>
      </c>
      <c r="U35" s="176"/>
      <c r="V35" s="176"/>
      <c r="W35" s="176"/>
      <c r="X35" s="176"/>
      <c r="Y35" s="176"/>
      <c r="Z35" s="176"/>
      <c r="AA35" s="176"/>
    </row>
    <row r="36" spans="1:27" ht="15.75" customHeight="1">
      <c r="A36" s="66" t="s">
        <v>543</v>
      </c>
      <c r="B36" s="12">
        <v>45091</v>
      </c>
      <c r="C36" s="57">
        <v>0.3611111111111111</v>
      </c>
      <c r="D36" s="12">
        <v>45091</v>
      </c>
      <c r="E36" s="57">
        <v>0.59166666666666667</v>
      </c>
      <c r="F36" s="188">
        <v>1051</v>
      </c>
      <c r="G36" s="191">
        <v>45097</v>
      </c>
      <c r="H36" s="57">
        <v>0.63124999999999998</v>
      </c>
      <c r="I36" s="188">
        <v>7</v>
      </c>
      <c r="J36" s="54">
        <v>1</v>
      </c>
      <c r="K36" s="189">
        <v>1E-3</v>
      </c>
      <c r="L36" s="189">
        <v>1E-3</v>
      </c>
      <c r="M36" s="189">
        <v>1E-3</v>
      </c>
      <c r="N36" s="174">
        <v>4.0000000000000001E-3</v>
      </c>
      <c r="O36" s="174">
        <v>4.0000000000000001E-3</v>
      </c>
      <c r="P36" s="174">
        <v>4.0000000000000001E-3</v>
      </c>
      <c r="Q36" s="65">
        <f t="shared" si="2"/>
        <v>0</v>
      </c>
      <c r="R36" s="66" t="s">
        <v>21</v>
      </c>
      <c r="S36" s="66" t="s">
        <v>20</v>
      </c>
      <c r="T36" s="102" t="s">
        <v>541</v>
      </c>
      <c r="U36" s="176"/>
      <c r="V36" s="176"/>
      <c r="W36" s="176"/>
      <c r="X36" s="176"/>
      <c r="Y36" s="176"/>
      <c r="Z36" s="176"/>
      <c r="AA36" s="176"/>
    </row>
    <row r="37" spans="1:27" ht="15.75" customHeight="1">
      <c r="A37" s="66" t="s">
        <v>544</v>
      </c>
      <c r="B37" s="12">
        <v>45091</v>
      </c>
      <c r="C37" s="57">
        <v>0.41666666666666669</v>
      </c>
      <c r="D37" s="12">
        <v>45091</v>
      </c>
      <c r="E37" s="57">
        <v>0.59652777777777777</v>
      </c>
      <c r="F37" s="188">
        <v>1050</v>
      </c>
      <c r="G37" s="191">
        <v>45097</v>
      </c>
      <c r="H37" s="57">
        <v>0.64097222222222228</v>
      </c>
      <c r="I37" s="188">
        <v>7.8</v>
      </c>
      <c r="J37" s="54">
        <v>1</v>
      </c>
      <c r="K37" s="189">
        <v>8.0000000000000002E-3</v>
      </c>
      <c r="L37" s="189">
        <v>7.0000000000000001E-3</v>
      </c>
      <c r="M37" s="189">
        <v>7.0000000000000001E-3</v>
      </c>
      <c r="N37" s="189">
        <v>1.0999999999999999E-2</v>
      </c>
      <c r="O37" s="189">
        <v>0.01</v>
      </c>
      <c r="P37" s="189">
        <v>0.01</v>
      </c>
      <c r="Q37" s="65">
        <f t="shared" si="2"/>
        <v>0.19834285714285713</v>
      </c>
      <c r="R37" s="66" t="s">
        <v>21</v>
      </c>
      <c r="S37" s="66" t="s">
        <v>20</v>
      </c>
      <c r="T37" s="102" t="s">
        <v>541</v>
      </c>
      <c r="U37" s="176"/>
      <c r="V37" s="176"/>
      <c r="W37" s="176"/>
      <c r="X37" s="176"/>
      <c r="Y37" s="176"/>
      <c r="Z37" s="176"/>
      <c r="AA37" s="176"/>
    </row>
    <row r="38" spans="1:27" ht="15.75" customHeight="1">
      <c r="A38" s="66" t="s">
        <v>545</v>
      </c>
      <c r="B38" s="12">
        <v>45092</v>
      </c>
      <c r="C38" s="57">
        <v>0.46944444444444444</v>
      </c>
      <c r="D38" s="191">
        <v>45092</v>
      </c>
      <c r="E38" s="57">
        <v>0.67013888888888884</v>
      </c>
      <c r="F38" s="188">
        <v>1062</v>
      </c>
      <c r="G38" s="191">
        <v>45097</v>
      </c>
      <c r="H38" s="57">
        <v>0.64166666666666672</v>
      </c>
      <c r="I38" s="188">
        <v>8</v>
      </c>
      <c r="J38" s="54">
        <v>1</v>
      </c>
      <c r="K38" s="174">
        <v>5.0000000000000001E-3</v>
      </c>
      <c r="L38" s="174">
        <v>5.0000000000000001E-3</v>
      </c>
      <c r="M38" s="174">
        <v>3.0000000000000001E-3</v>
      </c>
      <c r="N38" s="189">
        <v>1.0999999999999999E-2</v>
      </c>
      <c r="O38" s="189">
        <v>1.0999999999999999E-2</v>
      </c>
      <c r="P38" s="189">
        <v>0.09</v>
      </c>
      <c r="Q38" s="65">
        <f>((26.7*((K38-M38)-(O38-P38))*I38)/(F38*J38))*1000</f>
        <v>16.291525423728814</v>
      </c>
      <c r="R38" s="66" t="s">
        <v>21</v>
      </c>
      <c r="S38" s="66" t="s">
        <v>20</v>
      </c>
      <c r="T38" s="102" t="s">
        <v>541</v>
      </c>
      <c r="U38" s="176"/>
      <c r="V38" s="176"/>
      <c r="W38" s="176"/>
      <c r="X38" s="176"/>
      <c r="Y38" s="176"/>
      <c r="Z38" s="176"/>
      <c r="AA38" s="176"/>
    </row>
    <row r="39" spans="1:27" ht="15.75" customHeight="1">
      <c r="A39" s="61" t="s">
        <v>546</v>
      </c>
      <c r="B39" s="46">
        <v>45092</v>
      </c>
      <c r="C39" s="193">
        <v>0.42083333333333334</v>
      </c>
      <c r="D39" s="194">
        <v>45092</v>
      </c>
      <c r="E39" s="193">
        <v>0.67847222222222225</v>
      </c>
      <c r="F39" s="195">
        <v>1060</v>
      </c>
      <c r="G39" s="194">
        <v>45097</v>
      </c>
      <c r="H39" s="193">
        <v>0.65486111111111112</v>
      </c>
      <c r="I39" s="195">
        <v>7.9</v>
      </c>
      <c r="J39" s="196">
        <v>1</v>
      </c>
      <c r="K39" s="197">
        <v>4.0000000000000001E-3</v>
      </c>
      <c r="L39" s="197">
        <v>4.0000000000000001E-3</v>
      </c>
      <c r="M39" s="197">
        <v>3.0000000000000001E-3</v>
      </c>
      <c r="N39" s="198">
        <v>8.0000000000000002E-3</v>
      </c>
      <c r="O39" s="198">
        <v>8.0000000000000002E-3</v>
      </c>
      <c r="P39" s="197">
        <v>6.0000000000000001E-3</v>
      </c>
      <c r="Q39" s="21">
        <f t="shared" si="2"/>
        <v>-0.19899056603773588</v>
      </c>
      <c r="R39" s="66" t="s">
        <v>21</v>
      </c>
      <c r="S39" s="61" t="s">
        <v>20</v>
      </c>
      <c r="T39" s="277" t="s">
        <v>547</v>
      </c>
      <c r="U39" s="176"/>
      <c r="V39" s="176"/>
      <c r="W39" s="176"/>
      <c r="X39" s="176"/>
      <c r="Y39" s="176"/>
      <c r="Z39" s="176"/>
      <c r="AA39" s="176"/>
    </row>
    <row r="40" spans="1:27" ht="15.75" customHeight="1">
      <c r="A40" s="61" t="s">
        <v>548</v>
      </c>
      <c r="B40" s="199">
        <v>45092</v>
      </c>
      <c r="C40" s="193">
        <v>0.44305555555555554</v>
      </c>
      <c r="D40" s="194">
        <v>45092</v>
      </c>
      <c r="E40" s="193">
        <v>0.68263888888888891</v>
      </c>
      <c r="F40" s="195">
        <v>1064</v>
      </c>
      <c r="G40" s="194">
        <v>45097</v>
      </c>
      <c r="H40" s="193">
        <v>0.66180555555555554</v>
      </c>
      <c r="I40" s="195">
        <v>8</v>
      </c>
      <c r="J40" s="196">
        <v>1</v>
      </c>
      <c r="K40" s="197">
        <v>3.0000000000000001E-3</v>
      </c>
      <c r="L40" s="197">
        <v>3.0000000000000001E-3</v>
      </c>
      <c r="M40" s="197">
        <v>3.0000000000000001E-3</v>
      </c>
      <c r="N40" s="197">
        <v>6.0000000000000001E-3</v>
      </c>
      <c r="O40" s="197">
        <v>6.0000000000000001E-3</v>
      </c>
      <c r="P40" s="197">
        <v>5.0000000000000001E-3</v>
      </c>
      <c r="Q40" s="21">
        <f t="shared" si="2"/>
        <v>-0.20075187969924815</v>
      </c>
      <c r="R40" s="66" t="s">
        <v>21</v>
      </c>
      <c r="S40" s="61" t="s">
        <v>20</v>
      </c>
      <c r="T40" s="254"/>
      <c r="U40" s="176"/>
      <c r="V40" s="176"/>
      <c r="W40" s="176"/>
      <c r="X40" s="176"/>
      <c r="Y40" s="176"/>
      <c r="Z40" s="176"/>
      <c r="AA40" s="176"/>
    </row>
    <row r="41" spans="1:27" ht="15.75" customHeight="1">
      <c r="A41" s="184" t="s">
        <v>504</v>
      </c>
      <c r="B41" s="181" t="s">
        <v>17</v>
      </c>
      <c r="C41" s="181" t="s">
        <v>17</v>
      </c>
      <c r="D41" s="181" t="s">
        <v>17</v>
      </c>
      <c r="E41" s="181" t="s">
        <v>17</v>
      </c>
      <c r="F41" s="181" t="s">
        <v>17</v>
      </c>
      <c r="G41" s="191">
        <v>45112</v>
      </c>
      <c r="H41" s="57">
        <v>0.5625</v>
      </c>
      <c r="I41" s="188" t="s">
        <v>17</v>
      </c>
      <c r="J41" s="54">
        <v>1</v>
      </c>
      <c r="K41" s="182">
        <v>1.7999999999999999E-2</v>
      </c>
      <c r="L41" s="182">
        <v>1.7999999999999999E-2</v>
      </c>
      <c r="M41" s="182">
        <v>-1E-3</v>
      </c>
      <c r="N41" s="182">
        <v>0.01</v>
      </c>
      <c r="O41" s="182">
        <v>0.01</v>
      </c>
      <c r="P41" s="182">
        <v>0</v>
      </c>
      <c r="Q41" s="181">
        <f>((26.7*((K41-M41)-(O41-P41))*1000))</f>
        <v>240.29999999999998</v>
      </c>
      <c r="R41" s="66" t="s">
        <v>21</v>
      </c>
      <c r="S41" s="177" t="s">
        <v>20</v>
      </c>
      <c r="T41" s="102" t="s">
        <v>549</v>
      </c>
      <c r="U41" s="176"/>
      <c r="V41" s="176"/>
      <c r="W41" s="176"/>
      <c r="X41" s="176"/>
      <c r="Y41" s="176"/>
      <c r="Z41" s="176"/>
      <c r="AA41" s="176"/>
    </row>
    <row r="42" spans="1:27" ht="15.75" customHeight="1">
      <c r="A42" s="200" t="s">
        <v>550</v>
      </c>
      <c r="B42" s="201">
        <v>45098</v>
      </c>
      <c r="C42" s="193">
        <v>0.5083333333333333</v>
      </c>
      <c r="D42" s="201">
        <v>45099</v>
      </c>
      <c r="E42" s="193">
        <v>0.62986111111111109</v>
      </c>
      <c r="F42" s="195">
        <v>1060</v>
      </c>
      <c r="G42" s="191">
        <v>45112</v>
      </c>
      <c r="H42" s="193">
        <v>0.3576388888888889</v>
      </c>
      <c r="I42" s="195">
        <v>7.5</v>
      </c>
      <c r="J42" s="196">
        <v>1</v>
      </c>
      <c r="K42" s="198">
        <v>0</v>
      </c>
      <c r="L42" s="198">
        <v>0</v>
      </c>
      <c r="M42" s="198">
        <v>0</v>
      </c>
      <c r="N42" s="198">
        <v>2E-3</v>
      </c>
      <c r="O42" s="198">
        <v>2E-3</v>
      </c>
      <c r="P42" s="198">
        <v>2E-3</v>
      </c>
      <c r="Q42" s="21">
        <f t="shared" ref="Q42:Q56" si="3">((26.7*((K42-M42)-(O42-P42))*I42)/(F42*J42))*1000</f>
        <v>0</v>
      </c>
      <c r="R42" s="66" t="s">
        <v>21</v>
      </c>
      <c r="S42" s="196" t="s">
        <v>551</v>
      </c>
      <c r="T42" s="102" t="s">
        <v>535</v>
      </c>
      <c r="U42" s="176"/>
      <c r="V42" s="176"/>
      <c r="W42" s="176"/>
      <c r="X42" s="176"/>
      <c r="Y42" s="176"/>
      <c r="Z42" s="176"/>
      <c r="AA42" s="176"/>
    </row>
    <row r="43" spans="1:27" ht="15.75" customHeight="1">
      <c r="A43" s="200" t="s">
        <v>552</v>
      </c>
      <c r="B43" s="201">
        <v>45098</v>
      </c>
      <c r="C43" s="193">
        <v>0.55555555555555558</v>
      </c>
      <c r="D43" s="201">
        <v>45099</v>
      </c>
      <c r="E43" s="193">
        <v>0.61111111111111116</v>
      </c>
      <c r="F43" s="195">
        <v>1060</v>
      </c>
      <c r="G43" s="191">
        <v>45112</v>
      </c>
      <c r="H43" s="193">
        <v>0.36805555555555558</v>
      </c>
      <c r="I43" s="195">
        <v>7.5</v>
      </c>
      <c r="J43" s="196">
        <v>1</v>
      </c>
      <c r="K43" s="198">
        <v>1E-3</v>
      </c>
      <c r="L43" s="198">
        <v>1E-3</v>
      </c>
      <c r="M43" s="198">
        <v>0</v>
      </c>
      <c r="N43" s="198">
        <v>3.0000000000000001E-3</v>
      </c>
      <c r="O43" s="198">
        <v>3.0000000000000001E-3</v>
      </c>
      <c r="P43" s="198">
        <v>2E-3</v>
      </c>
      <c r="Q43" s="21">
        <f t="shared" si="3"/>
        <v>0</v>
      </c>
      <c r="R43" s="66" t="s">
        <v>21</v>
      </c>
      <c r="S43" s="196" t="s">
        <v>551</v>
      </c>
      <c r="T43" s="102" t="s">
        <v>535</v>
      </c>
      <c r="U43" s="176"/>
      <c r="V43" s="176"/>
      <c r="W43" s="176"/>
      <c r="X43" s="176"/>
      <c r="Y43" s="176"/>
      <c r="Z43" s="176"/>
      <c r="AA43" s="176"/>
    </row>
    <row r="44" spans="1:27" ht="15.75" customHeight="1">
      <c r="A44" s="200" t="s">
        <v>553</v>
      </c>
      <c r="B44" s="201">
        <v>45098</v>
      </c>
      <c r="C44" s="193">
        <v>0.58680555555555558</v>
      </c>
      <c r="D44" s="201">
        <v>45099</v>
      </c>
      <c r="E44" s="193">
        <v>0.59652777777777777</v>
      </c>
      <c r="F44" s="195">
        <v>1059</v>
      </c>
      <c r="G44" s="191">
        <v>45112</v>
      </c>
      <c r="H44" s="193">
        <v>0.37569444444444444</v>
      </c>
      <c r="I44" s="195">
        <v>8</v>
      </c>
      <c r="J44" s="196">
        <v>1</v>
      </c>
      <c r="K44" s="198">
        <v>1E-3</v>
      </c>
      <c r="L44" s="198">
        <v>0</v>
      </c>
      <c r="M44" s="198">
        <v>0</v>
      </c>
      <c r="N44" s="198">
        <v>2E-3</v>
      </c>
      <c r="O44" s="198">
        <v>2E-3</v>
      </c>
      <c r="P44" s="198">
        <v>2E-3</v>
      </c>
      <c r="Q44" s="21">
        <f t="shared" si="3"/>
        <v>0.20169971671388104</v>
      </c>
      <c r="R44" s="66" t="s">
        <v>21</v>
      </c>
      <c r="S44" s="196" t="s">
        <v>551</v>
      </c>
      <c r="T44" s="102" t="s">
        <v>535</v>
      </c>
      <c r="U44" s="176"/>
      <c r="V44" s="176"/>
      <c r="W44" s="176"/>
      <c r="X44" s="176"/>
      <c r="Y44" s="176"/>
      <c r="Z44" s="176"/>
      <c r="AA44" s="176"/>
    </row>
    <row r="45" spans="1:27" ht="15.75" customHeight="1">
      <c r="A45" s="200" t="s">
        <v>554</v>
      </c>
      <c r="B45" s="201">
        <v>45098</v>
      </c>
      <c r="C45" s="193">
        <v>0.62847222222222221</v>
      </c>
      <c r="D45" s="201">
        <v>45099</v>
      </c>
      <c r="E45" s="193">
        <v>0.64236111111111116</v>
      </c>
      <c r="F45" s="195">
        <v>1057</v>
      </c>
      <c r="G45" s="191">
        <v>45112</v>
      </c>
      <c r="H45" s="193">
        <v>0.37916666666666665</v>
      </c>
      <c r="I45" s="195">
        <v>7.9</v>
      </c>
      <c r="J45" s="196">
        <v>1</v>
      </c>
      <c r="K45" s="198">
        <v>2E-3</v>
      </c>
      <c r="L45" s="198">
        <v>2E-3</v>
      </c>
      <c r="M45" s="198">
        <v>0</v>
      </c>
      <c r="N45" s="198">
        <v>2E-3</v>
      </c>
      <c r="O45" s="198">
        <v>2E-3</v>
      </c>
      <c r="P45" s="198">
        <v>1E-3</v>
      </c>
      <c r="Q45" s="21">
        <f t="shared" si="3"/>
        <v>0.19955534531693475</v>
      </c>
      <c r="R45" s="66" t="s">
        <v>21</v>
      </c>
      <c r="S45" s="196" t="s">
        <v>551</v>
      </c>
      <c r="T45" s="102" t="s">
        <v>535</v>
      </c>
      <c r="U45" s="176"/>
      <c r="V45" s="176"/>
      <c r="W45" s="176"/>
      <c r="X45" s="176"/>
      <c r="Y45" s="176"/>
      <c r="Z45" s="176"/>
      <c r="AA45" s="176"/>
    </row>
    <row r="46" spans="1:27" ht="15.75" customHeight="1">
      <c r="A46" s="200" t="s">
        <v>555</v>
      </c>
      <c r="B46" s="201">
        <v>45103</v>
      </c>
      <c r="C46" s="193">
        <v>0.32847222222222222</v>
      </c>
      <c r="D46" s="194">
        <v>45104</v>
      </c>
      <c r="E46" s="193">
        <v>0.375</v>
      </c>
      <c r="F46" s="195">
        <v>1058</v>
      </c>
      <c r="G46" s="191">
        <v>45112</v>
      </c>
      <c r="H46" s="193">
        <v>0.3347222222222222</v>
      </c>
      <c r="I46" s="195">
        <v>7.5</v>
      </c>
      <c r="J46" s="196">
        <v>1</v>
      </c>
      <c r="K46" s="198">
        <v>0</v>
      </c>
      <c r="L46" s="198">
        <v>0</v>
      </c>
      <c r="M46" s="198">
        <v>0</v>
      </c>
      <c r="N46" s="198">
        <v>0</v>
      </c>
      <c r="O46" s="198">
        <v>0</v>
      </c>
      <c r="P46" s="198">
        <v>0</v>
      </c>
      <c r="Q46" s="21">
        <f t="shared" si="3"/>
        <v>0</v>
      </c>
      <c r="R46" s="66" t="s">
        <v>21</v>
      </c>
      <c r="S46" s="196" t="s">
        <v>551</v>
      </c>
      <c r="T46" s="102" t="s">
        <v>535</v>
      </c>
      <c r="U46" s="176"/>
      <c r="V46" s="176"/>
      <c r="W46" s="176"/>
      <c r="X46" s="176"/>
      <c r="Y46" s="176"/>
      <c r="Z46" s="176"/>
      <c r="AA46" s="176"/>
    </row>
    <row r="47" spans="1:27" ht="15.75" customHeight="1">
      <c r="A47" s="202" t="s">
        <v>556</v>
      </c>
      <c r="B47" s="203">
        <v>45103</v>
      </c>
      <c r="C47" s="193">
        <v>0.40277777777777779</v>
      </c>
      <c r="D47" s="194">
        <v>45104</v>
      </c>
      <c r="E47" s="193">
        <v>0.39583333333333331</v>
      </c>
      <c r="F47" s="195">
        <v>900</v>
      </c>
      <c r="G47" s="191">
        <v>45112</v>
      </c>
      <c r="H47" s="193">
        <v>0.34166666666666667</v>
      </c>
      <c r="I47" s="195">
        <v>7</v>
      </c>
      <c r="J47" s="196">
        <v>1</v>
      </c>
      <c r="K47" s="198">
        <v>-1E-3</v>
      </c>
      <c r="L47" s="198">
        <v>-1E-3</v>
      </c>
      <c r="M47" s="198">
        <v>-1E-3</v>
      </c>
      <c r="N47" s="198">
        <v>2E-3</v>
      </c>
      <c r="O47" s="198">
        <v>2E-3</v>
      </c>
      <c r="P47" s="198">
        <v>2E-3</v>
      </c>
      <c r="Q47" s="204">
        <f t="shared" si="3"/>
        <v>0</v>
      </c>
      <c r="R47" s="66" t="s">
        <v>21</v>
      </c>
      <c r="S47" s="196" t="s">
        <v>551</v>
      </c>
      <c r="T47" s="102" t="s">
        <v>557</v>
      </c>
      <c r="U47" s="176"/>
      <c r="V47" s="176"/>
      <c r="W47" s="176"/>
      <c r="X47" s="176"/>
      <c r="Y47" s="176"/>
      <c r="Z47" s="176"/>
      <c r="AA47" s="176"/>
    </row>
    <row r="48" spans="1:27" ht="15.75" customHeight="1">
      <c r="A48" s="200" t="s">
        <v>558</v>
      </c>
      <c r="B48" s="201">
        <v>45103</v>
      </c>
      <c r="C48" s="193">
        <v>0.44513888888888886</v>
      </c>
      <c r="D48" s="194">
        <v>45104</v>
      </c>
      <c r="E48" s="193">
        <v>0.40625</v>
      </c>
      <c r="F48" s="195">
        <v>1060</v>
      </c>
      <c r="G48" s="191">
        <v>45112</v>
      </c>
      <c r="H48" s="193">
        <v>0.34375</v>
      </c>
      <c r="I48" s="195">
        <v>7.5</v>
      </c>
      <c r="J48" s="196">
        <v>1</v>
      </c>
      <c r="K48" s="198">
        <v>2E-3</v>
      </c>
      <c r="L48" s="198">
        <v>1E-3</v>
      </c>
      <c r="M48" s="198">
        <v>1E-3</v>
      </c>
      <c r="N48" s="198">
        <v>0</v>
      </c>
      <c r="O48" s="198">
        <v>0</v>
      </c>
      <c r="P48" s="198">
        <v>0</v>
      </c>
      <c r="Q48" s="21">
        <f t="shared" si="3"/>
        <v>0.18891509433962264</v>
      </c>
      <c r="R48" s="66" t="s">
        <v>21</v>
      </c>
      <c r="S48" s="196" t="s">
        <v>551</v>
      </c>
      <c r="T48" s="102" t="s">
        <v>535</v>
      </c>
      <c r="U48" s="176"/>
      <c r="V48" s="176"/>
      <c r="W48" s="176"/>
      <c r="X48" s="176"/>
      <c r="Y48" s="176"/>
      <c r="Z48" s="176"/>
      <c r="AA48" s="176"/>
    </row>
    <row r="49" spans="1:27" ht="15.75" customHeight="1">
      <c r="A49" s="200" t="s">
        <v>559</v>
      </c>
      <c r="B49" s="201">
        <v>45103</v>
      </c>
      <c r="C49" s="193">
        <v>0.46666666666666667</v>
      </c>
      <c r="D49" s="194">
        <v>45104</v>
      </c>
      <c r="E49" s="193">
        <v>0.4201388888888889</v>
      </c>
      <c r="F49" s="195">
        <v>1057</v>
      </c>
      <c r="G49" s="191">
        <v>45112</v>
      </c>
      <c r="H49" s="193">
        <v>0.35208333333333336</v>
      </c>
      <c r="I49" s="195">
        <v>7.8</v>
      </c>
      <c r="J49" s="196">
        <v>1</v>
      </c>
      <c r="K49" s="198">
        <v>2E-3</v>
      </c>
      <c r="L49" s="198">
        <v>2E-3</v>
      </c>
      <c r="M49" s="198">
        <v>0</v>
      </c>
      <c r="N49" s="198">
        <v>1E-3</v>
      </c>
      <c r="O49" s="198">
        <v>1E-3</v>
      </c>
      <c r="P49" s="198">
        <v>0</v>
      </c>
      <c r="Q49" s="21">
        <f t="shared" si="3"/>
        <v>0.19702932828760641</v>
      </c>
      <c r="R49" s="66" t="s">
        <v>21</v>
      </c>
      <c r="S49" s="196" t="s">
        <v>551</v>
      </c>
      <c r="T49" s="102" t="s">
        <v>535</v>
      </c>
      <c r="U49" s="176"/>
      <c r="V49" s="176"/>
      <c r="W49" s="176"/>
      <c r="X49" s="176"/>
      <c r="Y49" s="176"/>
      <c r="Z49" s="176"/>
      <c r="AA49" s="176"/>
    </row>
    <row r="50" spans="1:27" ht="15.75" customHeight="1">
      <c r="A50" s="200" t="s">
        <v>560</v>
      </c>
      <c r="B50" s="201">
        <v>45104</v>
      </c>
      <c r="C50" s="193">
        <v>0.30902777777777779</v>
      </c>
      <c r="D50" s="201">
        <v>45105</v>
      </c>
      <c r="E50" s="193">
        <v>0.37569444444444444</v>
      </c>
      <c r="F50" s="195">
        <v>1060</v>
      </c>
      <c r="G50" s="191">
        <v>45112</v>
      </c>
      <c r="H50" s="193">
        <v>0.38472222222222224</v>
      </c>
      <c r="I50" s="195">
        <v>7.6</v>
      </c>
      <c r="J50" s="196">
        <v>1</v>
      </c>
      <c r="K50" s="198">
        <v>1E-3</v>
      </c>
      <c r="L50" s="198">
        <v>1E-3</v>
      </c>
      <c r="M50" s="198">
        <v>0</v>
      </c>
      <c r="N50" s="198">
        <v>2E-3</v>
      </c>
      <c r="O50" s="198">
        <v>2E-3</v>
      </c>
      <c r="P50" s="198">
        <v>1E-3</v>
      </c>
      <c r="Q50" s="21">
        <f t="shared" si="3"/>
        <v>0</v>
      </c>
      <c r="R50" s="66" t="s">
        <v>21</v>
      </c>
      <c r="S50" s="196" t="s">
        <v>551</v>
      </c>
      <c r="T50" s="102" t="s">
        <v>535</v>
      </c>
      <c r="U50" s="176"/>
      <c r="V50" s="176"/>
      <c r="W50" s="176"/>
      <c r="X50" s="176"/>
      <c r="Y50" s="176"/>
      <c r="Z50" s="176"/>
      <c r="AA50" s="176"/>
    </row>
    <row r="51" spans="1:27" ht="15.75" customHeight="1">
      <c r="A51" s="200" t="s">
        <v>561</v>
      </c>
      <c r="B51" s="201">
        <v>45104</v>
      </c>
      <c r="C51" s="193">
        <v>0.35416666666666669</v>
      </c>
      <c r="D51" s="201">
        <v>45105</v>
      </c>
      <c r="E51" s="193">
        <v>0.38124999999999998</v>
      </c>
      <c r="F51" s="195">
        <v>1049</v>
      </c>
      <c r="G51" s="191">
        <v>45112</v>
      </c>
      <c r="H51" s="193">
        <v>0.39097222222222222</v>
      </c>
      <c r="I51" s="195">
        <v>7.5</v>
      </c>
      <c r="J51" s="196">
        <v>1</v>
      </c>
      <c r="K51" s="198">
        <v>0</v>
      </c>
      <c r="L51" s="198">
        <v>0</v>
      </c>
      <c r="M51" s="198">
        <v>0</v>
      </c>
      <c r="N51" s="198">
        <v>0</v>
      </c>
      <c r="O51" s="198">
        <v>0</v>
      </c>
      <c r="P51" s="198">
        <v>1E-3</v>
      </c>
      <c r="Q51" s="21">
        <f t="shared" si="3"/>
        <v>0.19089609151572928</v>
      </c>
      <c r="R51" s="66" t="s">
        <v>21</v>
      </c>
      <c r="S51" s="196" t="s">
        <v>551</v>
      </c>
      <c r="T51" s="102" t="s">
        <v>535</v>
      </c>
      <c r="U51" s="176"/>
      <c r="V51" s="176"/>
      <c r="W51" s="176"/>
      <c r="X51" s="176"/>
      <c r="Y51" s="176"/>
      <c r="Z51" s="176"/>
      <c r="AA51" s="176"/>
    </row>
    <row r="52" spans="1:27" ht="15.75" customHeight="1">
      <c r="A52" s="200" t="s">
        <v>562</v>
      </c>
      <c r="B52" s="201">
        <v>45104</v>
      </c>
      <c r="C52" s="193">
        <v>0.42638888888888887</v>
      </c>
      <c r="D52" s="201">
        <v>45105</v>
      </c>
      <c r="E52" s="193">
        <v>0.38750000000000001</v>
      </c>
      <c r="F52" s="195">
        <v>1062</v>
      </c>
      <c r="G52" s="191">
        <v>45112</v>
      </c>
      <c r="H52" s="193">
        <v>0.39861111111111114</v>
      </c>
      <c r="I52" s="195">
        <v>7.6</v>
      </c>
      <c r="J52" s="196">
        <v>1</v>
      </c>
      <c r="K52" s="198">
        <v>0</v>
      </c>
      <c r="L52" s="198">
        <v>0</v>
      </c>
      <c r="M52" s="198">
        <v>-1E-3</v>
      </c>
      <c r="N52" s="198">
        <v>1E-3</v>
      </c>
      <c r="O52" s="198">
        <v>1E-3</v>
      </c>
      <c r="P52" s="198">
        <v>0</v>
      </c>
      <c r="Q52" s="21">
        <f t="shared" si="3"/>
        <v>0</v>
      </c>
      <c r="R52" s="66" t="s">
        <v>21</v>
      </c>
      <c r="S52" s="196" t="s">
        <v>551</v>
      </c>
      <c r="T52" s="102" t="s">
        <v>535</v>
      </c>
      <c r="U52" s="176"/>
      <c r="V52" s="176"/>
      <c r="W52" s="176"/>
      <c r="X52" s="176"/>
      <c r="Y52" s="176"/>
      <c r="Z52" s="176"/>
      <c r="AA52" s="176"/>
    </row>
    <row r="53" spans="1:27" ht="15.75" customHeight="1">
      <c r="A53" s="200" t="s">
        <v>563</v>
      </c>
      <c r="B53" s="201">
        <v>45105</v>
      </c>
      <c r="C53" s="193">
        <v>0.33263888888888887</v>
      </c>
      <c r="D53" s="201">
        <v>45106</v>
      </c>
      <c r="E53" s="193">
        <v>0.34722222222222221</v>
      </c>
      <c r="F53" s="195">
        <v>1058</v>
      </c>
      <c r="G53" s="191">
        <v>45112</v>
      </c>
      <c r="H53" s="193">
        <v>0.40486111111111112</v>
      </c>
      <c r="I53" s="195">
        <v>7.6</v>
      </c>
      <c r="J53" s="196">
        <v>1</v>
      </c>
      <c r="K53" s="198">
        <v>0</v>
      </c>
      <c r="L53" s="198">
        <v>0</v>
      </c>
      <c r="M53" s="198">
        <v>-1E-3</v>
      </c>
      <c r="N53" s="198">
        <v>2E-3</v>
      </c>
      <c r="O53" s="198">
        <v>2E-3</v>
      </c>
      <c r="P53" s="198">
        <v>1E-3</v>
      </c>
      <c r="Q53" s="21">
        <f t="shared" si="3"/>
        <v>0</v>
      </c>
      <c r="R53" s="66" t="s">
        <v>21</v>
      </c>
      <c r="S53" s="196" t="s">
        <v>551</v>
      </c>
      <c r="T53" s="102" t="s">
        <v>535</v>
      </c>
      <c r="U53" s="176"/>
      <c r="V53" s="176"/>
      <c r="W53" s="176"/>
      <c r="X53" s="176"/>
      <c r="Y53" s="176"/>
      <c r="Z53" s="176"/>
      <c r="AA53" s="176"/>
    </row>
    <row r="54" spans="1:27" ht="15.75" customHeight="1">
      <c r="A54" s="200" t="s">
        <v>564</v>
      </c>
      <c r="B54" s="201">
        <v>45105</v>
      </c>
      <c r="C54" s="193">
        <v>0.35416666666666669</v>
      </c>
      <c r="D54" s="201">
        <v>45106</v>
      </c>
      <c r="E54" s="193">
        <v>0.34722222222222221</v>
      </c>
      <c r="F54" s="195">
        <v>1040</v>
      </c>
      <c r="G54" s="191">
        <v>45112</v>
      </c>
      <c r="H54" s="193">
        <v>0.41458333333333336</v>
      </c>
      <c r="I54" s="195">
        <v>7.9</v>
      </c>
      <c r="J54" s="196">
        <v>1</v>
      </c>
      <c r="K54" s="198">
        <v>4.5999999999999999E-2</v>
      </c>
      <c r="L54" s="198">
        <v>4.4999999999999998E-2</v>
      </c>
      <c r="M54" s="198">
        <v>0.04</v>
      </c>
      <c r="N54" s="198">
        <v>2.7E-2</v>
      </c>
      <c r="O54" s="198">
        <v>2.7E-2</v>
      </c>
      <c r="P54" s="198">
        <v>2.3E-2</v>
      </c>
      <c r="Q54" s="21">
        <f t="shared" si="3"/>
        <v>0.40563461538461504</v>
      </c>
      <c r="R54" s="66" t="s">
        <v>21</v>
      </c>
      <c r="S54" s="196" t="s">
        <v>551</v>
      </c>
      <c r="T54" s="102" t="s">
        <v>535</v>
      </c>
      <c r="U54" s="176"/>
      <c r="V54" s="176"/>
      <c r="W54" s="176"/>
      <c r="X54" s="176"/>
      <c r="Y54" s="176"/>
      <c r="Z54" s="176"/>
      <c r="AA54" s="176"/>
    </row>
    <row r="55" spans="1:27" ht="15.75" customHeight="1">
      <c r="A55" s="200" t="s">
        <v>565</v>
      </c>
      <c r="B55" s="201">
        <v>45106</v>
      </c>
      <c r="C55" s="64">
        <v>0.29166666666666669</v>
      </c>
      <c r="D55" s="201">
        <v>45106</v>
      </c>
      <c r="E55" s="193">
        <v>0.65486111111111112</v>
      </c>
      <c r="F55" s="195">
        <v>1040</v>
      </c>
      <c r="G55" s="191">
        <v>45112</v>
      </c>
      <c r="H55" s="193">
        <v>0.41944444444444445</v>
      </c>
      <c r="I55" s="195">
        <v>7.5</v>
      </c>
      <c r="J55" s="196">
        <v>1</v>
      </c>
      <c r="K55" s="198">
        <v>1E-3</v>
      </c>
      <c r="L55" s="198">
        <v>0</v>
      </c>
      <c r="M55" s="198">
        <v>0</v>
      </c>
      <c r="N55" s="198">
        <v>3.0000000000000001E-3</v>
      </c>
      <c r="O55" s="198">
        <v>3.0000000000000001E-3</v>
      </c>
      <c r="P55" s="198">
        <v>2E-3</v>
      </c>
      <c r="Q55" s="21">
        <f t="shared" si="3"/>
        <v>0</v>
      </c>
      <c r="R55" s="66" t="s">
        <v>21</v>
      </c>
      <c r="S55" s="196" t="s">
        <v>551</v>
      </c>
      <c r="T55" s="102" t="s">
        <v>535</v>
      </c>
      <c r="U55" s="176"/>
      <c r="V55" s="176"/>
      <c r="W55" s="176"/>
      <c r="X55" s="176"/>
      <c r="Y55" s="176"/>
      <c r="Z55" s="176"/>
      <c r="AA55" s="176"/>
    </row>
    <row r="56" spans="1:27" ht="15.75" customHeight="1">
      <c r="A56" s="200" t="s">
        <v>566</v>
      </c>
      <c r="B56" s="201">
        <v>45106</v>
      </c>
      <c r="C56" s="64">
        <v>0.32569444444444445</v>
      </c>
      <c r="D56" s="201">
        <v>45106</v>
      </c>
      <c r="E56" s="193">
        <v>0.65625</v>
      </c>
      <c r="F56" s="195">
        <v>1052</v>
      </c>
      <c r="G56" s="191">
        <v>45112</v>
      </c>
      <c r="H56" s="193">
        <v>0.42499999999999999</v>
      </c>
      <c r="I56" s="195">
        <v>7.6</v>
      </c>
      <c r="J56" s="196">
        <v>1</v>
      </c>
      <c r="K56" s="198">
        <v>1E-3</v>
      </c>
      <c r="L56" s="198">
        <v>1E-3</v>
      </c>
      <c r="M56" s="198">
        <v>-1E-3</v>
      </c>
      <c r="N56" s="198">
        <v>1E-3</v>
      </c>
      <c r="O56" s="198">
        <v>1E-3</v>
      </c>
      <c r="P56" s="198">
        <v>1E-3</v>
      </c>
      <c r="Q56" s="21">
        <f t="shared" si="3"/>
        <v>0.38577946768060833</v>
      </c>
      <c r="R56" s="66" t="s">
        <v>21</v>
      </c>
      <c r="S56" s="196" t="s">
        <v>551</v>
      </c>
      <c r="T56" s="102" t="s">
        <v>535</v>
      </c>
      <c r="U56" s="176"/>
      <c r="V56" s="176"/>
      <c r="W56" s="176"/>
      <c r="X56" s="176"/>
      <c r="Y56" s="176"/>
      <c r="Z56" s="176"/>
      <c r="AA56" s="176"/>
    </row>
    <row r="57" spans="1:27" ht="15.75" customHeight="1">
      <c r="A57" s="205"/>
      <c r="B57" s="206"/>
      <c r="C57" s="205"/>
      <c r="D57" s="205"/>
      <c r="E57" s="205"/>
      <c r="F57" s="207"/>
      <c r="G57" s="205"/>
      <c r="H57" s="205"/>
      <c r="I57" s="207"/>
      <c r="J57" s="205"/>
      <c r="K57" s="208"/>
      <c r="L57" s="208"/>
      <c r="M57" s="208"/>
      <c r="N57" s="208"/>
      <c r="O57" s="208"/>
      <c r="P57" s="208"/>
      <c r="Q57" s="207"/>
      <c r="R57" s="205"/>
      <c r="S57" s="205"/>
      <c r="T57" s="71"/>
      <c r="U57" s="176"/>
      <c r="V57" s="176"/>
      <c r="W57" s="176"/>
      <c r="X57" s="176"/>
      <c r="Y57" s="176"/>
      <c r="Z57" s="176"/>
      <c r="AA57" s="176"/>
    </row>
    <row r="58" spans="1:27" ht="15.75" customHeight="1">
      <c r="A58" s="176"/>
      <c r="B58" s="209"/>
      <c r="C58" s="176"/>
      <c r="D58" s="176"/>
      <c r="E58" s="176"/>
      <c r="F58" s="210"/>
      <c r="G58" s="176"/>
      <c r="H58" s="176"/>
      <c r="I58" s="210"/>
      <c r="J58" s="176"/>
      <c r="K58" s="211"/>
      <c r="L58" s="211"/>
      <c r="M58" s="211"/>
      <c r="N58" s="211"/>
      <c r="O58" s="211"/>
      <c r="P58" s="211"/>
      <c r="Q58" s="210"/>
      <c r="R58" s="176"/>
      <c r="S58" s="176"/>
      <c r="T58" s="212"/>
      <c r="U58" s="176"/>
      <c r="V58" s="176"/>
      <c r="W58" s="176"/>
      <c r="X58" s="176"/>
      <c r="Y58" s="176"/>
      <c r="Z58" s="176"/>
      <c r="AA58" s="176"/>
    </row>
    <row r="59" spans="1:27" ht="15.75" customHeight="1">
      <c r="A59" s="176"/>
      <c r="B59" s="209"/>
      <c r="C59" s="176"/>
      <c r="D59" s="176"/>
      <c r="E59" s="176"/>
      <c r="F59" s="210"/>
      <c r="G59" s="176"/>
      <c r="H59" s="176"/>
      <c r="I59" s="210"/>
      <c r="J59" s="176"/>
      <c r="K59" s="211"/>
      <c r="L59" s="211"/>
      <c r="M59" s="211"/>
      <c r="N59" s="211"/>
      <c r="O59" s="211"/>
      <c r="P59" s="211"/>
      <c r="Q59" s="210"/>
      <c r="R59" s="176"/>
      <c r="S59" s="176"/>
      <c r="T59" s="212"/>
      <c r="U59" s="176"/>
      <c r="V59" s="176"/>
      <c r="W59" s="176"/>
      <c r="X59" s="176"/>
      <c r="Y59" s="176"/>
      <c r="Z59" s="176"/>
      <c r="AA59" s="176"/>
    </row>
    <row r="60" spans="1:27" ht="15.75" customHeight="1">
      <c r="A60" s="176"/>
      <c r="B60" s="209"/>
      <c r="C60" s="176"/>
      <c r="D60" s="176"/>
      <c r="E60" s="176"/>
      <c r="F60" s="210"/>
      <c r="G60" s="176"/>
      <c r="H60" s="176"/>
      <c r="I60" s="210"/>
      <c r="J60" s="176"/>
      <c r="K60" s="211"/>
      <c r="L60" s="211"/>
      <c r="M60" s="211"/>
      <c r="N60" s="211"/>
      <c r="O60" s="211"/>
      <c r="P60" s="211"/>
      <c r="Q60" s="210"/>
      <c r="R60" s="176"/>
      <c r="S60" s="176"/>
      <c r="T60" s="212"/>
      <c r="U60" s="176"/>
      <c r="V60" s="176"/>
      <c r="W60" s="176"/>
      <c r="X60" s="176"/>
      <c r="Y60" s="176"/>
      <c r="Z60" s="176"/>
      <c r="AA60" s="176"/>
    </row>
    <row r="61" spans="1:27" ht="15.75" customHeight="1">
      <c r="A61" s="176"/>
      <c r="B61" s="209"/>
      <c r="C61" s="176"/>
      <c r="D61" s="176"/>
      <c r="E61" s="176"/>
      <c r="F61" s="210"/>
      <c r="G61" s="176"/>
      <c r="H61" s="176"/>
      <c r="I61" s="210"/>
      <c r="J61" s="176"/>
      <c r="K61" s="211"/>
      <c r="L61" s="211"/>
      <c r="M61" s="211"/>
      <c r="N61" s="211"/>
      <c r="O61" s="211"/>
      <c r="P61" s="211"/>
      <c r="Q61" s="210"/>
      <c r="R61" s="176"/>
      <c r="S61" s="176"/>
      <c r="T61" s="212"/>
      <c r="U61" s="176"/>
      <c r="V61" s="176"/>
      <c r="W61" s="176"/>
      <c r="X61" s="176"/>
      <c r="Y61" s="176"/>
      <c r="Z61" s="176"/>
      <c r="AA61" s="176"/>
    </row>
    <row r="62" spans="1:27" ht="15.75" customHeight="1">
      <c r="A62" s="176"/>
      <c r="B62" s="209"/>
      <c r="C62" s="176"/>
      <c r="D62" s="176"/>
      <c r="E62" s="176"/>
      <c r="F62" s="210"/>
      <c r="G62" s="176"/>
      <c r="H62" s="176"/>
      <c r="I62" s="210"/>
      <c r="J62" s="176"/>
      <c r="K62" s="211"/>
      <c r="L62" s="211"/>
      <c r="M62" s="211"/>
      <c r="N62" s="211"/>
      <c r="O62" s="211"/>
      <c r="P62" s="211"/>
      <c r="Q62" s="210"/>
      <c r="R62" s="176"/>
      <c r="S62" s="176"/>
      <c r="T62" s="212"/>
      <c r="U62" s="176"/>
      <c r="V62" s="176"/>
      <c r="W62" s="176"/>
      <c r="X62" s="176"/>
      <c r="Y62" s="176"/>
      <c r="Z62" s="176"/>
      <c r="AA62" s="176"/>
    </row>
    <row r="63" spans="1:27" ht="15.75" customHeight="1">
      <c r="A63" s="176"/>
      <c r="B63" s="209"/>
      <c r="C63" s="176"/>
      <c r="D63" s="176"/>
      <c r="E63" s="176"/>
      <c r="F63" s="210"/>
      <c r="G63" s="176"/>
      <c r="H63" s="176"/>
      <c r="I63" s="210"/>
      <c r="J63" s="176"/>
      <c r="K63" s="211"/>
      <c r="L63" s="211"/>
      <c r="M63" s="211"/>
      <c r="N63" s="211"/>
      <c r="O63" s="211"/>
      <c r="P63" s="211"/>
      <c r="Q63" s="210"/>
      <c r="R63" s="176"/>
      <c r="S63" s="176"/>
      <c r="T63" s="212"/>
      <c r="U63" s="176"/>
      <c r="V63" s="176"/>
      <c r="W63" s="176"/>
      <c r="X63" s="176"/>
      <c r="Y63" s="176"/>
      <c r="Z63" s="176"/>
      <c r="AA63" s="176"/>
    </row>
    <row r="64" spans="1:27" ht="15.75" customHeight="1">
      <c r="A64" s="176"/>
      <c r="B64" s="209"/>
      <c r="C64" s="176"/>
      <c r="D64" s="176"/>
      <c r="E64" s="176"/>
      <c r="F64" s="210"/>
      <c r="G64" s="176"/>
      <c r="H64" s="176"/>
      <c r="I64" s="210"/>
      <c r="J64" s="176"/>
      <c r="K64" s="211"/>
      <c r="L64" s="211"/>
      <c r="M64" s="211"/>
      <c r="N64" s="211"/>
      <c r="O64" s="211"/>
      <c r="P64" s="211"/>
      <c r="Q64" s="210"/>
      <c r="R64" s="176"/>
      <c r="S64" s="176"/>
      <c r="T64" s="212"/>
      <c r="U64" s="176"/>
      <c r="V64" s="176"/>
      <c r="W64" s="176"/>
      <c r="X64" s="176"/>
      <c r="Y64" s="176"/>
      <c r="Z64" s="176"/>
      <c r="AA64" s="176"/>
    </row>
    <row r="65" spans="1:27" ht="15.75" customHeight="1">
      <c r="A65" s="176"/>
      <c r="B65" s="209"/>
      <c r="C65" s="176"/>
      <c r="D65" s="176"/>
      <c r="E65" s="176"/>
      <c r="F65" s="210"/>
      <c r="G65" s="176"/>
      <c r="H65" s="176"/>
      <c r="I65" s="210"/>
      <c r="J65" s="176"/>
      <c r="K65" s="211"/>
      <c r="L65" s="211"/>
      <c r="M65" s="211"/>
      <c r="N65" s="211"/>
      <c r="O65" s="211"/>
      <c r="P65" s="211"/>
      <c r="Q65" s="210"/>
      <c r="R65" s="176"/>
      <c r="S65" s="176"/>
      <c r="T65" s="212"/>
      <c r="U65" s="176"/>
      <c r="V65" s="176"/>
      <c r="W65" s="176"/>
      <c r="X65" s="176"/>
      <c r="Y65" s="176"/>
      <c r="Z65" s="176"/>
      <c r="AA65" s="176"/>
    </row>
    <row r="66" spans="1:27" ht="15.75" customHeight="1">
      <c r="A66" s="176"/>
      <c r="B66" s="209"/>
      <c r="C66" s="176"/>
      <c r="D66" s="176"/>
      <c r="E66" s="176"/>
      <c r="F66" s="210"/>
      <c r="G66" s="176"/>
      <c r="H66" s="176"/>
      <c r="I66" s="210"/>
      <c r="J66" s="176"/>
      <c r="K66" s="211"/>
      <c r="L66" s="211"/>
      <c r="M66" s="211"/>
      <c r="N66" s="211"/>
      <c r="O66" s="211"/>
      <c r="P66" s="211"/>
      <c r="Q66" s="210"/>
      <c r="R66" s="176"/>
      <c r="S66" s="176"/>
      <c r="T66" s="212"/>
      <c r="U66" s="176"/>
      <c r="V66" s="176"/>
      <c r="W66" s="176"/>
      <c r="X66" s="176"/>
      <c r="Y66" s="176"/>
      <c r="Z66" s="176"/>
      <c r="AA66" s="176"/>
    </row>
    <row r="67" spans="1:27" ht="15.75" customHeight="1">
      <c r="A67" s="176"/>
      <c r="B67" s="209"/>
      <c r="C67" s="176"/>
      <c r="D67" s="176"/>
      <c r="E67" s="176"/>
      <c r="F67" s="210"/>
      <c r="G67" s="176"/>
      <c r="H67" s="176"/>
      <c r="I67" s="210"/>
      <c r="J67" s="176"/>
      <c r="K67" s="211"/>
      <c r="L67" s="211"/>
      <c r="M67" s="211"/>
      <c r="N67" s="211"/>
      <c r="O67" s="211"/>
      <c r="P67" s="211"/>
      <c r="Q67" s="210"/>
      <c r="R67" s="176"/>
      <c r="S67" s="176"/>
      <c r="T67" s="212"/>
      <c r="U67" s="176"/>
      <c r="V67" s="176"/>
      <c r="W67" s="176"/>
      <c r="X67" s="176"/>
      <c r="Y67" s="176"/>
      <c r="Z67" s="176"/>
      <c r="AA67" s="176"/>
    </row>
    <row r="68" spans="1:27" ht="15.75" customHeight="1">
      <c r="A68" s="176"/>
      <c r="B68" s="209"/>
      <c r="C68" s="176"/>
      <c r="D68" s="176"/>
      <c r="E68" s="176"/>
      <c r="F68" s="210"/>
      <c r="G68" s="176"/>
      <c r="H68" s="176"/>
      <c r="I68" s="210"/>
      <c r="J68" s="176"/>
      <c r="K68" s="211"/>
      <c r="L68" s="211"/>
      <c r="M68" s="211"/>
      <c r="N68" s="211"/>
      <c r="O68" s="211"/>
      <c r="P68" s="211"/>
      <c r="Q68" s="210"/>
      <c r="R68" s="176"/>
      <c r="S68" s="176"/>
      <c r="T68" s="212"/>
      <c r="U68" s="176"/>
      <c r="V68" s="176"/>
      <c r="W68" s="176"/>
      <c r="X68" s="176"/>
      <c r="Y68" s="176"/>
      <c r="Z68" s="176"/>
      <c r="AA68" s="176"/>
    </row>
    <row r="69" spans="1:27" ht="15.75" customHeight="1">
      <c r="A69" s="176"/>
      <c r="B69" s="209"/>
      <c r="C69" s="176"/>
      <c r="D69" s="176"/>
      <c r="E69" s="176"/>
      <c r="F69" s="210"/>
      <c r="G69" s="176"/>
      <c r="H69" s="176"/>
      <c r="I69" s="210"/>
      <c r="J69" s="176"/>
      <c r="K69" s="211"/>
      <c r="L69" s="211"/>
      <c r="M69" s="211"/>
      <c r="N69" s="211"/>
      <c r="O69" s="211"/>
      <c r="P69" s="211"/>
      <c r="Q69" s="210"/>
      <c r="R69" s="176"/>
      <c r="S69" s="176"/>
      <c r="T69" s="212"/>
      <c r="U69" s="176"/>
      <c r="V69" s="176"/>
      <c r="W69" s="176"/>
      <c r="X69" s="176"/>
      <c r="Y69" s="176"/>
      <c r="Z69" s="176"/>
      <c r="AA69" s="176"/>
    </row>
    <row r="70" spans="1:27" ht="15.75" customHeight="1">
      <c r="A70" s="176"/>
      <c r="B70" s="209"/>
      <c r="C70" s="176"/>
      <c r="D70" s="176"/>
      <c r="E70" s="176"/>
      <c r="F70" s="210"/>
      <c r="G70" s="176"/>
      <c r="H70" s="176"/>
      <c r="I70" s="210"/>
      <c r="J70" s="176"/>
      <c r="K70" s="211"/>
      <c r="L70" s="211"/>
      <c r="M70" s="211"/>
      <c r="N70" s="211"/>
      <c r="O70" s="211"/>
      <c r="P70" s="211"/>
      <c r="Q70" s="210"/>
      <c r="R70" s="176"/>
      <c r="S70" s="176"/>
      <c r="T70" s="212"/>
      <c r="U70" s="176"/>
      <c r="V70" s="176"/>
      <c r="W70" s="176"/>
      <c r="X70" s="176"/>
      <c r="Y70" s="176"/>
      <c r="Z70" s="176"/>
      <c r="AA70" s="176"/>
    </row>
    <row r="71" spans="1:27" ht="15.75" customHeight="1">
      <c r="A71" s="176"/>
      <c r="B71" s="209"/>
      <c r="C71" s="176"/>
      <c r="D71" s="176"/>
      <c r="E71" s="176"/>
      <c r="F71" s="210"/>
      <c r="G71" s="176"/>
      <c r="H71" s="176"/>
      <c r="I71" s="210"/>
      <c r="J71" s="176"/>
      <c r="K71" s="211"/>
      <c r="L71" s="211"/>
      <c r="M71" s="211"/>
      <c r="N71" s="211"/>
      <c r="O71" s="211"/>
      <c r="P71" s="211"/>
      <c r="Q71" s="210"/>
      <c r="R71" s="176"/>
      <c r="S71" s="176"/>
      <c r="T71" s="212"/>
      <c r="U71" s="176"/>
      <c r="V71" s="176"/>
      <c r="W71" s="176"/>
      <c r="X71" s="176"/>
      <c r="Y71" s="176"/>
      <c r="Z71" s="176"/>
      <c r="AA71" s="176"/>
    </row>
    <row r="72" spans="1:27" ht="15.75" customHeight="1">
      <c r="A72" s="176"/>
      <c r="B72" s="209"/>
      <c r="C72" s="176"/>
      <c r="D72" s="176"/>
      <c r="E72" s="176"/>
      <c r="F72" s="210"/>
      <c r="G72" s="176"/>
      <c r="H72" s="176"/>
      <c r="I72" s="210"/>
      <c r="J72" s="176"/>
      <c r="K72" s="211"/>
      <c r="L72" s="211"/>
      <c r="M72" s="211"/>
      <c r="N72" s="211"/>
      <c r="O72" s="211"/>
      <c r="P72" s="211"/>
      <c r="Q72" s="210"/>
      <c r="R72" s="176"/>
      <c r="S72" s="176"/>
      <c r="T72" s="212"/>
      <c r="U72" s="176"/>
      <c r="V72" s="176"/>
      <c r="W72" s="176"/>
      <c r="X72" s="176"/>
      <c r="Y72" s="176"/>
      <c r="Z72" s="176"/>
      <c r="AA72" s="176"/>
    </row>
    <row r="73" spans="1:27" ht="15.75" customHeight="1">
      <c r="A73" s="176"/>
      <c r="B73" s="209"/>
      <c r="C73" s="176"/>
      <c r="D73" s="176"/>
      <c r="E73" s="176"/>
      <c r="F73" s="210"/>
      <c r="G73" s="176"/>
      <c r="H73" s="176"/>
      <c r="I73" s="210"/>
      <c r="J73" s="176"/>
      <c r="K73" s="211"/>
      <c r="L73" s="211"/>
      <c r="M73" s="211"/>
      <c r="N73" s="211"/>
      <c r="O73" s="211"/>
      <c r="P73" s="211"/>
      <c r="Q73" s="210"/>
      <c r="R73" s="176"/>
      <c r="S73" s="176"/>
      <c r="T73" s="212"/>
      <c r="U73" s="176"/>
      <c r="V73" s="176"/>
      <c r="W73" s="176"/>
      <c r="X73" s="176"/>
      <c r="Y73" s="176"/>
      <c r="Z73" s="176"/>
      <c r="AA73" s="176"/>
    </row>
    <row r="74" spans="1:27" ht="15.75" customHeight="1">
      <c r="A74" s="176"/>
      <c r="B74" s="209"/>
      <c r="C74" s="176"/>
      <c r="D74" s="176"/>
      <c r="E74" s="176"/>
      <c r="F74" s="210"/>
      <c r="G74" s="176"/>
      <c r="H74" s="176"/>
      <c r="I74" s="210"/>
      <c r="J74" s="176"/>
      <c r="K74" s="211"/>
      <c r="L74" s="211"/>
      <c r="M74" s="211"/>
      <c r="N74" s="211"/>
      <c r="O74" s="211"/>
      <c r="P74" s="211"/>
      <c r="Q74" s="210"/>
      <c r="R74" s="176"/>
      <c r="S74" s="176"/>
      <c r="T74" s="212"/>
      <c r="U74" s="176"/>
      <c r="V74" s="176"/>
      <c r="W74" s="176"/>
      <c r="X74" s="176"/>
      <c r="Y74" s="176"/>
      <c r="Z74" s="176"/>
      <c r="AA74" s="176"/>
    </row>
    <row r="75" spans="1:27" ht="15.75" customHeight="1">
      <c r="A75" s="176"/>
      <c r="B75" s="209"/>
      <c r="C75" s="176"/>
      <c r="D75" s="176"/>
      <c r="E75" s="176"/>
      <c r="F75" s="210"/>
      <c r="G75" s="176"/>
      <c r="H75" s="176"/>
      <c r="I75" s="210"/>
      <c r="J75" s="176"/>
      <c r="K75" s="211"/>
      <c r="L75" s="211"/>
      <c r="M75" s="211"/>
      <c r="N75" s="211"/>
      <c r="O75" s="211"/>
      <c r="P75" s="211"/>
      <c r="Q75" s="210"/>
      <c r="R75" s="176"/>
      <c r="S75" s="176"/>
      <c r="T75" s="212"/>
      <c r="U75" s="176"/>
      <c r="V75" s="176"/>
      <c r="W75" s="176"/>
      <c r="X75" s="176"/>
      <c r="Y75" s="176"/>
      <c r="Z75" s="176"/>
      <c r="AA75" s="176"/>
    </row>
    <row r="76" spans="1:27" ht="15.75" customHeight="1">
      <c r="A76" s="176"/>
      <c r="B76" s="209"/>
      <c r="C76" s="176"/>
      <c r="D76" s="176"/>
      <c r="E76" s="176"/>
      <c r="F76" s="210"/>
      <c r="G76" s="176"/>
      <c r="H76" s="176"/>
      <c r="I76" s="210"/>
      <c r="J76" s="176"/>
      <c r="K76" s="211"/>
      <c r="L76" s="211"/>
      <c r="M76" s="211"/>
      <c r="N76" s="211"/>
      <c r="O76" s="211"/>
      <c r="P76" s="211"/>
      <c r="Q76" s="210"/>
      <c r="R76" s="176"/>
      <c r="S76" s="176"/>
      <c r="T76" s="212"/>
      <c r="U76" s="176"/>
      <c r="V76" s="176"/>
      <c r="W76" s="176"/>
      <c r="X76" s="176"/>
      <c r="Y76" s="176"/>
      <c r="Z76" s="176"/>
      <c r="AA76" s="176"/>
    </row>
    <row r="77" spans="1:27" ht="15.75" customHeight="1">
      <c r="A77" s="176"/>
      <c r="B77" s="209"/>
      <c r="C77" s="176"/>
      <c r="D77" s="176"/>
      <c r="E77" s="176"/>
      <c r="F77" s="210"/>
      <c r="G77" s="176"/>
      <c r="H77" s="176"/>
      <c r="I77" s="210"/>
      <c r="J77" s="176"/>
      <c r="K77" s="211"/>
      <c r="L77" s="211"/>
      <c r="M77" s="211"/>
      <c r="N77" s="211"/>
      <c r="O77" s="211"/>
      <c r="P77" s="211"/>
      <c r="Q77" s="210"/>
      <c r="R77" s="176"/>
      <c r="S77" s="176"/>
      <c r="T77" s="212"/>
      <c r="U77" s="176"/>
      <c r="V77" s="176"/>
      <c r="W77" s="176"/>
      <c r="X77" s="176"/>
      <c r="Y77" s="176"/>
      <c r="Z77" s="176"/>
      <c r="AA77" s="176"/>
    </row>
    <row r="78" spans="1:27" ht="15.75" customHeight="1">
      <c r="A78" s="176"/>
      <c r="B78" s="209"/>
      <c r="C78" s="176"/>
      <c r="D78" s="176"/>
      <c r="E78" s="176"/>
      <c r="F78" s="210"/>
      <c r="G78" s="176"/>
      <c r="H78" s="176"/>
      <c r="I78" s="210"/>
      <c r="J78" s="176"/>
      <c r="K78" s="211"/>
      <c r="L78" s="211"/>
      <c r="M78" s="211"/>
      <c r="N78" s="211"/>
      <c r="O78" s="211"/>
      <c r="P78" s="211"/>
      <c r="Q78" s="210"/>
      <c r="R78" s="176"/>
      <c r="S78" s="176"/>
      <c r="T78" s="212"/>
      <c r="U78" s="176"/>
      <c r="V78" s="176"/>
      <c r="W78" s="176"/>
      <c r="X78" s="176"/>
      <c r="Y78" s="176"/>
      <c r="Z78" s="176"/>
      <c r="AA78" s="176"/>
    </row>
    <row r="79" spans="1:27" ht="15.75" customHeight="1">
      <c r="A79" s="176"/>
      <c r="B79" s="209"/>
      <c r="C79" s="176"/>
      <c r="D79" s="176"/>
      <c r="E79" s="176"/>
      <c r="F79" s="210"/>
      <c r="G79" s="176"/>
      <c r="H79" s="176"/>
      <c r="I79" s="210"/>
      <c r="J79" s="176"/>
      <c r="K79" s="211"/>
      <c r="L79" s="211"/>
      <c r="M79" s="211"/>
      <c r="N79" s="211"/>
      <c r="O79" s="211"/>
      <c r="P79" s="211"/>
      <c r="Q79" s="210"/>
      <c r="R79" s="176"/>
      <c r="S79" s="176"/>
      <c r="T79" s="212"/>
      <c r="U79" s="176"/>
      <c r="V79" s="176"/>
      <c r="W79" s="176"/>
      <c r="X79" s="176"/>
      <c r="Y79" s="176"/>
      <c r="Z79" s="176"/>
      <c r="AA79" s="176"/>
    </row>
    <row r="80" spans="1:27" ht="15.75" customHeight="1">
      <c r="A80" s="176"/>
      <c r="B80" s="209"/>
      <c r="C80" s="176"/>
      <c r="D80" s="176"/>
      <c r="E80" s="176"/>
      <c r="F80" s="210"/>
      <c r="G80" s="176"/>
      <c r="H80" s="176"/>
      <c r="I80" s="210"/>
      <c r="J80" s="176"/>
      <c r="K80" s="211"/>
      <c r="L80" s="211"/>
      <c r="M80" s="211"/>
      <c r="N80" s="211"/>
      <c r="O80" s="211"/>
      <c r="P80" s="211"/>
      <c r="Q80" s="210"/>
      <c r="R80" s="176"/>
      <c r="S80" s="176"/>
      <c r="T80" s="212"/>
      <c r="U80" s="176"/>
      <c r="V80" s="176"/>
      <c r="W80" s="176"/>
      <c r="X80" s="176"/>
      <c r="Y80" s="176"/>
      <c r="Z80" s="176"/>
      <c r="AA80" s="176"/>
    </row>
    <row r="81" spans="1:27" ht="15.75" customHeight="1">
      <c r="A81" s="176"/>
      <c r="B81" s="209"/>
      <c r="C81" s="176"/>
      <c r="D81" s="176"/>
      <c r="E81" s="176"/>
      <c r="F81" s="210"/>
      <c r="G81" s="176"/>
      <c r="H81" s="176"/>
      <c r="I81" s="210"/>
      <c r="J81" s="176"/>
      <c r="K81" s="211"/>
      <c r="L81" s="211"/>
      <c r="M81" s="211"/>
      <c r="N81" s="211"/>
      <c r="O81" s="211"/>
      <c r="P81" s="211"/>
      <c r="Q81" s="210"/>
      <c r="R81" s="176"/>
      <c r="S81" s="176"/>
      <c r="T81" s="212"/>
      <c r="U81" s="176"/>
      <c r="V81" s="176"/>
      <c r="W81" s="176"/>
      <c r="X81" s="176"/>
      <c r="Y81" s="176"/>
      <c r="Z81" s="176"/>
      <c r="AA81" s="176"/>
    </row>
    <row r="82" spans="1:27" ht="15.75" customHeight="1">
      <c r="A82" s="176"/>
      <c r="B82" s="209"/>
      <c r="C82" s="176"/>
      <c r="D82" s="176"/>
      <c r="E82" s="176"/>
      <c r="F82" s="210"/>
      <c r="G82" s="176"/>
      <c r="H82" s="176"/>
      <c r="I82" s="210"/>
      <c r="J82" s="176"/>
      <c r="K82" s="211"/>
      <c r="L82" s="211"/>
      <c r="M82" s="211"/>
      <c r="N82" s="211"/>
      <c r="O82" s="211"/>
      <c r="P82" s="211"/>
      <c r="Q82" s="210"/>
      <c r="R82" s="176"/>
      <c r="S82" s="176"/>
      <c r="T82" s="212"/>
      <c r="U82" s="176"/>
      <c r="V82" s="176"/>
      <c r="W82" s="176"/>
      <c r="X82" s="176"/>
      <c r="Y82" s="176"/>
      <c r="Z82" s="176"/>
      <c r="AA82" s="176"/>
    </row>
    <row r="83" spans="1:27" ht="15.75" customHeight="1">
      <c r="A83" s="176"/>
      <c r="B83" s="209"/>
      <c r="C83" s="176"/>
      <c r="D83" s="176"/>
      <c r="E83" s="176"/>
      <c r="F83" s="210"/>
      <c r="G83" s="176"/>
      <c r="H83" s="176"/>
      <c r="I83" s="210"/>
      <c r="J83" s="176"/>
      <c r="K83" s="211"/>
      <c r="L83" s="211"/>
      <c r="M83" s="211"/>
      <c r="N83" s="211"/>
      <c r="O83" s="211"/>
      <c r="P83" s="211"/>
      <c r="Q83" s="210"/>
      <c r="R83" s="176"/>
      <c r="S83" s="176"/>
      <c r="T83" s="212"/>
      <c r="U83" s="176"/>
      <c r="V83" s="176"/>
      <c r="W83" s="176"/>
      <c r="X83" s="176"/>
      <c r="Y83" s="176"/>
      <c r="Z83" s="176"/>
      <c r="AA83" s="176"/>
    </row>
    <row r="84" spans="1:27" ht="15.75" customHeight="1">
      <c r="A84" s="176"/>
      <c r="B84" s="209"/>
      <c r="C84" s="176"/>
      <c r="D84" s="176"/>
      <c r="E84" s="176"/>
      <c r="F84" s="210"/>
      <c r="G84" s="176"/>
      <c r="H84" s="176"/>
      <c r="I84" s="210"/>
      <c r="J84" s="176"/>
      <c r="K84" s="211"/>
      <c r="L84" s="211"/>
      <c r="M84" s="211"/>
      <c r="N84" s="211"/>
      <c r="O84" s="211"/>
      <c r="P84" s="211"/>
      <c r="Q84" s="210"/>
      <c r="R84" s="176"/>
      <c r="S84" s="176"/>
      <c r="T84" s="212"/>
      <c r="U84" s="176"/>
      <c r="V84" s="176"/>
      <c r="W84" s="176"/>
      <c r="X84" s="176"/>
      <c r="Y84" s="176"/>
      <c r="Z84" s="176"/>
      <c r="AA84" s="176"/>
    </row>
    <row r="85" spans="1:27" ht="15.75" customHeight="1">
      <c r="A85" s="176"/>
      <c r="B85" s="209"/>
      <c r="C85" s="176"/>
      <c r="D85" s="176"/>
      <c r="E85" s="176"/>
      <c r="F85" s="210"/>
      <c r="G85" s="176"/>
      <c r="H85" s="176"/>
      <c r="I85" s="210"/>
      <c r="J85" s="176"/>
      <c r="K85" s="211"/>
      <c r="L85" s="211"/>
      <c r="M85" s="211"/>
      <c r="N85" s="211"/>
      <c r="O85" s="211"/>
      <c r="P85" s="211"/>
      <c r="Q85" s="210"/>
      <c r="R85" s="176"/>
      <c r="S85" s="176"/>
      <c r="T85" s="212"/>
      <c r="U85" s="176"/>
      <c r="V85" s="176"/>
      <c r="W85" s="176"/>
      <c r="X85" s="176"/>
      <c r="Y85" s="176"/>
      <c r="Z85" s="176"/>
      <c r="AA85" s="176"/>
    </row>
    <row r="86" spans="1:27" ht="15.75" customHeight="1">
      <c r="A86" s="176"/>
      <c r="B86" s="209"/>
      <c r="C86" s="176"/>
      <c r="D86" s="176"/>
      <c r="E86" s="176"/>
      <c r="F86" s="210"/>
      <c r="G86" s="176"/>
      <c r="H86" s="176"/>
      <c r="I86" s="210"/>
      <c r="J86" s="176"/>
      <c r="K86" s="211"/>
      <c r="L86" s="211"/>
      <c r="M86" s="211"/>
      <c r="N86" s="211"/>
      <c r="O86" s="211"/>
      <c r="P86" s="211"/>
      <c r="Q86" s="210"/>
      <c r="R86" s="176"/>
      <c r="S86" s="176"/>
      <c r="T86" s="212"/>
      <c r="U86" s="176"/>
      <c r="V86" s="176"/>
      <c r="W86" s="176"/>
      <c r="X86" s="176"/>
      <c r="Y86" s="176"/>
      <c r="Z86" s="176"/>
      <c r="AA86" s="176"/>
    </row>
    <row r="87" spans="1:27" ht="15.75" customHeight="1">
      <c r="A87" s="176"/>
      <c r="B87" s="209"/>
      <c r="C87" s="176"/>
      <c r="D87" s="176"/>
      <c r="E87" s="176"/>
      <c r="F87" s="210"/>
      <c r="G87" s="176"/>
      <c r="H87" s="176"/>
      <c r="I87" s="210"/>
      <c r="J87" s="176"/>
      <c r="K87" s="211"/>
      <c r="L87" s="211"/>
      <c r="M87" s="211"/>
      <c r="N87" s="211"/>
      <c r="O87" s="211"/>
      <c r="P87" s="211"/>
      <c r="Q87" s="210"/>
      <c r="R87" s="176"/>
      <c r="S87" s="176"/>
      <c r="T87" s="212"/>
      <c r="U87" s="176"/>
      <c r="V87" s="176"/>
      <c r="W87" s="176"/>
      <c r="X87" s="176"/>
      <c r="Y87" s="176"/>
      <c r="Z87" s="176"/>
      <c r="AA87" s="176"/>
    </row>
    <row r="88" spans="1:27" ht="15.75" customHeight="1">
      <c r="A88" s="176"/>
      <c r="B88" s="209"/>
      <c r="C88" s="176"/>
      <c r="D88" s="176"/>
      <c r="E88" s="176"/>
      <c r="F88" s="210"/>
      <c r="G88" s="176"/>
      <c r="H88" s="176"/>
      <c r="I88" s="210"/>
      <c r="J88" s="176"/>
      <c r="K88" s="211"/>
      <c r="L88" s="211"/>
      <c r="M88" s="211"/>
      <c r="N88" s="211"/>
      <c r="O88" s="211"/>
      <c r="P88" s="211"/>
      <c r="Q88" s="210"/>
      <c r="R88" s="176"/>
      <c r="S88" s="176"/>
      <c r="T88" s="212"/>
      <c r="U88" s="176"/>
      <c r="V88" s="176"/>
      <c r="W88" s="176"/>
      <c r="X88" s="176"/>
      <c r="Y88" s="176"/>
      <c r="Z88" s="176"/>
      <c r="AA88" s="176"/>
    </row>
    <row r="89" spans="1:27" ht="15.75" customHeight="1">
      <c r="A89" s="176"/>
      <c r="B89" s="209"/>
      <c r="C89" s="176"/>
      <c r="D89" s="176"/>
      <c r="E89" s="176"/>
      <c r="F89" s="210"/>
      <c r="G89" s="176"/>
      <c r="H89" s="176"/>
      <c r="I89" s="210"/>
      <c r="J89" s="176"/>
      <c r="K89" s="211"/>
      <c r="L89" s="211"/>
      <c r="M89" s="211"/>
      <c r="N89" s="211"/>
      <c r="O89" s="211"/>
      <c r="P89" s="211"/>
      <c r="Q89" s="210"/>
      <c r="R89" s="176"/>
      <c r="S89" s="176"/>
      <c r="T89" s="212"/>
      <c r="U89" s="176"/>
      <c r="V89" s="176"/>
      <c r="W89" s="176"/>
      <c r="X89" s="176"/>
      <c r="Y89" s="176"/>
      <c r="Z89" s="176"/>
      <c r="AA89" s="176"/>
    </row>
    <row r="90" spans="1:27" ht="15.75" customHeight="1">
      <c r="A90" s="176"/>
      <c r="B90" s="209"/>
      <c r="C90" s="176"/>
      <c r="D90" s="176"/>
      <c r="E90" s="176"/>
      <c r="F90" s="210"/>
      <c r="G90" s="176"/>
      <c r="H90" s="176"/>
      <c r="I90" s="210"/>
      <c r="J90" s="176"/>
      <c r="K90" s="211"/>
      <c r="L90" s="211"/>
      <c r="M90" s="211"/>
      <c r="N90" s="211"/>
      <c r="O90" s="211"/>
      <c r="P90" s="211"/>
      <c r="Q90" s="210"/>
      <c r="R90" s="176"/>
      <c r="S90" s="176"/>
      <c r="T90" s="212"/>
      <c r="U90" s="176"/>
      <c r="V90" s="176"/>
      <c r="W90" s="176"/>
      <c r="X90" s="176"/>
      <c r="Y90" s="176"/>
      <c r="Z90" s="176"/>
      <c r="AA90" s="176"/>
    </row>
    <row r="91" spans="1:27" ht="15.75" customHeight="1">
      <c r="A91" s="176"/>
      <c r="B91" s="209"/>
      <c r="C91" s="176"/>
      <c r="D91" s="176"/>
      <c r="E91" s="176"/>
      <c r="F91" s="210"/>
      <c r="G91" s="176"/>
      <c r="H91" s="176"/>
      <c r="I91" s="210"/>
      <c r="J91" s="176"/>
      <c r="K91" s="211"/>
      <c r="L91" s="211"/>
      <c r="M91" s="211"/>
      <c r="N91" s="211"/>
      <c r="O91" s="211"/>
      <c r="P91" s="211"/>
      <c r="Q91" s="210"/>
      <c r="R91" s="176"/>
      <c r="S91" s="176"/>
      <c r="T91" s="212"/>
      <c r="U91" s="176"/>
      <c r="V91" s="176"/>
      <c r="W91" s="176"/>
      <c r="X91" s="176"/>
      <c r="Y91" s="176"/>
      <c r="Z91" s="176"/>
      <c r="AA91" s="176"/>
    </row>
    <row r="92" spans="1:27" ht="15.75" customHeight="1">
      <c r="A92" s="176"/>
      <c r="B92" s="209"/>
      <c r="C92" s="176"/>
      <c r="D92" s="176"/>
      <c r="E92" s="176"/>
      <c r="F92" s="210"/>
      <c r="G92" s="176"/>
      <c r="H92" s="176"/>
      <c r="I92" s="210"/>
      <c r="J92" s="176"/>
      <c r="K92" s="211"/>
      <c r="L92" s="211"/>
      <c r="M92" s="211"/>
      <c r="N92" s="211"/>
      <c r="O92" s="211"/>
      <c r="P92" s="211"/>
      <c r="Q92" s="210"/>
      <c r="R92" s="176"/>
      <c r="S92" s="176"/>
      <c r="T92" s="212"/>
      <c r="U92" s="176"/>
      <c r="V92" s="176"/>
      <c r="W92" s="176"/>
      <c r="X92" s="176"/>
      <c r="Y92" s="176"/>
      <c r="Z92" s="176"/>
      <c r="AA92" s="176"/>
    </row>
    <row r="93" spans="1:27" ht="15.75" customHeight="1">
      <c r="A93" s="176"/>
      <c r="B93" s="209"/>
      <c r="C93" s="176"/>
      <c r="D93" s="176"/>
      <c r="E93" s="176"/>
      <c r="F93" s="210"/>
      <c r="G93" s="176"/>
      <c r="H93" s="176"/>
      <c r="I93" s="210"/>
      <c r="J93" s="176"/>
      <c r="K93" s="211"/>
      <c r="L93" s="211"/>
      <c r="M93" s="211"/>
      <c r="N93" s="211"/>
      <c r="O93" s="211"/>
      <c r="P93" s="211"/>
      <c r="Q93" s="210"/>
      <c r="R93" s="176"/>
      <c r="S93" s="176"/>
      <c r="T93" s="212"/>
      <c r="U93" s="176"/>
      <c r="V93" s="176"/>
      <c r="W93" s="176"/>
      <c r="X93" s="176"/>
      <c r="Y93" s="176"/>
      <c r="Z93" s="176"/>
      <c r="AA93" s="176"/>
    </row>
    <row r="94" spans="1:27" ht="15.75" customHeight="1">
      <c r="A94" s="176"/>
      <c r="B94" s="209"/>
      <c r="C94" s="176"/>
      <c r="D94" s="176"/>
      <c r="E94" s="176"/>
      <c r="F94" s="210"/>
      <c r="G94" s="176"/>
      <c r="H94" s="176"/>
      <c r="I94" s="210"/>
      <c r="J94" s="176"/>
      <c r="K94" s="211"/>
      <c r="L94" s="211"/>
      <c r="M94" s="211"/>
      <c r="N94" s="211"/>
      <c r="O94" s="211"/>
      <c r="P94" s="211"/>
      <c r="Q94" s="210"/>
      <c r="R94" s="176"/>
      <c r="S94" s="176"/>
      <c r="T94" s="212"/>
      <c r="U94" s="176"/>
      <c r="V94" s="176"/>
      <c r="W94" s="176"/>
      <c r="X94" s="176"/>
      <c r="Y94" s="176"/>
      <c r="Z94" s="176"/>
      <c r="AA94" s="176"/>
    </row>
    <row r="95" spans="1:27" ht="15.75" customHeight="1">
      <c r="A95" s="176"/>
      <c r="B95" s="209"/>
      <c r="C95" s="176"/>
      <c r="D95" s="176"/>
      <c r="E95" s="176"/>
      <c r="F95" s="210"/>
      <c r="G95" s="176"/>
      <c r="H95" s="176"/>
      <c r="I95" s="210"/>
      <c r="J95" s="176"/>
      <c r="K95" s="211"/>
      <c r="L95" s="211"/>
      <c r="M95" s="211"/>
      <c r="N95" s="211"/>
      <c r="O95" s="211"/>
      <c r="P95" s="211"/>
      <c r="Q95" s="210"/>
      <c r="R95" s="176"/>
      <c r="S95" s="176"/>
      <c r="T95" s="212"/>
      <c r="U95" s="176"/>
      <c r="V95" s="176"/>
      <c r="W95" s="176"/>
      <c r="X95" s="176"/>
      <c r="Y95" s="176"/>
      <c r="Z95" s="176"/>
      <c r="AA95" s="176"/>
    </row>
    <row r="96" spans="1:27" ht="15.75" customHeight="1">
      <c r="A96" s="176"/>
      <c r="B96" s="209"/>
      <c r="C96" s="176"/>
      <c r="D96" s="176"/>
      <c r="E96" s="176"/>
      <c r="F96" s="210"/>
      <c r="G96" s="176"/>
      <c r="H96" s="176"/>
      <c r="I96" s="210"/>
      <c r="J96" s="176"/>
      <c r="K96" s="211"/>
      <c r="L96" s="211"/>
      <c r="M96" s="211"/>
      <c r="N96" s="211"/>
      <c r="O96" s="211"/>
      <c r="P96" s="211"/>
      <c r="Q96" s="210"/>
      <c r="R96" s="176"/>
      <c r="S96" s="176"/>
      <c r="T96" s="212"/>
      <c r="U96" s="176"/>
      <c r="V96" s="176"/>
      <c r="W96" s="176"/>
      <c r="X96" s="176"/>
      <c r="Y96" s="176"/>
      <c r="Z96" s="176"/>
      <c r="AA96" s="176"/>
    </row>
    <row r="97" spans="1:27" ht="15.75" customHeight="1">
      <c r="A97" s="176"/>
      <c r="B97" s="209"/>
      <c r="C97" s="176"/>
      <c r="D97" s="176"/>
      <c r="E97" s="176"/>
      <c r="F97" s="210"/>
      <c r="G97" s="176"/>
      <c r="H97" s="176"/>
      <c r="I97" s="210"/>
      <c r="J97" s="176"/>
      <c r="K97" s="211"/>
      <c r="L97" s="211"/>
      <c r="M97" s="211"/>
      <c r="N97" s="211"/>
      <c r="O97" s="211"/>
      <c r="P97" s="211"/>
      <c r="Q97" s="210"/>
      <c r="R97" s="176"/>
      <c r="S97" s="176"/>
      <c r="T97" s="212"/>
      <c r="U97" s="176"/>
      <c r="V97" s="176"/>
      <c r="W97" s="176"/>
      <c r="X97" s="176"/>
      <c r="Y97" s="176"/>
      <c r="Z97" s="176"/>
      <c r="AA97" s="176"/>
    </row>
    <row r="98" spans="1:27" ht="15.75" customHeight="1">
      <c r="A98" s="176"/>
      <c r="B98" s="209"/>
      <c r="C98" s="176"/>
      <c r="D98" s="176"/>
      <c r="E98" s="176"/>
      <c r="F98" s="210"/>
      <c r="G98" s="176"/>
      <c r="H98" s="176"/>
      <c r="I98" s="210"/>
      <c r="J98" s="176"/>
      <c r="K98" s="211"/>
      <c r="L98" s="211"/>
      <c r="M98" s="211"/>
      <c r="N98" s="211"/>
      <c r="O98" s="211"/>
      <c r="P98" s="211"/>
      <c r="Q98" s="210"/>
      <c r="R98" s="176"/>
      <c r="S98" s="176"/>
      <c r="T98" s="212"/>
      <c r="U98" s="176"/>
      <c r="V98" s="176"/>
      <c r="W98" s="176"/>
      <c r="X98" s="176"/>
      <c r="Y98" s="176"/>
      <c r="Z98" s="176"/>
      <c r="AA98" s="176"/>
    </row>
    <row r="99" spans="1:27" ht="15.75" customHeight="1">
      <c r="A99" s="176"/>
      <c r="B99" s="209"/>
      <c r="C99" s="176"/>
      <c r="D99" s="176"/>
      <c r="E99" s="176"/>
      <c r="F99" s="210"/>
      <c r="G99" s="176"/>
      <c r="H99" s="176"/>
      <c r="I99" s="210"/>
      <c r="J99" s="176"/>
      <c r="K99" s="211"/>
      <c r="L99" s="211"/>
      <c r="M99" s="211"/>
      <c r="N99" s="211"/>
      <c r="O99" s="211"/>
      <c r="P99" s="211"/>
      <c r="Q99" s="210"/>
      <c r="R99" s="176"/>
      <c r="S99" s="176"/>
      <c r="T99" s="212"/>
      <c r="U99" s="176"/>
      <c r="V99" s="176"/>
      <c r="W99" s="176"/>
      <c r="X99" s="176"/>
      <c r="Y99" s="176"/>
      <c r="Z99" s="176"/>
      <c r="AA99" s="176"/>
    </row>
    <row r="100" spans="1:27" ht="15.75" customHeight="1">
      <c r="A100" s="176"/>
      <c r="B100" s="209"/>
      <c r="C100" s="176"/>
      <c r="D100" s="176"/>
      <c r="E100" s="176"/>
      <c r="F100" s="210"/>
      <c r="G100" s="176"/>
      <c r="H100" s="176"/>
      <c r="I100" s="210"/>
      <c r="J100" s="176"/>
      <c r="K100" s="211"/>
      <c r="L100" s="211"/>
      <c r="M100" s="211"/>
      <c r="N100" s="211"/>
      <c r="O100" s="211"/>
      <c r="P100" s="211"/>
      <c r="Q100" s="210"/>
      <c r="R100" s="176"/>
      <c r="S100" s="176"/>
      <c r="T100" s="212"/>
      <c r="U100" s="176"/>
      <c r="V100" s="176"/>
      <c r="W100" s="176"/>
      <c r="X100" s="176"/>
      <c r="Y100" s="176"/>
      <c r="Z100" s="176"/>
      <c r="AA100" s="176"/>
    </row>
    <row r="101" spans="1:27" ht="15.75" customHeight="1">
      <c r="A101" s="176"/>
      <c r="B101" s="209"/>
      <c r="C101" s="176"/>
      <c r="D101" s="176"/>
      <c r="E101" s="176"/>
      <c r="F101" s="210"/>
      <c r="G101" s="176"/>
      <c r="H101" s="176"/>
      <c r="I101" s="210"/>
      <c r="J101" s="176"/>
      <c r="K101" s="211"/>
      <c r="L101" s="211"/>
      <c r="M101" s="211"/>
      <c r="N101" s="211"/>
      <c r="O101" s="211"/>
      <c r="P101" s="211"/>
      <c r="Q101" s="210"/>
      <c r="R101" s="176"/>
      <c r="S101" s="176"/>
      <c r="T101" s="212"/>
      <c r="U101" s="176"/>
      <c r="V101" s="176"/>
      <c r="W101" s="176"/>
      <c r="X101" s="176"/>
      <c r="Y101" s="176"/>
      <c r="Z101" s="176"/>
      <c r="AA101" s="176"/>
    </row>
    <row r="102" spans="1:27" ht="15.75" customHeight="1">
      <c r="A102" s="176"/>
      <c r="B102" s="209"/>
      <c r="C102" s="176"/>
      <c r="D102" s="176"/>
      <c r="E102" s="176"/>
      <c r="F102" s="210"/>
      <c r="G102" s="176"/>
      <c r="H102" s="176"/>
      <c r="I102" s="210"/>
      <c r="J102" s="176"/>
      <c r="K102" s="211"/>
      <c r="L102" s="211"/>
      <c r="M102" s="211"/>
      <c r="N102" s="211"/>
      <c r="O102" s="211"/>
      <c r="P102" s="211"/>
      <c r="Q102" s="210"/>
      <c r="R102" s="176"/>
      <c r="S102" s="176"/>
      <c r="T102" s="212"/>
      <c r="U102" s="176"/>
      <c r="V102" s="176"/>
      <c r="W102" s="176"/>
      <c r="X102" s="176"/>
      <c r="Y102" s="176"/>
      <c r="Z102" s="176"/>
      <c r="AA102" s="176"/>
    </row>
    <row r="103" spans="1:27" ht="15.75" customHeight="1">
      <c r="A103" s="176"/>
      <c r="B103" s="209"/>
      <c r="C103" s="176"/>
      <c r="D103" s="176"/>
      <c r="E103" s="176"/>
      <c r="F103" s="210"/>
      <c r="G103" s="176"/>
      <c r="H103" s="176"/>
      <c r="I103" s="210"/>
      <c r="J103" s="176"/>
      <c r="K103" s="211"/>
      <c r="L103" s="211"/>
      <c r="M103" s="211"/>
      <c r="N103" s="211"/>
      <c r="O103" s="211"/>
      <c r="P103" s="211"/>
      <c r="Q103" s="210"/>
      <c r="R103" s="176"/>
      <c r="S103" s="176"/>
      <c r="T103" s="212"/>
      <c r="U103" s="176"/>
      <c r="V103" s="176"/>
      <c r="W103" s="176"/>
      <c r="X103" s="176"/>
      <c r="Y103" s="176"/>
      <c r="Z103" s="176"/>
      <c r="AA103" s="176"/>
    </row>
    <row r="104" spans="1:27" ht="15.75" customHeight="1">
      <c r="A104" s="176"/>
      <c r="B104" s="209"/>
      <c r="C104" s="176"/>
      <c r="D104" s="176"/>
      <c r="E104" s="176"/>
      <c r="F104" s="210"/>
      <c r="G104" s="176"/>
      <c r="H104" s="176"/>
      <c r="I104" s="210"/>
      <c r="J104" s="176"/>
      <c r="K104" s="211"/>
      <c r="L104" s="211"/>
      <c r="M104" s="211"/>
      <c r="N104" s="211"/>
      <c r="O104" s="211"/>
      <c r="P104" s="211"/>
      <c r="Q104" s="210"/>
      <c r="R104" s="176"/>
      <c r="S104" s="176"/>
      <c r="T104" s="212"/>
      <c r="U104" s="176"/>
      <c r="V104" s="176"/>
      <c r="W104" s="176"/>
      <c r="X104" s="176"/>
      <c r="Y104" s="176"/>
      <c r="Z104" s="176"/>
      <c r="AA104" s="176"/>
    </row>
    <row r="105" spans="1:27" ht="15.75" customHeight="1">
      <c r="A105" s="176"/>
      <c r="B105" s="209"/>
      <c r="C105" s="176"/>
      <c r="D105" s="176"/>
      <c r="E105" s="176"/>
      <c r="F105" s="210"/>
      <c r="G105" s="176"/>
      <c r="H105" s="176"/>
      <c r="I105" s="210"/>
      <c r="J105" s="176"/>
      <c r="K105" s="211"/>
      <c r="L105" s="211"/>
      <c r="M105" s="211"/>
      <c r="N105" s="211"/>
      <c r="O105" s="211"/>
      <c r="P105" s="211"/>
      <c r="Q105" s="210"/>
      <c r="R105" s="176"/>
      <c r="S105" s="176"/>
      <c r="T105" s="212"/>
      <c r="U105" s="176"/>
      <c r="V105" s="176"/>
      <c r="W105" s="176"/>
      <c r="X105" s="176"/>
      <c r="Y105" s="176"/>
      <c r="Z105" s="176"/>
      <c r="AA105" s="176"/>
    </row>
    <row r="106" spans="1:27" ht="15.75" customHeight="1">
      <c r="A106" s="176"/>
      <c r="B106" s="209"/>
      <c r="C106" s="176"/>
      <c r="D106" s="176"/>
      <c r="E106" s="176"/>
      <c r="F106" s="210"/>
      <c r="G106" s="176"/>
      <c r="H106" s="176"/>
      <c r="I106" s="210"/>
      <c r="J106" s="176"/>
      <c r="K106" s="211"/>
      <c r="L106" s="211"/>
      <c r="M106" s="211"/>
      <c r="N106" s="211"/>
      <c r="O106" s="211"/>
      <c r="P106" s="211"/>
      <c r="Q106" s="210"/>
      <c r="R106" s="176"/>
      <c r="S106" s="176"/>
      <c r="T106" s="212"/>
      <c r="U106" s="176"/>
      <c r="V106" s="176"/>
      <c r="W106" s="176"/>
      <c r="X106" s="176"/>
      <c r="Y106" s="176"/>
      <c r="Z106" s="176"/>
      <c r="AA106" s="176"/>
    </row>
    <row r="107" spans="1:27" ht="15.75" customHeight="1">
      <c r="A107" s="176"/>
      <c r="B107" s="209"/>
      <c r="C107" s="176"/>
      <c r="D107" s="176"/>
      <c r="E107" s="176"/>
      <c r="F107" s="210"/>
      <c r="G107" s="176"/>
      <c r="H107" s="176"/>
      <c r="I107" s="210"/>
      <c r="J107" s="176"/>
      <c r="K107" s="211"/>
      <c r="L107" s="211"/>
      <c r="M107" s="211"/>
      <c r="N107" s="211"/>
      <c r="O107" s="211"/>
      <c r="P107" s="211"/>
      <c r="Q107" s="210"/>
      <c r="R107" s="176"/>
      <c r="S107" s="176"/>
      <c r="T107" s="212"/>
      <c r="U107" s="176"/>
      <c r="V107" s="176"/>
      <c r="W107" s="176"/>
      <c r="X107" s="176"/>
      <c r="Y107" s="176"/>
      <c r="Z107" s="176"/>
      <c r="AA107" s="176"/>
    </row>
    <row r="108" spans="1:27" ht="15.75" customHeight="1">
      <c r="A108" s="176"/>
      <c r="B108" s="209"/>
      <c r="C108" s="176"/>
      <c r="D108" s="176"/>
      <c r="E108" s="176"/>
      <c r="F108" s="210"/>
      <c r="G108" s="176"/>
      <c r="H108" s="176"/>
      <c r="I108" s="210"/>
      <c r="J108" s="176"/>
      <c r="K108" s="211"/>
      <c r="L108" s="211"/>
      <c r="M108" s="211"/>
      <c r="N108" s="211"/>
      <c r="O108" s="211"/>
      <c r="P108" s="211"/>
      <c r="Q108" s="210"/>
      <c r="R108" s="176"/>
      <c r="S108" s="176"/>
      <c r="T108" s="212"/>
      <c r="U108" s="176"/>
      <c r="V108" s="176"/>
      <c r="W108" s="176"/>
      <c r="X108" s="176"/>
      <c r="Y108" s="176"/>
      <c r="Z108" s="176"/>
      <c r="AA108" s="176"/>
    </row>
    <row r="109" spans="1:27" ht="15.75" customHeight="1">
      <c r="A109" s="176"/>
      <c r="B109" s="209"/>
      <c r="C109" s="176"/>
      <c r="D109" s="176"/>
      <c r="E109" s="176"/>
      <c r="F109" s="210"/>
      <c r="G109" s="176"/>
      <c r="H109" s="176"/>
      <c r="I109" s="210"/>
      <c r="J109" s="176"/>
      <c r="K109" s="211"/>
      <c r="L109" s="211"/>
      <c r="M109" s="211"/>
      <c r="N109" s="211"/>
      <c r="O109" s="211"/>
      <c r="P109" s="211"/>
      <c r="Q109" s="210"/>
      <c r="R109" s="176"/>
      <c r="S109" s="176"/>
      <c r="T109" s="212"/>
      <c r="U109" s="176"/>
      <c r="V109" s="176"/>
      <c r="W109" s="176"/>
      <c r="X109" s="176"/>
      <c r="Y109" s="176"/>
      <c r="Z109" s="176"/>
      <c r="AA109" s="176"/>
    </row>
    <row r="110" spans="1:27" ht="15.75" customHeight="1">
      <c r="A110" s="176"/>
      <c r="B110" s="209"/>
      <c r="C110" s="176"/>
      <c r="D110" s="176"/>
      <c r="E110" s="176"/>
      <c r="F110" s="210"/>
      <c r="G110" s="176"/>
      <c r="H110" s="176"/>
      <c r="I110" s="210"/>
      <c r="J110" s="176"/>
      <c r="K110" s="211"/>
      <c r="L110" s="211"/>
      <c r="M110" s="211"/>
      <c r="N110" s="211"/>
      <c r="O110" s="211"/>
      <c r="P110" s="211"/>
      <c r="Q110" s="210"/>
      <c r="R110" s="176"/>
      <c r="S110" s="176"/>
      <c r="T110" s="212"/>
      <c r="U110" s="176"/>
      <c r="V110" s="176"/>
      <c r="W110" s="176"/>
      <c r="X110" s="176"/>
      <c r="Y110" s="176"/>
      <c r="Z110" s="176"/>
      <c r="AA110" s="176"/>
    </row>
    <row r="111" spans="1:27" ht="15.75" customHeight="1">
      <c r="A111" s="176"/>
      <c r="B111" s="209"/>
      <c r="C111" s="176"/>
      <c r="D111" s="176"/>
      <c r="E111" s="176"/>
      <c r="F111" s="210"/>
      <c r="G111" s="176"/>
      <c r="H111" s="176"/>
      <c r="I111" s="210"/>
      <c r="J111" s="176"/>
      <c r="K111" s="211"/>
      <c r="L111" s="211"/>
      <c r="M111" s="211"/>
      <c r="N111" s="211"/>
      <c r="O111" s="211"/>
      <c r="P111" s="211"/>
      <c r="Q111" s="210"/>
      <c r="R111" s="176"/>
      <c r="S111" s="176"/>
      <c r="T111" s="212"/>
      <c r="U111" s="176"/>
      <c r="V111" s="176"/>
      <c r="W111" s="176"/>
      <c r="X111" s="176"/>
      <c r="Y111" s="176"/>
      <c r="Z111" s="176"/>
      <c r="AA111" s="176"/>
    </row>
    <row r="112" spans="1:27" ht="15.75" customHeight="1">
      <c r="A112" s="176"/>
      <c r="B112" s="209"/>
      <c r="C112" s="176"/>
      <c r="D112" s="176"/>
      <c r="E112" s="176"/>
      <c r="F112" s="210"/>
      <c r="G112" s="176"/>
      <c r="H112" s="176"/>
      <c r="I112" s="210"/>
      <c r="J112" s="176"/>
      <c r="K112" s="211"/>
      <c r="L112" s="211"/>
      <c r="M112" s="211"/>
      <c r="N112" s="211"/>
      <c r="O112" s="211"/>
      <c r="P112" s="211"/>
      <c r="Q112" s="210"/>
      <c r="R112" s="176"/>
      <c r="S112" s="176"/>
      <c r="T112" s="212"/>
      <c r="U112" s="176"/>
      <c r="V112" s="176"/>
      <c r="W112" s="176"/>
      <c r="X112" s="176"/>
      <c r="Y112" s="176"/>
      <c r="Z112" s="176"/>
      <c r="AA112" s="176"/>
    </row>
    <row r="113" spans="1:27" ht="15.75" customHeight="1">
      <c r="A113" s="176"/>
      <c r="B113" s="209"/>
      <c r="C113" s="176"/>
      <c r="D113" s="176"/>
      <c r="E113" s="176"/>
      <c r="F113" s="210"/>
      <c r="G113" s="176"/>
      <c r="H113" s="176"/>
      <c r="I113" s="210"/>
      <c r="J113" s="176"/>
      <c r="K113" s="211"/>
      <c r="L113" s="211"/>
      <c r="M113" s="211"/>
      <c r="N113" s="211"/>
      <c r="O113" s="211"/>
      <c r="P113" s="211"/>
      <c r="Q113" s="210"/>
      <c r="R113" s="176"/>
      <c r="S113" s="176"/>
      <c r="T113" s="212"/>
      <c r="U113" s="176"/>
      <c r="V113" s="176"/>
      <c r="W113" s="176"/>
      <c r="X113" s="176"/>
      <c r="Y113" s="176"/>
      <c r="Z113" s="176"/>
      <c r="AA113" s="176"/>
    </row>
    <row r="114" spans="1:27" ht="15.75" customHeight="1">
      <c r="A114" s="176"/>
      <c r="B114" s="209"/>
      <c r="C114" s="176"/>
      <c r="D114" s="176"/>
      <c r="E114" s="176"/>
      <c r="F114" s="210"/>
      <c r="G114" s="176"/>
      <c r="H114" s="176"/>
      <c r="I114" s="210"/>
      <c r="J114" s="176"/>
      <c r="K114" s="211"/>
      <c r="L114" s="211"/>
      <c r="M114" s="211"/>
      <c r="N114" s="211"/>
      <c r="O114" s="211"/>
      <c r="P114" s="211"/>
      <c r="Q114" s="210"/>
      <c r="R114" s="176"/>
      <c r="S114" s="176"/>
      <c r="T114" s="212"/>
      <c r="U114" s="176"/>
      <c r="V114" s="176"/>
      <c r="W114" s="176"/>
      <c r="X114" s="176"/>
      <c r="Y114" s="176"/>
      <c r="Z114" s="176"/>
      <c r="AA114" s="176"/>
    </row>
    <row r="115" spans="1:27" ht="15.75" customHeight="1">
      <c r="A115" s="176"/>
      <c r="B115" s="209"/>
      <c r="C115" s="176"/>
      <c r="D115" s="176"/>
      <c r="E115" s="176"/>
      <c r="F115" s="210"/>
      <c r="G115" s="176"/>
      <c r="H115" s="176"/>
      <c r="I115" s="210"/>
      <c r="J115" s="176"/>
      <c r="K115" s="211"/>
      <c r="L115" s="211"/>
      <c r="M115" s="211"/>
      <c r="N115" s="211"/>
      <c r="O115" s="211"/>
      <c r="P115" s="211"/>
      <c r="Q115" s="210"/>
      <c r="R115" s="176"/>
      <c r="S115" s="176"/>
      <c r="T115" s="212"/>
      <c r="U115" s="176"/>
      <c r="V115" s="176"/>
      <c r="W115" s="176"/>
      <c r="X115" s="176"/>
      <c r="Y115" s="176"/>
      <c r="Z115" s="176"/>
      <c r="AA115" s="176"/>
    </row>
    <row r="116" spans="1:27" ht="15.75" customHeight="1">
      <c r="A116" s="176"/>
      <c r="B116" s="209"/>
      <c r="C116" s="176"/>
      <c r="D116" s="176"/>
      <c r="E116" s="176"/>
      <c r="F116" s="210"/>
      <c r="G116" s="176"/>
      <c r="H116" s="176"/>
      <c r="I116" s="210"/>
      <c r="J116" s="176"/>
      <c r="K116" s="211"/>
      <c r="L116" s="211"/>
      <c r="M116" s="211"/>
      <c r="N116" s="211"/>
      <c r="O116" s="211"/>
      <c r="P116" s="211"/>
      <c r="Q116" s="210"/>
      <c r="R116" s="176"/>
      <c r="S116" s="176"/>
      <c r="T116" s="212"/>
      <c r="U116" s="176"/>
      <c r="V116" s="176"/>
      <c r="W116" s="176"/>
      <c r="X116" s="176"/>
      <c r="Y116" s="176"/>
      <c r="Z116" s="176"/>
      <c r="AA116" s="176"/>
    </row>
    <row r="117" spans="1:27" ht="15.75" customHeight="1">
      <c r="A117" s="176"/>
      <c r="B117" s="209"/>
      <c r="C117" s="176"/>
      <c r="D117" s="176"/>
      <c r="E117" s="176"/>
      <c r="F117" s="210"/>
      <c r="G117" s="176"/>
      <c r="H117" s="176"/>
      <c r="I117" s="210"/>
      <c r="J117" s="176"/>
      <c r="K117" s="211"/>
      <c r="L117" s="211"/>
      <c r="M117" s="211"/>
      <c r="N117" s="211"/>
      <c r="O117" s="211"/>
      <c r="P117" s="211"/>
      <c r="Q117" s="210"/>
      <c r="R117" s="176"/>
      <c r="S117" s="176"/>
      <c r="T117" s="212"/>
      <c r="U117" s="176"/>
      <c r="V117" s="176"/>
      <c r="W117" s="176"/>
      <c r="X117" s="176"/>
      <c r="Y117" s="176"/>
      <c r="Z117" s="176"/>
      <c r="AA117" s="176"/>
    </row>
    <row r="118" spans="1:27" ht="15.75" customHeight="1">
      <c r="A118" s="176"/>
      <c r="B118" s="209"/>
      <c r="C118" s="176"/>
      <c r="D118" s="176"/>
      <c r="E118" s="176"/>
      <c r="F118" s="210"/>
      <c r="G118" s="176"/>
      <c r="H118" s="176"/>
      <c r="I118" s="210"/>
      <c r="J118" s="176"/>
      <c r="K118" s="211"/>
      <c r="L118" s="211"/>
      <c r="M118" s="211"/>
      <c r="N118" s="211"/>
      <c r="O118" s="211"/>
      <c r="P118" s="211"/>
      <c r="Q118" s="210"/>
      <c r="R118" s="176"/>
      <c r="S118" s="176"/>
      <c r="T118" s="212"/>
      <c r="U118" s="176"/>
      <c r="V118" s="176"/>
      <c r="W118" s="176"/>
      <c r="X118" s="176"/>
      <c r="Y118" s="176"/>
      <c r="Z118" s="176"/>
      <c r="AA118" s="176"/>
    </row>
    <row r="119" spans="1:27" ht="15.75" customHeight="1">
      <c r="A119" s="176"/>
      <c r="B119" s="209"/>
      <c r="C119" s="176"/>
      <c r="D119" s="176"/>
      <c r="E119" s="176"/>
      <c r="F119" s="210"/>
      <c r="G119" s="176"/>
      <c r="H119" s="176"/>
      <c r="I119" s="210"/>
      <c r="J119" s="176"/>
      <c r="K119" s="211"/>
      <c r="L119" s="211"/>
      <c r="M119" s="211"/>
      <c r="N119" s="211"/>
      <c r="O119" s="211"/>
      <c r="P119" s="211"/>
      <c r="Q119" s="210"/>
      <c r="R119" s="176"/>
      <c r="S119" s="176"/>
      <c r="T119" s="212"/>
      <c r="U119" s="176"/>
      <c r="V119" s="176"/>
      <c r="W119" s="176"/>
      <c r="X119" s="176"/>
      <c r="Y119" s="176"/>
      <c r="Z119" s="176"/>
      <c r="AA119" s="176"/>
    </row>
    <row r="120" spans="1:27" ht="15.75" customHeight="1">
      <c r="A120" s="176"/>
      <c r="B120" s="209"/>
      <c r="C120" s="176"/>
      <c r="D120" s="176"/>
      <c r="E120" s="176"/>
      <c r="F120" s="210"/>
      <c r="G120" s="176"/>
      <c r="H120" s="176"/>
      <c r="I120" s="210"/>
      <c r="J120" s="176"/>
      <c r="K120" s="211"/>
      <c r="L120" s="211"/>
      <c r="M120" s="211"/>
      <c r="N120" s="211"/>
      <c r="O120" s="211"/>
      <c r="P120" s="211"/>
      <c r="Q120" s="210"/>
      <c r="R120" s="176"/>
      <c r="S120" s="176"/>
      <c r="T120" s="212"/>
      <c r="U120" s="176"/>
      <c r="V120" s="176"/>
      <c r="W120" s="176"/>
      <c r="X120" s="176"/>
      <c r="Y120" s="176"/>
      <c r="Z120" s="176"/>
      <c r="AA120" s="176"/>
    </row>
    <row r="121" spans="1:27" ht="15.75" customHeight="1">
      <c r="A121" s="176"/>
      <c r="B121" s="209"/>
      <c r="C121" s="176"/>
      <c r="D121" s="176"/>
      <c r="E121" s="176"/>
      <c r="F121" s="210"/>
      <c r="G121" s="176"/>
      <c r="H121" s="176"/>
      <c r="I121" s="210"/>
      <c r="J121" s="176"/>
      <c r="K121" s="211"/>
      <c r="L121" s="211"/>
      <c r="M121" s="211"/>
      <c r="N121" s="211"/>
      <c r="O121" s="211"/>
      <c r="P121" s="211"/>
      <c r="Q121" s="210"/>
      <c r="R121" s="176"/>
      <c r="S121" s="176"/>
      <c r="T121" s="212"/>
      <c r="U121" s="176"/>
      <c r="V121" s="176"/>
      <c r="W121" s="176"/>
      <c r="X121" s="176"/>
      <c r="Y121" s="176"/>
      <c r="Z121" s="176"/>
      <c r="AA121" s="176"/>
    </row>
    <row r="122" spans="1:27" ht="15.75" customHeight="1">
      <c r="A122" s="176"/>
      <c r="B122" s="209"/>
      <c r="C122" s="176"/>
      <c r="D122" s="176"/>
      <c r="E122" s="176"/>
      <c r="F122" s="210"/>
      <c r="G122" s="176"/>
      <c r="H122" s="176"/>
      <c r="I122" s="210"/>
      <c r="J122" s="176"/>
      <c r="K122" s="211"/>
      <c r="L122" s="211"/>
      <c r="M122" s="211"/>
      <c r="N122" s="211"/>
      <c r="O122" s="211"/>
      <c r="P122" s="211"/>
      <c r="Q122" s="210"/>
      <c r="R122" s="176"/>
      <c r="S122" s="176"/>
      <c r="T122" s="212"/>
      <c r="U122" s="176"/>
      <c r="V122" s="176"/>
      <c r="W122" s="176"/>
      <c r="X122" s="176"/>
      <c r="Y122" s="176"/>
      <c r="Z122" s="176"/>
      <c r="AA122" s="176"/>
    </row>
    <row r="123" spans="1:27" ht="15.75" customHeight="1">
      <c r="A123" s="176"/>
      <c r="B123" s="209"/>
      <c r="C123" s="176"/>
      <c r="D123" s="176"/>
      <c r="E123" s="176"/>
      <c r="F123" s="210"/>
      <c r="G123" s="176"/>
      <c r="H123" s="176"/>
      <c r="I123" s="210"/>
      <c r="J123" s="176"/>
      <c r="K123" s="211"/>
      <c r="L123" s="211"/>
      <c r="M123" s="211"/>
      <c r="N123" s="211"/>
      <c r="O123" s="211"/>
      <c r="P123" s="211"/>
      <c r="Q123" s="210"/>
      <c r="R123" s="176"/>
      <c r="S123" s="176"/>
      <c r="T123" s="212"/>
      <c r="U123" s="176"/>
      <c r="V123" s="176"/>
      <c r="W123" s="176"/>
      <c r="X123" s="176"/>
      <c r="Y123" s="176"/>
      <c r="Z123" s="176"/>
      <c r="AA123" s="176"/>
    </row>
    <row r="124" spans="1:27" ht="15.75" customHeight="1">
      <c r="A124" s="176"/>
      <c r="B124" s="209"/>
      <c r="C124" s="176"/>
      <c r="D124" s="176"/>
      <c r="E124" s="176"/>
      <c r="F124" s="210"/>
      <c r="G124" s="176"/>
      <c r="H124" s="176"/>
      <c r="I124" s="210"/>
      <c r="J124" s="176"/>
      <c r="K124" s="211"/>
      <c r="L124" s="211"/>
      <c r="M124" s="211"/>
      <c r="N124" s="211"/>
      <c r="O124" s="211"/>
      <c r="P124" s="211"/>
      <c r="Q124" s="210"/>
      <c r="R124" s="176"/>
      <c r="S124" s="176"/>
      <c r="T124" s="212"/>
      <c r="U124" s="176"/>
      <c r="V124" s="176"/>
      <c r="W124" s="176"/>
      <c r="X124" s="176"/>
      <c r="Y124" s="176"/>
      <c r="Z124" s="176"/>
      <c r="AA124" s="176"/>
    </row>
    <row r="125" spans="1:27" ht="15.75" customHeight="1">
      <c r="A125" s="176"/>
      <c r="B125" s="209"/>
      <c r="C125" s="176"/>
      <c r="D125" s="176"/>
      <c r="E125" s="176"/>
      <c r="F125" s="210"/>
      <c r="G125" s="176"/>
      <c r="H125" s="176"/>
      <c r="I125" s="210"/>
      <c r="J125" s="176"/>
      <c r="K125" s="211"/>
      <c r="L125" s="211"/>
      <c r="M125" s="211"/>
      <c r="N125" s="211"/>
      <c r="O125" s="211"/>
      <c r="P125" s="211"/>
      <c r="Q125" s="210"/>
      <c r="R125" s="176"/>
      <c r="S125" s="176"/>
      <c r="T125" s="212"/>
      <c r="U125" s="176"/>
      <c r="V125" s="176"/>
      <c r="W125" s="176"/>
      <c r="X125" s="176"/>
      <c r="Y125" s="176"/>
      <c r="Z125" s="176"/>
      <c r="AA125" s="176"/>
    </row>
    <row r="126" spans="1:27" ht="15.75" customHeight="1">
      <c r="A126" s="176"/>
      <c r="B126" s="209"/>
      <c r="C126" s="176"/>
      <c r="D126" s="176"/>
      <c r="E126" s="176"/>
      <c r="F126" s="210"/>
      <c r="G126" s="176"/>
      <c r="H126" s="176"/>
      <c r="I126" s="210"/>
      <c r="J126" s="176"/>
      <c r="K126" s="211"/>
      <c r="L126" s="211"/>
      <c r="M126" s="211"/>
      <c r="N126" s="211"/>
      <c r="O126" s="211"/>
      <c r="P126" s="211"/>
      <c r="Q126" s="210"/>
      <c r="R126" s="176"/>
      <c r="S126" s="176"/>
      <c r="T126" s="212"/>
      <c r="U126" s="176"/>
      <c r="V126" s="176"/>
      <c r="W126" s="176"/>
      <c r="X126" s="176"/>
      <c r="Y126" s="176"/>
      <c r="Z126" s="176"/>
      <c r="AA126" s="176"/>
    </row>
    <row r="127" spans="1:27" ht="15.75" customHeight="1">
      <c r="A127" s="176"/>
      <c r="B127" s="209"/>
      <c r="C127" s="176"/>
      <c r="D127" s="176"/>
      <c r="E127" s="176"/>
      <c r="F127" s="210"/>
      <c r="G127" s="176"/>
      <c r="H127" s="176"/>
      <c r="I127" s="210"/>
      <c r="J127" s="176"/>
      <c r="K127" s="211"/>
      <c r="L127" s="211"/>
      <c r="M127" s="211"/>
      <c r="N127" s="211"/>
      <c r="O127" s="211"/>
      <c r="P127" s="211"/>
      <c r="Q127" s="210"/>
      <c r="R127" s="176"/>
      <c r="S127" s="176"/>
      <c r="T127" s="212"/>
      <c r="U127" s="176"/>
      <c r="V127" s="176"/>
      <c r="W127" s="176"/>
      <c r="X127" s="176"/>
      <c r="Y127" s="176"/>
      <c r="Z127" s="176"/>
      <c r="AA127" s="176"/>
    </row>
    <row r="128" spans="1:27" ht="15.75" customHeight="1">
      <c r="A128" s="176"/>
      <c r="B128" s="209"/>
      <c r="C128" s="176"/>
      <c r="D128" s="176"/>
      <c r="E128" s="176"/>
      <c r="F128" s="210"/>
      <c r="G128" s="176"/>
      <c r="H128" s="176"/>
      <c r="I128" s="210"/>
      <c r="J128" s="176"/>
      <c r="K128" s="211"/>
      <c r="L128" s="211"/>
      <c r="M128" s="211"/>
      <c r="N128" s="211"/>
      <c r="O128" s="211"/>
      <c r="P128" s="211"/>
      <c r="Q128" s="210"/>
      <c r="R128" s="176"/>
      <c r="S128" s="176"/>
      <c r="T128" s="212"/>
      <c r="U128" s="176"/>
      <c r="V128" s="176"/>
      <c r="W128" s="176"/>
      <c r="X128" s="176"/>
      <c r="Y128" s="176"/>
      <c r="Z128" s="176"/>
      <c r="AA128" s="176"/>
    </row>
    <row r="129" spans="1:27" ht="15.75" customHeight="1">
      <c r="A129" s="176"/>
      <c r="B129" s="209"/>
      <c r="C129" s="176"/>
      <c r="D129" s="176"/>
      <c r="E129" s="176"/>
      <c r="F129" s="210"/>
      <c r="G129" s="176"/>
      <c r="H129" s="176"/>
      <c r="I129" s="210"/>
      <c r="J129" s="176"/>
      <c r="K129" s="211"/>
      <c r="L129" s="211"/>
      <c r="M129" s="211"/>
      <c r="N129" s="211"/>
      <c r="O129" s="211"/>
      <c r="P129" s="211"/>
      <c r="Q129" s="210"/>
      <c r="R129" s="176"/>
      <c r="S129" s="176"/>
      <c r="T129" s="212"/>
      <c r="U129" s="176"/>
      <c r="V129" s="176"/>
      <c r="W129" s="176"/>
      <c r="X129" s="176"/>
      <c r="Y129" s="176"/>
      <c r="Z129" s="176"/>
      <c r="AA129" s="176"/>
    </row>
    <row r="130" spans="1:27" ht="15.75" customHeight="1">
      <c r="A130" s="176"/>
      <c r="B130" s="209"/>
      <c r="C130" s="176"/>
      <c r="D130" s="176"/>
      <c r="E130" s="176"/>
      <c r="F130" s="210"/>
      <c r="G130" s="176"/>
      <c r="H130" s="176"/>
      <c r="I130" s="210"/>
      <c r="J130" s="176"/>
      <c r="K130" s="211"/>
      <c r="L130" s="211"/>
      <c r="M130" s="211"/>
      <c r="N130" s="211"/>
      <c r="O130" s="211"/>
      <c r="P130" s="211"/>
      <c r="Q130" s="210"/>
      <c r="R130" s="176"/>
      <c r="S130" s="176"/>
      <c r="T130" s="212"/>
      <c r="U130" s="176"/>
      <c r="V130" s="176"/>
      <c r="W130" s="176"/>
      <c r="X130" s="176"/>
      <c r="Y130" s="176"/>
      <c r="Z130" s="176"/>
      <c r="AA130" s="176"/>
    </row>
    <row r="131" spans="1:27" ht="15.75" customHeight="1">
      <c r="A131" s="176"/>
      <c r="B131" s="209"/>
      <c r="C131" s="176"/>
      <c r="D131" s="176"/>
      <c r="E131" s="176"/>
      <c r="F131" s="210"/>
      <c r="G131" s="176"/>
      <c r="H131" s="176"/>
      <c r="I131" s="210"/>
      <c r="J131" s="176"/>
      <c r="K131" s="211"/>
      <c r="L131" s="211"/>
      <c r="M131" s="211"/>
      <c r="N131" s="211"/>
      <c r="O131" s="211"/>
      <c r="P131" s="211"/>
      <c r="Q131" s="210"/>
      <c r="R131" s="176"/>
      <c r="S131" s="176"/>
      <c r="T131" s="212"/>
      <c r="U131" s="176"/>
      <c r="V131" s="176"/>
      <c r="W131" s="176"/>
      <c r="X131" s="176"/>
      <c r="Y131" s="176"/>
      <c r="Z131" s="176"/>
      <c r="AA131" s="176"/>
    </row>
    <row r="132" spans="1:27" ht="15.75" customHeight="1">
      <c r="A132" s="176"/>
      <c r="B132" s="209"/>
      <c r="C132" s="176"/>
      <c r="D132" s="176"/>
      <c r="E132" s="176"/>
      <c r="F132" s="210"/>
      <c r="G132" s="176"/>
      <c r="H132" s="176"/>
      <c r="I132" s="210"/>
      <c r="J132" s="176"/>
      <c r="K132" s="211"/>
      <c r="L132" s="211"/>
      <c r="M132" s="211"/>
      <c r="N132" s="211"/>
      <c r="O132" s="211"/>
      <c r="P132" s="211"/>
      <c r="Q132" s="210"/>
      <c r="R132" s="176"/>
      <c r="S132" s="176"/>
      <c r="T132" s="212"/>
      <c r="U132" s="176"/>
      <c r="V132" s="176"/>
      <c r="W132" s="176"/>
      <c r="X132" s="176"/>
      <c r="Y132" s="176"/>
      <c r="Z132" s="176"/>
      <c r="AA132" s="176"/>
    </row>
    <row r="133" spans="1:27" ht="15.75" customHeight="1">
      <c r="A133" s="176"/>
      <c r="B133" s="209"/>
      <c r="C133" s="176"/>
      <c r="D133" s="176"/>
      <c r="E133" s="176"/>
      <c r="F133" s="210"/>
      <c r="G133" s="176"/>
      <c r="H133" s="176"/>
      <c r="I133" s="210"/>
      <c r="J133" s="176"/>
      <c r="K133" s="211"/>
      <c r="L133" s="211"/>
      <c r="M133" s="211"/>
      <c r="N133" s="211"/>
      <c r="O133" s="211"/>
      <c r="P133" s="211"/>
      <c r="Q133" s="210"/>
      <c r="R133" s="176"/>
      <c r="S133" s="176"/>
      <c r="T133" s="212"/>
      <c r="U133" s="176"/>
      <c r="V133" s="176"/>
      <c r="W133" s="176"/>
      <c r="X133" s="176"/>
      <c r="Y133" s="176"/>
      <c r="Z133" s="176"/>
      <c r="AA133" s="176"/>
    </row>
    <row r="134" spans="1:27" ht="15.75" customHeight="1">
      <c r="A134" s="176"/>
      <c r="B134" s="209"/>
      <c r="C134" s="176"/>
      <c r="D134" s="176"/>
      <c r="E134" s="176"/>
      <c r="F134" s="210"/>
      <c r="G134" s="176"/>
      <c r="H134" s="176"/>
      <c r="I134" s="210"/>
      <c r="J134" s="176"/>
      <c r="K134" s="211"/>
      <c r="L134" s="211"/>
      <c r="M134" s="211"/>
      <c r="N134" s="211"/>
      <c r="O134" s="211"/>
      <c r="P134" s="211"/>
      <c r="Q134" s="210"/>
      <c r="R134" s="176"/>
      <c r="S134" s="176"/>
      <c r="T134" s="212"/>
      <c r="U134" s="176"/>
      <c r="V134" s="176"/>
      <c r="W134" s="176"/>
      <c r="X134" s="176"/>
      <c r="Y134" s="176"/>
      <c r="Z134" s="176"/>
      <c r="AA134" s="176"/>
    </row>
    <row r="135" spans="1:27" ht="15.75" customHeight="1">
      <c r="A135" s="176"/>
      <c r="B135" s="209"/>
      <c r="C135" s="176"/>
      <c r="D135" s="176"/>
      <c r="E135" s="176"/>
      <c r="F135" s="210"/>
      <c r="G135" s="176"/>
      <c r="H135" s="176"/>
      <c r="I135" s="210"/>
      <c r="J135" s="176"/>
      <c r="K135" s="211"/>
      <c r="L135" s="211"/>
      <c r="M135" s="211"/>
      <c r="N135" s="211"/>
      <c r="O135" s="211"/>
      <c r="P135" s="211"/>
      <c r="Q135" s="210"/>
      <c r="R135" s="176"/>
      <c r="S135" s="176"/>
      <c r="T135" s="212"/>
      <c r="U135" s="176"/>
      <c r="V135" s="176"/>
      <c r="W135" s="176"/>
      <c r="X135" s="176"/>
      <c r="Y135" s="176"/>
      <c r="Z135" s="176"/>
      <c r="AA135" s="176"/>
    </row>
    <row r="136" spans="1:27" ht="15.75" customHeight="1">
      <c r="A136" s="176"/>
      <c r="B136" s="209"/>
      <c r="C136" s="176"/>
      <c r="D136" s="176"/>
      <c r="E136" s="176"/>
      <c r="F136" s="210"/>
      <c r="G136" s="176"/>
      <c r="H136" s="176"/>
      <c r="I136" s="210"/>
      <c r="J136" s="176"/>
      <c r="K136" s="211"/>
      <c r="L136" s="211"/>
      <c r="M136" s="211"/>
      <c r="N136" s="211"/>
      <c r="O136" s="211"/>
      <c r="P136" s="211"/>
      <c r="Q136" s="210"/>
      <c r="R136" s="176"/>
      <c r="S136" s="176"/>
      <c r="T136" s="212"/>
      <c r="U136" s="176"/>
      <c r="V136" s="176"/>
      <c r="W136" s="176"/>
      <c r="X136" s="176"/>
      <c r="Y136" s="176"/>
      <c r="Z136" s="176"/>
      <c r="AA136" s="176"/>
    </row>
    <row r="137" spans="1:27" ht="15.75" customHeight="1">
      <c r="A137" s="176"/>
      <c r="B137" s="209"/>
      <c r="C137" s="176"/>
      <c r="D137" s="176"/>
      <c r="E137" s="176"/>
      <c r="F137" s="210"/>
      <c r="G137" s="176"/>
      <c r="H137" s="176"/>
      <c r="I137" s="210"/>
      <c r="J137" s="176"/>
      <c r="K137" s="211"/>
      <c r="L137" s="211"/>
      <c r="M137" s="211"/>
      <c r="N137" s="211"/>
      <c r="O137" s="211"/>
      <c r="P137" s="211"/>
      <c r="Q137" s="210"/>
      <c r="R137" s="176"/>
      <c r="S137" s="176"/>
      <c r="T137" s="212"/>
      <c r="U137" s="176"/>
      <c r="V137" s="176"/>
      <c r="W137" s="176"/>
      <c r="X137" s="176"/>
      <c r="Y137" s="176"/>
      <c r="Z137" s="176"/>
      <c r="AA137" s="176"/>
    </row>
    <row r="138" spans="1:27" ht="15.75" customHeight="1">
      <c r="A138" s="176"/>
      <c r="B138" s="209"/>
      <c r="C138" s="176"/>
      <c r="D138" s="176"/>
      <c r="E138" s="176"/>
      <c r="F138" s="210"/>
      <c r="G138" s="176"/>
      <c r="H138" s="176"/>
      <c r="I138" s="210"/>
      <c r="J138" s="176"/>
      <c r="K138" s="211"/>
      <c r="L138" s="211"/>
      <c r="M138" s="211"/>
      <c r="N138" s="211"/>
      <c r="O138" s="211"/>
      <c r="P138" s="211"/>
      <c r="Q138" s="210"/>
      <c r="R138" s="176"/>
      <c r="S138" s="176"/>
      <c r="T138" s="212"/>
      <c r="U138" s="176"/>
      <c r="V138" s="176"/>
      <c r="W138" s="176"/>
      <c r="X138" s="176"/>
      <c r="Y138" s="176"/>
      <c r="Z138" s="176"/>
      <c r="AA138" s="176"/>
    </row>
    <row r="139" spans="1:27" ht="15.75" customHeight="1">
      <c r="A139" s="176"/>
      <c r="B139" s="209"/>
      <c r="C139" s="176"/>
      <c r="D139" s="176"/>
      <c r="E139" s="176"/>
      <c r="F139" s="210"/>
      <c r="G139" s="176"/>
      <c r="H139" s="176"/>
      <c r="I139" s="210"/>
      <c r="J139" s="176"/>
      <c r="K139" s="211"/>
      <c r="L139" s="211"/>
      <c r="M139" s="211"/>
      <c r="N139" s="211"/>
      <c r="O139" s="211"/>
      <c r="P139" s="211"/>
      <c r="Q139" s="210"/>
      <c r="R139" s="176"/>
      <c r="S139" s="176"/>
      <c r="T139" s="212"/>
      <c r="U139" s="176"/>
      <c r="V139" s="176"/>
      <c r="W139" s="176"/>
      <c r="X139" s="176"/>
      <c r="Y139" s="176"/>
      <c r="Z139" s="176"/>
      <c r="AA139" s="176"/>
    </row>
    <row r="140" spans="1:27" ht="15.75" customHeight="1">
      <c r="A140" s="176"/>
      <c r="B140" s="209"/>
      <c r="C140" s="176"/>
      <c r="D140" s="176"/>
      <c r="E140" s="176"/>
      <c r="F140" s="210"/>
      <c r="G140" s="176"/>
      <c r="H140" s="176"/>
      <c r="I140" s="210"/>
      <c r="J140" s="176"/>
      <c r="K140" s="211"/>
      <c r="L140" s="211"/>
      <c r="M140" s="211"/>
      <c r="N140" s="211"/>
      <c r="O140" s="211"/>
      <c r="P140" s="211"/>
      <c r="Q140" s="210"/>
      <c r="R140" s="176"/>
      <c r="S140" s="176"/>
      <c r="T140" s="212"/>
      <c r="U140" s="176"/>
      <c r="V140" s="176"/>
      <c r="W140" s="176"/>
      <c r="X140" s="176"/>
      <c r="Y140" s="176"/>
      <c r="Z140" s="176"/>
      <c r="AA140" s="176"/>
    </row>
    <row r="141" spans="1:27" ht="15.75" customHeight="1">
      <c r="A141" s="176"/>
      <c r="B141" s="209"/>
      <c r="C141" s="176"/>
      <c r="D141" s="176"/>
      <c r="E141" s="176"/>
      <c r="F141" s="210"/>
      <c r="G141" s="176"/>
      <c r="H141" s="176"/>
      <c r="I141" s="210"/>
      <c r="J141" s="176"/>
      <c r="K141" s="211"/>
      <c r="L141" s="211"/>
      <c r="M141" s="211"/>
      <c r="N141" s="211"/>
      <c r="O141" s="211"/>
      <c r="P141" s="211"/>
      <c r="Q141" s="210"/>
      <c r="R141" s="176"/>
      <c r="S141" s="176"/>
      <c r="T141" s="212"/>
      <c r="U141" s="176"/>
      <c r="V141" s="176"/>
      <c r="W141" s="176"/>
      <c r="X141" s="176"/>
      <c r="Y141" s="176"/>
      <c r="Z141" s="176"/>
      <c r="AA141" s="176"/>
    </row>
    <row r="142" spans="1:27" ht="15.75" customHeight="1">
      <c r="A142" s="176"/>
      <c r="B142" s="209"/>
      <c r="C142" s="176"/>
      <c r="D142" s="176"/>
      <c r="E142" s="176"/>
      <c r="F142" s="210"/>
      <c r="G142" s="176"/>
      <c r="H142" s="176"/>
      <c r="I142" s="210"/>
      <c r="J142" s="176"/>
      <c r="K142" s="211"/>
      <c r="L142" s="211"/>
      <c r="M142" s="211"/>
      <c r="N142" s="211"/>
      <c r="O142" s="211"/>
      <c r="P142" s="211"/>
      <c r="Q142" s="210"/>
      <c r="R142" s="176"/>
      <c r="S142" s="176"/>
      <c r="T142" s="212"/>
      <c r="U142" s="176"/>
      <c r="V142" s="176"/>
      <c r="W142" s="176"/>
      <c r="X142" s="176"/>
      <c r="Y142" s="176"/>
      <c r="Z142" s="176"/>
      <c r="AA142" s="176"/>
    </row>
    <row r="143" spans="1:27" ht="15.75" customHeight="1">
      <c r="A143" s="176"/>
      <c r="B143" s="209"/>
      <c r="C143" s="176"/>
      <c r="D143" s="176"/>
      <c r="E143" s="176"/>
      <c r="F143" s="210"/>
      <c r="G143" s="176"/>
      <c r="H143" s="176"/>
      <c r="I143" s="210"/>
      <c r="J143" s="176"/>
      <c r="K143" s="211"/>
      <c r="L143" s="211"/>
      <c r="M143" s="211"/>
      <c r="N143" s="211"/>
      <c r="O143" s="211"/>
      <c r="P143" s="211"/>
      <c r="Q143" s="210"/>
      <c r="R143" s="176"/>
      <c r="S143" s="176"/>
      <c r="T143" s="212"/>
      <c r="U143" s="176"/>
      <c r="V143" s="176"/>
      <c r="W143" s="176"/>
      <c r="X143" s="176"/>
      <c r="Y143" s="176"/>
      <c r="Z143" s="176"/>
      <c r="AA143" s="176"/>
    </row>
    <row r="144" spans="1:27" ht="15.75" customHeight="1">
      <c r="A144" s="176"/>
      <c r="B144" s="209"/>
      <c r="C144" s="176"/>
      <c r="D144" s="176"/>
      <c r="E144" s="176"/>
      <c r="F144" s="210"/>
      <c r="G144" s="176"/>
      <c r="H144" s="176"/>
      <c r="I144" s="210"/>
      <c r="J144" s="176"/>
      <c r="K144" s="211"/>
      <c r="L144" s="211"/>
      <c r="M144" s="211"/>
      <c r="N144" s="211"/>
      <c r="O144" s="211"/>
      <c r="P144" s="211"/>
      <c r="Q144" s="210"/>
      <c r="R144" s="176"/>
      <c r="S144" s="176"/>
      <c r="T144" s="212"/>
      <c r="U144" s="176"/>
      <c r="V144" s="176"/>
      <c r="W144" s="176"/>
      <c r="X144" s="176"/>
      <c r="Y144" s="176"/>
      <c r="Z144" s="176"/>
      <c r="AA144" s="176"/>
    </row>
    <row r="145" spans="1:27" ht="15.75" customHeight="1">
      <c r="A145" s="176"/>
      <c r="B145" s="209"/>
      <c r="C145" s="176"/>
      <c r="D145" s="176"/>
      <c r="E145" s="176"/>
      <c r="F145" s="210"/>
      <c r="G145" s="176"/>
      <c r="H145" s="176"/>
      <c r="I145" s="210"/>
      <c r="J145" s="176"/>
      <c r="K145" s="211"/>
      <c r="L145" s="211"/>
      <c r="M145" s="211"/>
      <c r="N145" s="211"/>
      <c r="O145" s="211"/>
      <c r="P145" s="211"/>
      <c r="Q145" s="210"/>
      <c r="R145" s="176"/>
      <c r="S145" s="176"/>
      <c r="T145" s="212"/>
      <c r="U145" s="176"/>
      <c r="V145" s="176"/>
      <c r="W145" s="176"/>
      <c r="X145" s="176"/>
      <c r="Y145" s="176"/>
      <c r="Z145" s="176"/>
      <c r="AA145" s="176"/>
    </row>
    <row r="146" spans="1:27" ht="15.75" customHeight="1">
      <c r="A146" s="176"/>
      <c r="B146" s="209"/>
      <c r="C146" s="176"/>
      <c r="D146" s="176"/>
      <c r="E146" s="176"/>
      <c r="F146" s="210"/>
      <c r="G146" s="176"/>
      <c r="H146" s="176"/>
      <c r="I146" s="210"/>
      <c r="J146" s="176"/>
      <c r="K146" s="211"/>
      <c r="L146" s="211"/>
      <c r="M146" s="211"/>
      <c r="N146" s="211"/>
      <c r="O146" s="211"/>
      <c r="P146" s="211"/>
      <c r="Q146" s="210"/>
      <c r="R146" s="176"/>
      <c r="S146" s="176"/>
      <c r="T146" s="212"/>
      <c r="U146" s="176"/>
      <c r="V146" s="176"/>
      <c r="W146" s="176"/>
      <c r="X146" s="176"/>
      <c r="Y146" s="176"/>
      <c r="Z146" s="176"/>
      <c r="AA146" s="176"/>
    </row>
    <row r="147" spans="1:27" ht="15.75" customHeight="1">
      <c r="A147" s="176"/>
      <c r="B147" s="209"/>
      <c r="C147" s="176"/>
      <c r="D147" s="176"/>
      <c r="E147" s="176"/>
      <c r="F147" s="210"/>
      <c r="G147" s="176"/>
      <c r="H147" s="176"/>
      <c r="I147" s="210"/>
      <c r="J147" s="176"/>
      <c r="K147" s="211"/>
      <c r="L147" s="211"/>
      <c r="M147" s="211"/>
      <c r="N147" s="211"/>
      <c r="O147" s="211"/>
      <c r="P147" s="211"/>
      <c r="Q147" s="210"/>
      <c r="R147" s="176"/>
      <c r="S147" s="176"/>
      <c r="T147" s="212"/>
      <c r="U147" s="176"/>
      <c r="V147" s="176"/>
      <c r="W147" s="176"/>
      <c r="X147" s="176"/>
      <c r="Y147" s="176"/>
      <c r="Z147" s="176"/>
      <c r="AA147" s="176"/>
    </row>
    <row r="148" spans="1:27" ht="15.75" customHeight="1">
      <c r="A148" s="176"/>
      <c r="B148" s="209"/>
      <c r="C148" s="176"/>
      <c r="D148" s="176"/>
      <c r="E148" s="176"/>
      <c r="F148" s="210"/>
      <c r="G148" s="176"/>
      <c r="H148" s="176"/>
      <c r="I148" s="210"/>
      <c r="J148" s="176"/>
      <c r="K148" s="211"/>
      <c r="L148" s="211"/>
      <c r="M148" s="211"/>
      <c r="N148" s="211"/>
      <c r="O148" s="211"/>
      <c r="P148" s="211"/>
      <c r="Q148" s="210"/>
      <c r="R148" s="176"/>
      <c r="S148" s="176"/>
      <c r="T148" s="212"/>
      <c r="U148" s="176"/>
      <c r="V148" s="176"/>
      <c r="W148" s="176"/>
      <c r="X148" s="176"/>
      <c r="Y148" s="176"/>
      <c r="Z148" s="176"/>
      <c r="AA148" s="176"/>
    </row>
    <row r="149" spans="1:27" ht="15.75" customHeight="1">
      <c r="A149" s="176"/>
      <c r="B149" s="209"/>
      <c r="C149" s="176"/>
      <c r="D149" s="176"/>
      <c r="E149" s="176"/>
      <c r="F149" s="210"/>
      <c r="G149" s="176"/>
      <c r="H149" s="176"/>
      <c r="I149" s="210"/>
      <c r="J149" s="176"/>
      <c r="K149" s="211"/>
      <c r="L149" s="211"/>
      <c r="M149" s="211"/>
      <c r="N149" s="211"/>
      <c r="O149" s="211"/>
      <c r="P149" s="211"/>
      <c r="Q149" s="210"/>
      <c r="R149" s="176"/>
      <c r="S149" s="176"/>
      <c r="T149" s="212"/>
      <c r="U149" s="176"/>
      <c r="V149" s="176"/>
      <c r="W149" s="176"/>
      <c r="X149" s="176"/>
      <c r="Y149" s="176"/>
      <c r="Z149" s="176"/>
      <c r="AA149" s="176"/>
    </row>
    <row r="150" spans="1:27" ht="15.75" customHeight="1">
      <c r="A150" s="176"/>
      <c r="B150" s="209"/>
      <c r="C150" s="176"/>
      <c r="D150" s="176"/>
      <c r="E150" s="176"/>
      <c r="F150" s="210"/>
      <c r="G150" s="176"/>
      <c r="H150" s="176"/>
      <c r="I150" s="210"/>
      <c r="J150" s="176"/>
      <c r="K150" s="211"/>
      <c r="L150" s="211"/>
      <c r="M150" s="211"/>
      <c r="N150" s="211"/>
      <c r="O150" s="211"/>
      <c r="P150" s="211"/>
      <c r="Q150" s="210"/>
      <c r="R150" s="176"/>
      <c r="S150" s="176"/>
      <c r="T150" s="212"/>
      <c r="U150" s="176"/>
      <c r="V150" s="176"/>
      <c r="W150" s="176"/>
      <c r="X150" s="176"/>
      <c r="Y150" s="176"/>
      <c r="Z150" s="176"/>
      <c r="AA150" s="176"/>
    </row>
    <row r="151" spans="1:27" ht="15.75" customHeight="1">
      <c r="A151" s="176"/>
      <c r="B151" s="209"/>
      <c r="C151" s="176"/>
      <c r="D151" s="176"/>
      <c r="E151" s="176"/>
      <c r="F151" s="210"/>
      <c r="G151" s="176"/>
      <c r="H151" s="176"/>
      <c r="I151" s="210"/>
      <c r="J151" s="176"/>
      <c r="K151" s="211"/>
      <c r="L151" s="211"/>
      <c r="M151" s="211"/>
      <c r="N151" s="211"/>
      <c r="O151" s="211"/>
      <c r="P151" s="211"/>
      <c r="Q151" s="210"/>
      <c r="R151" s="176"/>
      <c r="S151" s="176"/>
      <c r="T151" s="212"/>
      <c r="U151" s="176"/>
      <c r="V151" s="176"/>
      <c r="W151" s="176"/>
      <c r="X151" s="176"/>
      <c r="Y151" s="176"/>
      <c r="Z151" s="176"/>
      <c r="AA151" s="176"/>
    </row>
    <row r="152" spans="1:27" ht="15.75" customHeight="1">
      <c r="A152" s="176"/>
      <c r="B152" s="209"/>
      <c r="C152" s="176"/>
      <c r="D152" s="176"/>
      <c r="E152" s="176"/>
      <c r="F152" s="210"/>
      <c r="G152" s="176"/>
      <c r="H152" s="176"/>
      <c r="I152" s="210"/>
      <c r="J152" s="176"/>
      <c r="K152" s="211"/>
      <c r="L152" s="211"/>
      <c r="M152" s="211"/>
      <c r="N152" s="211"/>
      <c r="O152" s="211"/>
      <c r="P152" s="211"/>
      <c r="Q152" s="210"/>
      <c r="R152" s="176"/>
      <c r="S152" s="176"/>
      <c r="T152" s="212"/>
      <c r="U152" s="176"/>
      <c r="V152" s="176"/>
      <c r="W152" s="176"/>
      <c r="X152" s="176"/>
      <c r="Y152" s="176"/>
      <c r="Z152" s="176"/>
      <c r="AA152" s="176"/>
    </row>
    <row r="153" spans="1:27" ht="15.75" customHeight="1">
      <c r="A153" s="176"/>
      <c r="B153" s="209"/>
      <c r="C153" s="176"/>
      <c r="D153" s="176"/>
      <c r="E153" s="176"/>
      <c r="F153" s="210"/>
      <c r="G153" s="176"/>
      <c r="H153" s="176"/>
      <c r="I153" s="210"/>
      <c r="J153" s="176"/>
      <c r="K153" s="211"/>
      <c r="L153" s="211"/>
      <c r="M153" s="211"/>
      <c r="N153" s="211"/>
      <c r="O153" s="211"/>
      <c r="P153" s="211"/>
      <c r="Q153" s="210"/>
      <c r="R153" s="176"/>
      <c r="S153" s="176"/>
      <c r="T153" s="212"/>
      <c r="U153" s="176"/>
      <c r="V153" s="176"/>
      <c r="W153" s="176"/>
      <c r="X153" s="176"/>
      <c r="Y153" s="176"/>
      <c r="Z153" s="176"/>
      <c r="AA153" s="176"/>
    </row>
    <row r="154" spans="1:27" ht="15.75" customHeight="1">
      <c r="A154" s="176"/>
      <c r="B154" s="209"/>
      <c r="C154" s="176"/>
      <c r="D154" s="176"/>
      <c r="E154" s="176"/>
      <c r="F154" s="210"/>
      <c r="G154" s="176"/>
      <c r="H154" s="176"/>
      <c r="I154" s="210"/>
      <c r="J154" s="176"/>
      <c r="K154" s="211"/>
      <c r="L154" s="211"/>
      <c r="M154" s="211"/>
      <c r="N154" s="211"/>
      <c r="O154" s="211"/>
      <c r="P154" s="211"/>
      <c r="Q154" s="210"/>
      <c r="R154" s="176"/>
      <c r="S154" s="176"/>
      <c r="T154" s="212"/>
      <c r="U154" s="176"/>
      <c r="V154" s="176"/>
      <c r="W154" s="176"/>
      <c r="X154" s="176"/>
      <c r="Y154" s="176"/>
      <c r="Z154" s="176"/>
      <c r="AA154" s="176"/>
    </row>
    <row r="155" spans="1:27" ht="15.75" customHeight="1">
      <c r="A155" s="176"/>
      <c r="B155" s="209"/>
      <c r="C155" s="176"/>
      <c r="D155" s="176"/>
      <c r="E155" s="176"/>
      <c r="F155" s="210"/>
      <c r="G155" s="176"/>
      <c r="H155" s="176"/>
      <c r="I155" s="210"/>
      <c r="J155" s="176"/>
      <c r="K155" s="211"/>
      <c r="L155" s="211"/>
      <c r="M155" s="211"/>
      <c r="N155" s="211"/>
      <c r="O155" s="211"/>
      <c r="P155" s="211"/>
      <c r="Q155" s="210"/>
      <c r="R155" s="176"/>
      <c r="S155" s="176"/>
      <c r="T155" s="212"/>
      <c r="U155" s="176"/>
      <c r="V155" s="176"/>
      <c r="W155" s="176"/>
      <c r="X155" s="176"/>
      <c r="Y155" s="176"/>
      <c r="Z155" s="176"/>
      <c r="AA155" s="176"/>
    </row>
    <row r="156" spans="1:27" ht="15.75" customHeight="1">
      <c r="A156" s="176"/>
      <c r="B156" s="209"/>
      <c r="C156" s="176"/>
      <c r="D156" s="176"/>
      <c r="E156" s="176"/>
      <c r="F156" s="210"/>
      <c r="G156" s="176"/>
      <c r="H156" s="176"/>
      <c r="I156" s="210"/>
      <c r="J156" s="176"/>
      <c r="K156" s="211"/>
      <c r="L156" s="211"/>
      <c r="M156" s="211"/>
      <c r="N156" s="211"/>
      <c r="O156" s="211"/>
      <c r="P156" s="211"/>
      <c r="Q156" s="210"/>
      <c r="R156" s="176"/>
      <c r="S156" s="176"/>
      <c r="T156" s="212"/>
      <c r="U156" s="176"/>
      <c r="V156" s="176"/>
      <c r="W156" s="176"/>
      <c r="X156" s="176"/>
      <c r="Y156" s="176"/>
      <c r="Z156" s="176"/>
      <c r="AA156" s="176"/>
    </row>
    <row r="157" spans="1:27" ht="15.75" customHeight="1">
      <c r="A157" s="176"/>
      <c r="B157" s="209"/>
      <c r="C157" s="176"/>
      <c r="D157" s="176"/>
      <c r="E157" s="176"/>
      <c r="F157" s="210"/>
      <c r="G157" s="176"/>
      <c r="H157" s="176"/>
      <c r="I157" s="210"/>
      <c r="J157" s="176"/>
      <c r="K157" s="211"/>
      <c r="L157" s="211"/>
      <c r="M157" s="211"/>
      <c r="N157" s="211"/>
      <c r="O157" s="211"/>
      <c r="P157" s="211"/>
      <c r="Q157" s="210"/>
      <c r="R157" s="176"/>
      <c r="S157" s="176"/>
      <c r="T157" s="212"/>
      <c r="U157" s="176"/>
      <c r="V157" s="176"/>
      <c r="W157" s="176"/>
      <c r="X157" s="176"/>
      <c r="Y157" s="176"/>
      <c r="Z157" s="176"/>
      <c r="AA157" s="176"/>
    </row>
    <row r="158" spans="1:27" ht="15.75" customHeight="1">
      <c r="A158" s="176"/>
      <c r="B158" s="209"/>
      <c r="C158" s="176"/>
      <c r="D158" s="176"/>
      <c r="E158" s="176"/>
      <c r="F158" s="210"/>
      <c r="G158" s="176"/>
      <c r="H158" s="176"/>
      <c r="I158" s="210"/>
      <c r="J158" s="176"/>
      <c r="K158" s="211"/>
      <c r="L158" s="211"/>
      <c r="M158" s="211"/>
      <c r="N158" s="211"/>
      <c r="O158" s="211"/>
      <c r="P158" s="211"/>
      <c r="Q158" s="210"/>
      <c r="R158" s="176"/>
      <c r="S158" s="176"/>
      <c r="T158" s="212"/>
      <c r="U158" s="176"/>
      <c r="V158" s="176"/>
      <c r="W158" s="176"/>
      <c r="X158" s="176"/>
      <c r="Y158" s="176"/>
      <c r="Z158" s="176"/>
      <c r="AA158" s="176"/>
    </row>
    <row r="159" spans="1:27" ht="15.75" customHeight="1">
      <c r="A159" s="176"/>
      <c r="B159" s="209"/>
      <c r="C159" s="176"/>
      <c r="D159" s="176"/>
      <c r="E159" s="176"/>
      <c r="F159" s="210"/>
      <c r="G159" s="176"/>
      <c r="H159" s="176"/>
      <c r="I159" s="210"/>
      <c r="J159" s="176"/>
      <c r="K159" s="211"/>
      <c r="L159" s="211"/>
      <c r="M159" s="211"/>
      <c r="N159" s="211"/>
      <c r="O159" s="211"/>
      <c r="P159" s="211"/>
      <c r="Q159" s="210"/>
      <c r="R159" s="176"/>
      <c r="S159" s="176"/>
      <c r="T159" s="212"/>
      <c r="U159" s="176"/>
      <c r="V159" s="176"/>
      <c r="W159" s="176"/>
      <c r="X159" s="176"/>
      <c r="Y159" s="176"/>
      <c r="Z159" s="176"/>
      <c r="AA159" s="176"/>
    </row>
    <row r="160" spans="1:27" ht="15.75" customHeight="1">
      <c r="A160" s="176"/>
      <c r="B160" s="209"/>
      <c r="C160" s="176"/>
      <c r="D160" s="176"/>
      <c r="E160" s="176"/>
      <c r="F160" s="210"/>
      <c r="G160" s="176"/>
      <c r="H160" s="176"/>
      <c r="I160" s="210"/>
      <c r="J160" s="176"/>
      <c r="K160" s="211"/>
      <c r="L160" s="211"/>
      <c r="M160" s="211"/>
      <c r="N160" s="211"/>
      <c r="O160" s="211"/>
      <c r="P160" s="211"/>
      <c r="Q160" s="210"/>
      <c r="R160" s="176"/>
      <c r="S160" s="176"/>
      <c r="T160" s="212"/>
      <c r="U160" s="176"/>
      <c r="V160" s="176"/>
      <c r="W160" s="176"/>
      <c r="X160" s="176"/>
      <c r="Y160" s="176"/>
      <c r="Z160" s="176"/>
      <c r="AA160" s="176"/>
    </row>
    <row r="161" spans="1:27" ht="15.75" customHeight="1">
      <c r="A161" s="176"/>
      <c r="B161" s="209"/>
      <c r="C161" s="176"/>
      <c r="D161" s="176"/>
      <c r="E161" s="176"/>
      <c r="F161" s="210"/>
      <c r="G161" s="176"/>
      <c r="H161" s="176"/>
      <c r="I161" s="210"/>
      <c r="J161" s="176"/>
      <c r="K161" s="211"/>
      <c r="L161" s="211"/>
      <c r="M161" s="211"/>
      <c r="N161" s="211"/>
      <c r="O161" s="211"/>
      <c r="P161" s="211"/>
      <c r="Q161" s="210"/>
      <c r="R161" s="176"/>
      <c r="S161" s="176"/>
      <c r="T161" s="212"/>
      <c r="U161" s="176"/>
      <c r="V161" s="176"/>
      <c r="W161" s="176"/>
      <c r="X161" s="176"/>
      <c r="Y161" s="176"/>
      <c r="Z161" s="176"/>
      <c r="AA161" s="176"/>
    </row>
    <row r="162" spans="1:27" ht="15.75" customHeight="1">
      <c r="A162" s="176"/>
      <c r="B162" s="209"/>
      <c r="C162" s="176"/>
      <c r="D162" s="176"/>
      <c r="E162" s="176"/>
      <c r="F162" s="210"/>
      <c r="G162" s="176"/>
      <c r="H162" s="176"/>
      <c r="I162" s="210"/>
      <c r="J162" s="176"/>
      <c r="K162" s="211"/>
      <c r="L162" s="211"/>
      <c r="M162" s="211"/>
      <c r="N162" s="211"/>
      <c r="O162" s="211"/>
      <c r="P162" s="211"/>
      <c r="Q162" s="210"/>
      <c r="R162" s="176"/>
      <c r="S162" s="176"/>
      <c r="T162" s="212"/>
      <c r="U162" s="176"/>
      <c r="V162" s="176"/>
      <c r="W162" s="176"/>
      <c r="X162" s="176"/>
      <c r="Y162" s="176"/>
      <c r="Z162" s="176"/>
      <c r="AA162" s="176"/>
    </row>
    <row r="163" spans="1:27" ht="15.75" customHeight="1">
      <c r="A163" s="176"/>
      <c r="B163" s="209"/>
      <c r="C163" s="176"/>
      <c r="D163" s="176"/>
      <c r="E163" s="176"/>
      <c r="F163" s="210"/>
      <c r="G163" s="176"/>
      <c r="H163" s="176"/>
      <c r="I163" s="210"/>
      <c r="J163" s="176"/>
      <c r="K163" s="211"/>
      <c r="L163" s="211"/>
      <c r="M163" s="211"/>
      <c r="N163" s="211"/>
      <c r="O163" s="211"/>
      <c r="P163" s="211"/>
      <c r="Q163" s="210"/>
      <c r="R163" s="176"/>
      <c r="S163" s="176"/>
      <c r="T163" s="212"/>
      <c r="U163" s="176"/>
      <c r="V163" s="176"/>
      <c r="W163" s="176"/>
      <c r="X163" s="176"/>
      <c r="Y163" s="176"/>
      <c r="Z163" s="176"/>
      <c r="AA163" s="176"/>
    </row>
    <row r="164" spans="1:27" ht="15.75" customHeight="1">
      <c r="A164" s="176"/>
      <c r="B164" s="209"/>
      <c r="C164" s="176"/>
      <c r="D164" s="176"/>
      <c r="E164" s="176"/>
      <c r="F164" s="210"/>
      <c r="G164" s="176"/>
      <c r="H164" s="176"/>
      <c r="I164" s="210"/>
      <c r="J164" s="176"/>
      <c r="K164" s="211"/>
      <c r="L164" s="211"/>
      <c r="M164" s="211"/>
      <c r="N164" s="211"/>
      <c r="O164" s="211"/>
      <c r="P164" s="211"/>
      <c r="Q164" s="210"/>
      <c r="R164" s="176"/>
      <c r="S164" s="176"/>
      <c r="T164" s="212"/>
      <c r="U164" s="176"/>
      <c r="V164" s="176"/>
      <c r="W164" s="176"/>
      <c r="X164" s="176"/>
      <c r="Y164" s="176"/>
      <c r="Z164" s="176"/>
      <c r="AA164" s="176"/>
    </row>
    <row r="165" spans="1:27" ht="15.75" customHeight="1">
      <c r="A165" s="176"/>
      <c r="B165" s="209"/>
      <c r="C165" s="176"/>
      <c r="D165" s="176"/>
      <c r="E165" s="176"/>
      <c r="F165" s="210"/>
      <c r="G165" s="176"/>
      <c r="H165" s="176"/>
      <c r="I165" s="210"/>
      <c r="J165" s="176"/>
      <c r="K165" s="211"/>
      <c r="L165" s="211"/>
      <c r="M165" s="211"/>
      <c r="N165" s="211"/>
      <c r="O165" s="211"/>
      <c r="P165" s="211"/>
      <c r="Q165" s="210"/>
      <c r="R165" s="176"/>
      <c r="S165" s="176"/>
      <c r="T165" s="212"/>
      <c r="U165" s="176"/>
      <c r="V165" s="176"/>
      <c r="W165" s="176"/>
      <c r="X165" s="176"/>
      <c r="Y165" s="176"/>
      <c r="Z165" s="176"/>
      <c r="AA165" s="176"/>
    </row>
    <row r="166" spans="1:27" ht="15.75" customHeight="1">
      <c r="A166" s="176"/>
      <c r="B166" s="209"/>
      <c r="C166" s="176"/>
      <c r="D166" s="176"/>
      <c r="E166" s="176"/>
      <c r="F166" s="210"/>
      <c r="G166" s="176"/>
      <c r="H166" s="176"/>
      <c r="I166" s="210"/>
      <c r="J166" s="176"/>
      <c r="K166" s="211"/>
      <c r="L166" s="211"/>
      <c r="M166" s="211"/>
      <c r="N166" s="211"/>
      <c r="O166" s="211"/>
      <c r="P166" s="211"/>
      <c r="Q166" s="210"/>
      <c r="R166" s="176"/>
      <c r="S166" s="176"/>
      <c r="T166" s="212"/>
      <c r="U166" s="176"/>
      <c r="V166" s="176"/>
      <c r="W166" s="176"/>
      <c r="X166" s="176"/>
      <c r="Y166" s="176"/>
      <c r="Z166" s="176"/>
      <c r="AA166" s="176"/>
    </row>
    <row r="167" spans="1:27" ht="15.75" customHeight="1">
      <c r="A167" s="176"/>
      <c r="B167" s="209"/>
      <c r="C167" s="176"/>
      <c r="D167" s="176"/>
      <c r="E167" s="176"/>
      <c r="F167" s="210"/>
      <c r="G167" s="176"/>
      <c r="H167" s="176"/>
      <c r="I167" s="210"/>
      <c r="J167" s="176"/>
      <c r="K167" s="211"/>
      <c r="L167" s="211"/>
      <c r="M167" s="211"/>
      <c r="N167" s="211"/>
      <c r="O167" s="211"/>
      <c r="P167" s="211"/>
      <c r="Q167" s="210"/>
      <c r="R167" s="176"/>
      <c r="S167" s="176"/>
      <c r="T167" s="212"/>
      <c r="U167" s="176"/>
      <c r="V167" s="176"/>
      <c r="W167" s="176"/>
      <c r="X167" s="176"/>
      <c r="Y167" s="176"/>
      <c r="Z167" s="176"/>
      <c r="AA167" s="176"/>
    </row>
    <row r="168" spans="1:27" ht="15.75" customHeight="1">
      <c r="A168" s="176"/>
      <c r="B168" s="209"/>
      <c r="C168" s="176"/>
      <c r="D168" s="176"/>
      <c r="E168" s="176"/>
      <c r="F168" s="210"/>
      <c r="G168" s="176"/>
      <c r="H168" s="176"/>
      <c r="I168" s="210"/>
      <c r="J168" s="176"/>
      <c r="K168" s="211"/>
      <c r="L168" s="211"/>
      <c r="M168" s="211"/>
      <c r="N168" s="211"/>
      <c r="O168" s="211"/>
      <c r="P168" s="211"/>
      <c r="Q168" s="210"/>
      <c r="R168" s="176"/>
      <c r="S168" s="176"/>
      <c r="T168" s="212"/>
      <c r="U168" s="176"/>
      <c r="V168" s="176"/>
      <c r="W168" s="176"/>
      <c r="X168" s="176"/>
      <c r="Y168" s="176"/>
      <c r="Z168" s="176"/>
      <c r="AA168" s="176"/>
    </row>
    <row r="169" spans="1:27" ht="15.75" customHeight="1">
      <c r="A169" s="176"/>
      <c r="B169" s="209"/>
      <c r="C169" s="176"/>
      <c r="D169" s="176"/>
      <c r="E169" s="176"/>
      <c r="F169" s="210"/>
      <c r="G169" s="176"/>
      <c r="H169" s="176"/>
      <c r="I169" s="210"/>
      <c r="J169" s="176"/>
      <c r="K169" s="211"/>
      <c r="L169" s="211"/>
      <c r="M169" s="211"/>
      <c r="N169" s="211"/>
      <c r="O169" s="211"/>
      <c r="P169" s="211"/>
      <c r="Q169" s="210"/>
      <c r="R169" s="176"/>
      <c r="S169" s="176"/>
      <c r="T169" s="212"/>
      <c r="U169" s="176"/>
      <c r="V169" s="176"/>
      <c r="W169" s="176"/>
      <c r="X169" s="176"/>
      <c r="Y169" s="176"/>
      <c r="Z169" s="176"/>
      <c r="AA169" s="176"/>
    </row>
    <row r="170" spans="1:27" ht="15.75" customHeight="1">
      <c r="A170" s="176"/>
      <c r="B170" s="209"/>
      <c r="C170" s="176"/>
      <c r="D170" s="176"/>
      <c r="E170" s="176"/>
      <c r="F170" s="210"/>
      <c r="G170" s="176"/>
      <c r="H170" s="176"/>
      <c r="I170" s="210"/>
      <c r="J170" s="176"/>
      <c r="K170" s="211"/>
      <c r="L170" s="211"/>
      <c r="M170" s="211"/>
      <c r="N170" s="211"/>
      <c r="O170" s="211"/>
      <c r="P170" s="211"/>
      <c r="Q170" s="210"/>
      <c r="R170" s="176"/>
      <c r="S170" s="176"/>
      <c r="T170" s="212"/>
      <c r="U170" s="176"/>
      <c r="V170" s="176"/>
      <c r="W170" s="176"/>
      <c r="X170" s="176"/>
      <c r="Y170" s="176"/>
      <c r="Z170" s="176"/>
      <c r="AA170" s="176"/>
    </row>
    <row r="171" spans="1:27" ht="15.75" customHeight="1">
      <c r="A171" s="176"/>
      <c r="B171" s="209"/>
      <c r="C171" s="176"/>
      <c r="D171" s="176"/>
      <c r="E171" s="176"/>
      <c r="F171" s="210"/>
      <c r="G171" s="176"/>
      <c r="H171" s="176"/>
      <c r="I171" s="210"/>
      <c r="J171" s="176"/>
      <c r="K171" s="211"/>
      <c r="L171" s="211"/>
      <c r="M171" s="211"/>
      <c r="N171" s="211"/>
      <c r="O171" s="211"/>
      <c r="P171" s="211"/>
      <c r="Q171" s="210"/>
      <c r="R171" s="176"/>
      <c r="S171" s="176"/>
      <c r="T171" s="212"/>
      <c r="U171" s="176"/>
      <c r="V171" s="176"/>
      <c r="W171" s="176"/>
      <c r="X171" s="176"/>
      <c r="Y171" s="176"/>
      <c r="Z171" s="176"/>
      <c r="AA171" s="176"/>
    </row>
    <row r="172" spans="1:27" ht="15.75" customHeight="1">
      <c r="A172" s="176"/>
      <c r="B172" s="209"/>
      <c r="C172" s="176"/>
      <c r="D172" s="176"/>
      <c r="E172" s="176"/>
      <c r="F172" s="210"/>
      <c r="G172" s="176"/>
      <c r="H172" s="176"/>
      <c r="I172" s="210"/>
      <c r="J172" s="176"/>
      <c r="K172" s="211"/>
      <c r="L172" s="211"/>
      <c r="M172" s="211"/>
      <c r="N172" s="211"/>
      <c r="O172" s="211"/>
      <c r="P172" s="211"/>
      <c r="Q172" s="210"/>
      <c r="R172" s="176"/>
      <c r="S172" s="176"/>
      <c r="T172" s="212"/>
      <c r="U172" s="176"/>
      <c r="V172" s="176"/>
      <c r="W172" s="176"/>
      <c r="X172" s="176"/>
      <c r="Y172" s="176"/>
      <c r="Z172" s="176"/>
      <c r="AA172" s="176"/>
    </row>
    <row r="173" spans="1:27" ht="15.75" customHeight="1">
      <c r="A173" s="176"/>
      <c r="B173" s="209"/>
      <c r="C173" s="176"/>
      <c r="D173" s="176"/>
      <c r="E173" s="176"/>
      <c r="F173" s="210"/>
      <c r="G173" s="176"/>
      <c r="H173" s="176"/>
      <c r="I173" s="210"/>
      <c r="J173" s="176"/>
      <c r="K173" s="211"/>
      <c r="L173" s="211"/>
      <c r="M173" s="211"/>
      <c r="N173" s="211"/>
      <c r="O173" s="211"/>
      <c r="P173" s="211"/>
      <c r="Q173" s="210"/>
      <c r="R173" s="176"/>
      <c r="S173" s="176"/>
      <c r="T173" s="212"/>
      <c r="U173" s="176"/>
      <c r="V173" s="176"/>
      <c r="W173" s="176"/>
      <c r="X173" s="176"/>
      <c r="Y173" s="176"/>
      <c r="Z173" s="176"/>
      <c r="AA173" s="176"/>
    </row>
    <row r="174" spans="1:27" ht="15.75" customHeight="1">
      <c r="A174" s="176"/>
      <c r="B174" s="209"/>
      <c r="C174" s="176"/>
      <c r="D174" s="176"/>
      <c r="E174" s="176"/>
      <c r="F174" s="210"/>
      <c r="G174" s="176"/>
      <c r="H174" s="176"/>
      <c r="I174" s="210"/>
      <c r="J174" s="176"/>
      <c r="K174" s="211"/>
      <c r="L174" s="211"/>
      <c r="M174" s="211"/>
      <c r="N174" s="211"/>
      <c r="O174" s="211"/>
      <c r="P174" s="211"/>
      <c r="Q174" s="210"/>
      <c r="R174" s="176"/>
      <c r="S174" s="176"/>
      <c r="T174" s="212"/>
      <c r="U174" s="176"/>
      <c r="V174" s="176"/>
      <c r="W174" s="176"/>
      <c r="X174" s="176"/>
      <c r="Y174" s="176"/>
      <c r="Z174" s="176"/>
      <c r="AA174" s="176"/>
    </row>
    <row r="175" spans="1:27" ht="15.75" customHeight="1">
      <c r="A175" s="176"/>
      <c r="B175" s="209"/>
      <c r="C175" s="176"/>
      <c r="D175" s="176"/>
      <c r="E175" s="176"/>
      <c r="F175" s="210"/>
      <c r="G175" s="176"/>
      <c r="H175" s="176"/>
      <c r="I175" s="210"/>
      <c r="J175" s="176"/>
      <c r="K175" s="211"/>
      <c r="L175" s="211"/>
      <c r="M175" s="211"/>
      <c r="N175" s="211"/>
      <c r="O175" s="211"/>
      <c r="P175" s="211"/>
      <c r="Q175" s="210"/>
      <c r="R175" s="176"/>
      <c r="S175" s="176"/>
      <c r="T175" s="212"/>
      <c r="U175" s="176"/>
      <c r="V175" s="176"/>
      <c r="W175" s="176"/>
      <c r="X175" s="176"/>
      <c r="Y175" s="176"/>
      <c r="Z175" s="176"/>
      <c r="AA175" s="176"/>
    </row>
    <row r="176" spans="1:27" ht="15.75" customHeight="1">
      <c r="A176" s="176"/>
      <c r="B176" s="209"/>
      <c r="C176" s="176"/>
      <c r="D176" s="176"/>
      <c r="E176" s="176"/>
      <c r="F176" s="210"/>
      <c r="G176" s="176"/>
      <c r="H176" s="176"/>
      <c r="I176" s="210"/>
      <c r="J176" s="176"/>
      <c r="K176" s="211"/>
      <c r="L176" s="211"/>
      <c r="M176" s="211"/>
      <c r="N176" s="211"/>
      <c r="O176" s="211"/>
      <c r="P176" s="211"/>
      <c r="Q176" s="210"/>
      <c r="R176" s="176"/>
      <c r="S176" s="176"/>
      <c r="T176" s="212"/>
      <c r="U176" s="176"/>
      <c r="V176" s="176"/>
      <c r="W176" s="176"/>
      <c r="X176" s="176"/>
      <c r="Y176" s="176"/>
      <c r="Z176" s="176"/>
      <c r="AA176" s="176"/>
    </row>
    <row r="177" spans="1:27" ht="15.75" customHeight="1">
      <c r="A177" s="176"/>
      <c r="B177" s="209"/>
      <c r="C177" s="176"/>
      <c r="D177" s="176"/>
      <c r="E177" s="176"/>
      <c r="F177" s="210"/>
      <c r="G177" s="176"/>
      <c r="H177" s="176"/>
      <c r="I177" s="210"/>
      <c r="J177" s="176"/>
      <c r="K177" s="211"/>
      <c r="L177" s="211"/>
      <c r="M177" s="211"/>
      <c r="N177" s="211"/>
      <c r="O177" s="211"/>
      <c r="P177" s="211"/>
      <c r="Q177" s="210"/>
      <c r="R177" s="176"/>
      <c r="S177" s="176"/>
      <c r="T177" s="212"/>
      <c r="U177" s="176"/>
      <c r="V177" s="176"/>
      <c r="W177" s="176"/>
      <c r="X177" s="176"/>
      <c r="Y177" s="176"/>
      <c r="Z177" s="176"/>
      <c r="AA177" s="176"/>
    </row>
    <row r="178" spans="1:27" ht="15.75" customHeight="1">
      <c r="A178" s="176"/>
      <c r="B178" s="209"/>
      <c r="C178" s="176"/>
      <c r="D178" s="176"/>
      <c r="E178" s="176"/>
      <c r="F178" s="210"/>
      <c r="G178" s="176"/>
      <c r="H178" s="176"/>
      <c r="I178" s="210"/>
      <c r="J178" s="176"/>
      <c r="K178" s="211"/>
      <c r="L178" s="211"/>
      <c r="M178" s="211"/>
      <c r="N178" s="211"/>
      <c r="O178" s="211"/>
      <c r="P178" s="211"/>
      <c r="Q178" s="210"/>
      <c r="R178" s="176"/>
      <c r="S178" s="176"/>
      <c r="T178" s="212"/>
      <c r="U178" s="176"/>
      <c r="V178" s="176"/>
      <c r="W178" s="176"/>
      <c r="X178" s="176"/>
      <c r="Y178" s="176"/>
      <c r="Z178" s="176"/>
      <c r="AA178" s="176"/>
    </row>
    <row r="179" spans="1:27" ht="15.75" customHeight="1">
      <c r="A179" s="176"/>
      <c r="B179" s="209"/>
      <c r="C179" s="176"/>
      <c r="D179" s="176"/>
      <c r="E179" s="176"/>
      <c r="F179" s="210"/>
      <c r="G179" s="176"/>
      <c r="H179" s="176"/>
      <c r="I179" s="210"/>
      <c r="J179" s="176"/>
      <c r="K179" s="211"/>
      <c r="L179" s="211"/>
      <c r="M179" s="211"/>
      <c r="N179" s="211"/>
      <c r="O179" s="211"/>
      <c r="P179" s="211"/>
      <c r="Q179" s="210"/>
      <c r="R179" s="176"/>
      <c r="S179" s="176"/>
      <c r="T179" s="212"/>
      <c r="U179" s="176"/>
      <c r="V179" s="176"/>
      <c r="W179" s="176"/>
      <c r="X179" s="176"/>
      <c r="Y179" s="176"/>
      <c r="Z179" s="176"/>
      <c r="AA179" s="176"/>
    </row>
    <row r="180" spans="1:27" ht="15.75" customHeight="1">
      <c r="A180" s="176"/>
      <c r="B180" s="209"/>
      <c r="C180" s="176"/>
      <c r="D180" s="176"/>
      <c r="E180" s="176"/>
      <c r="F180" s="210"/>
      <c r="G180" s="176"/>
      <c r="H180" s="176"/>
      <c r="I180" s="210"/>
      <c r="J180" s="176"/>
      <c r="K180" s="211"/>
      <c r="L180" s="211"/>
      <c r="M180" s="211"/>
      <c r="N180" s="211"/>
      <c r="O180" s="211"/>
      <c r="P180" s="211"/>
      <c r="Q180" s="210"/>
      <c r="R180" s="176"/>
      <c r="S180" s="176"/>
      <c r="T180" s="212"/>
      <c r="U180" s="176"/>
      <c r="V180" s="176"/>
      <c r="W180" s="176"/>
      <c r="X180" s="176"/>
      <c r="Y180" s="176"/>
      <c r="Z180" s="176"/>
      <c r="AA180" s="176"/>
    </row>
    <row r="181" spans="1:27" ht="15.75" customHeight="1">
      <c r="A181" s="176"/>
      <c r="B181" s="209"/>
      <c r="C181" s="176"/>
      <c r="D181" s="176"/>
      <c r="E181" s="176"/>
      <c r="F181" s="210"/>
      <c r="G181" s="176"/>
      <c r="H181" s="176"/>
      <c r="I181" s="210"/>
      <c r="J181" s="176"/>
      <c r="K181" s="211"/>
      <c r="L181" s="211"/>
      <c r="M181" s="211"/>
      <c r="N181" s="211"/>
      <c r="O181" s="211"/>
      <c r="P181" s="211"/>
      <c r="Q181" s="210"/>
      <c r="R181" s="176"/>
      <c r="S181" s="176"/>
      <c r="T181" s="212"/>
      <c r="U181" s="176"/>
      <c r="V181" s="176"/>
      <c r="W181" s="176"/>
      <c r="X181" s="176"/>
      <c r="Y181" s="176"/>
      <c r="Z181" s="176"/>
      <c r="AA181" s="176"/>
    </row>
    <row r="182" spans="1:27" ht="15.75" customHeight="1">
      <c r="A182" s="176"/>
      <c r="B182" s="209"/>
      <c r="C182" s="176"/>
      <c r="D182" s="176"/>
      <c r="E182" s="176"/>
      <c r="F182" s="210"/>
      <c r="G182" s="176"/>
      <c r="H182" s="176"/>
      <c r="I182" s="210"/>
      <c r="J182" s="176"/>
      <c r="K182" s="211"/>
      <c r="L182" s="211"/>
      <c r="M182" s="211"/>
      <c r="N182" s="211"/>
      <c r="O182" s="211"/>
      <c r="P182" s="211"/>
      <c r="Q182" s="210"/>
      <c r="R182" s="176"/>
      <c r="S182" s="176"/>
      <c r="T182" s="212"/>
      <c r="U182" s="176"/>
      <c r="V182" s="176"/>
      <c r="W182" s="176"/>
      <c r="X182" s="176"/>
      <c r="Y182" s="176"/>
      <c r="Z182" s="176"/>
      <c r="AA182" s="176"/>
    </row>
    <row r="183" spans="1:27" ht="15.75" customHeight="1">
      <c r="A183" s="176"/>
      <c r="B183" s="209"/>
      <c r="C183" s="176"/>
      <c r="D183" s="176"/>
      <c r="E183" s="176"/>
      <c r="F183" s="210"/>
      <c r="G183" s="176"/>
      <c r="H183" s="176"/>
      <c r="I183" s="210"/>
      <c r="J183" s="176"/>
      <c r="K183" s="211"/>
      <c r="L183" s="211"/>
      <c r="M183" s="211"/>
      <c r="N183" s="211"/>
      <c r="O183" s="211"/>
      <c r="P183" s="211"/>
      <c r="Q183" s="210"/>
      <c r="R183" s="176"/>
      <c r="S183" s="176"/>
      <c r="T183" s="212"/>
      <c r="U183" s="176"/>
      <c r="V183" s="176"/>
      <c r="W183" s="176"/>
      <c r="X183" s="176"/>
      <c r="Y183" s="176"/>
      <c r="Z183" s="176"/>
      <c r="AA183" s="176"/>
    </row>
    <row r="184" spans="1:27" ht="15.75" customHeight="1">
      <c r="A184" s="176"/>
      <c r="B184" s="209"/>
      <c r="C184" s="176"/>
      <c r="D184" s="176"/>
      <c r="E184" s="176"/>
      <c r="F184" s="210"/>
      <c r="G184" s="176"/>
      <c r="H184" s="176"/>
      <c r="I184" s="210"/>
      <c r="J184" s="176"/>
      <c r="K184" s="211"/>
      <c r="L184" s="211"/>
      <c r="M184" s="211"/>
      <c r="N184" s="211"/>
      <c r="O184" s="211"/>
      <c r="P184" s="211"/>
      <c r="Q184" s="210"/>
      <c r="R184" s="176"/>
      <c r="S184" s="176"/>
      <c r="T184" s="212"/>
      <c r="U184" s="176"/>
      <c r="V184" s="176"/>
      <c r="W184" s="176"/>
      <c r="X184" s="176"/>
      <c r="Y184" s="176"/>
      <c r="Z184" s="176"/>
      <c r="AA184" s="176"/>
    </row>
    <row r="185" spans="1:27" ht="15.75" customHeight="1">
      <c r="A185" s="176"/>
      <c r="B185" s="209"/>
      <c r="C185" s="176"/>
      <c r="D185" s="176"/>
      <c r="E185" s="176"/>
      <c r="F185" s="210"/>
      <c r="G185" s="176"/>
      <c r="H185" s="176"/>
      <c r="I185" s="210"/>
      <c r="J185" s="176"/>
      <c r="K185" s="211"/>
      <c r="L185" s="211"/>
      <c r="M185" s="211"/>
      <c r="N185" s="211"/>
      <c r="O185" s="211"/>
      <c r="P185" s="211"/>
      <c r="Q185" s="210"/>
      <c r="R185" s="176"/>
      <c r="S185" s="176"/>
      <c r="T185" s="212"/>
      <c r="U185" s="176"/>
      <c r="V185" s="176"/>
      <c r="W185" s="176"/>
      <c r="X185" s="176"/>
      <c r="Y185" s="176"/>
      <c r="Z185" s="176"/>
      <c r="AA185" s="176"/>
    </row>
    <row r="186" spans="1:27" ht="15.75" customHeight="1">
      <c r="A186" s="176"/>
      <c r="B186" s="209"/>
      <c r="C186" s="176"/>
      <c r="D186" s="176"/>
      <c r="E186" s="176"/>
      <c r="F186" s="210"/>
      <c r="G186" s="176"/>
      <c r="H186" s="176"/>
      <c r="I186" s="210"/>
      <c r="J186" s="176"/>
      <c r="K186" s="211"/>
      <c r="L186" s="211"/>
      <c r="M186" s="211"/>
      <c r="N186" s="211"/>
      <c r="O186" s="211"/>
      <c r="P186" s="211"/>
      <c r="Q186" s="210"/>
      <c r="R186" s="176"/>
      <c r="S186" s="176"/>
      <c r="T186" s="212"/>
      <c r="U186" s="176"/>
      <c r="V186" s="176"/>
      <c r="W186" s="176"/>
      <c r="X186" s="176"/>
      <c r="Y186" s="176"/>
      <c r="Z186" s="176"/>
      <c r="AA186" s="176"/>
    </row>
    <row r="187" spans="1:27" ht="15.75" customHeight="1">
      <c r="A187" s="176"/>
      <c r="B187" s="209"/>
      <c r="C187" s="176"/>
      <c r="D187" s="176"/>
      <c r="E187" s="176"/>
      <c r="F187" s="210"/>
      <c r="G187" s="176"/>
      <c r="H187" s="176"/>
      <c r="I187" s="210"/>
      <c r="J187" s="176"/>
      <c r="K187" s="211"/>
      <c r="L187" s="211"/>
      <c r="M187" s="211"/>
      <c r="N187" s="211"/>
      <c r="O187" s="211"/>
      <c r="P187" s="211"/>
      <c r="Q187" s="210"/>
      <c r="R187" s="176"/>
      <c r="S187" s="176"/>
      <c r="T187" s="212"/>
      <c r="U187" s="176"/>
      <c r="V187" s="176"/>
      <c r="W187" s="176"/>
      <c r="X187" s="176"/>
      <c r="Y187" s="176"/>
      <c r="Z187" s="176"/>
      <c r="AA187" s="176"/>
    </row>
    <row r="188" spans="1:27" ht="15.75" customHeight="1">
      <c r="A188" s="176"/>
      <c r="B188" s="209"/>
      <c r="C188" s="176"/>
      <c r="D188" s="176"/>
      <c r="E188" s="176"/>
      <c r="F188" s="210"/>
      <c r="G188" s="176"/>
      <c r="H188" s="176"/>
      <c r="I188" s="210"/>
      <c r="J188" s="176"/>
      <c r="K188" s="211"/>
      <c r="L188" s="211"/>
      <c r="M188" s="211"/>
      <c r="N188" s="211"/>
      <c r="O188" s="211"/>
      <c r="P188" s="211"/>
      <c r="Q188" s="210"/>
      <c r="R188" s="176"/>
      <c r="S188" s="176"/>
      <c r="T188" s="212"/>
      <c r="U188" s="176"/>
      <c r="V188" s="176"/>
      <c r="W188" s="176"/>
      <c r="X188" s="176"/>
      <c r="Y188" s="176"/>
      <c r="Z188" s="176"/>
      <c r="AA188" s="176"/>
    </row>
    <row r="189" spans="1:27" ht="15.75" customHeight="1">
      <c r="A189" s="176"/>
      <c r="B189" s="209"/>
      <c r="C189" s="176"/>
      <c r="D189" s="176"/>
      <c r="E189" s="176"/>
      <c r="F189" s="210"/>
      <c r="G189" s="176"/>
      <c r="H189" s="176"/>
      <c r="I189" s="210"/>
      <c r="J189" s="176"/>
      <c r="K189" s="211"/>
      <c r="L189" s="211"/>
      <c r="M189" s="211"/>
      <c r="N189" s="211"/>
      <c r="O189" s="211"/>
      <c r="P189" s="211"/>
      <c r="Q189" s="210"/>
      <c r="R189" s="176"/>
      <c r="S189" s="176"/>
      <c r="T189" s="212"/>
      <c r="U189" s="176"/>
      <c r="V189" s="176"/>
      <c r="W189" s="176"/>
      <c r="X189" s="176"/>
      <c r="Y189" s="176"/>
      <c r="Z189" s="176"/>
      <c r="AA189" s="176"/>
    </row>
    <row r="190" spans="1:27" ht="15.75" customHeight="1">
      <c r="A190" s="176"/>
      <c r="B190" s="209"/>
      <c r="C190" s="176"/>
      <c r="D190" s="176"/>
      <c r="E190" s="176"/>
      <c r="F190" s="210"/>
      <c r="G190" s="176"/>
      <c r="H190" s="176"/>
      <c r="I190" s="210"/>
      <c r="J190" s="176"/>
      <c r="K190" s="211"/>
      <c r="L190" s="211"/>
      <c r="M190" s="211"/>
      <c r="N190" s="211"/>
      <c r="O190" s="211"/>
      <c r="P190" s="211"/>
      <c r="Q190" s="210"/>
      <c r="R190" s="176"/>
      <c r="S190" s="176"/>
      <c r="T190" s="212"/>
      <c r="U190" s="176"/>
      <c r="V190" s="176"/>
      <c r="W190" s="176"/>
      <c r="X190" s="176"/>
      <c r="Y190" s="176"/>
      <c r="Z190" s="176"/>
      <c r="AA190" s="176"/>
    </row>
    <row r="191" spans="1:27" ht="15.75" customHeight="1">
      <c r="A191" s="176"/>
      <c r="B191" s="209"/>
      <c r="C191" s="176"/>
      <c r="D191" s="176"/>
      <c r="E191" s="176"/>
      <c r="F191" s="210"/>
      <c r="G191" s="176"/>
      <c r="H191" s="176"/>
      <c r="I191" s="210"/>
      <c r="J191" s="176"/>
      <c r="K191" s="211"/>
      <c r="L191" s="211"/>
      <c r="M191" s="211"/>
      <c r="N191" s="211"/>
      <c r="O191" s="211"/>
      <c r="P191" s="211"/>
      <c r="Q191" s="210"/>
      <c r="R191" s="176"/>
      <c r="S191" s="176"/>
      <c r="T191" s="212"/>
      <c r="U191" s="176"/>
      <c r="V191" s="176"/>
      <c r="W191" s="176"/>
      <c r="X191" s="176"/>
      <c r="Y191" s="176"/>
      <c r="Z191" s="176"/>
      <c r="AA191" s="176"/>
    </row>
    <row r="192" spans="1:27" ht="15.75" customHeight="1">
      <c r="A192" s="176"/>
      <c r="B192" s="209"/>
      <c r="C192" s="176"/>
      <c r="D192" s="176"/>
      <c r="E192" s="176"/>
      <c r="F192" s="210"/>
      <c r="G192" s="176"/>
      <c r="H192" s="176"/>
      <c r="I192" s="210"/>
      <c r="J192" s="176"/>
      <c r="K192" s="211"/>
      <c r="L192" s="211"/>
      <c r="M192" s="211"/>
      <c r="N192" s="211"/>
      <c r="O192" s="211"/>
      <c r="P192" s="211"/>
      <c r="Q192" s="210"/>
      <c r="R192" s="176"/>
      <c r="S192" s="176"/>
      <c r="T192" s="212"/>
      <c r="U192" s="176"/>
      <c r="V192" s="176"/>
      <c r="W192" s="176"/>
      <c r="X192" s="176"/>
      <c r="Y192" s="176"/>
      <c r="Z192" s="176"/>
      <c r="AA192" s="176"/>
    </row>
    <row r="193" spans="1:27" ht="15.75" customHeight="1">
      <c r="A193" s="176"/>
      <c r="B193" s="209"/>
      <c r="C193" s="176"/>
      <c r="D193" s="176"/>
      <c r="E193" s="176"/>
      <c r="F193" s="210"/>
      <c r="G193" s="176"/>
      <c r="H193" s="176"/>
      <c r="I193" s="210"/>
      <c r="J193" s="176"/>
      <c r="K193" s="211"/>
      <c r="L193" s="211"/>
      <c r="M193" s="211"/>
      <c r="N193" s="211"/>
      <c r="O193" s="211"/>
      <c r="P193" s="211"/>
      <c r="Q193" s="210"/>
      <c r="R193" s="176"/>
      <c r="S193" s="176"/>
      <c r="T193" s="212"/>
      <c r="U193" s="176"/>
      <c r="V193" s="176"/>
      <c r="W193" s="176"/>
      <c r="X193" s="176"/>
      <c r="Y193" s="176"/>
      <c r="Z193" s="176"/>
      <c r="AA193" s="176"/>
    </row>
    <row r="194" spans="1:27" ht="15.75" customHeight="1">
      <c r="A194" s="176"/>
      <c r="B194" s="209"/>
      <c r="C194" s="176"/>
      <c r="D194" s="176"/>
      <c r="E194" s="176"/>
      <c r="F194" s="210"/>
      <c r="G194" s="176"/>
      <c r="H194" s="176"/>
      <c r="I194" s="210"/>
      <c r="J194" s="176"/>
      <c r="K194" s="211"/>
      <c r="L194" s="211"/>
      <c r="M194" s="211"/>
      <c r="N194" s="211"/>
      <c r="O194" s="211"/>
      <c r="P194" s="211"/>
      <c r="Q194" s="210"/>
      <c r="R194" s="176"/>
      <c r="S194" s="176"/>
      <c r="T194" s="212"/>
      <c r="U194" s="176"/>
      <c r="V194" s="176"/>
      <c r="W194" s="176"/>
      <c r="X194" s="176"/>
      <c r="Y194" s="176"/>
      <c r="Z194" s="176"/>
      <c r="AA194" s="176"/>
    </row>
    <row r="195" spans="1:27" ht="15.75" customHeight="1">
      <c r="A195" s="176"/>
      <c r="B195" s="209"/>
      <c r="C195" s="176"/>
      <c r="D195" s="176"/>
      <c r="E195" s="176"/>
      <c r="F195" s="210"/>
      <c r="G195" s="176"/>
      <c r="H195" s="176"/>
      <c r="I195" s="210"/>
      <c r="J195" s="176"/>
      <c r="K195" s="211"/>
      <c r="L195" s="211"/>
      <c r="M195" s="211"/>
      <c r="N195" s="211"/>
      <c r="O195" s="211"/>
      <c r="P195" s="211"/>
      <c r="Q195" s="210"/>
      <c r="R195" s="176"/>
      <c r="S195" s="176"/>
      <c r="T195" s="212"/>
      <c r="U195" s="176"/>
      <c r="V195" s="176"/>
      <c r="W195" s="176"/>
      <c r="X195" s="176"/>
      <c r="Y195" s="176"/>
      <c r="Z195" s="176"/>
      <c r="AA195" s="176"/>
    </row>
    <row r="196" spans="1:27" ht="15.75" customHeight="1">
      <c r="A196" s="176"/>
      <c r="B196" s="209"/>
      <c r="C196" s="176"/>
      <c r="D196" s="176"/>
      <c r="E196" s="176"/>
      <c r="F196" s="210"/>
      <c r="G196" s="176"/>
      <c r="H196" s="176"/>
      <c r="I196" s="210"/>
      <c r="J196" s="176"/>
      <c r="K196" s="211"/>
      <c r="L196" s="211"/>
      <c r="M196" s="211"/>
      <c r="N196" s="211"/>
      <c r="O196" s="211"/>
      <c r="P196" s="211"/>
      <c r="Q196" s="210"/>
      <c r="R196" s="176"/>
      <c r="S196" s="176"/>
      <c r="T196" s="212"/>
      <c r="U196" s="176"/>
      <c r="V196" s="176"/>
      <c r="W196" s="176"/>
      <c r="X196" s="176"/>
      <c r="Y196" s="176"/>
      <c r="Z196" s="176"/>
      <c r="AA196" s="176"/>
    </row>
    <row r="197" spans="1:27" ht="15.75" customHeight="1">
      <c r="A197" s="176"/>
      <c r="B197" s="209"/>
      <c r="C197" s="176"/>
      <c r="D197" s="176"/>
      <c r="E197" s="176"/>
      <c r="F197" s="210"/>
      <c r="G197" s="176"/>
      <c r="H197" s="176"/>
      <c r="I197" s="210"/>
      <c r="J197" s="176"/>
      <c r="K197" s="211"/>
      <c r="L197" s="211"/>
      <c r="M197" s="211"/>
      <c r="N197" s="211"/>
      <c r="O197" s="211"/>
      <c r="P197" s="211"/>
      <c r="Q197" s="210"/>
      <c r="R197" s="176"/>
      <c r="S197" s="176"/>
      <c r="T197" s="212"/>
      <c r="U197" s="176"/>
      <c r="V197" s="176"/>
      <c r="W197" s="176"/>
      <c r="X197" s="176"/>
      <c r="Y197" s="176"/>
      <c r="Z197" s="176"/>
      <c r="AA197" s="176"/>
    </row>
    <row r="198" spans="1:27" ht="15.75" customHeight="1">
      <c r="A198" s="176"/>
      <c r="B198" s="209"/>
      <c r="C198" s="176"/>
      <c r="D198" s="176"/>
      <c r="E198" s="176"/>
      <c r="F198" s="210"/>
      <c r="G198" s="176"/>
      <c r="H198" s="176"/>
      <c r="I198" s="210"/>
      <c r="J198" s="176"/>
      <c r="K198" s="211"/>
      <c r="L198" s="211"/>
      <c r="M198" s="211"/>
      <c r="N198" s="211"/>
      <c r="O198" s="211"/>
      <c r="P198" s="211"/>
      <c r="Q198" s="210"/>
      <c r="R198" s="176"/>
      <c r="S198" s="176"/>
      <c r="T198" s="212"/>
      <c r="U198" s="176"/>
      <c r="V198" s="176"/>
      <c r="W198" s="176"/>
      <c r="X198" s="176"/>
      <c r="Y198" s="176"/>
      <c r="Z198" s="176"/>
      <c r="AA198" s="176"/>
    </row>
    <row r="199" spans="1:27" ht="15.75" customHeight="1">
      <c r="A199" s="176"/>
      <c r="B199" s="209"/>
      <c r="C199" s="176"/>
      <c r="D199" s="176"/>
      <c r="E199" s="176"/>
      <c r="F199" s="210"/>
      <c r="G199" s="176"/>
      <c r="H199" s="176"/>
      <c r="I199" s="210"/>
      <c r="J199" s="176"/>
      <c r="K199" s="211"/>
      <c r="L199" s="211"/>
      <c r="M199" s="211"/>
      <c r="N199" s="211"/>
      <c r="O199" s="211"/>
      <c r="P199" s="211"/>
      <c r="Q199" s="210"/>
      <c r="R199" s="176"/>
      <c r="S199" s="176"/>
      <c r="T199" s="212"/>
      <c r="U199" s="176"/>
      <c r="V199" s="176"/>
      <c r="W199" s="176"/>
      <c r="X199" s="176"/>
      <c r="Y199" s="176"/>
      <c r="Z199" s="176"/>
      <c r="AA199" s="176"/>
    </row>
    <row r="200" spans="1:27" ht="15.75" customHeight="1">
      <c r="A200" s="176"/>
      <c r="B200" s="209"/>
      <c r="C200" s="176"/>
      <c r="D200" s="176"/>
      <c r="E200" s="176"/>
      <c r="F200" s="210"/>
      <c r="G200" s="176"/>
      <c r="H200" s="176"/>
      <c r="I200" s="210"/>
      <c r="J200" s="176"/>
      <c r="K200" s="211"/>
      <c r="L200" s="211"/>
      <c r="M200" s="211"/>
      <c r="N200" s="211"/>
      <c r="O200" s="211"/>
      <c r="P200" s="211"/>
      <c r="Q200" s="210"/>
      <c r="R200" s="176"/>
      <c r="S200" s="176"/>
      <c r="T200" s="212"/>
      <c r="U200" s="176"/>
      <c r="V200" s="176"/>
      <c r="W200" s="176"/>
      <c r="X200" s="176"/>
      <c r="Y200" s="176"/>
      <c r="Z200" s="176"/>
      <c r="AA200" s="176"/>
    </row>
    <row r="201" spans="1:27" ht="15.75" customHeight="1">
      <c r="A201" s="176"/>
      <c r="B201" s="209"/>
      <c r="C201" s="176"/>
      <c r="D201" s="176"/>
      <c r="E201" s="176"/>
      <c r="F201" s="210"/>
      <c r="G201" s="176"/>
      <c r="H201" s="176"/>
      <c r="I201" s="210"/>
      <c r="J201" s="176"/>
      <c r="K201" s="211"/>
      <c r="L201" s="211"/>
      <c r="M201" s="211"/>
      <c r="N201" s="211"/>
      <c r="O201" s="211"/>
      <c r="P201" s="211"/>
      <c r="Q201" s="210"/>
      <c r="R201" s="176"/>
      <c r="S201" s="176"/>
      <c r="T201" s="212"/>
      <c r="U201" s="176"/>
      <c r="V201" s="176"/>
      <c r="W201" s="176"/>
      <c r="X201" s="176"/>
      <c r="Y201" s="176"/>
      <c r="Z201" s="176"/>
      <c r="AA201" s="176"/>
    </row>
    <row r="202" spans="1:27" ht="15.75" customHeight="1">
      <c r="A202" s="176"/>
      <c r="B202" s="209"/>
      <c r="C202" s="176"/>
      <c r="D202" s="176"/>
      <c r="E202" s="176"/>
      <c r="F202" s="210"/>
      <c r="G202" s="176"/>
      <c r="H202" s="176"/>
      <c r="I202" s="210"/>
      <c r="J202" s="176"/>
      <c r="K202" s="211"/>
      <c r="L202" s="211"/>
      <c r="M202" s="211"/>
      <c r="N202" s="211"/>
      <c r="O202" s="211"/>
      <c r="P202" s="211"/>
      <c r="Q202" s="210"/>
      <c r="R202" s="176"/>
      <c r="S202" s="176"/>
      <c r="T202" s="212"/>
      <c r="U202" s="176"/>
      <c r="V202" s="176"/>
      <c r="W202" s="176"/>
      <c r="X202" s="176"/>
      <c r="Y202" s="176"/>
      <c r="Z202" s="176"/>
      <c r="AA202" s="176"/>
    </row>
    <row r="203" spans="1:27" ht="15.75" customHeight="1">
      <c r="A203" s="176"/>
      <c r="B203" s="209"/>
      <c r="C203" s="176"/>
      <c r="D203" s="176"/>
      <c r="E203" s="176"/>
      <c r="F203" s="210"/>
      <c r="G203" s="176"/>
      <c r="H203" s="176"/>
      <c r="I203" s="210"/>
      <c r="J203" s="176"/>
      <c r="K203" s="211"/>
      <c r="L203" s="211"/>
      <c r="M203" s="211"/>
      <c r="N203" s="211"/>
      <c r="O203" s="211"/>
      <c r="P203" s="211"/>
      <c r="Q203" s="210"/>
      <c r="R203" s="176"/>
      <c r="S203" s="176"/>
      <c r="T203" s="212"/>
      <c r="U203" s="176"/>
      <c r="V203" s="176"/>
      <c r="W203" s="176"/>
      <c r="X203" s="176"/>
      <c r="Y203" s="176"/>
      <c r="Z203" s="176"/>
      <c r="AA203" s="176"/>
    </row>
    <row r="204" spans="1:27" ht="15.75" customHeight="1">
      <c r="A204" s="176"/>
      <c r="B204" s="209"/>
      <c r="C204" s="176"/>
      <c r="D204" s="176"/>
      <c r="E204" s="176"/>
      <c r="F204" s="210"/>
      <c r="G204" s="176"/>
      <c r="H204" s="176"/>
      <c r="I204" s="210"/>
      <c r="J204" s="176"/>
      <c r="K204" s="211"/>
      <c r="L204" s="211"/>
      <c r="M204" s="211"/>
      <c r="N204" s="211"/>
      <c r="O204" s="211"/>
      <c r="P204" s="211"/>
      <c r="Q204" s="210"/>
      <c r="R204" s="176"/>
      <c r="S204" s="176"/>
      <c r="T204" s="212"/>
      <c r="U204" s="176"/>
      <c r="V204" s="176"/>
      <c r="W204" s="176"/>
      <c r="X204" s="176"/>
      <c r="Y204" s="176"/>
      <c r="Z204" s="176"/>
      <c r="AA204" s="176"/>
    </row>
    <row r="205" spans="1:27" ht="15.75" customHeight="1">
      <c r="A205" s="176"/>
      <c r="B205" s="209"/>
      <c r="C205" s="176"/>
      <c r="D205" s="176"/>
      <c r="E205" s="176"/>
      <c r="F205" s="210"/>
      <c r="G205" s="176"/>
      <c r="H205" s="176"/>
      <c r="I205" s="210"/>
      <c r="J205" s="176"/>
      <c r="K205" s="211"/>
      <c r="L205" s="211"/>
      <c r="M205" s="211"/>
      <c r="N205" s="211"/>
      <c r="O205" s="211"/>
      <c r="P205" s="211"/>
      <c r="Q205" s="210"/>
      <c r="R205" s="176"/>
      <c r="S205" s="176"/>
      <c r="T205" s="212"/>
      <c r="U205" s="176"/>
      <c r="V205" s="176"/>
      <c r="W205" s="176"/>
      <c r="X205" s="176"/>
      <c r="Y205" s="176"/>
      <c r="Z205" s="176"/>
      <c r="AA205" s="176"/>
    </row>
    <row r="206" spans="1:27" ht="15.75" customHeight="1">
      <c r="A206" s="176"/>
      <c r="B206" s="209"/>
      <c r="C206" s="176"/>
      <c r="D206" s="176"/>
      <c r="E206" s="176"/>
      <c r="F206" s="210"/>
      <c r="G206" s="176"/>
      <c r="H206" s="176"/>
      <c r="I206" s="210"/>
      <c r="J206" s="176"/>
      <c r="K206" s="211"/>
      <c r="L206" s="211"/>
      <c r="M206" s="211"/>
      <c r="N206" s="211"/>
      <c r="O206" s="211"/>
      <c r="P206" s="211"/>
      <c r="Q206" s="210"/>
      <c r="R206" s="176"/>
      <c r="S206" s="176"/>
      <c r="T206" s="212"/>
      <c r="U206" s="176"/>
      <c r="V206" s="176"/>
      <c r="W206" s="176"/>
      <c r="X206" s="176"/>
      <c r="Y206" s="176"/>
      <c r="Z206" s="176"/>
      <c r="AA206" s="176"/>
    </row>
    <row r="207" spans="1:27" ht="15.75" customHeight="1">
      <c r="A207" s="176"/>
      <c r="B207" s="209"/>
      <c r="C207" s="176"/>
      <c r="D207" s="176"/>
      <c r="E207" s="176"/>
      <c r="F207" s="210"/>
      <c r="G207" s="176"/>
      <c r="H207" s="176"/>
      <c r="I207" s="210"/>
      <c r="J207" s="176"/>
      <c r="K207" s="211"/>
      <c r="L207" s="211"/>
      <c r="M207" s="211"/>
      <c r="N207" s="211"/>
      <c r="O207" s="211"/>
      <c r="P207" s="211"/>
      <c r="Q207" s="210"/>
      <c r="R207" s="176"/>
      <c r="S207" s="176"/>
      <c r="T207" s="212"/>
      <c r="U207" s="176"/>
      <c r="V207" s="176"/>
      <c r="W207" s="176"/>
      <c r="X207" s="176"/>
      <c r="Y207" s="176"/>
      <c r="Z207" s="176"/>
      <c r="AA207" s="176"/>
    </row>
    <row r="208" spans="1:27" ht="15.75" customHeight="1">
      <c r="A208" s="176"/>
      <c r="B208" s="209"/>
      <c r="C208" s="176"/>
      <c r="D208" s="176"/>
      <c r="E208" s="176"/>
      <c r="F208" s="210"/>
      <c r="G208" s="176"/>
      <c r="H208" s="176"/>
      <c r="I208" s="210"/>
      <c r="J208" s="176"/>
      <c r="K208" s="211"/>
      <c r="L208" s="211"/>
      <c r="M208" s="211"/>
      <c r="N208" s="211"/>
      <c r="O208" s="211"/>
      <c r="P208" s="211"/>
      <c r="Q208" s="210"/>
      <c r="R208" s="176"/>
      <c r="S208" s="176"/>
      <c r="T208" s="212"/>
      <c r="U208" s="176"/>
      <c r="V208" s="176"/>
      <c r="W208" s="176"/>
      <c r="X208" s="176"/>
      <c r="Y208" s="176"/>
      <c r="Z208" s="176"/>
      <c r="AA208" s="176"/>
    </row>
    <row r="209" spans="1:27" ht="15.75" customHeight="1">
      <c r="A209" s="176"/>
      <c r="B209" s="209"/>
      <c r="C209" s="176"/>
      <c r="D209" s="176"/>
      <c r="E209" s="176"/>
      <c r="F209" s="210"/>
      <c r="G209" s="176"/>
      <c r="H209" s="176"/>
      <c r="I209" s="210"/>
      <c r="J209" s="176"/>
      <c r="K209" s="211"/>
      <c r="L209" s="211"/>
      <c r="M209" s="211"/>
      <c r="N209" s="211"/>
      <c r="O209" s="211"/>
      <c r="P209" s="211"/>
      <c r="Q209" s="210"/>
      <c r="R209" s="176"/>
      <c r="S209" s="176"/>
      <c r="T209" s="212"/>
      <c r="U209" s="176"/>
      <c r="V209" s="176"/>
      <c r="W209" s="176"/>
      <c r="X209" s="176"/>
      <c r="Y209" s="176"/>
      <c r="Z209" s="176"/>
      <c r="AA209" s="176"/>
    </row>
    <row r="210" spans="1:27" ht="15.75" customHeight="1">
      <c r="A210" s="176"/>
      <c r="B210" s="209"/>
      <c r="C210" s="176"/>
      <c r="D210" s="176"/>
      <c r="E210" s="176"/>
      <c r="F210" s="210"/>
      <c r="G210" s="176"/>
      <c r="H210" s="176"/>
      <c r="I210" s="210"/>
      <c r="J210" s="176"/>
      <c r="K210" s="211"/>
      <c r="L210" s="211"/>
      <c r="M210" s="211"/>
      <c r="N210" s="211"/>
      <c r="O210" s="211"/>
      <c r="P210" s="211"/>
      <c r="Q210" s="210"/>
      <c r="R210" s="176"/>
      <c r="S210" s="176"/>
      <c r="T210" s="212"/>
      <c r="U210" s="176"/>
      <c r="V210" s="176"/>
      <c r="W210" s="176"/>
      <c r="X210" s="176"/>
      <c r="Y210" s="176"/>
      <c r="Z210" s="176"/>
      <c r="AA210" s="176"/>
    </row>
    <row r="211" spans="1:27" ht="15.75" customHeight="1">
      <c r="A211" s="176"/>
      <c r="B211" s="209"/>
      <c r="C211" s="176"/>
      <c r="D211" s="176"/>
      <c r="E211" s="176"/>
      <c r="F211" s="210"/>
      <c r="G211" s="176"/>
      <c r="H211" s="176"/>
      <c r="I211" s="210"/>
      <c r="J211" s="176"/>
      <c r="K211" s="211"/>
      <c r="L211" s="211"/>
      <c r="M211" s="211"/>
      <c r="N211" s="211"/>
      <c r="O211" s="211"/>
      <c r="P211" s="211"/>
      <c r="Q211" s="210"/>
      <c r="R211" s="176"/>
      <c r="S211" s="176"/>
      <c r="T211" s="212"/>
      <c r="U211" s="176"/>
      <c r="V211" s="176"/>
      <c r="W211" s="176"/>
      <c r="X211" s="176"/>
      <c r="Y211" s="176"/>
      <c r="Z211" s="176"/>
      <c r="AA211" s="176"/>
    </row>
    <row r="212" spans="1:27" ht="15.75" customHeight="1">
      <c r="A212" s="176"/>
      <c r="B212" s="209"/>
      <c r="C212" s="176"/>
      <c r="D212" s="176"/>
      <c r="E212" s="176"/>
      <c r="F212" s="210"/>
      <c r="G212" s="176"/>
      <c r="H212" s="176"/>
      <c r="I212" s="210"/>
      <c r="J212" s="176"/>
      <c r="K212" s="211"/>
      <c r="L212" s="211"/>
      <c r="M212" s="211"/>
      <c r="N212" s="211"/>
      <c r="O212" s="211"/>
      <c r="P212" s="211"/>
      <c r="Q212" s="210"/>
      <c r="R212" s="176"/>
      <c r="S212" s="176"/>
      <c r="T212" s="212"/>
      <c r="U212" s="176"/>
      <c r="V212" s="176"/>
      <c r="W212" s="176"/>
      <c r="X212" s="176"/>
      <c r="Y212" s="176"/>
      <c r="Z212" s="176"/>
      <c r="AA212" s="176"/>
    </row>
    <row r="213" spans="1:27" ht="15.75" customHeight="1">
      <c r="A213" s="176"/>
      <c r="B213" s="209"/>
      <c r="C213" s="176"/>
      <c r="D213" s="176"/>
      <c r="E213" s="176"/>
      <c r="F213" s="210"/>
      <c r="G213" s="176"/>
      <c r="H213" s="176"/>
      <c r="I213" s="210"/>
      <c r="J213" s="176"/>
      <c r="K213" s="211"/>
      <c r="L213" s="211"/>
      <c r="M213" s="211"/>
      <c r="N213" s="211"/>
      <c r="O213" s="211"/>
      <c r="P213" s="211"/>
      <c r="Q213" s="210"/>
      <c r="R213" s="176"/>
      <c r="S213" s="176"/>
      <c r="T213" s="212"/>
      <c r="U213" s="176"/>
      <c r="V213" s="176"/>
      <c r="W213" s="176"/>
      <c r="X213" s="176"/>
      <c r="Y213" s="176"/>
      <c r="Z213" s="176"/>
      <c r="AA213" s="176"/>
    </row>
    <row r="214" spans="1:27" ht="15.75" customHeight="1">
      <c r="A214" s="176"/>
      <c r="B214" s="209"/>
      <c r="C214" s="176"/>
      <c r="D214" s="176"/>
      <c r="E214" s="176"/>
      <c r="F214" s="210"/>
      <c r="G214" s="176"/>
      <c r="H214" s="176"/>
      <c r="I214" s="210"/>
      <c r="J214" s="176"/>
      <c r="K214" s="211"/>
      <c r="L214" s="211"/>
      <c r="M214" s="211"/>
      <c r="N214" s="211"/>
      <c r="O214" s="211"/>
      <c r="P214" s="211"/>
      <c r="Q214" s="210"/>
      <c r="R214" s="176"/>
      <c r="S214" s="176"/>
      <c r="T214" s="212"/>
      <c r="U214" s="176"/>
      <c r="V214" s="176"/>
      <c r="W214" s="176"/>
      <c r="X214" s="176"/>
      <c r="Y214" s="176"/>
      <c r="Z214" s="176"/>
      <c r="AA214" s="176"/>
    </row>
    <row r="215" spans="1:27" ht="15.75" customHeight="1">
      <c r="A215" s="176"/>
      <c r="B215" s="209"/>
      <c r="C215" s="176"/>
      <c r="D215" s="176"/>
      <c r="E215" s="176"/>
      <c r="F215" s="210"/>
      <c r="G215" s="176"/>
      <c r="H215" s="176"/>
      <c r="I215" s="210"/>
      <c r="J215" s="176"/>
      <c r="K215" s="211"/>
      <c r="L215" s="211"/>
      <c r="M215" s="211"/>
      <c r="N215" s="211"/>
      <c r="O215" s="211"/>
      <c r="P215" s="211"/>
      <c r="Q215" s="210"/>
      <c r="R215" s="176"/>
      <c r="S215" s="176"/>
      <c r="T215" s="212"/>
      <c r="U215" s="176"/>
      <c r="V215" s="176"/>
      <c r="W215" s="176"/>
      <c r="X215" s="176"/>
      <c r="Y215" s="176"/>
      <c r="Z215" s="176"/>
      <c r="AA215" s="176"/>
    </row>
    <row r="216" spans="1:27" ht="15.75" customHeight="1">
      <c r="A216" s="176"/>
      <c r="B216" s="209"/>
      <c r="C216" s="176"/>
      <c r="D216" s="176"/>
      <c r="E216" s="176"/>
      <c r="F216" s="210"/>
      <c r="G216" s="176"/>
      <c r="H216" s="176"/>
      <c r="I216" s="210"/>
      <c r="J216" s="176"/>
      <c r="K216" s="211"/>
      <c r="L216" s="211"/>
      <c r="M216" s="211"/>
      <c r="N216" s="211"/>
      <c r="O216" s="211"/>
      <c r="P216" s="211"/>
      <c r="Q216" s="210"/>
      <c r="R216" s="176"/>
      <c r="S216" s="176"/>
      <c r="T216" s="212"/>
      <c r="U216" s="176"/>
      <c r="V216" s="176"/>
      <c r="W216" s="176"/>
      <c r="X216" s="176"/>
      <c r="Y216" s="176"/>
      <c r="Z216" s="176"/>
      <c r="AA216" s="176"/>
    </row>
    <row r="217" spans="1:27" ht="15.75" customHeight="1">
      <c r="A217" s="176"/>
      <c r="B217" s="209"/>
      <c r="C217" s="176"/>
      <c r="D217" s="176"/>
      <c r="E217" s="176"/>
      <c r="F217" s="210"/>
      <c r="G217" s="176"/>
      <c r="H217" s="176"/>
      <c r="I217" s="210"/>
      <c r="J217" s="176"/>
      <c r="K217" s="211"/>
      <c r="L217" s="211"/>
      <c r="M217" s="211"/>
      <c r="N217" s="211"/>
      <c r="O217" s="211"/>
      <c r="P217" s="211"/>
      <c r="Q217" s="210"/>
      <c r="R217" s="176"/>
      <c r="S217" s="176"/>
      <c r="T217" s="212"/>
      <c r="U217" s="176"/>
      <c r="V217" s="176"/>
      <c r="W217" s="176"/>
      <c r="X217" s="176"/>
      <c r="Y217" s="176"/>
      <c r="Z217" s="176"/>
      <c r="AA217" s="176"/>
    </row>
    <row r="218" spans="1:27" ht="15.75" customHeight="1">
      <c r="A218" s="176"/>
      <c r="B218" s="209"/>
      <c r="C218" s="176"/>
      <c r="D218" s="176"/>
      <c r="E218" s="176"/>
      <c r="F218" s="210"/>
      <c r="G218" s="176"/>
      <c r="H218" s="176"/>
      <c r="I218" s="210"/>
      <c r="J218" s="176"/>
      <c r="K218" s="211"/>
      <c r="L218" s="211"/>
      <c r="M218" s="211"/>
      <c r="N218" s="211"/>
      <c r="O218" s="211"/>
      <c r="P218" s="211"/>
      <c r="Q218" s="210"/>
      <c r="R218" s="176"/>
      <c r="S218" s="176"/>
      <c r="T218" s="212"/>
      <c r="U218" s="176"/>
      <c r="V218" s="176"/>
      <c r="W218" s="176"/>
      <c r="X218" s="176"/>
      <c r="Y218" s="176"/>
      <c r="Z218" s="176"/>
      <c r="AA218" s="176"/>
    </row>
    <row r="219" spans="1:27" ht="15.75" customHeight="1">
      <c r="A219" s="176"/>
      <c r="B219" s="209"/>
      <c r="C219" s="176"/>
      <c r="D219" s="176"/>
      <c r="E219" s="176"/>
      <c r="F219" s="210"/>
      <c r="G219" s="176"/>
      <c r="H219" s="176"/>
      <c r="I219" s="210"/>
      <c r="J219" s="176"/>
      <c r="K219" s="211"/>
      <c r="L219" s="211"/>
      <c r="M219" s="211"/>
      <c r="N219" s="211"/>
      <c r="O219" s="211"/>
      <c r="P219" s="211"/>
      <c r="Q219" s="210"/>
      <c r="R219" s="176"/>
      <c r="S219" s="176"/>
      <c r="T219" s="212"/>
      <c r="U219" s="176"/>
      <c r="V219" s="176"/>
      <c r="W219" s="176"/>
      <c r="X219" s="176"/>
      <c r="Y219" s="176"/>
      <c r="Z219" s="176"/>
      <c r="AA219" s="176"/>
    </row>
    <row r="220" spans="1:27" ht="15.75" customHeight="1">
      <c r="A220" s="176"/>
      <c r="B220" s="209"/>
      <c r="C220" s="176"/>
      <c r="D220" s="176"/>
      <c r="E220" s="176"/>
      <c r="F220" s="210"/>
      <c r="G220" s="176"/>
      <c r="H220" s="176"/>
      <c r="I220" s="210"/>
      <c r="J220" s="176"/>
      <c r="K220" s="211"/>
      <c r="L220" s="211"/>
      <c r="M220" s="211"/>
      <c r="N220" s="211"/>
      <c r="O220" s="211"/>
      <c r="P220" s="211"/>
      <c r="Q220" s="210"/>
      <c r="R220" s="176"/>
      <c r="S220" s="176"/>
      <c r="T220" s="212"/>
      <c r="U220" s="176"/>
      <c r="V220" s="176"/>
      <c r="W220" s="176"/>
      <c r="X220" s="176"/>
      <c r="Y220" s="176"/>
      <c r="Z220" s="176"/>
      <c r="AA220" s="176"/>
    </row>
    <row r="221" spans="1:27" ht="15.75" customHeight="1">
      <c r="A221" s="176"/>
      <c r="B221" s="209"/>
      <c r="C221" s="176"/>
      <c r="D221" s="176"/>
      <c r="E221" s="176"/>
      <c r="F221" s="210"/>
      <c r="G221" s="176"/>
      <c r="H221" s="176"/>
      <c r="I221" s="210"/>
      <c r="J221" s="176"/>
      <c r="K221" s="211"/>
      <c r="L221" s="211"/>
      <c r="M221" s="211"/>
      <c r="N221" s="211"/>
      <c r="O221" s="211"/>
      <c r="P221" s="211"/>
      <c r="Q221" s="210"/>
      <c r="R221" s="176"/>
      <c r="S221" s="176"/>
      <c r="T221" s="212"/>
      <c r="U221" s="176"/>
      <c r="V221" s="176"/>
      <c r="W221" s="176"/>
      <c r="X221" s="176"/>
      <c r="Y221" s="176"/>
      <c r="Z221" s="176"/>
      <c r="AA221" s="176"/>
    </row>
    <row r="222" spans="1:27" ht="15.75" customHeight="1">
      <c r="A222" s="176"/>
      <c r="B222" s="209"/>
      <c r="C222" s="176"/>
      <c r="D222" s="176"/>
      <c r="E222" s="176"/>
      <c r="F222" s="210"/>
      <c r="G222" s="176"/>
      <c r="H222" s="176"/>
      <c r="I222" s="210"/>
      <c r="J222" s="176"/>
      <c r="K222" s="211"/>
      <c r="L222" s="211"/>
      <c r="M222" s="211"/>
      <c r="N222" s="211"/>
      <c r="O222" s="211"/>
      <c r="P222" s="211"/>
      <c r="Q222" s="210"/>
      <c r="R222" s="176"/>
      <c r="S222" s="176"/>
      <c r="T222" s="212"/>
      <c r="U222" s="176"/>
      <c r="V222" s="176"/>
      <c r="W222" s="176"/>
      <c r="X222" s="176"/>
      <c r="Y222" s="176"/>
      <c r="Z222" s="176"/>
      <c r="AA222" s="176"/>
    </row>
    <row r="223" spans="1:27" ht="15.75" customHeight="1">
      <c r="A223" s="176"/>
      <c r="B223" s="209"/>
      <c r="C223" s="176"/>
      <c r="D223" s="176"/>
      <c r="E223" s="176"/>
      <c r="F223" s="210"/>
      <c r="G223" s="176"/>
      <c r="H223" s="176"/>
      <c r="I223" s="210"/>
      <c r="J223" s="176"/>
      <c r="K223" s="211"/>
      <c r="L223" s="211"/>
      <c r="M223" s="211"/>
      <c r="N223" s="211"/>
      <c r="O223" s="211"/>
      <c r="P223" s="211"/>
      <c r="Q223" s="210"/>
      <c r="R223" s="176"/>
      <c r="S223" s="176"/>
      <c r="T223" s="212"/>
      <c r="U223" s="176"/>
      <c r="V223" s="176"/>
      <c r="W223" s="176"/>
      <c r="X223" s="176"/>
      <c r="Y223" s="176"/>
      <c r="Z223" s="176"/>
      <c r="AA223" s="176"/>
    </row>
    <row r="224" spans="1:27" ht="15.75" customHeight="1">
      <c r="A224" s="176"/>
      <c r="B224" s="209"/>
      <c r="C224" s="176"/>
      <c r="D224" s="176"/>
      <c r="E224" s="176"/>
      <c r="F224" s="210"/>
      <c r="G224" s="176"/>
      <c r="H224" s="176"/>
      <c r="I224" s="210"/>
      <c r="J224" s="176"/>
      <c r="K224" s="211"/>
      <c r="L224" s="211"/>
      <c r="M224" s="211"/>
      <c r="N224" s="211"/>
      <c r="O224" s="211"/>
      <c r="P224" s="211"/>
      <c r="Q224" s="210"/>
      <c r="R224" s="176"/>
      <c r="S224" s="176"/>
      <c r="T224" s="212"/>
      <c r="U224" s="176"/>
      <c r="V224" s="176"/>
      <c r="W224" s="176"/>
      <c r="X224" s="176"/>
      <c r="Y224" s="176"/>
      <c r="Z224" s="176"/>
      <c r="AA224" s="176"/>
    </row>
    <row r="225" spans="1:27" ht="15.75" customHeight="1">
      <c r="A225" s="176"/>
      <c r="B225" s="209"/>
      <c r="C225" s="176"/>
      <c r="D225" s="176"/>
      <c r="E225" s="176"/>
      <c r="F225" s="210"/>
      <c r="G225" s="176"/>
      <c r="H225" s="176"/>
      <c r="I225" s="210"/>
      <c r="J225" s="176"/>
      <c r="K225" s="211"/>
      <c r="L225" s="211"/>
      <c r="M225" s="211"/>
      <c r="N225" s="211"/>
      <c r="O225" s="211"/>
      <c r="P225" s="211"/>
      <c r="Q225" s="210"/>
      <c r="R225" s="176"/>
      <c r="S225" s="176"/>
      <c r="T225" s="212"/>
      <c r="U225" s="176"/>
      <c r="V225" s="176"/>
      <c r="W225" s="176"/>
      <c r="X225" s="176"/>
      <c r="Y225" s="176"/>
      <c r="Z225" s="176"/>
      <c r="AA225" s="176"/>
    </row>
    <row r="226" spans="1:27" ht="15.75" customHeight="1">
      <c r="A226" s="176"/>
      <c r="B226" s="209"/>
      <c r="C226" s="176"/>
      <c r="D226" s="176"/>
      <c r="E226" s="176"/>
      <c r="F226" s="210"/>
      <c r="G226" s="176"/>
      <c r="H226" s="176"/>
      <c r="I226" s="210"/>
      <c r="J226" s="176"/>
      <c r="K226" s="211"/>
      <c r="L226" s="211"/>
      <c r="M226" s="211"/>
      <c r="N226" s="211"/>
      <c r="O226" s="211"/>
      <c r="P226" s="211"/>
      <c r="Q226" s="210"/>
      <c r="R226" s="176"/>
      <c r="S226" s="176"/>
      <c r="T226" s="212"/>
      <c r="U226" s="176"/>
      <c r="V226" s="176"/>
      <c r="W226" s="176"/>
      <c r="X226" s="176"/>
      <c r="Y226" s="176"/>
      <c r="Z226" s="176"/>
      <c r="AA226" s="176"/>
    </row>
    <row r="227" spans="1:27" ht="15.75" customHeight="1">
      <c r="A227" s="176"/>
      <c r="B227" s="209"/>
      <c r="C227" s="176"/>
      <c r="D227" s="176"/>
      <c r="E227" s="176"/>
      <c r="F227" s="210"/>
      <c r="G227" s="176"/>
      <c r="H227" s="176"/>
      <c r="I227" s="210"/>
      <c r="J227" s="176"/>
      <c r="K227" s="211"/>
      <c r="L227" s="211"/>
      <c r="M227" s="211"/>
      <c r="N227" s="211"/>
      <c r="O227" s="211"/>
      <c r="P227" s="211"/>
      <c r="Q227" s="210"/>
      <c r="R227" s="176"/>
      <c r="S227" s="176"/>
      <c r="T227" s="212"/>
      <c r="U227" s="176"/>
      <c r="V227" s="176"/>
      <c r="W227" s="176"/>
      <c r="X227" s="176"/>
      <c r="Y227" s="176"/>
      <c r="Z227" s="176"/>
      <c r="AA227" s="176"/>
    </row>
    <row r="228" spans="1:27" ht="15.75" customHeight="1">
      <c r="A228" s="176"/>
      <c r="B228" s="209"/>
      <c r="C228" s="176"/>
      <c r="D228" s="176"/>
      <c r="E228" s="176"/>
      <c r="F228" s="210"/>
      <c r="G228" s="176"/>
      <c r="H228" s="176"/>
      <c r="I228" s="210"/>
      <c r="J228" s="176"/>
      <c r="K228" s="211"/>
      <c r="L228" s="211"/>
      <c r="M228" s="211"/>
      <c r="N228" s="211"/>
      <c r="O228" s="211"/>
      <c r="P228" s="211"/>
      <c r="Q228" s="210"/>
      <c r="R228" s="176"/>
      <c r="S228" s="176"/>
      <c r="T228" s="212"/>
      <c r="U228" s="176"/>
      <c r="V228" s="176"/>
      <c r="W228" s="176"/>
      <c r="X228" s="176"/>
      <c r="Y228" s="176"/>
      <c r="Z228" s="176"/>
      <c r="AA228" s="176"/>
    </row>
    <row r="229" spans="1:27" ht="15.75" customHeight="1">
      <c r="A229" s="176"/>
      <c r="B229" s="209"/>
      <c r="C229" s="176"/>
      <c r="D229" s="176"/>
      <c r="E229" s="176"/>
      <c r="F229" s="210"/>
      <c r="G229" s="176"/>
      <c r="H229" s="176"/>
      <c r="I229" s="210"/>
      <c r="J229" s="176"/>
      <c r="K229" s="211"/>
      <c r="L229" s="211"/>
      <c r="M229" s="211"/>
      <c r="N229" s="211"/>
      <c r="O229" s="211"/>
      <c r="P229" s="211"/>
      <c r="Q229" s="210"/>
      <c r="R229" s="176"/>
      <c r="S229" s="176"/>
      <c r="T229" s="212"/>
      <c r="U229" s="176"/>
      <c r="V229" s="176"/>
      <c r="W229" s="176"/>
      <c r="X229" s="176"/>
      <c r="Y229" s="176"/>
      <c r="Z229" s="176"/>
      <c r="AA229" s="176"/>
    </row>
    <row r="230" spans="1:27" ht="15.75" customHeight="1">
      <c r="A230" s="176"/>
      <c r="B230" s="209"/>
      <c r="C230" s="176"/>
      <c r="D230" s="176"/>
      <c r="E230" s="176"/>
      <c r="F230" s="210"/>
      <c r="G230" s="176"/>
      <c r="H230" s="176"/>
      <c r="I230" s="210"/>
      <c r="J230" s="176"/>
      <c r="K230" s="211"/>
      <c r="L230" s="211"/>
      <c r="M230" s="211"/>
      <c r="N230" s="211"/>
      <c r="O230" s="211"/>
      <c r="P230" s="211"/>
      <c r="Q230" s="210"/>
      <c r="R230" s="176"/>
      <c r="S230" s="176"/>
      <c r="T230" s="212"/>
      <c r="U230" s="176"/>
      <c r="V230" s="176"/>
      <c r="W230" s="176"/>
      <c r="X230" s="176"/>
      <c r="Y230" s="176"/>
      <c r="Z230" s="176"/>
      <c r="AA230" s="176"/>
    </row>
    <row r="231" spans="1:27" ht="15.75" customHeight="1">
      <c r="A231" s="176"/>
      <c r="B231" s="209"/>
      <c r="C231" s="176"/>
      <c r="D231" s="176"/>
      <c r="E231" s="176"/>
      <c r="F231" s="210"/>
      <c r="G231" s="176"/>
      <c r="H231" s="176"/>
      <c r="I231" s="210"/>
      <c r="J231" s="176"/>
      <c r="K231" s="211"/>
      <c r="L231" s="211"/>
      <c r="M231" s="211"/>
      <c r="N231" s="211"/>
      <c r="O231" s="211"/>
      <c r="P231" s="211"/>
      <c r="Q231" s="210"/>
      <c r="R231" s="176"/>
      <c r="S231" s="176"/>
      <c r="T231" s="212"/>
      <c r="U231" s="176"/>
      <c r="V231" s="176"/>
      <c r="W231" s="176"/>
      <c r="X231" s="176"/>
      <c r="Y231" s="176"/>
      <c r="Z231" s="176"/>
      <c r="AA231" s="176"/>
    </row>
    <row r="232" spans="1:27" ht="15.75" customHeight="1">
      <c r="A232" s="176"/>
      <c r="B232" s="209"/>
      <c r="C232" s="176"/>
      <c r="D232" s="176"/>
      <c r="E232" s="176"/>
      <c r="F232" s="210"/>
      <c r="G232" s="176"/>
      <c r="H232" s="176"/>
      <c r="I232" s="210"/>
      <c r="J232" s="176"/>
      <c r="K232" s="211"/>
      <c r="L232" s="211"/>
      <c r="M232" s="211"/>
      <c r="N232" s="211"/>
      <c r="O232" s="211"/>
      <c r="P232" s="211"/>
      <c r="Q232" s="210"/>
      <c r="R232" s="176"/>
      <c r="S232" s="176"/>
      <c r="T232" s="212"/>
      <c r="U232" s="176"/>
      <c r="V232" s="176"/>
      <c r="W232" s="176"/>
      <c r="X232" s="176"/>
      <c r="Y232" s="176"/>
      <c r="Z232" s="176"/>
      <c r="AA232" s="176"/>
    </row>
    <row r="233" spans="1:27" ht="15.75" customHeight="1">
      <c r="A233" s="176"/>
      <c r="B233" s="209"/>
      <c r="C233" s="176"/>
      <c r="D233" s="176"/>
      <c r="E233" s="176"/>
      <c r="F233" s="210"/>
      <c r="G233" s="176"/>
      <c r="H233" s="176"/>
      <c r="I233" s="210"/>
      <c r="J233" s="176"/>
      <c r="K233" s="211"/>
      <c r="L233" s="211"/>
      <c r="M233" s="211"/>
      <c r="N233" s="211"/>
      <c r="O233" s="211"/>
      <c r="P233" s="211"/>
      <c r="Q233" s="210"/>
      <c r="R233" s="176"/>
      <c r="S233" s="176"/>
      <c r="T233" s="212"/>
      <c r="U233" s="176"/>
      <c r="V233" s="176"/>
      <c r="W233" s="176"/>
      <c r="X233" s="176"/>
      <c r="Y233" s="176"/>
      <c r="Z233" s="176"/>
      <c r="AA233" s="176"/>
    </row>
    <row r="234" spans="1:27" ht="15.75" customHeight="1">
      <c r="A234" s="176"/>
      <c r="B234" s="209"/>
      <c r="C234" s="176"/>
      <c r="D234" s="176"/>
      <c r="E234" s="176"/>
      <c r="F234" s="210"/>
      <c r="G234" s="176"/>
      <c r="H234" s="176"/>
      <c r="I234" s="210"/>
      <c r="J234" s="176"/>
      <c r="K234" s="211"/>
      <c r="L234" s="211"/>
      <c r="M234" s="211"/>
      <c r="N234" s="211"/>
      <c r="O234" s="211"/>
      <c r="P234" s="211"/>
      <c r="Q234" s="210"/>
      <c r="R234" s="176"/>
      <c r="S234" s="176"/>
      <c r="T234" s="212"/>
      <c r="U234" s="176"/>
      <c r="V234" s="176"/>
      <c r="W234" s="176"/>
      <c r="X234" s="176"/>
      <c r="Y234" s="176"/>
      <c r="Z234" s="176"/>
      <c r="AA234" s="176"/>
    </row>
    <row r="235" spans="1:27" ht="15.75" customHeight="1">
      <c r="A235" s="176"/>
      <c r="B235" s="209"/>
      <c r="C235" s="176"/>
      <c r="D235" s="176"/>
      <c r="E235" s="176"/>
      <c r="F235" s="210"/>
      <c r="G235" s="176"/>
      <c r="H235" s="176"/>
      <c r="I235" s="210"/>
      <c r="J235" s="176"/>
      <c r="K235" s="211"/>
      <c r="L235" s="211"/>
      <c r="M235" s="211"/>
      <c r="N235" s="211"/>
      <c r="O235" s="211"/>
      <c r="P235" s="211"/>
      <c r="Q235" s="210"/>
      <c r="R235" s="176"/>
      <c r="S235" s="176"/>
      <c r="T235" s="212"/>
      <c r="U235" s="176"/>
      <c r="V235" s="176"/>
      <c r="W235" s="176"/>
      <c r="X235" s="176"/>
      <c r="Y235" s="176"/>
      <c r="Z235" s="176"/>
      <c r="AA235" s="176"/>
    </row>
    <row r="236" spans="1:27" ht="15.75" customHeight="1">
      <c r="A236" s="176"/>
      <c r="B236" s="209"/>
      <c r="C236" s="176"/>
      <c r="D236" s="176"/>
      <c r="E236" s="176"/>
      <c r="F236" s="210"/>
      <c r="G236" s="176"/>
      <c r="H236" s="176"/>
      <c r="I236" s="210"/>
      <c r="J236" s="176"/>
      <c r="K236" s="211"/>
      <c r="L236" s="211"/>
      <c r="M236" s="211"/>
      <c r="N236" s="211"/>
      <c r="O236" s="211"/>
      <c r="P236" s="211"/>
      <c r="Q236" s="210"/>
      <c r="R236" s="176"/>
      <c r="S236" s="176"/>
      <c r="T236" s="212"/>
      <c r="U236" s="176"/>
      <c r="V236" s="176"/>
      <c r="W236" s="176"/>
      <c r="X236" s="176"/>
      <c r="Y236" s="176"/>
      <c r="Z236" s="176"/>
      <c r="AA236" s="176"/>
    </row>
    <row r="237" spans="1:27" ht="15.75" customHeight="1">
      <c r="A237" s="176"/>
      <c r="B237" s="209"/>
      <c r="C237" s="176"/>
      <c r="D237" s="176"/>
      <c r="E237" s="176"/>
      <c r="F237" s="210"/>
      <c r="G237" s="176"/>
      <c r="H237" s="176"/>
      <c r="I237" s="210"/>
      <c r="J237" s="176"/>
      <c r="K237" s="211"/>
      <c r="L237" s="211"/>
      <c r="M237" s="211"/>
      <c r="N237" s="211"/>
      <c r="O237" s="211"/>
      <c r="P237" s="211"/>
      <c r="Q237" s="210"/>
      <c r="R237" s="176"/>
      <c r="S237" s="176"/>
      <c r="T237" s="212"/>
      <c r="U237" s="176"/>
      <c r="V237" s="176"/>
      <c r="W237" s="176"/>
      <c r="X237" s="176"/>
      <c r="Y237" s="176"/>
      <c r="Z237" s="176"/>
      <c r="AA237" s="176"/>
    </row>
    <row r="238" spans="1:27" ht="15.75" customHeight="1">
      <c r="A238" s="176"/>
      <c r="B238" s="209"/>
      <c r="C238" s="176"/>
      <c r="D238" s="176"/>
      <c r="E238" s="176"/>
      <c r="F238" s="210"/>
      <c r="G238" s="176"/>
      <c r="H238" s="176"/>
      <c r="I238" s="210"/>
      <c r="J238" s="176"/>
      <c r="K238" s="211"/>
      <c r="L238" s="211"/>
      <c r="M238" s="211"/>
      <c r="N238" s="211"/>
      <c r="O238" s="211"/>
      <c r="P238" s="211"/>
      <c r="Q238" s="210"/>
      <c r="R238" s="176"/>
      <c r="S238" s="176"/>
      <c r="T238" s="212"/>
      <c r="U238" s="176"/>
      <c r="V238" s="176"/>
      <c r="W238" s="176"/>
      <c r="X238" s="176"/>
      <c r="Y238" s="176"/>
      <c r="Z238" s="176"/>
      <c r="AA238" s="176"/>
    </row>
    <row r="239" spans="1:27" ht="15.75" customHeight="1">
      <c r="A239" s="176"/>
      <c r="B239" s="209"/>
      <c r="C239" s="176"/>
      <c r="D239" s="176"/>
      <c r="E239" s="176"/>
      <c r="F239" s="210"/>
      <c r="G239" s="176"/>
      <c r="H239" s="176"/>
      <c r="I239" s="210"/>
      <c r="J239" s="176"/>
      <c r="K239" s="211"/>
      <c r="L239" s="211"/>
      <c r="M239" s="211"/>
      <c r="N239" s="211"/>
      <c r="O239" s="211"/>
      <c r="P239" s="211"/>
      <c r="Q239" s="210"/>
      <c r="R239" s="176"/>
      <c r="S239" s="176"/>
      <c r="T239" s="212"/>
      <c r="U239" s="176"/>
      <c r="V239" s="176"/>
      <c r="W239" s="176"/>
      <c r="X239" s="176"/>
      <c r="Y239" s="176"/>
      <c r="Z239" s="176"/>
      <c r="AA239" s="176"/>
    </row>
    <row r="240" spans="1:27" ht="15.75" customHeight="1">
      <c r="A240" s="176"/>
      <c r="B240" s="209"/>
      <c r="C240" s="176"/>
      <c r="D240" s="176"/>
      <c r="E240" s="176"/>
      <c r="F240" s="210"/>
      <c r="G240" s="176"/>
      <c r="H240" s="176"/>
      <c r="I240" s="210"/>
      <c r="J240" s="176"/>
      <c r="K240" s="211"/>
      <c r="L240" s="211"/>
      <c r="M240" s="211"/>
      <c r="N240" s="211"/>
      <c r="O240" s="211"/>
      <c r="P240" s="211"/>
      <c r="Q240" s="210"/>
      <c r="R240" s="176"/>
      <c r="S240" s="176"/>
      <c r="T240" s="212"/>
      <c r="U240" s="176"/>
      <c r="V240" s="176"/>
      <c r="W240" s="176"/>
      <c r="X240" s="176"/>
      <c r="Y240" s="176"/>
      <c r="Z240" s="176"/>
      <c r="AA240" s="176"/>
    </row>
    <row r="241" spans="1:27" ht="15.75" customHeight="1">
      <c r="A241" s="176"/>
      <c r="B241" s="209"/>
      <c r="C241" s="176"/>
      <c r="D241" s="176"/>
      <c r="E241" s="176"/>
      <c r="F241" s="210"/>
      <c r="G241" s="176"/>
      <c r="H241" s="176"/>
      <c r="I241" s="210"/>
      <c r="J241" s="176"/>
      <c r="K241" s="211"/>
      <c r="L241" s="211"/>
      <c r="M241" s="211"/>
      <c r="N241" s="211"/>
      <c r="O241" s="211"/>
      <c r="P241" s="211"/>
      <c r="Q241" s="210"/>
      <c r="R241" s="176"/>
      <c r="S241" s="176"/>
      <c r="T241" s="212"/>
      <c r="U241" s="176"/>
      <c r="V241" s="176"/>
      <c r="W241" s="176"/>
      <c r="X241" s="176"/>
      <c r="Y241" s="176"/>
      <c r="Z241" s="176"/>
      <c r="AA241" s="176"/>
    </row>
    <row r="242" spans="1:27" ht="15.75" customHeight="1">
      <c r="A242" s="176"/>
      <c r="B242" s="209"/>
      <c r="C242" s="176"/>
      <c r="D242" s="176"/>
      <c r="E242" s="176"/>
      <c r="F242" s="210"/>
      <c r="G242" s="176"/>
      <c r="H242" s="176"/>
      <c r="I242" s="210"/>
      <c r="J242" s="176"/>
      <c r="K242" s="211"/>
      <c r="L242" s="211"/>
      <c r="M242" s="211"/>
      <c r="N242" s="211"/>
      <c r="O242" s="211"/>
      <c r="P242" s="211"/>
      <c r="Q242" s="210"/>
      <c r="R242" s="176"/>
      <c r="S242" s="176"/>
      <c r="T242" s="212"/>
      <c r="U242" s="176"/>
      <c r="V242" s="176"/>
      <c r="W242" s="176"/>
      <c r="X242" s="176"/>
      <c r="Y242" s="176"/>
      <c r="Z242" s="176"/>
      <c r="AA242" s="176"/>
    </row>
    <row r="243" spans="1:27" ht="15.75" customHeight="1">
      <c r="A243" s="176"/>
      <c r="B243" s="209"/>
      <c r="C243" s="176"/>
      <c r="D243" s="176"/>
      <c r="E243" s="176"/>
      <c r="F243" s="210"/>
      <c r="G243" s="176"/>
      <c r="H243" s="176"/>
      <c r="I243" s="210"/>
      <c r="J243" s="176"/>
      <c r="K243" s="211"/>
      <c r="L243" s="211"/>
      <c r="M243" s="211"/>
      <c r="N243" s="211"/>
      <c r="O243" s="211"/>
      <c r="P243" s="211"/>
      <c r="Q243" s="210"/>
      <c r="R243" s="176"/>
      <c r="S243" s="176"/>
      <c r="T243" s="212"/>
      <c r="U243" s="176"/>
      <c r="V243" s="176"/>
      <c r="W243" s="176"/>
      <c r="X243" s="176"/>
      <c r="Y243" s="176"/>
      <c r="Z243" s="176"/>
      <c r="AA243" s="176"/>
    </row>
    <row r="244" spans="1:27" ht="15.75" customHeight="1">
      <c r="A244" s="176"/>
      <c r="B244" s="209"/>
      <c r="C244" s="176"/>
      <c r="D244" s="176"/>
      <c r="E244" s="176"/>
      <c r="F244" s="210"/>
      <c r="G244" s="176"/>
      <c r="H244" s="176"/>
      <c r="I244" s="210"/>
      <c r="J244" s="176"/>
      <c r="K244" s="211"/>
      <c r="L244" s="211"/>
      <c r="M244" s="211"/>
      <c r="N244" s="211"/>
      <c r="O244" s="211"/>
      <c r="P244" s="211"/>
      <c r="Q244" s="210"/>
      <c r="R244" s="176"/>
      <c r="S244" s="176"/>
      <c r="T244" s="212"/>
      <c r="U244" s="176"/>
      <c r="V244" s="176"/>
      <c r="W244" s="176"/>
      <c r="X244" s="176"/>
      <c r="Y244" s="176"/>
      <c r="Z244" s="176"/>
      <c r="AA244" s="176"/>
    </row>
    <row r="245" spans="1:27" ht="15.75" customHeight="1">
      <c r="A245" s="176"/>
      <c r="B245" s="209"/>
      <c r="C245" s="176"/>
      <c r="D245" s="176"/>
      <c r="E245" s="176"/>
      <c r="F245" s="210"/>
      <c r="G245" s="176"/>
      <c r="H245" s="176"/>
      <c r="I245" s="210"/>
      <c r="J245" s="176"/>
      <c r="K245" s="211"/>
      <c r="L245" s="211"/>
      <c r="M245" s="211"/>
      <c r="N245" s="211"/>
      <c r="O245" s="211"/>
      <c r="P245" s="211"/>
      <c r="Q245" s="210"/>
      <c r="R245" s="176"/>
      <c r="S245" s="176"/>
      <c r="T245" s="212"/>
      <c r="U245" s="176"/>
      <c r="V245" s="176"/>
      <c r="W245" s="176"/>
      <c r="X245" s="176"/>
      <c r="Y245" s="176"/>
      <c r="Z245" s="176"/>
      <c r="AA245" s="176"/>
    </row>
    <row r="246" spans="1:27" ht="15.75" customHeight="1">
      <c r="A246" s="176"/>
      <c r="B246" s="209"/>
      <c r="C246" s="176"/>
      <c r="D246" s="176"/>
      <c r="E246" s="176"/>
      <c r="F246" s="210"/>
      <c r="G246" s="176"/>
      <c r="H246" s="176"/>
      <c r="I246" s="210"/>
      <c r="J246" s="176"/>
      <c r="K246" s="211"/>
      <c r="L246" s="211"/>
      <c r="M246" s="211"/>
      <c r="N246" s="211"/>
      <c r="O246" s="211"/>
      <c r="P246" s="211"/>
      <c r="Q246" s="210"/>
      <c r="R246" s="176"/>
      <c r="S246" s="176"/>
      <c r="T246" s="212"/>
      <c r="U246" s="176"/>
      <c r="V246" s="176"/>
      <c r="W246" s="176"/>
      <c r="X246" s="176"/>
      <c r="Y246" s="176"/>
      <c r="Z246" s="176"/>
      <c r="AA246" s="176"/>
    </row>
    <row r="247" spans="1:27" ht="15.75" customHeight="1">
      <c r="A247" s="176"/>
      <c r="B247" s="209"/>
      <c r="C247" s="176"/>
      <c r="D247" s="176"/>
      <c r="E247" s="176"/>
      <c r="F247" s="210"/>
      <c r="G247" s="176"/>
      <c r="H247" s="176"/>
      <c r="I247" s="210"/>
      <c r="J247" s="176"/>
      <c r="K247" s="211"/>
      <c r="L247" s="211"/>
      <c r="M247" s="211"/>
      <c r="N247" s="211"/>
      <c r="O247" s="211"/>
      <c r="P247" s="211"/>
      <c r="Q247" s="210"/>
      <c r="R247" s="176"/>
      <c r="S247" s="176"/>
      <c r="T247" s="212"/>
      <c r="U247" s="176"/>
      <c r="V247" s="176"/>
      <c r="W247" s="176"/>
      <c r="X247" s="176"/>
      <c r="Y247" s="176"/>
      <c r="Z247" s="176"/>
      <c r="AA247" s="176"/>
    </row>
    <row r="248" spans="1:27" ht="15.75" customHeight="1">
      <c r="A248" s="176"/>
      <c r="B248" s="209"/>
      <c r="C248" s="176"/>
      <c r="D248" s="176"/>
      <c r="E248" s="176"/>
      <c r="F248" s="210"/>
      <c r="G248" s="176"/>
      <c r="H248" s="176"/>
      <c r="I248" s="210"/>
      <c r="J248" s="176"/>
      <c r="K248" s="211"/>
      <c r="L248" s="211"/>
      <c r="M248" s="211"/>
      <c r="N248" s="211"/>
      <c r="O248" s="211"/>
      <c r="P248" s="211"/>
      <c r="Q248" s="210"/>
      <c r="R248" s="176"/>
      <c r="S248" s="176"/>
      <c r="T248" s="212"/>
      <c r="U248" s="176"/>
      <c r="V248" s="176"/>
      <c r="W248" s="176"/>
      <c r="X248" s="176"/>
      <c r="Y248" s="176"/>
      <c r="Z248" s="176"/>
      <c r="AA248" s="176"/>
    </row>
    <row r="249" spans="1:27" ht="15.75" customHeight="1">
      <c r="A249" s="176"/>
      <c r="B249" s="209"/>
      <c r="C249" s="176"/>
      <c r="D249" s="176"/>
      <c r="E249" s="176"/>
      <c r="F249" s="210"/>
      <c r="G249" s="176"/>
      <c r="H249" s="176"/>
      <c r="I249" s="210"/>
      <c r="J249" s="176"/>
      <c r="K249" s="211"/>
      <c r="L249" s="211"/>
      <c r="M249" s="211"/>
      <c r="N249" s="211"/>
      <c r="O249" s="211"/>
      <c r="P249" s="211"/>
      <c r="Q249" s="210"/>
      <c r="R249" s="176"/>
      <c r="S249" s="176"/>
      <c r="T249" s="212"/>
      <c r="U249" s="176"/>
      <c r="V249" s="176"/>
      <c r="W249" s="176"/>
      <c r="X249" s="176"/>
      <c r="Y249" s="176"/>
      <c r="Z249" s="176"/>
      <c r="AA249" s="176"/>
    </row>
    <row r="250" spans="1:27" ht="15.75" customHeight="1">
      <c r="A250" s="176"/>
      <c r="B250" s="209"/>
      <c r="C250" s="176"/>
      <c r="D250" s="176"/>
      <c r="E250" s="176"/>
      <c r="F250" s="210"/>
      <c r="G250" s="176"/>
      <c r="H250" s="176"/>
      <c r="I250" s="210"/>
      <c r="J250" s="176"/>
      <c r="K250" s="211"/>
      <c r="L250" s="211"/>
      <c r="M250" s="211"/>
      <c r="N250" s="211"/>
      <c r="O250" s="211"/>
      <c r="P250" s="211"/>
      <c r="Q250" s="210"/>
      <c r="R250" s="176"/>
      <c r="S250" s="176"/>
      <c r="T250" s="212"/>
      <c r="U250" s="176"/>
      <c r="V250" s="176"/>
      <c r="W250" s="176"/>
      <c r="X250" s="176"/>
      <c r="Y250" s="176"/>
      <c r="Z250" s="176"/>
      <c r="AA250" s="176"/>
    </row>
    <row r="251" spans="1:27" ht="15.75" customHeight="1">
      <c r="A251" s="176"/>
      <c r="B251" s="209"/>
      <c r="C251" s="176"/>
      <c r="D251" s="176"/>
      <c r="E251" s="176"/>
      <c r="F251" s="210"/>
      <c r="G251" s="176"/>
      <c r="H251" s="176"/>
      <c r="I251" s="210"/>
      <c r="J251" s="176"/>
      <c r="K251" s="211"/>
      <c r="L251" s="211"/>
      <c r="M251" s="211"/>
      <c r="N251" s="211"/>
      <c r="O251" s="211"/>
      <c r="P251" s="211"/>
      <c r="Q251" s="210"/>
      <c r="R251" s="176"/>
      <c r="S251" s="176"/>
      <c r="T251" s="212"/>
      <c r="U251" s="176"/>
      <c r="V251" s="176"/>
      <c r="W251" s="176"/>
      <c r="X251" s="176"/>
      <c r="Y251" s="176"/>
      <c r="Z251" s="176"/>
      <c r="AA251" s="176"/>
    </row>
    <row r="252" spans="1:27" ht="15.75" customHeight="1">
      <c r="A252" s="176"/>
      <c r="B252" s="209"/>
      <c r="C252" s="176"/>
      <c r="D252" s="176"/>
      <c r="E252" s="176"/>
      <c r="F252" s="210"/>
      <c r="G252" s="176"/>
      <c r="H252" s="176"/>
      <c r="I252" s="210"/>
      <c r="J252" s="176"/>
      <c r="K252" s="211"/>
      <c r="L252" s="211"/>
      <c r="M252" s="211"/>
      <c r="N252" s="211"/>
      <c r="O252" s="211"/>
      <c r="P252" s="211"/>
      <c r="Q252" s="210"/>
      <c r="R252" s="176"/>
      <c r="S252" s="176"/>
      <c r="T252" s="212"/>
      <c r="U252" s="176"/>
      <c r="V252" s="176"/>
      <c r="W252" s="176"/>
      <c r="X252" s="176"/>
      <c r="Y252" s="176"/>
      <c r="Z252" s="176"/>
      <c r="AA252" s="176"/>
    </row>
    <row r="253" spans="1:27" ht="15.75" customHeight="1">
      <c r="A253" s="176"/>
      <c r="B253" s="209"/>
      <c r="C253" s="176"/>
      <c r="D253" s="176"/>
      <c r="E253" s="176"/>
      <c r="F253" s="210"/>
      <c r="G253" s="176"/>
      <c r="H253" s="176"/>
      <c r="I253" s="210"/>
      <c r="J253" s="176"/>
      <c r="K253" s="211"/>
      <c r="L253" s="211"/>
      <c r="M253" s="211"/>
      <c r="N253" s="211"/>
      <c r="O253" s="211"/>
      <c r="P253" s="211"/>
      <c r="Q253" s="210"/>
      <c r="R253" s="176"/>
      <c r="S253" s="176"/>
      <c r="T253" s="212"/>
      <c r="U253" s="176"/>
      <c r="V253" s="176"/>
      <c r="W253" s="176"/>
      <c r="X253" s="176"/>
      <c r="Y253" s="176"/>
      <c r="Z253" s="176"/>
      <c r="AA253" s="176"/>
    </row>
    <row r="254" spans="1:27" ht="15.75" customHeight="1">
      <c r="A254" s="176"/>
      <c r="B254" s="209"/>
      <c r="C254" s="176"/>
      <c r="D254" s="176"/>
      <c r="E254" s="176"/>
      <c r="F254" s="210"/>
      <c r="G254" s="176"/>
      <c r="H254" s="176"/>
      <c r="I254" s="210"/>
      <c r="J254" s="176"/>
      <c r="K254" s="211"/>
      <c r="L254" s="211"/>
      <c r="M254" s="211"/>
      <c r="N254" s="211"/>
      <c r="O254" s="211"/>
      <c r="P254" s="211"/>
      <c r="Q254" s="210"/>
      <c r="R254" s="176"/>
      <c r="S254" s="176"/>
      <c r="T254" s="212"/>
      <c r="U254" s="176"/>
      <c r="V254" s="176"/>
      <c r="W254" s="176"/>
      <c r="X254" s="176"/>
      <c r="Y254" s="176"/>
      <c r="Z254" s="176"/>
      <c r="AA254" s="176"/>
    </row>
    <row r="255" spans="1:27" ht="15.75" customHeight="1">
      <c r="A255" s="176"/>
      <c r="B255" s="209"/>
      <c r="C255" s="176"/>
      <c r="D255" s="176"/>
      <c r="E255" s="176"/>
      <c r="F255" s="210"/>
      <c r="G255" s="176"/>
      <c r="H255" s="176"/>
      <c r="I255" s="210"/>
      <c r="J255" s="176"/>
      <c r="K255" s="211"/>
      <c r="L255" s="211"/>
      <c r="M255" s="211"/>
      <c r="N255" s="211"/>
      <c r="O255" s="211"/>
      <c r="P255" s="211"/>
      <c r="Q255" s="210"/>
      <c r="R255" s="176"/>
      <c r="S255" s="176"/>
      <c r="T255" s="212"/>
      <c r="U255" s="176"/>
      <c r="V255" s="176"/>
      <c r="W255" s="176"/>
      <c r="X255" s="176"/>
      <c r="Y255" s="176"/>
      <c r="Z255" s="176"/>
      <c r="AA255" s="176"/>
    </row>
    <row r="256" spans="1:27" ht="15.75" customHeight="1">
      <c r="A256" s="176"/>
      <c r="B256" s="209"/>
      <c r="C256" s="176"/>
      <c r="D256" s="176"/>
      <c r="E256" s="176"/>
      <c r="F256" s="210"/>
      <c r="G256" s="176"/>
      <c r="H256" s="176"/>
      <c r="I256" s="210"/>
      <c r="J256" s="176"/>
      <c r="K256" s="211"/>
      <c r="L256" s="211"/>
      <c r="M256" s="211"/>
      <c r="N256" s="211"/>
      <c r="O256" s="211"/>
      <c r="P256" s="211"/>
      <c r="Q256" s="210"/>
      <c r="R256" s="176"/>
      <c r="S256" s="176"/>
      <c r="T256" s="212"/>
      <c r="U256" s="176"/>
      <c r="V256" s="176"/>
      <c r="W256" s="176"/>
      <c r="X256" s="176"/>
      <c r="Y256" s="176"/>
      <c r="Z256" s="176"/>
      <c r="AA256" s="176"/>
    </row>
    <row r="257" spans="1:27" ht="15.75" customHeight="1">
      <c r="A257" s="176"/>
      <c r="B257" s="209"/>
      <c r="C257" s="176"/>
      <c r="D257" s="176"/>
      <c r="E257" s="176"/>
      <c r="F257" s="210"/>
      <c r="G257" s="176"/>
      <c r="H257" s="176"/>
      <c r="I257" s="210"/>
      <c r="J257" s="176"/>
      <c r="K257" s="211"/>
      <c r="L257" s="211"/>
      <c r="M257" s="211"/>
      <c r="N257" s="211"/>
      <c r="O257" s="211"/>
      <c r="P257" s="211"/>
      <c r="Q257" s="210"/>
      <c r="R257" s="176"/>
      <c r="S257" s="176"/>
      <c r="T257" s="212"/>
      <c r="U257" s="176"/>
      <c r="V257" s="176"/>
      <c r="W257" s="176"/>
      <c r="X257" s="176"/>
      <c r="Y257" s="176"/>
      <c r="Z257" s="176"/>
      <c r="AA257" s="176"/>
    </row>
    <row r="258" spans="1:27" ht="15.75" customHeight="1">
      <c r="A258" s="176"/>
      <c r="B258" s="209"/>
      <c r="C258" s="176"/>
      <c r="D258" s="176"/>
      <c r="E258" s="176"/>
      <c r="F258" s="210"/>
      <c r="G258" s="176"/>
      <c r="H258" s="176"/>
      <c r="I258" s="210"/>
      <c r="J258" s="176"/>
      <c r="K258" s="211"/>
      <c r="L258" s="211"/>
      <c r="M258" s="211"/>
      <c r="N258" s="211"/>
      <c r="O258" s="211"/>
      <c r="P258" s="211"/>
      <c r="Q258" s="210"/>
      <c r="R258" s="176"/>
      <c r="S258" s="176"/>
      <c r="T258" s="212"/>
      <c r="U258" s="176"/>
      <c r="V258" s="176"/>
      <c r="W258" s="176"/>
      <c r="X258" s="176"/>
      <c r="Y258" s="176"/>
      <c r="Z258" s="176"/>
      <c r="AA258" s="176"/>
    </row>
    <row r="259" spans="1:27" ht="15.75" customHeight="1">
      <c r="A259" s="176"/>
      <c r="B259" s="209"/>
      <c r="C259" s="176"/>
      <c r="D259" s="176"/>
      <c r="E259" s="176"/>
      <c r="F259" s="210"/>
      <c r="G259" s="176"/>
      <c r="H259" s="176"/>
      <c r="I259" s="210"/>
      <c r="J259" s="176"/>
      <c r="K259" s="211"/>
      <c r="L259" s="211"/>
      <c r="M259" s="211"/>
      <c r="N259" s="211"/>
      <c r="O259" s="211"/>
      <c r="P259" s="211"/>
      <c r="Q259" s="210"/>
      <c r="R259" s="176"/>
      <c r="S259" s="176"/>
      <c r="T259" s="212"/>
      <c r="U259" s="176"/>
      <c r="V259" s="176"/>
      <c r="W259" s="176"/>
      <c r="X259" s="176"/>
      <c r="Y259" s="176"/>
      <c r="Z259" s="176"/>
      <c r="AA259" s="176"/>
    </row>
    <row r="260" spans="1:27" ht="15.75" customHeight="1">
      <c r="A260" s="176"/>
      <c r="B260" s="209"/>
      <c r="C260" s="176"/>
      <c r="D260" s="176"/>
      <c r="E260" s="176"/>
      <c r="F260" s="210"/>
      <c r="G260" s="176"/>
      <c r="H260" s="176"/>
      <c r="I260" s="210"/>
      <c r="J260" s="176"/>
      <c r="K260" s="211"/>
      <c r="L260" s="211"/>
      <c r="M260" s="211"/>
      <c r="N260" s="211"/>
      <c r="O260" s="211"/>
      <c r="P260" s="211"/>
      <c r="Q260" s="210"/>
      <c r="R260" s="176"/>
      <c r="S260" s="176"/>
      <c r="T260" s="212"/>
      <c r="U260" s="176"/>
      <c r="V260" s="176"/>
      <c r="W260" s="176"/>
      <c r="X260" s="176"/>
      <c r="Y260" s="176"/>
      <c r="Z260" s="176"/>
      <c r="AA260" s="176"/>
    </row>
    <row r="261" spans="1:27" ht="15.75" customHeight="1">
      <c r="A261" s="176"/>
      <c r="B261" s="209"/>
      <c r="C261" s="176"/>
      <c r="D261" s="176"/>
      <c r="E261" s="176"/>
      <c r="F261" s="210"/>
      <c r="G261" s="176"/>
      <c r="H261" s="176"/>
      <c r="I261" s="210"/>
      <c r="J261" s="176"/>
      <c r="K261" s="211"/>
      <c r="L261" s="211"/>
      <c r="M261" s="211"/>
      <c r="N261" s="211"/>
      <c r="O261" s="211"/>
      <c r="P261" s="211"/>
      <c r="Q261" s="210"/>
      <c r="R261" s="176"/>
      <c r="S261" s="176"/>
      <c r="T261" s="212"/>
      <c r="U261" s="176"/>
      <c r="V261" s="176"/>
      <c r="W261" s="176"/>
      <c r="X261" s="176"/>
      <c r="Y261" s="176"/>
      <c r="Z261" s="176"/>
      <c r="AA261" s="176"/>
    </row>
    <row r="262" spans="1:27" ht="15.75" customHeight="1">
      <c r="A262" s="176"/>
      <c r="B262" s="209"/>
      <c r="C262" s="176"/>
      <c r="D262" s="176"/>
      <c r="E262" s="176"/>
      <c r="F262" s="210"/>
      <c r="G262" s="176"/>
      <c r="H262" s="176"/>
      <c r="I262" s="210"/>
      <c r="J262" s="176"/>
      <c r="K262" s="211"/>
      <c r="L262" s="211"/>
      <c r="M262" s="211"/>
      <c r="N262" s="211"/>
      <c r="O262" s="211"/>
      <c r="P262" s="211"/>
      <c r="Q262" s="210"/>
      <c r="R262" s="176"/>
      <c r="S262" s="176"/>
      <c r="T262" s="212"/>
      <c r="U262" s="176"/>
      <c r="V262" s="176"/>
      <c r="W262" s="176"/>
      <c r="X262" s="176"/>
      <c r="Y262" s="176"/>
      <c r="Z262" s="176"/>
      <c r="AA262" s="176"/>
    </row>
    <row r="263" spans="1:27" ht="15.75" customHeight="1">
      <c r="A263" s="176"/>
      <c r="B263" s="209"/>
      <c r="C263" s="176"/>
      <c r="D263" s="176"/>
      <c r="E263" s="176"/>
      <c r="F263" s="210"/>
      <c r="G263" s="176"/>
      <c r="H263" s="176"/>
      <c r="I263" s="210"/>
      <c r="J263" s="176"/>
      <c r="K263" s="211"/>
      <c r="L263" s="211"/>
      <c r="M263" s="211"/>
      <c r="N263" s="211"/>
      <c r="O263" s="211"/>
      <c r="P263" s="211"/>
      <c r="Q263" s="210"/>
      <c r="R263" s="176"/>
      <c r="S263" s="176"/>
      <c r="T263" s="212"/>
      <c r="U263" s="176"/>
      <c r="V263" s="176"/>
      <c r="W263" s="176"/>
      <c r="X263" s="176"/>
      <c r="Y263" s="176"/>
      <c r="Z263" s="176"/>
      <c r="AA263" s="176"/>
    </row>
    <row r="264" spans="1:27" ht="15.75" customHeight="1">
      <c r="A264" s="176"/>
      <c r="B264" s="209"/>
      <c r="C264" s="176"/>
      <c r="D264" s="176"/>
      <c r="E264" s="176"/>
      <c r="F264" s="210"/>
      <c r="G264" s="176"/>
      <c r="H264" s="176"/>
      <c r="I264" s="210"/>
      <c r="J264" s="176"/>
      <c r="K264" s="211"/>
      <c r="L264" s="211"/>
      <c r="M264" s="211"/>
      <c r="N264" s="211"/>
      <c r="O264" s="211"/>
      <c r="P264" s="211"/>
      <c r="Q264" s="210"/>
      <c r="R264" s="176"/>
      <c r="S264" s="176"/>
      <c r="T264" s="212"/>
      <c r="U264" s="176"/>
      <c r="V264" s="176"/>
      <c r="W264" s="176"/>
      <c r="X264" s="176"/>
      <c r="Y264" s="176"/>
      <c r="Z264" s="176"/>
      <c r="AA264" s="176"/>
    </row>
    <row r="265" spans="1:27" ht="15.75" customHeight="1">
      <c r="A265" s="176"/>
      <c r="B265" s="209"/>
      <c r="C265" s="176"/>
      <c r="D265" s="176"/>
      <c r="E265" s="176"/>
      <c r="F265" s="210"/>
      <c r="G265" s="176"/>
      <c r="H265" s="176"/>
      <c r="I265" s="210"/>
      <c r="J265" s="176"/>
      <c r="K265" s="211"/>
      <c r="L265" s="211"/>
      <c r="M265" s="211"/>
      <c r="N265" s="211"/>
      <c r="O265" s="211"/>
      <c r="P265" s="211"/>
      <c r="Q265" s="210"/>
      <c r="R265" s="176"/>
      <c r="S265" s="176"/>
      <c r="T265" s="212"/>
      <c r="U265" s="176"/>
      <c r="V265" s="176"/>
      <c r="W265" s="176"/>
      <c r="X265" s="176"/>
      <c r="Y265" s="176"/>
      <c r="Z265" s="176"/>
      <c r="AA265" s="176"/>
    </row>
    <row r="266" spans="1:27" ht="15.75" customHeight="1">
      <c r="A266" s="176"/>
      <c r="B266" s="209"/>
      <c r="C266" s="176"/>
      <c r="D266" s="176"/>
      <c r="E266" s="176"/>
      <c r="F266" s="210"/>
      <c r="G266" s="176"/>
      <c r="H266" s="176"/>
      <c r="I266" s="210"/>
      <c r="J266" s="176"/>
      <c r="K266" s="211"/>
      <c r="L266" s="211"/>
      <c r="M266" s="211"/>
      <c r="N266" s="211"/>
      <c r="O266" s="211"/>
      <c r="P266" s="211"/>
      <c r="Q266" s="210"/>
      <c r="R266" s="176"/>
      <c r="S266" s="176"/>
      <c r="T266" s="212"/>
      <c r="U266" s="176"/>
      <c r="V266" s="176"/>
      <c r="W266" s="176"/>
      <c r="X266" s="176"/>
      <c r="Y266" s="176"/>
      <c r="Z266" s="176"/>
      <c r="AA266" s="176"/>
    </row>
    <row r="267" spans="1:27" ht="15.75" customHeight="1">
      <c r="A267" s="176"/>
      <c r="B267" s="209"/>
      <c r="C267" s="176"/>
      <c r="D267" s="176"/>
      <c r="E267" s="176"/>
      <c r="F267" s="210"/>
      <c r="G267" s="176"/>
      <c r="H267" s="176"/>
      <c r="I267" s="210"/>
      <c r="J267" s="176"/>
      <c r="K267" s="211"/>
      <c r="L267" s="211"/>
      <c r="M267" s="211"/>
      <c r="N267" s="211"/>
      <c r="O267" s="211"/>
      <c r="P267" s="211"/>
      <c r="Q267" s="210"/>
      <c r="R267" s="176"/>
      <c r="S267" s="176"/>
      <c r="T267" s="212"/>
      <c r="U267" s="176"/>
      <c r="V267" s="176"/>
      <c r="W267" s="176"/>
      <c r="X267" s="176"/>
      <c r="Y267" s="176"/>
      <c r="Z267" s="176"/>
      <c r="AA267" s="176"/>
    </row>
    <row r="268" spans="1:27" ht="15.75" customHeight="1">
      <c r="A268" s="176"/>
      <c r="B268" s="209"/>
      <c r="C268" s="176"/>
      <c r="D268" s="176"/>
      <c r="E268" s="176"/>
      <c r="F268" s="210"/>
      <c r="G268" s="176"/>
      <c r="H268" s="176"/>
      <c r="I268" s="210"/>
      <c r="J268" s="176"/>
      <c r="K268" s="211"/>
      <c r="L268" s="211"/>
      <c r="M268" s="211"/>
      <c r="N268" s="211"/>
      <c r="O268" s="211"/>
      <c r="P268" s="211"/>
      <c r="Q268" s="210"/>
      <c r="R268" s="176"/>
      <c r="S268" s="176"/>
      <c r="T268" s="212"/>
      <c r="U268" s="176"/>
      <c r="V268" s="176"/>
      <c r="W268" s="176"/>
      <c r="X268" s="176"/>
      <c r="Y268" s="176"/>
      <c r="Z268" s="176"/>
      <c r="AA268" s="176"/>
    </row>
    <row r="269" spans="1:27" ht="15.75" customHeight="1">
      <c r="A269" s="176"/>
      <c r="B269" s="209"/>
      <c r="C269" s="176"/>
      <c r="D269" s="176"/>
      <c r="E269" s="176"/>
      <c r="F269" s="210"/>
      <c r="G269" s="176"/>
      <c r="H269" s="176"/>
      <c r="I269" s="210"/>
      <c r="J269" s="176"/>
      <c r="K269" s="211"/>
      <c r="L269" s="211"/>
      <c r="M269" s="211"/>
      <c r="N269" s="211"/>
      <c r="O269" s="211"/>
      <c r="P269" s="211"/>
      <c r="Q269" s="210"/>
      <c r="R269" s="176"/>
      <c r="S269" s="176"/>
      <c r="T269" s="212"/>
      <c r="U269" s="176"/>
      <c r="V269" s="176"/>
      <c r="W269" s="176"/>
      <c r="X269" s="176"/>
      <c r="Y269" s="176"/>
      <c r="Z269" s="176"/>
      <c r="AA269" s="176"/>
    </row>
    <row r="270" spans="1:27" ht="15.75" customHeight="1">
      <c r="A270" s="176"/>
      <c r="B270" s="209"/>
      <c r="C270" s="176"/>
      <c r="D270" s="176"/>
      <c r="E270" s="176"/>
      <c r="F270" s="210"/>
      <c r="G270" s="176"/>
      <c r="H270" s="176"/>
      <c r="I270" s="210"/>
      <c r="J270" s="176"/>
      <c r="K270" s="211"/>
      <c r="L270" s="211"/>
      <c r="M270" s="211"/>
      <c r="N270" s="211"/>
      <c r="O270" s="211"/>
      <c r="P270" s="211"/>
      <c r="Q270" s="210"/>
      <c r="R270" s="176"/>
      <c r="S270" s="176"/>
      <c r="T270" s="212"/>
      <c r="U270" s="176"/>
      <c r="V270" s="176"/>
      <c r="W270" s="176"/>
      <c r="X270" s="176"/>
      <c r="Y270" s="176"/>
      <c r="Z270" s="176"/>
      <c r="AA270" s="176"/>
    </row>
    <row r="271" spans="1:27" ht="15.75" customHeight="1">
      <c r="A271" s="176"/>
      <c r="B271" s="209"/>
      <c r="C271" s="176"/>
      <c r="D271" s="176"/>
      <c r="E271" s="176"/>
      <c r="F271" s="210"/>
      <c r="G271" s="176"/>
      <c r="H271" s="176"/>
      <c r="I271" s="210"/>
      <c r="J271" s="176"/>
      <c r="K271" s="211"/>
      <c r="L271" s="211"/>
      <c r="M271" s="211"/>
      <c r="N271" s="211"/>
      <c r="O271" s="211"/>
      <c r="P271" s="211"/>
      <c r="Q271" s="210"/>
      <c r="R271" s="176"/>
      <c r="S271" s="176"/>
      <c r="T271" s="212"/>
      <c r="U271" s="176"/>
      <c r="V271" s="176"/>
      <c r="W271" s="176"/>
      <c r="X271" s="176"/>
      <c r="Y271" s="176"/>
      <c r="Z271" s="176"/>
      <c r="AA271" s="176"/>
    </row>
    <row r="272" spans="1:27" ht="15.75" customHeight="1">
      <c r="A272" s="176"/>
      <c r="B272" s="209"/>
      <c r="C272" s="176"/>
      <c r="D272" s="176"/>
      <c r="E272" s="176"/>
      <c r="F272" s="210"/>
      <c r="G272" s="176"/>
      <c r="H272" s="176"/>
      <c r="I272" s="210"/>
      <c r="J272" s="176"/>
      <c r="K272" s="211"/>
      <c r="L272" s="211"/>
      <c r="M272" s="211"/>
      <c r="N272" s="211"/>
      <c r="O272" s="211"/>
      <c r="P272" s="211"/>
      <c r="Q272" s="210"/>
      <c r="R272" s="176"/>
      <c r="S272" s="176"/>
      <c r="T272" s="212"/>
      <c r="U272" s="176"/>
      <c r="V272" s="176"/>
      <c r="W272" s="176"/>
      <c r="X272" s="176"/>
      <c r="Y272" s="176"/>
      <c r="Z272" s="176"/>
      <c r="AA272" s="176"/>
    </row>
    <row r="273" spans="1:27" ht="15.75" customHeight="1">
      <c r="A273" s="176"/>
      <c r="B273" s="209"/>
      <c r="C273" s="176"/>
      <c r="D273" s="176"/>
      <c r="E273" s="176"/>
      <c r="F273" s="210"/>
      <c r="G273" s="176"/>
      <c r="H273" s="176"/>
      <c r="I273" s="210"/>
      <c r="J273" s="176"/>
      <c r="K273" s="211"/>
      <c r="L273" s="211"/>
      <c r="M273" s="211"/>
      <c r="N273" s="211"/>
      <c r="O273" s="211"/>
      <c r="P273" s="211"/>
      <c r="Q273" s="210"/>
      <c r="R273" s="176"/>
      <c r="S273" s="176"/>
      <c r="T273" s="212"/>
      <c r="U273" s="176"/>
      <c r="V273" s="176"/>
      <c r="W273" s="176"/>
      <c r="X273" s="176"/>
      <c r="Y273" s="176"/>
      <c r="Z273" s="176"/>
      <c r="AA273" s="176"/>
    </row>
    <row r="274" spans="1:27" ht="15.75" customHeight="1">
      <c r="A274" s="176"/>
      <c r="B274" s="209"/>
      <c r="C274" s="176"/>
      <c r="D274" s="176"/>
      <c r="E274" s="176"/>
      <c r="F274" s="210"/>
      <c r="G274" s="176"/>
      <c r="H274" s="176"/>
      <c r="I274" s="210"/>
      <c r="J274" s="176"/>
      <c r="K274" s="211"/>
      <c r="L274" s="211"/>
      <c r="M274" s="211"/>
      <c r="N274" s="211"/>
      <c r="O274" s="211"/>
      <c r="P274" s="211"/>
      <c r="Q274" s="210"/>
      <c r="R274" s="176"/>
      <c r="S274" s="176"/>
      <c r="T274" s="212"/>
      <c r="U274" s="176"/>
      <c r="V274" s="176"/>
      <c r="W274" s="176"/>
      <c r="X274" s="176"/>
      <c r="Y274" s="176"/>
      <c r="Z274" s="176"/>
      <c r="AA274" s="176"/>
    </row>
    <row r="275" spans="1:27" ht="15.75" customHeight="1">
      <c r="A275" s="176"/>
      <c r="B275" s="209"/>
      <c r="C275" s="176"/>
      <c r="D275" s="176"/>
      <c r="E275" s="176"/>
      <c r="F275" s="210"/>
      <c r="G275" s="176"/>
      <c r="H275" s="176"/>
      <c r="I275" s="210"/>
      <c r="J275" s="176"/>
      <c r="K275" s="211"/>
      <c r="L275" s="211"/>
      <c r="M275" s="211"/>
      <c r="N275" s="211"/>
      <c r="O275" s="211"/>
      <c r="P275" s="211"/>
      <c r="Q275" s="210"/>
      <c r="R275" s="176"/>
      <c r="S275" s="176"/>
      <c r="T275" s="212"/>
      <c r="U275" s="176"/>
      <c r="V275" s="176"/>
      <c r="W275" s="176"/>
      <c r="X275" s="176"/>
      <c r="Y275" s="176"/>
      <c r="Z275" s="176"/>
      <c r="AA275" s="176"/>
    </row>
    <row r="276" spans="1:27" ht="15.75" customHeight="1">
      <c r="A276" s="176"/>
      <c r="B276" s="209"/>
      <c r="C276" s="176"/>
      <c r="D276" s="176"/>
      <c r="E276" s="176"/>
      <c r="F276" s="210"/>
      <c r="G276" s="176"/>
      <c r="H276" s="176"/>
      <c r="I276" s="210"/>
      <c r="J276" s="176"/>
      <c r="K276" s="211"/>
      <c r="L276" s="211"/>
      <c r="M276" s="211"/>
      <c r="N276" s="211"/>
      <c r="O276" s="211"/>
      <c r="P276" s="211"/>
      <c r="Q276" s="210"/>
      <c r="R276" s="176"/>
      <c r="S276" s="176"/>
      <c r="T276" s="212"/>
      <c r="U276" s="176"/>
      <c r="V276" s="176"/>
      <c r="W276" s="176"/>
      <c r="X276" s="176"/>
      <c r="Y276" s="176"/>
      <c r="Z276" s="176"/>
      <c r="AA276" s="176"/>
    </row>
    <row r="277" spans="1:27" ht="15.75" customHeight="1">
      <c r="A277" s="176"/>
      <c r="B277" s="209"/>
      <c r="C277" s="176"/>
      <c r="D277" s="176"/>
      <c r="E277" s="176"/>
      <c r="F277" s="210"/>
      <c r="G277" s="176"/>
      <c r="H277" s="176"/>
      <c r="I277" s="210"/>
      <c r="J277" s="176"/>
      <c r="K277" s="211"/>
      <c r="L277" s="211"/>
      <c r="M277" s="211"/>
      <c r="N277" s="211"/>
      <c r="O277" s="211"/>
      <c r="P277" s="211"/>
      <c r="Q277" s="210"/>
      <c r="R277" s="176"/>
      <c r="S277" s="176"/>
      <c r="T277" s="212"/>
      <c r="U277" s="176"/>
      <c r="V277" s="176"/>
      <c r="W277" s="176"/>
      <c r="X277" s="176"/>
      <c r="Y277" s="176"/>
      <c r="Z277" s="176"/>
      <c r="AA277" s="176"/>
    </row>
    <row r="278" spans="1:27" ht="15.75" customHeight="1">
      <c r="A278" s="176"/>
      <c r="B278" s="209"/>
      <c r="C278" s="176"/>
      <c r="D278" s="176"/>
      <c r="E278" s="176"/>
      <c r="F278" s="210"/>
      <c r="G278" s="176"/>
      <c r="H278" s="176"/>
      <c r="I278" s="210"/>
      <c r="J278" s="176"/>
      <c r="K278" s="211"/>
      <c r="L278" s="211"/>
      <c r="M278" s="211"/>
      <c r="N278" s="211"/>
      <c r="O278" s="211"/>
      <c r="P278" s="211"/>
      <c r="Q278" s="210"/>
      <c r="R278" s="176"/>
      <c r="S278" s="176"/>
      <c r="T278" s="212"/>
      <c r="U278" s="176"/>
      <c r="V278" s="176"/>
      <c r="W278" s="176"/>
      <c r="X278" s="176"/>
      <c r="Y278" s="176"/>
      <c r="Z278" s="176"/>
      <c r="AA278" s="176"/>
    </row>
    <row r="279" spans="1:27" ht="15.75" customHeight="1">
      <c r="A279" s="176"/>
      <c r="B279" s="209"/>
      <c r="C279" s="176"/>
      <c r="D279" s="176"/>
      <c r="E279" s="176"/>
      <c r="F279" s="210"/>
      <c r="G279" s="176"/>
      <c r="H279" s="176"/>
      <c r="I279" s="210"/>
      <c r="J279" s="176"/>
      <c r="K279" s="211"/>
      <c r="L279" s="211"/>
      <c r="M279" s="211"/>
      <c r="N279" s="211"/>
      <c r="O279" s="211"/>
      <c r="P279" s="211"/>
      <c r="Q279" s="210"/>
      <c r="R279" s="176"/>
      <c r="S279" s="176"/>
      <c r="T279" s="212"/>
      <c r="U279" s="176"/>
      <c r="V279" s="176"/>
      <c r="W279" s="176"/>
      <c r="X279" s="176"/>
      <c r="Y279" s="176"/>
      <c r="Z279" s="176"/>
      <c r="AA279" s="176"/>
    </row>
    <row r="280" spans="1:27" ht="15.75" customHeight="1">
      <c r="A280" s="176"/>
      <c r="B280" s="209"/>
      <c r="C280" s="176"/>
      <c r="D280" s="176"/>
      <c r="E280" s="176"/>
      <c r="F280" s="210"/>
      <c r="G280" s="176"/>
      <c r="H280" s="176"/>
      <c r="I280" s="210"/>
      <c r="J280" s="176"/>
      <c r="K280" s="211"/>
      <c r="L280" s="211"/>
      <c r="M280" s="211"/>
      <c r="N280" s="211"/>
      <c r="O280" s="211"/>
      <c r="P280" s="211"/>
      <c r="Q280" s="210"/>
      <c r="R280" s="176"/>
      <c r="S280" s="176"/>
      <c r="T280" s="212"/>
      <c r="U280" s="176"/>
      <c r="V280" s="176"/>
      <c r="W280" s="176"/>
      <c r="X280" s="176"/>
      <c r="Y280" s="176"/>
      <c r="Z280" s="176"/>
      <c r="AA280" s="176"/>
    </row>
    <row r="281" spans="1:27" ht="15.75" customHeight="1">
      <c r="A281" s="176"/>
      <c r="B281" s="209"/>
      <c r="C281" s="176"/>
      <c r="D281" s="176"/>
      <c r="E281" s="176"/>
      <c r="F281" s="210"/>
      <c r="G281" s="176"/>
      <c r="H281" s="176"/>
      <c r="I281" s="210"/>
      <c r="J281" s="176"/>
      <c r="K281" s="211"/>
      <c r="L281" s="211"/>
      <c r="M281" s="211"/>
      <c r="N281" s="211"/>
      <c r="O281" s="211"/>
      <c r="P281" s="211"/>
      <c r="Q281" s="210"/>
      <c r="R281" s="176"/>
      <c r="S281" s="176"/>
      <c r="T281" s="212"/>
      <c r="U281" s="176"/>
      <c r="V281" s="176"/>
      <c r="W281" s="176"/>
      <c r="X281" s="176"/>
      <c r="Y281" s="176"/>
      <c r="Z281" s="176"/>
      <c r="AA281" s="176"/>
    </row>
    <row r="282" spans="1:27" ht="15.75" customHeight="1">
      <c r="A282" s="176"/>
      <c r="B282" s="209"/>
      <c r="C282" s="176"/>
      <c r="D282" s="176"/>
      <c r="E282" s="176"/>
      <c r="F282" s="210"/>
      <c r="G282" s="176"/>
      <c r="H282" s="176"/>
      <c r="I282" s="210"/>
      <c r="J282" s="176"/>
      <c r="K282" s="211"/>
      <c r="L282" s="211"/>
      <c r="M282" s="211"/>
      <c r="N282" s="211"/>
      <c r="O282" s="211"/>
      <c r="P282" s="211"/>
      <c r="Q282" s="210"/>
      <c r="R282" s="176"/>
      <c r="S282" s="176"/>
      <c r="T282" s="212"/>
      <c r="U282" s="176"/>
      <c r="V282" s="176"/>
      <c r="W282" s="176"/>
      <c r="X282" s="176"/>
      <c r="Y282" s="176"/>
      <c r="Z282" s="176"/>
      <c r="AA282" s="176"/>
    </row>
    <row r="283" spans="1:27" ht="15.75" customHeight="1">
      <c r="A283" s="176"/>
      <c r="B283" s="209"/>
      <c r="C283" s="176"/>
      <c r="D283" s="176"/>
      <c r="E283" s="176"/>
      <c r="F283" s="210"/>
      <c r="G283" s="176"/>
      <c r="H283" s="176"/>
      <c r="I283" s="210"/>
      <c r="J283" s="176"/>
      <c r="K283" s="211"/>
      <c r="L283" s="211"/>
      <c r="M283" s="211"/>
      <c r="N283" s="211"/>
      <c r="O283" s="211"/>
      <c r="P283" s="211"/>
      <c r="Q283" s="210"/>
      <c r="R283" s="176"/>
      <c r="S283" s="176"/>
      <c r="T283" s="212"/>
      <c r="U283" s="176"/>
      <c r="V283" s="176"/>
      <c r="W283" s="176"/>
      <c r="X283" s="176"/>
      <c r="Y283" s="176"/>
      <c r="Z283" s="176"/>
      <c r="AA283" s="176"/>
    </row>
    <row r="284" spans="1:27" ht="15.75" customHeight="1">
      <c r="A284" s="176"/>
      <c r="B284" s="209"/>
      <c r="C284" s="176"/>
      <c r="D284" s="176"/>
      <c r="E284" s="176"/>
      <c r="F284" s="210"/>
      <c r="G284" s="176"/>
      <c r="H284" s="176"/>
      <c r="I284" s="210"/>
      <c r="J284" s="176"/>
      <c r="K284" s="211"/>
      <c r="L284" s="211"/>
      <c r="M284" s="211"/>
      <c r="N284" s="211"/>
      <c r="O284" s="211"/>
      <c r="P284" s="211"/>
      <c r="Q284" s="210"/>
      <c r="R284" s="176"/>
      <c r="S284" s="176"/>
      <c r="T284" s="212"/>
      <c r="U284" s="176"/>
      <c r="V284" s="176"/>
      <c r="W284" s="176"/>
      <c r="X284" s="176"/>
      <c r="Y284" s="176"/>
      <c r="Z284" s="176"/>
      <c r="AA284" s="176"/>
    </row>
    <row r="285" spans="1:27" ht="15.75" customHeight="1">
      <c r="A285" s="176"/>
      <c r="B285" s="209"/>
      <c r="C285" s="176"/>
      <c r="D285" s="176"/>
      <c r="E285" s="176"/>
      <c r="F285" s="210"/>
      <c r="G285" s="176"/>
      <c r="H285" s="176"/>
      <c r="I285" s="210"/>
      <c r="J285" s="176"/>
      <c r="K285" s="211"/>
      <c r="L285" s="211"/>
      <c r="M285" s="211"/>
      <c r="N285" s="211"/>
      <c r="O285" s="211"/>
      <c r="P285" s="211"/>
      <c r="Q285" s="210"/>
      <c r="R285" s="176"/>
      <c r="S285" s="176"/>
      <c r="T285" s="212"/>
      <c r="U285" s="176"/>
      <c r="V285" s="176"/>
      <c r="W285" s="176"/>
      <c r="X285" s="176"/>
      <c r="Y285" s="176"/>
      <c r="Z285" s="176"/>
      <c r="AA285" s="176"/>
    </row>
    <row r="286" spans="1:27" ht="15.75" customHeight="1">
      <c r="A286" s="176"/>
      <c r="B286" s="209"/>
      <c r="C286" s="176"/>
      <c r="D286" s="176"/>
      <c r="E286" s="176"/>
      <c r="F286" s="210"/>
      <c r="G286" s="176"/>
      <c r="H286" s="176"/>
      <c r="I286" s="210"/>
      <c r="J286" s="176"/>
      <c r="K286" s="211"/>
      <c r="L286" s="211"/>
      <c r="M286" s="211"/>
      <c r="N286" s="211"/>
      <c r="O286" s="211"/>
      <c r="P286" s="211"/>
      <c r="Q286" s="210"/>
      <c r="R286" s="176"/>
      <c r="S286" s="176"/>
      <c r="T286" s="212"/>
      <c r="U286" s="176"/>
      <c r="V286" s="176"/>
      <c r="W286" s="176"/>
      <c r="X286" s="176"/>
      <c r="Y286" s="176"/>
      <c r="Z286" s="176"/>
      <c r="AA286" s="176"/>
    </row>
    <row r="287" spans="1:27" ht="15.75" customHeight="1">
      <c r="A287" s="176"/>
      <c r="B287" s="209"/>
      <c r="C287" s="176"/>
      <c r="D287" s="176"/>
      <c r="E287" s="176"/>
      <c r="F287" s="210"/>
      <c r="G287" s="176"/>
      <c r="H287" s="176"/>
      <c r="I287" s="210"/>
      <c r="J287" s="176"/>
      <c r="K287" s="211"/>
      <c r="L287" s="211"/>
      <c r="M287" s="211"/>
      <c r="N287" s="211"/>
      <c r="O287" s="211"/>
      <c r="P287" s="211"/>
      <c r="Q287" s="210"/>
      <c r="R287" s="176"/>
      <c r="S287" s="176"/>
      <c r="T287" s="212"/>
      <c r="U287" s="176"/>
      <c r="V287" s="176"/>
      <c r="W287" s="176"/>
      <c r="X287" s="176"/>
      <c r="Y287" s="176"/>
      <c r="Z287" s="176"/>
      <c r="AA287" s="176"/>
    </row>
    <row r="288" spans="1:27" ht="15.75" customHeight="1">
      <c r="A288" s="176"/>
      <c r="B288" s="209"/>
      <c r="C288" s="176"/>
      <c r="D288" s="176"/>
      <c r="E288" s="176"/>
      <c r="F288" s="210"/>
      <c r="G288" s="176"/>
      <c r="H288" s="176"/>
      <c r="I288" s="210"/>
      <c r="J288" s="176"/>
      <c r="K288" s="211"/>
      <c r="L288" s="211"/>
      <c r="M288" s="211"/>
      <c r="N288" s="211"/>
      <c r="O288" s="211"/>
      <c r="P288" s="211"/>
      <c r="Q288" s="210"/>
      <c r="R288" s="176"/>
      <c r="S288" s="176"/>
      <c r="T288" s="212"/>
      <c r="U288" s="176"/>
      <c r="V288" s="176"/>
      <c r="W288" s="176"/>
      <c r="X288" s="176"/>
      <c r="Y288" s="176"/>
      <c r="Z288" s="176"/>
      <c r="AA288" s="176"/>
    </row>
    <row r="289" spans="1:27" ht="15.75" customHeight="1">
      <c r="A289" s="176"/>
      <c r="B289" s="209"/>
      <c r="C289" s="176"/>
      <c r="D289" s="176"/>
      <c r="E289" s="176"/>
      <c r="F289" s="210"/>
      <c r="G289" s="176"/>
      <c r="H289" s="176"/>
      <c r="I289" s="210"/>
      <c r="J289" s="176"/>
      <c r="K289" s="211"/>
      <c r="L289" s="211"/>
      <c r="M289" s="211"/>
      <c r="N289" s="211"/>
      <c r="O289" s="211"/>
      <c r="P289" s="211"/>
      <c r="Q289" s="210"/>
      <c r="R289" s="176"/>
      <c r="S289" s="176"/>
      <c r="T289" s="212"/>
      <c r="U289" s="176"/>
      <c r="V289" s="176"/>
      <c r="W289" s="176"/>
      <c r="X289" s="176"/>
      <c r="Y289" s="176"/>
      <c r="Z289" s="176"/>
      <c r="AA289" s="176"/>
    </row>
    <row r="290" spans="1:27" ht="15.75" customHeight="1">
      <c r="A290" s="176"/>
      <c r="B290" s="209"/>
      <c r="C290" s="176"/>
      <c r="D290" s="176"/>
      <c r="E290" s="176"/>
      <c r="F290" s="210"/>
      <c r="G290" s="176"/>
      <c r="H290" s="176"/>
      <c r="I290" s="210"/>
      <c r="J290" s="176"/>
      <c r="K290" s="211"/>
      <c r="L290" s="211"/>
      <c r="M290" s="211"/>
      <c r="N290" s="211"/>
      <c r="O290" s="211"/>
      <c r="P290" s="211"/>
      <c r="Q290" s="210"/>
      <c r="R290" s="176"/>
      <c r="S290" s="176"/>
      <c r="T290" s="212"/>
      <c r="U290" s="176"/>
      <c r="V290" s="176"/>
      <c r="W290" s="176"/>
      <c r="X290" s="176"/>
      <c r="Y290" s="176"/>
      <c r="Z290" s="176"/>
      <c r="AA290" s="176"/>
    </row>
    <row r="291" spans="1:27" ht="15.75" customHeight="1">
      <c r="A291" s="176"/>
      <c r="B291" s="209"/>
      <c r="C291" s="176"/>
      <c r="D291" s="176"/>
      <c r="E291" s="176"/>
      <c r="F291" s="210"/>
      <c r="G291" s="176"/>
      <c r="H291" s="176"/>
      <c r="I291" s="210"/>
      <c r="J291" s="176"/>
      <c r="K291" s="211"/>
      <c r="L291" s="211"/>
      <c r="M291" s="211"/>
      <c r="N291" s="211"/>
      <c r="O291" s="211"/>
      <c r="P291" s="211"/>
      <c r="Q291" s="210"/>
      <c r="R291" s="176"/>
      <c r="S291" s="176"/>
      <c r="T291" s="212"/>
      <c r="U291" s="176"/>
      <c r="V291" s="176"/>
      <c r="W291" s="176"/>
      <c r="X291" s="176"/>
      <c r="Y291" s="176"/>
      <c r="Z291" s="176"/>
      <c r="AA291" s="176"/>
    </row>
    <row r="292" spans="1:27" ht="15.75" customHeight="1">
      <c r="A292" s="176"/>
      <c r="B292" s="209"/>
      <c r="C292" s="176"/>
      <c r="D292" s="176"/>
      <c r="E292" s="176"/>
      <c r="F292" s="210"/>
      <c r="G292" s="176"/>
      <c r="H292" s="176"/>
      <c r="I292" s="210"/>
      <c r="J292" s="176"/>
      <c r="K292" s="211"/>
      <c r="L292" s="211"/>
      <c r="M292" s="211"/>
      <c r="N292" s="211"/>
      <c r="O292" s="211"/>
      <c r="P292" s="211"/>
      <c r="Q292" s="210"/>
      <c r="R292" s="176"/>
      <c r="S292" s="176"/>
      <c r="T292" s="212"/>
      <c r="U292" s="176"/>
      <c r="V292" s="176"/>
      <c r="W292" s="176"/>
      <c r="X292" s="176"/>
      <c r="Y292" s="176"/>
      <c r="Z292" s="176"/>
      <c r="AA292" s="176"/>
    </row>
    <row r="293" spans="1:27" ht="15.75" customHeight="1">
      <c r="A293" s="176"/>
      <c r="B293" s="209"/>
      <c r="C293" s="176"/>
      <c r="D293" s="176"/>
      <c r="E293" s="176"/>
      <c r="F293" s="210"/>
      <c r="G293" s="176"/>
      <c r="H293" s="176"/>
      <c r="I293" s="210"/>
      <c r="J293" s="176"/>
      <c r="K293" s="211"/>
      <c r="L293" s="211"/>
      <c r="M293" s="211"/>
      <c r="N293" s="211"/>
      <c r="O293" s="211"/>
      <c r="P293" s="211"/>
      <c r="Q293" s="210"/>
      <c r="R293" s="176"/>
      <c r="S293" s="176"/>
      <c r="T293" s="212"/>
      <c r="U293" s="176"/>
      <c r="V293" s="176"/>
      <c r="W293" s="176"/>
      <c r="X293" s="176"/>
      <c r="Y293" s="176"/>
      <c r="Z293" s="176"/>
      <c r="AA293" s="176"/>
    </row>
    <row r="294" spans="1:27" ht="15.75" customHeight="1">
      <c r="A294" s="176"/>
      <c r="B294" s="209"/>
      <c r="C294" s="176"/>
      <c r="D294" s="176"/>
      <c r="E294" s="176"/>
      <c r="F294" s="210"/>
      <c r="G294" s="176"/>
      <c r="H294" s="176"/>
      <c r="I294" s="210"/>
      <c r="J294" s="176"/>
      <c r="K294" s="211"/>
      <c r="L294" s="211"/>
      <c r="M294" s="211"/>
      <c r="N294" s="211"/>
      <c r="O294" s="211"/>
      <c r="P294" s="211"/>
      <c r="Q294" s="210"/>
      <c r="R294" s="176"/>
      <c r="S294" s="176"/>
      <c r="T294" s="212"/>
      <c r="U294" s="176"/>
      <c r="V294" s="176"/>
      <c r="W294" s="176"/>
      <c r="X294" s="176"/>
      <c r="Y294" s="176"/>
      <c r="Z294" s="176"/>
      <c r="AA294" s="176"/>
    </row>
    <row r="295" spans="1:27" ht="15.75" customHeight="1">
      <c r="A295" s="176"/>
      <c r="B295" s="209"/>
      <c r="C295" s="176"/>
      <c r="D295" s="176"/>
      <c r="E295" s="176"/>
      <c r="F295" s="210"/>
      <c r="G295" s="176"/>
      <c r="H295" s="176"/>
      <c r="I295" s="210"/>
      <c r="J295" s="176"/>
      <c r="K295" s="211"/>
      <c r="L295" s="211"/>
      <c r="M295" s="211"/>
      <c r="N295" s="211"/>
      <c r="O295" s="211"/>
      <c r="P295" s="211"/>
      <c r="Q295" s="210"/>
      <c r="R295" s="176"/>
      <c r="S295" s="176"/>
      <c r="T295" s="212"/>
      <c r="U295" s="176"/>
      <c r="V295" s="176"/>
      <c r="W295" s="176"/>
      <c r="X295" s="176"/>
      <c r="Y295" s="176"/>
      <c r="Z295" s="176"/>
      <c r="AA295" s="176"/>
    </row>
    <row r="296" spans="1:27" ht="15.75" customHeight="1">
      <c r="A296" s="176"/>
      <c r="B296" s="209"/>
      <c r="C296" s="176"/>
      <c r="D296" s="176"/>
      <c r="E296" s="176"/>
      <c r="F296" s="210"/>
      <c r="G296" s="176"/>
      <c r="H296" s="176"/>
      <c r="I296" s="210"/>
      <c r="J296" s="176"/>
      <c r="K296" s="211"/>
      <c r="L296" s="211"/>
      <c r="M296" s="211"/>
      <c r="N296" s="211"/>
      <c r="O296" s="211"/>
      <c r="P296" s="211"/>
      <c r="Q296" s="210"/>
      <c r="R296" s="176"/>
      <c r="S296" s="176"/>
      <c r="T296" s="212"/>
      <c r="U296" s="176"/>
      <c r="V296" s="176"/>
      <c r="W296" s="176"/>
      <c r="X296" s="176"/>
      <c r="Y296" s="176"/>
      <c r="Z296" s="176"/>
      <c r="AA296" s="176"/>
    </row>
    <row r="297" spans="1:27" ht="15.75" customHeight="1">
      <c r="A297" s="176"/>
      <c r="B297" s="209"/>
      <c r="C297" s="176"/>
      <c r="D297" s="176"/>
      <c r="E297" s="176"/>
      <c r="F297" s="210"/>
      <c r="G297" s="176"/>
      <c r="H297" s="176"/>
      <c r="I297" s="210"/>
      <c r="J297" s="176"/>
      <c r="K297" s="211"/>
      <c r="L297" s="211"/>
      <c r="M297" s="211"/>
      <c r="N297" s="211"/>
      <c r="O297" s="211"/>
      <c r="P297" s="211"/>
      <c r="Q297" s="210"/>
      <c r="R297" s="176"/>
      <c r="S297" s="176"/>
      <c r="T297" s="212"/>
      <c r="U297" s="176"/>
      <c r="V297" s="176"/>
      <c r="W297" s="176"/>
      <c r="X297" s="176"/>
      <c r="Y297" s="176"/>
      <c r="Z297" s="176"/>
      <c r="AA297" s="176"/>
    </row>
    <row r="298" spans="1:27" ht="15.75" customHeight="1">
      <c r="A298" s="176"/>
      <c r="B298" s="209"/>
      <c r="C298" s="176"/>
      <c r="D298" s="176"/>
      <c r="E298" s="176"/>
      <c r="F298" s="210"/>
      <c r="G298" s="176"/>
      <c r="H298" s="176"/>
      <c r="I298" s="210"/>
      <c r="J298" s="176"/>
      <c r="K298" s="211"/>
      <c r="L298" s="211"/>
      <c r="M298" s="211"/>
      <c r="N298" s="211"/>
      <c r="O298" s="211"/>
      <c r="P298" s="211"/>
      <c r="Q298" s="210"/>
      <c r="R298" s="176"/>
      <c r="S298" s="176"/>
      <c r="T298" s="212"/>
      <c r="U298" s="176"/>
      <c r="V298" s="176"/>
      <c r="W298" s="176"/>
      <c r="X298" s="176"/>
      <c r="Y298" s="176"/>
      <c r="Z298" s="176"/>
      <c r="AA298" s="176"/>
    </row>
    <row r="299" spans="1:27" ht="15.75" customHeight="1">
      <c r="A299" s="176"/>
      <c r="B299" s="209"/>
      <c r="C299" s="176"/>
      <c r="D299" s="176"/>
      <c r="E299" s="176"/>
      <c r="F299" s="210"/>
      <c r="G299" s="176"/>
      <c r="H299" s="176"/>
      <c r="I299" s="210"/>
      <c r="J299" s="176"/>
      <c r="K299" s="211"/>
      <c r="L299" s="211"/>
      <c r="M299" s="211"/>
      <c r="N299" s="211"/>
      <c r="O299" s="211"/>
      <c r="P299" s="211"/>
      <c r="Q299" s="210"/>
      <c r="R299" s="176"/>
      <c r="S299" s="176"/>
      <c r="T299" s="212"/>
      <c r="U299" s="176"/>
      <c r="V299" s="176"/>
      <c r="W299" s="176"/>
      <c r="X299" s="176"/>
      <c r="Y299" s="176"/>
      <c r="Z299" s="176"/>
      <c r="AA299" s="176"/>
    </row>
    <row r="300" spans="1:27" ht="15.75" customHeight="1">
      <c r="A300" s="176"/>
      <c r="B300" s="209"/>
      <c r="C300" s="176"/>
      <c r="D300" s="176"/>
      <c r="E300" s="176"/>
      <c r="F300" s="210"/>
      <c r="G300" s="176"/>
      <c r="H300" s="176"/>
      <c r="I300" s="210"/>
      <c r="J300" s="176"/>
      <c r="K300" s="211"/>
      <c r="L300" s="211"/>
      <c r="M300" s="211"/>
      <c r="N300" s="211"/>
      <c r="O300" s="211"/>
      <c r="P300" s="211"/>
      <c r="Q300" s="210"/>
      <c r="R300" s="176"/>
      <c r="S300" s="176"/>
      <c r="T300" s="212"/>
      <c r="U300" s="176"/>
      <c r="V300" s="176"/>
      <c r="W300" s="176"/>
      <c r="X300" s="176"/>
      <c r="Y300" s="176"/>
      <c r="Z300" s="176"/>
      <c r="AA300" s="176"/>
    </row>
    <row r="301" spans="1:27" ht="15.75" customHeight="1">
      <c r="A301" s="176"/>
      <c r="B301" s="209"/>
      <c r="C301" s="176"/>
      <c r="D301" s="176"/>
      <c r="E301" s="176"/>
      <c r="F301" s="210"/>
      <c r="G301" s="176"/>
      <c r="H301" s="176"/>
      <c r="I301" s="210"/>
      <c r="J301" s="176"/>
      <c r="K301" s="211"/>
      <c r="L301" s="211"/>
      <c r="M301" s="211"/>
      <c r="N301" s="211"/>
      <c r="O301" s="211"/>
      <c r="P301" s="211"/>
      <c r="Q301" s="210"/>
      <c r="R301" s="176"/>
      <c r="S301" s="176"/>
      <c r="T301" s="212"/>
      <c r="U301" s="176"/>
      <c r="V301" s="176"/>
      <c r="W301" s="176"/>
      <c r="X301" s="176"/>
      <c r="Y301" s="176"/>
      <c r="Z301" s="176"/>
      <c r="AA301" s="176"/>
    </row>
    <row r="302" spans="1:27" ht="15.75" customHeight="1">
      <c r="A302" s="176"/>
      <c r="B302" s="209"/>
      <c r="C302" s="176"/>
      <c r="D302" s="176"/>
      <c r="E302" s="176"/>
      <c r="F302" s="210"/>
      <c r="G302" s="176"/>
      <c r="H302" s="176"/>
      <c r="I302" s="210"/>
      <c r="J302" s="176"/>
      <c r="K302" s="211"/>
      <c r="L302" s="211"/>
      <c r="M302" s="211"/>
      <c r="N302" s="211"/>
      <c r="O302" s="211"/>
      <c r="P302" s="211"/>
      <c r="Q302" s="210"/>
      <c r="R302" s="176"/>
      <c r="S302" s="176"/>
      <c r="T302" s="212"/>
      <c r="U302" s="176"/>
      <c r="V302" s="176"/>
      <c r="W302" s="176"/>
      <c r="X302" s="176"/>
      <c r="Y302" s="176"/>
      <c r="Z302" s="176"/>
      <c r="AA302" s="176"/>
    </row>
    <row r="303" spans="1:27" ht="15.75" customHeight="1">
      <c r="A303" s="176"/>
      <c r="B303" s="209"/>
      <c r="C303" s="176"/>
      <c r="D303" s="176"/>
      <c r="E303" s="176"/>
      <c r="F303" s="210"/>
      <c r="G303" s="176"/>
      <c r="H303" s="176"/>
      <c r="I303" s="210"/>
      <c r="J303" s="176"/>
      <c r="K303" s="211"/>
      <c r="L303" s="211"/>
      <c r="M303" s="211"/>
      <c r="N303" s="211"/>
      <c r="O303" s="211"/>
      <c r="P303" s="211"/>
      <c r="Q303" s="210"/>
      <c r="R303" s="176"/>
      <c r="S303" s="176"/>
      <c r="T303" s="212"/>
      <c r="U303" s="176"/>
      <c r="V303" s="176"/>
      <c r="W303" s="176"/>
      <c r="X303" s="176"/>
      <c r="Y303" s="176"/>
      <c r="Z303" s="176"/>
      <c r="AA303" s="176"/>
    </row>
    <row r="304" spans="1:27" ht="15.75" customHeight="1">
      <c r="A304" s="176"/>
      <c r="B304" s="209"/>
      <c r="C304" s="176"/>
      <c r="D304" s="176"/>
      <c r="E304" s="176"/>
      <c r="F304" s="210"/>
      <c r="G304" s="176"/>
      <c r="H304" s="176"/>
      <c r="I304" s="210"/>
      <c r="J304" s="176"/>
      <c r="K304" s="211"/>
      <c r="L304" s="211"/>
      <c r="M304" s="211"/>
      <c r="N304" s="211"/>
      <c r="O304" s="211"/>
      <c r="P304" s="211"/>
      <c r="Q304" s="210"/>
      <c r="R304" s="176"/>
      <c r="S304" s="176"/>
      <c r="T304" s="212"/>
      <c r="U304" s="176"/>
      <c r="V304" s="176"/>
      <c r="W304" s="176"/>
      <c r="X304" s="176"/>
      <c r="Y304" s="176"/>
      <c r="Z304" s="176"/>
      <c r="AA304" s="176"/>
    </row>
    <row r="305" spans="1:27" ht="15.75" customHeight="1">
      <c r="A305" s="176"/>
      <c r="B305" s="209"/>
      <c r="C305" s="176"/>
      <c r="D305" s="176"/>
      <c r="E305" s="176"/>
      <c r="F305" s="210"/>
      <c r="G305" s="176"/>
      <c r="H305" s="176"/>
      <c r="I305" s="210"/>
      <c r="J305" s="176"/>
      <c r="K305" s="211"/>
      <c r="L305" s="211"/>
      <c r="M305" s="211"/>
      <c r="N305" s="211"/>
      <c r="O305" s="211"/>
      <c r="P305" s="211"/>
      <c r="Q305" s="210"/>
      <c r="R305" s="176"/>
      <c r="S305" s="176"/>
      <c r="T305" s="212"/>
      <c r="U305" s="176"/>
      <c r="V305" s="176"/>
      <c r="W305" s="176"/>
      <c r="X305" s="176"/>
      <c r="Y305" s="176"/>
      <c r="Z305" s="176"/>
      <c r="AA305" s="176"/>
    </row>
    <row r="306" spans="1:27" ht="15.75" customHeight="1">
      <c r="A306" s="176"/>
      <c r="B306" s="209"/>
      <c r="C306" s="176"/>
      <c r="D306" s="176"/>
      <c r="E306" s="176"/>
      <c r="F306" s="210"/>
      <c r="G306" s="176"/>
      <c r="H306" s="176"/>
      <c r="I306" s="210"/>
      <c r="J306" s="176"/>
      <c r="K306" s="211"/>
      <c r="L306" s="211"/>
      <c r="M306" s="211"/>
      <c r="N306" s="211"/>
      <c r="O306" s="211"/>
      <c r="P306" s="211"/>
      <c r="Q306" s="210"/>
      <c r="R306" s="176"/>
      <c r="S306" s="176"/>
      <c r="T306" s="212"/>
      <c r="U306" s="176"/>
      <c r="V306" s="176"/>
      <c r="W306" s="176"/>
      <c r="X306" s="176"/>
      <c r="Y306" s="176"/>
      <c r="Z306" s="176"/>
      <c r="AA306" s="176"/>
    </row>
    <row r="307" spans="1:27" ht="15.75" customHeight="1">
      <c r="A307" s="176"/>
      <c r="B307" s="209"/>
      <c r="C307" s="176"/>
      <c r="D307" s="176"/>
      <c r="E307" s="176"/>
      <c r="F307" s="210"/>
      <c r="G307" s="176"/>
      <c r="H307" s="176"/>
      <c r="I307" s="210"/>
      <c r="J307" s="176"/>
      <c r="K307" s="211"/>
      <c r="L307" s="211"/>
      <c r="M307" s="211"/>
      <c r="N307" s="211"/>
      <c r="O307" s="211"/>
      <c r="P307" s="211"/>
      <c r="Q307" s="210"/>
      <c r="R307" s="176"/>
      <c r="S307" s="176"/>
      <c r="T307" s="212"/>
      <c r="U307" s="176"/>
      <c r="V307" s="176"/>
      <c r="W307" s="176"/>
      <c r="X307" s="176"/>
      <c r="Y307" s="176"/>
      <c r="Z307" s="176"/>
      <c r="AA307" s="176"/>
    </row>
    <row r="308" spans="1:27" ht="15.75" customHeight="1">
      <c r="A308" s="176"/>
      <c r="B308" s="209"/>
      <c r="C308" s="176"/>
      <c r="D308" s="176"/>
      <c r="E308" s="176"/>
      <c r="F308" s="210"/>
      <c r="G308" s="176"/>
      <c r="H308" s="176"/>
      <c r="I308" s="210"/>
      <c r="J308" s="176"/>
      <c r="K308" s="211"/>
      <c r="L308" s="211"/>
      <c r="M308" s="211"/>
      <c r="N308" s="211"/>
      <c r="O308" s="211"/>
      <c r="P308" s="211"/>
      <c r="Q308" s="210"/>
      <c r="R308" s="176"/>
      <c r="S308" s="176"/>
      <c r="T308" s="212"/>
      <c r="U308" s="176"/>
      <c r="V308" s="176"/>
      <c r="W308" s="176"/>
      <c r="X308" s="176"/>
      <c r="Y308" s="176"/>
      <c r="Z308" s="176"/>
      <c r="AA308" s="176"/>
    </row>
    <row r="309" spans="1:27" ht="15.75" customHeight="1">
      <c r="A309" s="176"/>
      <c r="B309" s="209"/>
      <c r="C309" s="176"/>
      <c r="D309" s="176"/>
      <c r="E309" s="176"/>
      <c r="F309" s="210"/>
      <c r="G309" s="176"/>
      <c r="H309" s="176"/>
      <c r="I309" s="210"/>
      <c r="J309" s="176"/>
      <c r="K309" s="211"/>
      <c r="L309" s="211"/>
      <c r="M309" s="211"/>
      <c r="N309" s="211"/>
      <c r="O309" s="211"/>
      <c r="P309" s="211"/>
      <c r="Q309" s="210"/>
      <c r="R309" s="176"/>
      <c r="S309" s="176"/>
      <c r="T309" s="212"/>
      <c r="U309" s="176"/>
      <c r="V309" s="176"/>
      <c r="W309" s="176"/>
      <c r="X309" s="176"/>
      <c r="Y309" s="176"/>
      <c r="Z309" s="176"/>
      <c r="AA309" s="176"/>
    </row>
    <row r="310" spans="1:27" ht="15.75" customHeight="1">
      <c r="A310" s="176"/>
      <c r="B310" s="209"/>
      <c r="C310" s="176"/>
      <c r="D310" s="176"/>
      <c r="E310" s="176"/>
      <c r="F310" s="210"/>
      <c r="G310" s="176"/>
      <c r="H310" s="176"/>
      <c r="I310" s="210"/>
      <c r="J310" s="176"/>
      <c r="K310" s="211"/>
      <c r="L310" s="211"/>
      <c r="M310" s="211"/>
      <c r="N310" s="211"/>
      <c r="O310" s="211"/>
      <c r="P310" s="211"/>
      <c r="Q310" s="210"/>
      <c r="R310" s="176"/>
      <c r="S310" s="176"/>
      <c r="T310" s="212"/>
      <c r="U310" s="176"/>
      <c r="V310" s="176"/>
      <c r="W310" s="176"/>
      <c r="X310" s="176"/>
      <c r="Y310" s="176"/>
      <c r="Z310" s="176"/>
      <c r="AA310" s="176"/>
    </row>
    <row r="311" spans="1:27" ht="15.75" customHeight="1">
      <c r="A311" s="176"/>
      <c r="B311" s="209"/>
      <c r="C311" s="176"/>
      <c r="D311" s="176"/>
      <c r="E311" s="176"/>
      <c r="F311" s="210"/>
      <c r="G311" s="176"/>
      <c r="H311" s="176"/>
      <c r="I311" s="210"/>
      <c r="J311" s="176"/>
      <c r="K311" s="211"/>
      <c r="L311" s="211"/>
      <c r="M311" s="211"/>
      <c r="N311" s="211"/>
      <c r="O311" s="211"/>
      <c r="P311" s="211"/>
      <c r="Q311" s="210"/>
      <c r="R311" s="176"/>
      <c r="S311" s="176"/>
      <c r="T311" s="212"/>
      <c r="U311" s="176"/>
      <c r="V311" s="176"/>
      <c r="W311" s="176"/>
      <c r="X311" s="176"/>
      <c r="Y311" s="176"/>
      <c r="Z311" s="176"/>
      <c r="AA311" s="176"/>
    </row>
    <row r="312" spans="1:27" ht="15.75" customHeight="1">
      <c r="A312" s="176"/>
      <c r="B312" s="209"/>
      <c r="C312" s="176"/>
      <c r="D312" s="176"/>
      <c r="E312" s="176"/>
      <c r="F312" s="210"/>
      <c r="G312" s="176"/>
      <c r="H312" s="176"/>
      <c r="I312" s="210"/>
      <c r="J312" s="176"/>
      <c r="K312" s="211"/>
      <c r="L312" s="211"/>
      <c r="M312" s="211"/>
      <c r="N312" s="211"/>
      <c r="O312" s="211"/>
      <c r="P312" s="211"/>
      <c r="Q312" s="210"/>
      <c r="R312" s="176"/>
      <c r="S312" s="176"/>
      <c r="T312" s="212"/>
      <c r="U312" s="176"/>
      <c r="V312" s="176"/>
      <c r="W312" s="176"/>
      <c r="X312" s="176"/>
      <c r="Y312" s="176"/>
      <c r="Z312" s="176"/>
      <c r="AA312" s="176"/>
    </row>
    <row r="313" spans="1:27" ht="15.75" customHeight="1">
      <c r="A313" s="176"/>
      <c r="B313" s="209"/>
      <c r="C313" s="176"/>
      <c r="D313" s="176"/>
      <c r="E313" s="176"/>
      <c r="F313" s="210"/>
      <c r="G313" s="176"/>
      <c r="H313" s="176"/>
      <c r="I313" s="210"/>
      <c r="J313" s="176"/>
      <c r="K313" s="211"/>
      <c r="L313" s="211"/>
      <c r="M313" s="211"/>
      <c r="N313" s="211"/>
      <c r="O313" s="211"/>
      <c r="P313" s="211"/>
      <c r="Q313" s="210"/>
      <c r="R313" s="176"/>
      <c r="S313" s="176"/>
      <c r="T313" s="212"/>
      <c r="U313" s="176"/>
      <c r="V313" s="176"/>
      <c r="W313" s="176"/>
      <c r="X313" s="176"/>
      <c r="Y313" s="176"/>
      <c r="Z313" s="176"/>
      <c r="AA313" s="176"/>
    </row>
    <row r="314" spans="1:27" ht="15.75" customHeight="1">
      <c r="A314" s="176"/>
      <c r="B314" s="209"/>
      <c r="C314" s="176"/>
      <c r="D314" s="176"/>
      <c r="E314" s="176"/>
      <c r="F314" s="210"/>
      <c r="G314" s="176"/>
      <c r="H314" s="176"/>
      <c r="I314" s="210"/>
      <c r="J314" s="176"/>
      <c r="K314" s="211"/>
      <c r="L314" s="211"/>
      <c r="M314" s="211"/>
      <c r="N314" s="211"/>
      <c r="O314" s="211"/>
      <c r="P314" s="211"/>
      <c r="Q314" s="210"/>
      <c r="R314" s="176"/>
      <c r="S314" s="176"/>
      <c r="T314" s="212"/>
      <c r="U314" s="176"/>
      <c r="V314" s="176"/>
      <c r="W314" s="176"/>
      <c r="X314" s="176"/>
      <c r="Y314" s="176"/>
      <c r="Z314" s="176"/>
      <c r="AA314" s="176"/>
    </row>
    <row r="315" spans="1:27" ht="15.75" customHeight="1">
      <c r="A315" s="176"/>
      <c r="B315" s="209"/>
      <c r="C315" s="176"/>
      <c r="D315" s="176"/>
      <c r="E315" s="176"/>
      <c r="F315" s="210"/>
      <c r="G315" s="176"/>
      <c r="H315" s="176"/>
      <c r="I315" s="210"/>
      <c r="J315" s="176"/>
      <c r="K315" s="211"/>
      <c r="L315" s="211"/>
      <c r="M315" s="211"/>
      <c r="N315" s="211"/>
      <c r="O315" s="211"/>
      <c r="P315" s="211"/>
      <c r="Q315" s="210"/>
      <c r="R315" s="176"/>
      <c r="S315" s="176"/>
      <c r="T315" s="212"/>
      <c r="U315" s="176"/>
      <c r="V315" s="176"/>
      <c r="W315" s="176"/>
      <c r="X315" s="176"/>
      <c r="Y315" s="176"/>
      <c r="Z315" s="176"/>
      <c r="AA315" s="176"/>
    </row>
    <row r="316" spans="1:27" ht="15.75" customHeight="1">
      <c r="A316" s="176"/>
      <c r="B316" s="209"/>
      <c r="C316" s="176"/>
      <c r="D316" s="176"/>
      <c r="E316" s="176"/>
      <c r="F316" s="210"/>
      <c r="G316" s="176"/>
      <c r="H316" s="176"/>
      <c r="I316" s="210"/>
      <c r="J316" s="176"/>
      <c r="K316" s="211"/>
      <c r="L316" s="211"/>
      <c r="M316" s="211"/>
      <c r="N316" s="211"/>
      <c r="O316" s="211"/>
      <c r="P316" s="211"/>
      <c r="Q316" s="210"/>
      <c r="R316" s="176"/>
      <c r="S316" s="176"/>
      <c r="T316" s="212"/>
      <c r="U316" s="176"/>
      <c r="V316" s="176"/>
      <c r="W316" s="176"/>
      <c r="X316" s="176"/>
      <c r="Y316" s="176"/>
      <c r="Z316" s="176"/>
      <c r="AA316" s="176"/>
    </row>
    <row r="317" spans="1:27" ht="15.75" customHeight="1">
      <c r="A317" s="176"/>
      <c r="B317" s="209"/>
      <c r="C317" s="176"/>
      <c r="D317" s="176"/>
      <c r="E317" s="176"/>
      <c r="F317" s="210"/>
      <c r="G317" s="176"/>
      <c r="H317" s="176"/>
      <c r="I317" s="210"/>
      <c r="J317" s="176"/>
      <c r="K317" s="211"/>
      <c r="L317" s="211"/>
      <c r="M317" s="211"/>
      <c r="N317" s="211"/>
      <c r="O317" s="211"/>
      <c r="P317" s="211"/>
      <c r="Q317" s="210"/>
      <c r="R317" s="176"/>
      <c r="S317" s="176"/>
      <c r="T317" s="212"/>
      <c r="U317" s="176"/>
      <c r="V317" s="176"/>
      <c r="W317" s="176"/>
      <c r="X317" s="176"/>
      <c r="Y317" s="176"/>
      <c r="Z317" s="176"/>
      <c r="AA317" s="176"/>
    </row>
    <row r="318" spans="1:27" ht="15.75" customHeight="1">
      <c r="A318" s="176"/>
      <c r="B318" s="209"/>
      <c r="C318" s="176"/>
      <c r="D318" s="176"/>
      <c r="E318" s="176"/>
      <c r="F318" s="210"/>
      <c r="G318" s="176"/>
      <c r="H318" s="176"/>
      <c r="I318" s="210"/>
      <c r="J318" s="176"/>
      <c r="K318" s="211"/>
      <c r="L318" s="211"/>
      <c r="M318" s="211"/>
      <c r="N318" s="211"/>
      <c r="O318" s="211"/>
      <c r="P318" s="211"/>
      <c r="Q318" s="210"/>
      <c r="R318" s="176"/>
      <c r="S318" s="176"/>
      <c r="T318" s="212"/>
      <c r="U318" s="176"/>
      <c r="V318" s="176"/>
      <c r="W318" s="176"/>
      <c r="X318" s="176"/>
      <c r="Y318" s="176"/>
      <c r="Z318" s="176"/>
      <c r="AA318" s="176"/>
    </row>
    <row r="319" spans="1:27" ht="15.75" customHeight="1">
      <c r="A319" s="176"/>
      <c r="B319" s="209"/>
      <c r="C319" s="176"/>
      <c r="D319" s="176"/>
      <c r="E319" s="176"/>
      <c r="F319" s="210"/>
      <c r="G319" s="176"/>
      <c r="H319" s="176"/>
      <c r="I319" s="210"/>
      <c r="J319" s="176"/>
      <c r="K319" s="211"/>
      <c r="L319" s="211"/>
      <c r="M319" s="211"/>
      <c r="N319" s="211"/>
      <c r="O319" s="211"/>
      <c r="P319" s="211"/>
      <c r="Q319" s="210"/>
      <c r="R319" s="176"/>
      <c r="S319" s="176"/>
      <c r="T319" s="212"/>
      <c r="U319" s="176"/>
      <c r="V319" s="176"/>
      <c r="W319" s="176"/>
      <c r="X319" s="176"/>
      <c r="Y319" s="176"/>
      <c r="Z319" s="176"/>
      <c r="AA319" s="176"/>
    </row>
    <row r="320" spans="1:27" ht="15.75" customHeight="1">
      <c r="A320" s="176"/>
      <c r="B320" s="209"/>
      <c r="C320" s="176"/>
      <c r="D320" s="176"/>
      <c r="E320" s="176"/>
      <c r="F320" s="210"/>
      <c r="G320" s="176"/>
      <c r="H320" s="176"/>
      <c r="I320" s="210"/>
      <c r="J320" s="176"/>
      <c r="K320" s="211"/>
      <c r="L320" s="211"/>
      <c r="M320" s="211"/>
      <c r="N320" s="211"/>
      <c r="O320" s="211"/>
      <c r="P320" s="211"/>
      <c r="Q320" s="210"/>
      <c r="R320" s="176"/>
      <c r="S320" s="176"/>
      <c r="T320" s="212"/>
      <c r="U320" s="176"/>
      <c r="V320" s="176"/>
      <c r="W320" s="176"/>
      <c r="X320" s="176"/>
      <c r="Y320" s="176"/>
      <c r="Z320" s="176"/>
      <c r="AA320" s="176"/>
    </row>
    <row r="321" spans="1:27" ht="15.75" customHeight="1">
      <c r="A321" s="176"/>
      <c r="B321" s="209"/>
      <c r="C321" s="176"/>
      <c r="D321" s="176"/>
      <c r="E321" s="176"/>
      <c r="F321" s="210"/>
      <c r="G321" s="176"/>
      <c r="H321" s="176"/>
      <c r="I321" s="210"/>
      <c r="J321" s="176"/>
      <c r="K321" s="211"/>
      <c r="L321" s="211"/>
      <c r="M321" s="211"/>
      <c r="N321" s="211"/>
      <c r="O321" s="211"/>
      <c r="P321" s="211"/>
      <c r="Q321" s="210"/>
      <c r="R321" s="176"/>
      <c r="S321" s="176"/>
      <c r="T321" s="212"/>
      <c r="U321" s="176"/>
      <c r="V321" s="176"/>
      <c r="W321" s="176"/>
      <c r="X321" s="176"/>
      <c r="Y321" s="176"/>
      <c r="Z321" s="176"/>
      <c r="AA321" s="176"/>
    </row>
    <row r="322" spans="1:27" ht="15.75" customHeight="1">
      <c r="A322" s="176"/>
      <c r="B322" s="209"/>
      <c r="C322" s="176"/>
      <c r="D322" s="176"/>
      <c r="E322" s="176"/>
      <c r="F322" s="210"/>
      <c r="G322" s="176"/>
      <c r="H322" s="176"/>
      <c r="I322" s="210"/>
      <c r="J322" s="176"/>
      <c r="K322" s="211"/>
      <c r="L322" s="211"/>
      <c r="M322" s="211"/>
      <c r="N322" s="211"/>
      <c r="O322" s="211"/>
      <c r="P322" s="211"/>
      <c r="Q322" s="210"/>
      <c r="R322" s="176"/>
      <c r="S322" s="176"/>
      <c r="T322" s="212"/>
      <c r="U322" s="176"/>
      <c r="V322" s="176"/>
      <c r="W322" s="176"/>
      <c r="X322" s="176"/>
      <c r="Y322" s="176"/>
      <c r="Z322" s="176"/>
      <c r="AA322" s="176"/>
    </row>
    <row r="323" spans="1:27" ht="15.75" customHeight="1">
      <c r="A323" s="176"/>
      <c r="B323" s="209"/>
      <c r="C323" s="176"/>
      <c r="D323" s="176"/>
      <c r="E323" s="176"/>
      <c r="F323" s="210"/>
      <c r="G323" s="176"/>
      <c r="H323" s="176"/>
      <c r="I323" s="210"/>
      <c r="J323" s="176"/>
      <c r="K323" s="211"/>
      <c r="L323" s="211"/>
      <c r="M323" s="211"/>
      <c r="N323" s="211"/>
      <c r="O323" s="211"/>
      <c r="P323" s="211"/>
      <c r="Q323" s="210"/>
      <c r="R323" s="176"/>
      <c r="S323" s="176"/>
      <c r="T323" s="212"/>
      <c r="U323" s="176"/>
      <c r="V323" s="176"/>
      <c r="W323" s="176"/>
      <c r="X323" s="176"/>
      <c r="Y323" s="176"/>
      <c r="Z323" s="176"/>
      <c r="AA323" s="176"/>
    </row>
    <row r="324" spans="1:27" ht="15.75" customHeight="1">
      <c r="A324" s="176"/>
      <c r="B324" s="209"/>
      <c r="C324" s="176"/>
      <c r="D324" s="176"/>
      <c r="E324" s="176"/>
      <c r="F324" s="210"/>
      <c r="G324" s="176"/>
      <c r="H324" s="176"/>
      <c r="I324" s="210"/>
      <c r="J324" s="176"/>
      <c r="K324" s="211"/>
      <c r="L324" s="211"/>
      <c r="M324" s="211"/>
      <c r="N324" s="211"/>
      <c r="O324" s="211"/>
      <c r="P324" s="211"/>
      <c r="Q324" s="210"/>
      <c r="R324" s="176"/>
      <c r="S324" s="176"/>
      <c r="T324" s="212"/>
      <c r="U324" s="176"/>
      <c r="V324" s="176"/>
      <c r="W324" s="176"/>
      <c r="X324" s="176"/>
      <c r="Y324" s="176"/>
      <c r="Z324" s="176"/>
      <c r="AA324" s="176"/>
    </row>
    <row r="325" spans="1:27" ht="15.75" customHeight="1">
      <c r="A325" s="176"/>
      <c r="B325" s="209"/>
      <c r="C325" s="176"/>
      <c r="D325" s="176"/>
      <c r="E325" s="176"/>
      <c r="F325" s="210"/>
      <c r="G325" s="176"/>
      <c r="H325" s="176"/>
      <c r="I325" s="210"/>
      <c r="J325" s="176"/>
      <c r="K325" s="211"/>
      <c r="L325" s="211"/>
      <c r="M325" s="211"/>
      <c r="N325" s="211"/>
      <c r="O325" s="211"/>
      <c r="P325" s="211"/>
      <c r="Q325" s="210"/>
      <c r="R325" s="176"/>
      <c r="S325" s="176"/>
      <c r="T325" s="212"/>
      <c r="U325" s="176"/>
      <c r="V325" s="176"/>
      <c r="W325" s="176"/>
      <c r="X325" s="176"/>
      <c r="Y325" s="176"/>
      <c r="Z325" s="176"/>
      <c r="AA325" s="176"/>
    </row>
    <row r="326" spans="1:27" ht="15.75" customHeight="1">
      <c r="A326" s="176"/>
      <c r="B326" s="209"/>
      <c r="C326" s="176"/>
      <c r="D326" s="176"/>
      <c r="E326" s="176"/>
      <c r="F326" s="210"/>
      <c r="G326" s="176"/>
      <c r="H326" s="176"/>
      <c r="I326" s="210"/>
      <c r="J326" s="176"/>
      <c r="K326" s="211"/>
      <c r="L326" s="211"/>
      <c r="M326" s="211"/>
      <c r="N326" s="211"/>
      <c r="O326" s="211"/>
      <c r="P326" s="211"/>
      <c r="Q326" s="210"/>
      <c r="R326" s="176"/>
      <c r="S326" s="176"/>
      <c r="T326" s="212"/>
      <c r="U326" s="176"/>
      <c r="V326" s="176"/>
      <c r="W326" s="176"/>
      <c r="X326" s="176"/>
      <c r="Y326" s="176"/>
      <c r="Z326" s="176"/>
      <c r="AA326" s="176"/>
    </row>
    <row r="327" spans="1:27" ht="15.75" customHeight="1">
      <c r="A327" s="176"/>
      <c r="B327" s="209"/>
      <c r="C327" s="176"/>
      <c r="D327" s="176"/>
      <c r="E327" s="176"/>
      <c r="F327" s="210"/>
      <c r="G327" s="176"/>
      <c r="H327" s="176"/>
      <c r="I327" s="210"/>
      <c r="J327" s="176"/>
      <c r="K327" s="211"/>
      <c r="L327" s="211"/>
      <c r="M327" s="211"/>
      <c r="N327" s="211"/>
      <c r="O327" s="211"/>
      <c r="P327" s="211"/>
      <c r="Q327" s="210"/>
      <c r="R327" s="176"/>
      <c r="S327" s="176"/>
      <c r="T327" s="212"/>
      <c r="U327" s="176"/>
      <c r="V327" s="176"/>
      <c r="W327" s="176"/>
      <c r="X327" s="176"/>
      <c r="Y327" s="176"/>
      <c r="Z327" s="176"/>
      <c r="AA327" s="176"/>
    </row>
    <row r="328" spans="1:27" ht="15.75" customHeight="1">
      <c r="A328" s="176"/>
      <c r="B328" s="209"/>
      <c r="C328" s="176"/>
      <c r="D328" s="176"/>
      <c r="E328" s="176"/>
      <c r="F328" s="210"/>
      <c r="G328" s="176"/>
      <c r="H328" s="176"/>
      <c r="I328" s="210"/>
      <c r="J328" s="176"/>
      <c r="K328" s="211"/>
      <c r="L328" s="211"/>
      <c r="M328" s="211"/>
      <c r="N328" s="211"/>
      <c r="O328" s="211"/>
      <c r="P328" s="211"/>
      <c r="Q328" s="210"/>
      <c r="R328" s="176"/>
      <c r="S328" s="176"/>
      <c r="T328" s="212"/>
      <c r="U328" s="176"/>
      <c r="V328" s="176"/>
      <c r="W328" s="176"/>
      <c r="X328" s="176"/>
      <c r="Y328" s="176"/>
      <c r="Z328" s="176"/>
      <c r="AA328" s="176"/>
    </row>
    <row r="329" spans="1:27" ht="15.75" customHeight="1">
      <c r="A329" s="176"/>
      <c r="B329" s="209"/>
      <c r="C329" s="176"/>
      <c r="D329" s="176"/>
      <c r="E329" s="176"/>
      <c r="F329" s="210"/>
      <c r="G329" s="176"/>
      <c r="H329" s="176"/>
      <c r="I329" s="210"/>
      <c r="J329" s="176"/>
      <c r="K329" s="211"/>
      <c r="L329" s="211"/>
      <c r="M329" s="211"/>
      <c r="N329" s="211"/>
      <c r="O329" s="211"/>
      <c r="P329" s="211"/>
      <c r="Q329" s="210"/>
      <c r="R329" s="176"/>
      <c r="S329" s="176"/>
      <c r="T329" s="212"/>
      <c r="U329" s="176"/>
      <c r="V329" s="176"/>
      <c r="W329" s="176"/>
      <c r="X329" s="176"/>
      <c r="Y329" s="176"/>
      <c r="Z329" s="176"/>
      <c r="AA329" s="176"/>
    </row>
    <row r="330" spans="1:27" ht="15.75" customHeight="1">
      <c r="A330" s="176"/>
      <c r="B330" s="209"/>
      <c r="C330" s="176"/>
      <c r="D330" s="176"/>
      <c r="E330" s="176"/>
      <c r="F330" s="210"/>
      <c r="G330" s="176"/>
      <c r="H330" s="176"/>
      <c r="I330" s="210"/>
      <c r="J330" s="176"/>
      <c r="K330" s="211"/>
      <c r="L330" s="211"/>
      <c r="M330" s="211"/>
      <c r="N330" s="211"/>
      <c r="O330" s="211"/>
      <c r="P330" s="211"/>
      <c r="Q330" s="210"/>
      <c r="R330" s="176"/>
      <c r="S330" s="176"/>
      <c r="T330" s="212"/>
      <c r="U330" s="176"/>
      <c r="V330" s="176"/>
      <c r="W330" s="176"/>
      <c r="X330" s="176"/>
      <c r="Y330" s="176"/>
      <c r="Z330" s="176"/>
      <c r="AA330" s="176"/>
    </row>
    <row r="331" spans="1:27" ht="15.75" customHeight="1">
      <c r="A331" s="176"/>
      <c r="B331" s="209"/>
      <c r="C331" s="176"/>
      <c r="D331" s="176"/>
      <c r="E331" s="176"/>
      <c r="F331" s="210"/>
      <c r="G331" s="176"/>
      <c r="H331" s="176"/>
      <c r="I331" s="210"/>
      <c r="J331" s="176"/>
      <c r="K331" s="211"/>
      <c r="L331" s="211"/>
      <c r="M331" s="211"/>
      <c r="N331" s="211"/>
      <c r="O331" s="211"/>
      <c r="P331" s="211"/>
      <c r="Q331" s="210"/>
      <c r="R331" s="176"/>
      <c r="S331" s="176"/>
      <c r="T331" s="212"/>
      <c r="U331" s="176"/>
      <c r="V331" s="176"/>
      <c r="W331" s="176"/>
      <c r="X331" s="176"/>
      <c r="Y331" s="176"/>
      <c r="Z331" s="176"/>
      <c r="AA331" s="176"/>
    </row>
    <row r="332" spans="1:27" ht="15.75" customHeight="1">
      <c r="A332" s="176"/>
      <c r="B332" s="209"/>
      <c r="C332" s="176"/>
      <c r="D332" s="176"/>
      <c r="E332" s="176"/>
      <c r="F332" s="210"/>
      <c r="G332" s="176"/>
      <c r="H332" s="176"/>
      <c r="I332" s="210"/>
      <c r="J332" s="176"/>
      <c r="K332" s="211"/>
      <c r="L332" s="211"/>
      <c r="M332" s="211"/>
      <c r="N332" s="211"/>
      <c r="O332" s="211"/>
      <c r="P332" s="211"/>
      <c r="Q332" s="210"/>
      <c r="R332" s="176"/>
      <c r="S332" s="176"/>
      <c r="T332" s="212"/>
      <c r="U332" s="176"/>
      <c r="V332" s="176"/>
      <c r="W332" s="176"/>
      <c r="X332" s="176"/>
      <c r="Y332" s="176"/>
      <c r="Z332" s="176"/>
      <c r="AA332" s="176"/>
    </row>
    <row r="333" spans="1:27" ht="15.75" customHeight="1">
      <c r="A333" s="176"/>
      <c r="B333" s="209"/>
      <c r="C333" s="176"/>
      <c r="D333" s="176"/>
      <c r="E333" s="176"/>
      <c r="F333" s="210"/>
      <c r="G333" s="176"/>
      <c r="H333" s="176"/>
      <c r="I333" s="210"/>
      <c r="J333" s="176"/>
      <c r="K333" s="211"/>
      <c r="L333" s="211"/>
      <c r="M333" s="211"/>
      <c r="N333" s="211"/>
      <c r="O333" s="211"/>
      <c r="P333" s="211"/>
      <c r="Q333" s="210"/>
      <c r="R333" s="176"/>
      <c r="S333" s="176"/>
      <c r="T333" s="212"/>
      <c r="U333" s="176"/>
      <c r="V333" s="176"/>
      <c r="W333" s="176"/>
      <c r="X333" s="176"/>
      <c r="Y333" s="176"/>
      <c r="Z333" s="176"/>
      <c r="AA333" s="176"/>
    </row>
    <row r="334" spans="1:27" ht="15.75" customHeight="1">
      <c r="A334" s="176"/>
      <c r="B334" s="209"/>
      <c r="C334" s="176"/>
      <c r="D334" s="176"/>
      <c r="E334" s="176"/>
      <c r="F334" s="210"/>
      <c r="G334" s="176"/>
      <c r="H334" s="176"/>
      <c r="I334" s="210"/>
      <c r="J334" s="176"/>
      <c r="K334" s="211"/>
      <c r="L334" s="211"/>
      <c r="M334" s="211"/>
      <c r="N334" s="211"/>
      <c r="O334" s="211"/>
      <c r="P334" s="211"/>
      <c r="Q334" s="210"/>
      <c r="R334" s="176"/>
      <c r="S334" s="176"/>
      <c r="T334" s="212"/>
      <c r="U334" s="176"/>
      <c r="V334" s="176"/>
      <c r="W334" s="176"/>
      <c r="X334" s="176"/>
      <c r="Y334" s="176"/>
      <c r="Z334" s="176"/>
      <c r="AA334" s="176"/>
    </row>
    <row r="335" spans="1:27" ht="15.75" customHeight="1">
      <c r="A335" s="176"/>
      <c r="B335" s="209"/>
      <c r="C335" s="176"/>
      <c r="D335" s="176"/>
      <c r="E335" s="176"/>
      <c r="F335" s="210"/>
      <c r="G335" s="176"/>
      <c r="H335" s="176"/>
      <c r="I335" s="210"/>
      <c r="J335" s="176"/>
      <c r="K335" s="211"/>
      <c r="L335" s="211"/>
      <c r="M335" s="211"/>
      <c r="N335" s="211"/>
      <c r="O335" s="211"/>
      <c r="P335" s="211"/>
      <c r="Q335" s="210"/>
      <c r="R335" s="176"/>
      <c r="S335" s="176"/>
      <c r="T335" s="212"/>
      <c r="U335" s="176"/>
      <c r="V335" s="176"/>
      <c r="W335" s="176"/>
      <c r="X335" s="176"/>
      <c r="Y335" s="176"/>
      <c r="Z335" s="176"/>
      <c r="AA335" s="176"/>
    </row>
    <row r="336" spans="1:27" ht="15.75" customHeight="1">
      <c r="A336" s="176"/>
      <c r="B336" s="209"/>
      <c r="C336" s="176"/>
      <c r="D336" s="176"/>
      <c r="E336" s="176"/>
      <c r="F336" s="210"/>
      <c r="G336" s="176"/>
      <c r="H336" s="176"/>
      <c r="I336" s="210"/>
      <c r="J336" s="176"/>
      <c r="K336" s="211"/>
      <c r="L336" s="211"/>
      <c r="M336" s="211"/>
      <c r="N336" s="211"/>
      <c r="O336" s="211"/>
      <c r="P336" s="211"/>
      <c r="Q336" s="210"/>
      <c r="R336" s="176"/>
      <c r="S336" s="176"/>
      <c r="T336" s="212"/>
      <c r="U336" s="176"/>
      <c r="V336" s="176"/>
      <c r="W336" s="176"/>
      <c r="X336" s="176"/>
      <c r="Y336" s="176"/>
      <c r="Z336" s="176"/>
      <c r="AA336" s="176"/>
    </row>
    <row r="337" spans="1:27" ht="15.75" customHeight="1">
      <c r="A337" s="176"/>
      <c r="B337" s="209"/>
      <c r="C337" s="176"/>
      <c r="D337" s="176"/>
      <c r="E337" s="176"/>
      <c r="F337" s="210"/>
      <c r="G337" s="176"/>
      <c r="H337" s="176"/>
      <c r="I337" s="210"/>
      <c r="J337" s="176"/>
      <c r="K337" s="211"/>
      <c r="L337" s="211"/>
      <c r="M337" s="211"/>
      <c r="N337" s="211"/>
      <c r="O337" s="211"/>
      <c r="P337" s="211"/>
      <c r="Q337" s="210"/>
      <c r="R337" s="176"/>
      <c r="S337" s="176"/>
      <c r="T337" s="212"/>
      <c r="U337" s="176"/>
      <c r="V337" s="176"/>
      <c r="W337" s="176"/>
      <c r="X337" s="176"/>
      <c r="Y337" s="176"/>
      <c r="Z337" s="176"/>
      <c r="AA337" s="176"/>
    </row>
    <row r="338" spans="1:27" ht="15.75" customHeight="1">
      <c r="A338" s="176"/>
      <c r="B338" s="209"/>
      <c r="C338" s="176"/>
      <c r="D338" s="176"/>
      <c r="E338" s="176"/>
      <c r="F338" s="210"/>
      <c r="G338" s="176"/>
      <c r="H338" s="176"/>
      <c r="I338" s="210"/>
      <c r="J338" s="176"/>
      <c r="K338" s="211"/>
      <c r="L338" s="211"/>
      <c r="M338" s="211"/>
      <c r="N338" s="211"/>
      <c r="O338" s="211"/>
      <c r="P338" s="211"/>
      <c r="Q338" s="210"/>
      <c r="R338" s="176"/>
      <c r="S338" s="176"/>
      <c r="T338" s="212"/>
      <c r="U338" s="176"/>
      <c r="V338" s="176"/>
      <c r="W338" s="176"/>
      <c r="X338" s="176"/>
      <c r="Y338" s="176"/>
      <c r="Z338" s="176"/>
      <c r="AA338" s="176"/>
    </row>
    <row r="339" spans="1:27" ht="15.75" customHeight="1">
      <c r="A339" s="176"/>
      <c r="B339" s="209"/>
      <c r="C339" s="176"/>
      <c r="D339" s="176"/>
      <c r="E339" s="176"/>
      <c r="F339" s="210"/>
      <c r="G339" s="176"/>
      <c r="H339" s="176"/>
      <c r="I339" s="210"/>
      <c r="J339" s="176"/>
      <c r="K339" s="211"/>
      <c r="L339" s="211"/>
      <c r="M339" s="211"/>
      <c r="N339" s="211"/>
      <c r="O339" s="211"/>
      <c r="P339" s="211"/>
      <c r="Q339" s="210"/>
      <c r="R339" s="176"/>
      <c r="S339" s="176"/>
      <c r="T339" s="212"/>
      <c r="U339" s="176"/>
      <c r="V339" s="176"/>
      <c r="W339" s="176"/>
      <c r="X339" s="176"/>
      <c r="Y339" s="176"/>
      <c r="Z339" s="176"/>
      <c r="AA339" s="176"/>
    </row>
    <row r="340" spans="1:27" ht="15.75" customHeight="1">
      <c r="A340" s="176"/>
      <c r="B340" s="209"/>
      <c r="C340" s="176"/>
      <c r="D340" s="176"/>
      <c r="E340" s="176"/>
      <c r="F340" s="210"/>
      <c r="G340" s="176"/>
      <c r="H340" s="176"/>
      <c r="I340" s="210"/>
      <c r="J340" s="176"/>
      <c r="K340" s="211"/>
      <c r="L340" s="211"/>
      <c r="M340" s="211"/>
      <c r="N340" s="211"/>
      <c r="O340" s="211"/>
      <c r="P340" s="211"/>
      <c r="Q340" s="210"/>
      <c r="R340" s="176"/>
      <c r="S340" s="176"/>
      <c r="T340" s="212"/>
      <c r="U340" s="176"/>
      <c r="V340" s="176"/>
      <c r="W340" s="176"/>
      <c r="X340" s="176"/>
      <c r="Y340" s="176"/>
      <c r="Z340" s="176"/>
      <c r="AA340" s="176"/>
    </row>
    <row r="341" spans="1:27" ht="15.75" customHeight="1">
      <c r="A341" s="176"/>
      <c r="B341" s="209"/>
      <c r="C341" s="176"/>
      <c r="D341" s="176"/>
      <c r="E341" s="176"/>
      <c r="F341" s="210"/>
      <c r="G341" s="176"/>
      <c r="H341" s="176"/>
      <c r="I341" s="210"/>
      <c r="J341" s="176"/>
      <c r="K341" s="211"/>
      <c r="L341" s="211"/>
      <c r="M341" s="211"/>
      <c r="N341" s="211"/>
      <c r="O341" s="211"/>
      <c r="P341" s="211"/>
      <c r="Q341" s="210"/>
      <c r="R341" s="176"/>
      <c r="S341" s="176"/>
      <c r="T341" s="212"/>
      <c r="U341" s="176"/>
      <c r="V341" s="176"/>
      <c r="W341" s="176"/>
      <c r="X341" s="176"/>
      <c r="Y341" s="176"/>
      <c r="Z341" s="176"/>
      <c r="AA341" s="176"/>
    </row>
    <row r="342" spans="1:27" ht="15.75" customHeight="1">
      <c r="A342" s="176"/>
      <c r="B342" s="209"/>
      <c r="C342" s="176"/>
      <c r="D342" s="176"/>
      <c r="E342" s="176"/>
      <c r="F342" s="210"/>
      <c r="G342" s="176"/>
      <c r="H342" s="176"/>
      <c r="I342" s="210"/>
      <c r="J342" s="176"/>
      <c r="K342" s="211"/>
      <c r="L342" s="211"/>
      <c r="M342" s="211"/>
      <c r="N342" s="211"/>
      <c r="O342" s="211"/>
      <c r="P342" s="211"/>
      <c r="Q342" s="210"/>
      <c r="R342" s="176"/>
      <c r="S342" s="176"/>
      <c r="T342" s="212"/>
      <c r="U342" s="176"/>
      <c r="V342" s="176"/>
      <c r="W342" s="176"/>
      <c r="X342" s="176"/>
      <c r="Y342" s="176"/>
      <c r="Z342" s="176"/>
      <c r="AA342" s="176"/>
    </row>
    <row r="343" spans="1:27" ht="15.75" customHeight="1">
      <c r="A343" s="176"/>
      <c r="B343" s="209"/>
      <c r="C343" s="176"/>
      <c r="D343" s="176"/>
      <c r="E343" s="176"/>
      <c r="F343" s="210"/>
      <c r="G343" s="176"/>
      <c r="H343" s="176"/>
      <c r="I343" s="210"/>
      <c r="J343" s="176"/>
      <c r="K343" s="211"/>
      <c r="L343" s="211"/>
      <c r="M343" s="211"/>
      <c r="N343" s="211"/>
      <c r="O343" s="211"/>
      <c r="P343" s="211"/>
      <c r="Q343" s="210"/>
      <c r="R343" s="176"/>
      <c r="S343" s="176"/>
      <c r="T343" s="212"/>
      <c r="U343" s="176"/>
      <c r="V343" s="176"/>
      <c r="W343" s="176"/>
      <c r="X343" s="176"/>
      <c r="Y343" s="176"/>
      <c r="Z343" s="176"/>
      <c r="AA343" s="176"/>
    </row>
    <row r="344" spans="1:27" ht="15.75" customHeight="1">
      <c r="A344" s="176"/>
      <c r="B344" s="209"/>
      <c r="C344" s="176"/>
      <c r="D344" s="176"/>
      <c r="E344" s="176"/>
      <c r="F344" s="210"/>
      <c r="G344" s="176"/>
      <c r="H344" s="176"/>
      <c r="I344" s="210"/>
      <c r="J344" s="176"/>
      <c r="K344" s="211"/>
      <c r="L344" s="211"/>
      <c r="M344" s="211"/>
      <c r="N344" s="211"/>
      <c r="O344" s="211"/>
      <c r="P344" s="211"/>
      <c r="Q344" s="210"/>
      <c r="R344" s="176"/>
      <c r="S344" s="176"/>
      <c r="T344" s="212"/>
      <c r="U344" s="176"/>
      <c r="V344" s="176"/>
      <c r="W344" s="176"/>
      <c r="X344" s="176"/>
      <c r="Y344" s="176"/>
      <c r="Z344" s="176"/>
      <c r="AA344" s="176"/>
    </row>
    <row r="345" spans="1:27" ht="15.75" customHeight="1">
      <c r="A345" s="176"/>
      <c r="B345" s="209"/>
      <c r="C345" s="176"/>
      <c r="D345" s="176"/>
      <c r="E345" s="176"/>
      <c r="F345" s="210"/>
      <c r="G345" s="176"/>
      <c r="H345" s="176"/>
      <c r="I345" s="210"/>
      <c r="J345" s="176"/>
      <c r="K345" s="211"/>
      <c r="L345" s="211"/>
      <c r="M345" s="211"/>
      <c r="N345" s="211"/>
      <c r="O345" s="211"/>
      <c r="P345" s="211"/>
      <c r="Q345" s="210"/>
      <c r="R345" s="176"/>
      <c r="S345" s="176"/>
      <c r="T345" s="212"/>
      <c r="U345" s="176"/>
      <c r="V345" s="176"/>
      <c r="W345" s="176"/>
      <c r="X345" s="176"/>
      <c r="Y345" s="176"/>
      <c r="Z345" s="176"/>
      <c r="AA345" s="176"/>
    </row>
    <row r="346" spans="1:27" ht="15.75" customHeight="1">
      <c r="A346" s="176"/>
      <c r="B346" s="209"/>
      <c r="C346" s="176"/>
      <c r="D346" s="176"/>
      <c r="E346" s="176"/>
      <c r="F346" s="210"/>
      <c r="G346" s="176"/>
      <c r="H346" s="176"/>
      <c r="I346" s="210"/>
      <c r="J346" s="176"/>
      <c r="K346" s="211"/>
      <c r="L346" s="211"/>
      <c r="M346" s="211"/>
      <c r="N346" s="211"/>
      <c r="O346" s="211"/>
      <c r="P346" s="211"/>
      <c r="Q346" s="210"/>
      <c r="R346" s="176"/>
      <c r="S346" s="176"/>
      <c r="T346" s="212"/>
      <c r="U346" s="176"/>
      <c r="V346" s="176"/>
      <c r="W346" s="176"/>
      <c r="X346" s="176"/>
      <c r="Y346" s="176"/>
      <c r="Z346" s="176"/>
      <c r="AA346" s="176"/>
    </row>
    <row r="347" spans="1:27" ht="15.75" customHeight="1">
      <c r="A347" s="176"/>
      <c r="B347" s="209"/>
      <c r="C347" s="176"/>
      <c r="D347" s="176"/>
      <c r="E347" s="176"/>
      <c r="F347" s="210"/>
      <c r="G347" s="176"/>
      <c r="H347" s="176"/>
      <c r="I347" s="210"/>
      <c r="J347" s="176"/>
      <c r="K347" s="211"/>
      <c r="L347" s="211"/>
      <c r="M347" s="211"/>
      <c r="N347" s="211"/>
      <c r="O347" s="211"/>
      <c r="P347" s="211"/>
      <c r="Q347" s="210"/>
      <c r="R347" s="176"/>
      <c r="S347" s="176"/>
      <c r="T347" s="212"/>
      <c r="U347" s="176"/>
      <c r="V347" s="176"/>
      <c r="W347" s="176"/>
      <c r="X347" s="176"/>
      <c r="Y347" s="176"/>
      <c r="Z347" s="176"/>
      <c r="AA347" s="176"/>
    </row>
    <row r="348" spans="1:27" ht="15.75" customHeight="1">
      <c r="A348" s="176"/>
      <c r="B348" s="209"/>
      <c r="C348" s="176"/>
      <c r="D348" s="176"/>
      <c r="E348" s="176"/>
      <c r="F348" s="210"/>
      <c r="G348" s="176"/>
      <c r="H348" s="176"/>
      <c r="I348" s="210"/>
      <c r="J348" s="176"/>
      <c r="K348" s="211"/>
      <c r="L348" s="211"/>
      <c r="M348" s="211"/>
      <c r="N348" s="211"/>
      <c r="O348" s="211"/>
      <c r="P348" s="211"/>
      <c r="Q348" s="210"/>
      <c r="R348" s="176"/>
      <c r="S348" s="176"/>
      <c r="T348" s="212"/>
      <c r="U348" s="176"/>
      <c r="V348" s="176"/>
      <c r="W348" s="176"/>
      <c r="X348" s="176"/>
      <c r="Y348" s="176"/>
      <c r="Z348" s="176"/>
      <c r="AA348" s="176"/>
    </row>
    <row r="349" spans="1:27" ht="15.75" customHeight="1">
      <c r="A349" s="176"/>
      <c r="B349" s="209"/>
      <c r="C349" s="176"/>
      <c r="D349" s="176"/>
      <c r="E349" s="176"/>
      <c r="F349" s="210"/>
      <c r="G349" s="176"/>
      <c r="H349" s="176"/>
      <c r="I349" s="210"/>
      <c r="J349" s="176"/>
      <c r="K349" s="211"/>
      <c r="L349" s="211"/>
      <c r="M349" s="211"/>
      <c r="N349" s="211"/>
      <c r="O349" s="211"/>
      <c r="P349" s="211"/>
      <c r="Q349" s="210"/>
      <c r="R349" s="176"/>
      <c r="S349" s="176"/>
      <c r="T349" s="212"/>
      <c r="U349" s="176"/>
      <c r="V349" s="176"/>
      <c r="W349" s="176"/>
      <c r="X349" s="176"/>
      <c r="Y349" s="176"/>
      <c r="Z349" s="176"/>
      <c r="AA349" s="176"/>
    </row>
    <row r="350" spans="1:27" ht="15.75" customHeight="1">
      <c r="A350" s="176"/>
      <c r="B350" s="209"/>
      <c r="C350" s="176"/>
      <c r="D350" s="176"/>
      <c r="E350" s="176"/>
      <c r="F350" s="210"/>
      <c r="G350" s="176"/>
      <c r="H350" s="176"/>
      <c r="I350" s="210"/>
      <c r="J350" s="176"/>
      <c r="K350" s="211"/>
      <c r="L350" s="211"/>
      <c r="M350" s="211"/>
      <c r="N350" s="211"/>
      <c r="O350" s="211"/>
      <c r="P350" s="211"/>
      <c r="Q350" s="210"/>
      <c r="R350" s="176"/>
      <c r="S350" s="176"/>
      <c r="T350" s="212"/>
      <c r="U350" s="176"/>
      <c r="V350" s="176"/>
      <c r="W350" s="176"/>
      <c r="X350" s="176"/>
      <c r="Y350" s="176"/>
      <c r="Z350" s="176"/>
      <c r="AA350" s="176"/>
    </row>
    <row r="351" spans="1:27" ht="15.75" customHeight="1">
      <c r="A351" s="176"/>
      <c r="B351" s="209"/>
      <c r="C351" s="176"/>
      <c r="D351" s="176"/>
      <c r="E351" s="176"/>
      <c r="F351" s="210"/>
      <c r="G351" s="176"/>
      <c r="H351" s="176"/>
      <c r="I351" s="210"/>
      <c r="J351" s="176"/>
      <c r="K351" s="211"/>
      <c r="L351" s="211"/>
      <c r="M351" s="211"/>
      <c r="N351" s="211"/>
      <c r="O351" s="211"/>
      <c r="P351" s="211"/>
      <c r="Q351" s="210"/>
      <c r="R351" s="176"/>
      <c r="S351" s="176"/>
      <c r="T351" s="212"/>
      <c r="U351" s="176"/>
      <c r="V351" s="176"/>
      <c r="W351" s="176"/>
      <c r="X351" s="176"/>
      <c r="Y351" s="176"/>
      <c r="Z351" s="176"/>
      <c r="AA351" s="176"/>
    </row>
    <row r="352" spans="1:27" ht="15.75" customHeight="1">
      <c r="A352" s="176"/>
      <c r="B352" s="209"/>
      <c r="C352" s="176"/>
      <c r="D352" s="176"/>
      <c r="E352" s="176"/>
      <c r="F352" s="210"/>
      <c r="G352" s="176"/>
      <c r="H352" s="176"/>
      <c r="I352" s="210"/>
      <c r="J352" s="176"/>
      <c r="K352" s="211"/>
      <c r="L352" s="211"/>
      <c r="M352" s="211"/>
      <c r="N352" s="211"/>
      <c r="O352" s="211"/>
      <c r="P352" s="211"/>
      <c r="Q352" s="210"/>
      <c r="R352" s="176"/>
      <c r="S352" s="176"/>
      <c r="T352" s="212"/>
      <c r="U352" s="176"/>
      <c r="V352" s="176"/>
      <c r="W352" s="176"/>
      <c r="X352" s="176"/>
      <c r="Y352" s="176"/>
      <c r="Z352" s="176"/>
      <c r="AA352" s="176"/>
    </row>
    <row r="353" spans="1:27" ht="15.75" customHeight="1">
      <c r="A353" s="176"/>
      <c r="B353" s="209"/>
      <c r="C353" s="176"/>
      <c r="D353" s="176"/>
      <c r="E353" s="176"/>
      <c r="F353" s="210"/>
      <c r="G353" s="176"/>
      <c r="H353" s="176"/>
      <c r="I353" s="210"/>
      <c r="J353" s="176"/>
      <c r="K353" s="211"/>
      <c r="L353" s="211"/>
      <c r="M353" s="211"/>
      <c r="N353" s="211"/>
      <c r="O353" s="211"/>
      <c r="P353" s="211"/>
      <c r="Q353" s="210"/>
      <c r="R353" s="176"/>
      <c r="S353" s="176"/>
      <c r="T353" s="212"/>
      <c r="U353" s="176"/>
      <c r="V353" s="176"/>
      <c r="W353" s="176"/>
      <c r="X353" s="176"/>
      <c r="Y353" s="176"/>
      <c r="Z353" s="176"/>
      <c r="AA353" s="176"/>
    </row>
    <row r="354" spans="1:27" ht="15.75" customHeight="1">
      <c r="A354" s="176"/>
      <c r="B354" s="209"/>
      <c r="C354" s="176"/>
      <c r="D354" s="176"/>
      <c r="E354" s="176"/>
      <c r="F354" s="210"/>
      <c r="G354" s="176"/>
      <c r="H354" s="176"/>
      <c r="I354" s="210"/>
      <c r="J354" s="176"/>
      <c r="K354" s="211"/>
      <c r="L354" s="211"/>
      <c r="M354" s="211"/>
      <c r="N354" s="211"/>
      <c r="O354" s="211"/>
      <c r="P354" s="211"/>
      <c r="Q354" s="210"/>
      <c r="R354" s="176"/>
      <c r="S354" s="176"/>
      <c r="T354" s="212"/>
      <c r="U354" s="176"/>
      <c r="V354" s="176"/>
      <c r="W354" s="176"/>
      <c r="X354" s="176"/>
      <c r="Y354" s="176"/>
      <c r="Z354" s="176"/>
      <c r="AA354" s="176"/>
    </row>
    <row r="355" spans="1:27" ht="15.75" customHeight="1">
      <c r="A355" s="176"/>
      <c r="B355" s="209"/>
      <c r="C355" s="176"/>
      <c r="D355" s="176"/>
      <c r="E355" s="176"/>
      <c r="F355" s="210"/>
      <c r="G355" s="176"/>
      <c r="H355" s="176"/>
      <c r="I355" s="210"/>
      <c r="J355" s="176"/>
      <c r="K355" s="211"/>
      <c r="L355" s="211"/>
      <c r="M355" s="211"/>
      <c r="N355" s="211"/>
      <c r="O355" s="211"/>
      <c r="P355" s="211"/>
      <c r="Q355" s="210"/>
      <c r="R355" s="176"/>
      <c r="S355" s="176"/>
      <c r="T355" s="212"/>
      <c r="U355" s="176"/>
      <c r="V355" s="176"/>
      <c r="W355" s="176"/>
      <c r="X355" s="176"/>
      <c r="Y355" s="176"/>
      <c r="Z355" s="176"/>
      <c r="AA355" s="176"/>
    </row>
    <row r="356" spans="1:27" ht="15.75" customHeight="1">
      <c r="A356" s="176"/>
      <c r="B356" s="209"/>
      <c r="C356" s="176"/>
      <c r="D356" s="176"/>
      <c r="E356" s="176"/>
      <c r="F356" s="210"/>
      <c r="G356" s="176"/>
      <c r="H356" s="176"/>
      <c r="I356" s="210"/>
      <c r="J356" s="176"/>
      <c r="K356" s="211"/>
      <c r="L356" s="211"/>
      <c r="M356" s="211"/>
      <c r="N356" s="211"/>
      <c r="O356" s="211"/>
      <c r="P356" s="211"/>
      <c r="Q356" s="210"/>
      <c r="R356" s="176"/>
      <c r="S356" s="176"/>
      <c r="T356" s="212"/>
      <c r="U356" s="176"/>
      <c r="V356" s="176"/>
      <c r="W356" s="176"/>
      <c r="X356" s="176"/>
      <c r="Y356" s="176"/>
      <c r="Z356" s="176"/>
      <c r="AA356" s="176"/>
    </row>
    <row r="357" spans="1:27" ht="15.75" customHeight="1">
      <c r="A357" s="176"/>
      <c r="B357" s="209"/>
      <c r="C357" s="176"/>
      <c r="D357" s="176"/>
      <c r="E357" s="176"/>
      <c r="F357" s="210"/>
      <c r="G357" s="176"/>
      <c r="H357" s="176"/>
      <c r="I357" s="210"/>
      <c r="J357" s="176"/>
      <c r="K357" s="211"/>
      <c r="L357" s="211"/>
      <c r="M357" s="211"/>
      <c r="N357" s="211"/>
      <c r="O357" s="211"/>
      <c r="P357" s="211"/>
      <c r="Q357" s="210"/>
      <c r="R357" s="176"/>
      <c r="S357" s="176"/>
      <c r="T357" s="212"/>
      <c r="U357" s="176"/>
      <c r="V357" s="176"/>
      <c r="W357" s="176"/>
      <c r="X357" s="176"/>
      <c r="Y357" s="176"/>
      <c r="Z357" s="176"/>
      <c r="AA357" s="176"/>
    </row>
    <row r="358" spans="1:27" ht="15.75" customHeight="1">
      <c r="A358" s="176"/>
      <c r="B358" s="209"/>
      <c r="C358" s="176"/>
      <c r="D358" s="176"/>
      <c r="E358" s="176"/>
      <c r="F358" s="210"/>
      <c r="G358" s="176"/>
      <c r="H358" s="176"/>
      <c r="I358" s="210"/>
      <c r="J358" s="176"/>
      <c r="K358" s="211"/>
      <c r="L358" s="211"/>
      <c r="M358" s="211"/>
      <c r="N358" s="211"/>
      <c r="O358" s="211"/>
      <c r="P358" s="211"/>
      <c r="Q358" s="210"/>
      <c r="R358" s="176"/>
      <c r="S358" s="176"/>
      <c r="T358" s="212"/>
      <c r="U358" s="176"/>
      <c r="V358" s="176"/>
      <c r="W358" s="176"/>
      <c r="X358" s="176"/>
      <c r="Y358" s="176"/>
      <c r="Z358" s="176"/>
      <c r="AA358" s="176"/>
    </row>
    <row r="359" spans="1:27" ht="15.75" customHeight="1">
      <c r="A359" s="176"/>
      <c r="B359" s="209"/>
      <c r="C359" s="176"/>
      <c r="D359" s="176"/>
      <c r="E359" s="176"/>
      <c r="F359" s="210"/>
      <c r="G359" s="176"/>
      <c r="H359" s="176"/>
      <c r="I359" s="210"/>
      <c r="J359" s="176"/>
      <c r="K359" s="211"/>
      <c r="L359" s="211"/>
      <c r="M359" s="211"/>
      <c r="N359" s="211"/>
      <c r="O359" s="211"/>
      <c r="P359" s="211"/>
      <c r="Q359" s="210"/>
      <c r="R359" s="176"/>
      <c r="S359" s="176"/>
      <c r="T359" s="212"/>
      <c r="U359" s="176"/>
      <c r="V359" s="176"/>
      <c r="W359" s="176"/>
      <c r="X359" s="176"/>
      <c r="Y359" s="176"/>
      <c r="Z359" s="176"/>
      <c r="AA359" s="176"/>
    </row>
    <row r="360" spans="1:27" ht="15.75" customHeight="1">
      <c r="A360" s="176"/>
      <c r="B360" s="209"/>
      <c r="C360" s="176"/>
      <c r="D360" s="176"/>
      <c r="E360" s="176"/>
      <c r="F360" s="210"/>
      <c r="G360" s="176"/>
      <c r="H360" s="176"/>
      <c r="I360" s="210"/>
      <c r="J360" s="176"/>
      <c r="K360" s="211"/>
      <c r="L360" s="211"/>
      <c r="M360" s="211"/>
      <c r="N360" s="211"/>
      <c r="O360" s="211"/>
      <c r="P360" s="211"/>
      <c r="Q360" s="210"/>
      <c r="R360" s="176"/>
      <c r="S360" s="176"/>
      <c r="T360" s="212"/>
      <c r="U360" s="176"/>
      <c r="V360" s="176"/>
      <c r="W360" s="176"/>
      <c r="X360" s="176"/>
      <c r="Y360" s="176"/>
      <c r="Z360" s="176"/>
      <c r="AA360" s="176"/>
    </row>
    <row r="361" spans="1:27" ht="15.75" customHeight="1">
      <c r="A361" s="176"/>
      <c r="B361" s="209"/>
      <c r="C361" s="176"/>
      <c r="D361" s="176"/>
      <c r="E361" s="176"/>
      <c r="F361" s="210"/>
      <c r="G361" s="176"/>
      <c r="H361" s="176"/>
      <c r="I361" s="210"/>
      <c r="J361" s="176"/>
      <c r="K361" s="211"/>
      <c r="L361" s="211"/>
      <c r="M361" s="211"/>
      <c r="N361" s="211"/>
      <c r="O361" s="211"/>
      <c r="P361" s="211"/>
      <c r="Q361" s="210"/>
      <c r="R361" s="176"/>
      <c r="S361" s="176"/>
      <c r="T361" s="212"/>
      <c r="U361" s="176"/>
      <c r="V361" s="176"/>
      <c r="W361" s="176"/>
      <c r="X361" s="176"/>
      <c r="Y361" s="176"/>
      <c r="Z361" s="176"/>
      <c r="AA361" s="176"/>
    </row>
    <row r="362" spans="1:27" ht="15.75" customHeight="1">
      <c r="A362" s="176"/>
      <c r="B362" s="209"/>
      <c r="C362" s="176"/>
      <c r="D362" s="176"/>
      <c r="E362" s="176"/>
      <c r="F362" s="210"/>
      <c r="G362" s="176"/>
      <c r="H362" s="176"/>
      <c r="I362" s="210"/>
      <c r="J362" s="176"/>
      <c r="K362" s="211"/>
      <c r="L362" s="211"/>
      <c r="M362" s="211"/>
      <c r="N362" s="211"/>
      <c r="O362" s="211"/>
      <c r="P362" s="211"/>
      <c r="Q362" s="210"/>
      <c r="R362" s="176"/>
      <c r="S362" s="176"/>
      <c r="T362" s="212"/>
      <c r="U362" s="176"/>
      <c r="V362" s="176"/>
      <c r="W362" s="176"/>
      <c r="X362" s="176"/>
      <c r="Y362" s="176"/>
      <c r="Z362" s="176"/>
      <c r="AA362" s="176"/>
    </row>
    <row r="363" spans="1:27" ht="15.75" customHeight="1">
      <c r="A363" s="176"/>
      <c r="B363" s="209"/>
      <c r="C363" s="176"/>
      <c r="D363" s="176"/>
      <c r="E363" s="176"/>
      <c r="F363" s="210"/>
      <c r="G363" s="176"/>
      <c r="H363" s="176"/>
      <c r="I363" s="210"/>
      <c r="J363" s="176"/>
      <c r="K363" s="211"/>
      <c r="L363" s="211"/>
      <c r="M363" s="211"/>
      <c r="N363" s="211"/>
      <c r="O363" s="211"/>
      <c r="P363" s="211"/>
      <c r="Q363" s="210"/>
      <c r="R363" s="176"/>
      <c r="S363" s="176"/>
      <c r="T363" s="212"/>
      <c r="U363" s="176"/>
      <c r="V363" s="176"/>
      <c r="W363" s="176"/>
      <c r="X363" s="176"/>
      <c r="Y363" s="176"/>
      <c r="Z363" s="176"/>
      <c r="AA363" s="176"/>
    </row>
    <row r="364" spans="1:27" ht="15.75" customHeight="1">
      <c r="A364" s="176"/>
      <c r="B364" s="209"/>
      <c r="C364" s="176"/>
      <c r="D364" s="176"/>
      <c r="E364" s="176"/>
      <c r="F364" s="210"/>
      <c r="G364" s="176"/>
      <c r="H364" s="176"/>
      <c r="I364" s="210"/>
      <c r="J364" s="176"/>
      <c r="K364" s="211"/>
      <c r="L364" s="211"/>
      <c r="M364" s="211"/>
      <c r="N364" s="211"/>
      <c r="O364" s="211"/>
      <c r="P364" s="211"/>
      <c r="Q364" s="210"/>
      <c r="R364" s="176"/>
      <c r="S364" s="176"/>
      <c r="T364" s="212"/>
      <c r="U364" s="176"/>
      <c r="V364" s="176"/>
      <c r="W364" s="176"/>
      <c r="X364" s="176"/>
      <c r="Y364" s="176"/>
      <c r="Z364" s="176"/>
      <c r="AA364" s="176"/>
    </row>
    <row r="365" spans="1:27" ht="15.75" customHeight="1">
      <c r="A365" s="176"/>
      <c r="B365" s="209"/>
      <c r="C365" s="176"/>
      <c r="D365" s="176"/>
      <c r="E365" s="176"/>
      <c r="F365" s="210"/>
      <c r="G365" s="176"/>
      <c r="H365" s="176"/>
      <c r="I365" s="210"/>
      <c r="J365" s="176"/>
      <c r="K365" s="211"/>
      <c r="L365" s="211"/>
      <c r="M365" s="211"/>
      <c r="N365" s="211"/>
      <c r="O365" s="211"/>
      <c r="P365" s="211"/>
      <c r="Q365" s="210"/>
      <c r="R365" s="176"/>
      <c r="S365" s="176"/>
      <c r="T365" s="212"/>
      <c r="U365" s="176"/>
      <c r="V365" s="176"/>
      <c r="W365" s="176"/>
      <c r="X365" s="176"/>
      <c r="Y365" s="176"/>
      <c r="Z365" s="176"/>
      <c r="AA365" s="176"/>
    </row>
    <row r="366" spans="1:27" ht="15.75" customHeight="1">
      <c r="A366" s="176"/>
      <c r="B366" s="209"/>
      <c r="C366" s="176"/>
      <c r="D366" s="176"/>
      <c r="E366" s="176"/>
      <c r="F366" s="210"/>
      <c r="G366" s="176"/>
      <c r="H366" s="176"/>
      <c r="I366" s="210"/>
      <c r="J366" s="176"/>
      <c r="K366" s="211"/>
      <c r="L366" s="211"/>
      <c r="M366" s="211"/>
      <c r="N366" s="211"/>
      <c r="O366" s="211"/>
      <c r="P366" s="211"/>
      <c r="Q366" s="210"/>
      <c r="R366" s="176"/>
      <c r="S366" s="176"/>
      <c r="T366" s="212"/>
      <c r="U366" s="176"/>
      <c r="V366" s="176"/>
      <c r="W366" s="176"/>
      <c r="X366" s="176"/>
      <c r="Y366" s="176"/>
      <c r="Z366" s="176"/>
      <c r="AA366" s="176"/>
    </row>
    <row r="367" spans="1:27" ht="15.75" customHeight="1">
      <c r="A367" s="176"/>
      <c r="B367" s="209"/>
      <c r="C367" s="176"/>
      <c r="D367" s="176"/>
      <c r="E367" s="176"/>
      <c r="F367" s="210"/>
      <c r="G367" s="176"/>
      <c r="H367" s="176"/>
      <c r="I367" s="210"/>
      <c r="J367" s="176"/>
      <c r="K367" s="211"/>
      <c r="L367" s="211"/>
      <c r="M367" s="211"/>
      <c r="N367" s="211"/>
      <c r="O367" s="211"/>
      <c r="P367" s="211"/>
      <c r="Q367" s="210"/>
      <c r="R367" s="176"/>
      <c r="S367" s="176"/>
      <c r="T367" s="212"/>
      <c r="U367" s="176"/>
      <c r="V367" s="176"/>
      <c r="W367" s="176"/>
      <c r="X367" s="176"/>
      <c r="Y367" s="176"/>
      <c r="Z367" s="176"/>
      <c r="AA367" s="176"/>
    </row>
    <row r="368" spans="1:27" ht="15.75" customHeight="1">
      <c r="A368" s="176"/>
      <c r="B368" s="209"/>
      <c r="C368" s="176"/>
      <c r="D368" s="176"/>
      <c r="E368" s="176"/>
      <c r="F368" s="210"/>
      <c r="G368" s="176"/>
      <c r="H368" s="176"/>
      <c r="I368" s="210"/>
      <c r="J368" s="176"/>
      <c r="K368" s="211"/>
      <c r="L368" s="211"/>
      <c r="M368" s="211"/>
      <c r="N368" s="211"/>
      <c r="O368" s="211"/>
      <c r="P368" s="211"/>
      <c r="Q368" s="210"/>
      <c r="R368" s="176"/>
      <c r="S368" s="176"/>
      <c r="T368" s="212"/>
      <c r="U368" s="176"/>
      <c r="V368" s="176"/>
      <c r="W368" s="176"/>
      <c r="X368" s="176"/>
      <c r="Y368" s="176"/>
      <c r="Z368" s="176"/>
      <c r="AA368" s="176"/>
    </row>
    <row r="369" spans="1:27" ht="15.75" customHeight="1">
      <c r="A369" s="176"/>
      <c r="B369" s="209"/>
      <c r="C369" s="176"/>
      <c r="D369" s="176"/>
      <c r="E369" s="176"/>
      <c r="F369" s="210"/>
      <c r="G369" s="176"/>
      <c r="H369" s="176"/>
      <c r="I369" s="210"/>
      <c r="J369" s="176"/>
      <c r="K369" s="211"/>
      <c r="L369" s="211"/>
      <c r="M369" s="211"/>
      <c r="N369" s="211"/>
      <c r="O369" s="211"/>
      <c r="P369" s="211"/>
      <c r="Q369" s="210"/>
      <c r="R369" s="176"/>
      <c r="S369" s="176"/>
      <c r="T369" s="212"/>
      <c r="U369" s="176"/>
      <c r="V369" s="176"/>
      <c r="W369" s="176"/>
      <c r="X369" s="176"/>
      <c r="Y369" s="176"/>
      <c r="Z369" s="176"/>
      <c r="AA369" s="176"/>
    </row>
    <row r="370" spans="1:27" ht="15.75" customHeight="1">
      <c r="A370" s="176"/>
      <c r="B370" s="209"/>
      <c r="C370" s="176"/>
      <c r="D370" s="176"/>
      <c r="E370" s="176"/>
      <c r="F370" s="210"/>
      <c r="G370" s="176"/>
      <c r="H370" s="176"/>
      <c r="I370" s="210"/>
      <c r="J370" s="176"/>
      <c r="K370" s="211"/>
      <c r="L370" s="211"/>
      <c r="M370" s="211"/>
      <c r="N370" s="211"/>
      <c r="O370" s="211"/>
      <c r="P370" s="211"/>
      <c r="Q370" s="210"/>
      <c r="R370" s="176"/>
      <c r="S370" s="176"/>
      <c r="T370" s="212"/>
      <c r="U370" s="176"/>
      <c r="V370" s="176"/>
      <c r="W370" s="176"/>
      <c r="X370" s="176"/>
      <c r="Y370" s="176"/>
      <c r="Z370" s="176"/>
      <c r="AA370" s="176"/>
    </row>
    <row r="371" spans="1:27" ht="15.75" customHeight="1">
      <c r="A371" s="176"/>
      <c r="B371" s="209"/>
      <c r="C371" s="176"/>
      <c r="D371" s="176"/>
      <c r="E371" s="176"/>
      <c r="F371" s="210"/>
      <c r="G371" s="176"/>
      <c r="H371" s="176"/>
      <c r="I371" s="210"/>
      <c r="J371" s="176"/>
      <c r="K371" s="211"/>
      <c r="L371" s="211"/>
      <c r="M371" s="211"/>
      <c r="N371" s="211"/>
      <c r="O371" s="211"/>
      <c r="P371" s="211"/>
      <c r="Q371" s="210"/>
      <c r="R371" s="176"/>
      <c r="S371" s="176"/>
      <c r="T371" s="212"/>
      <c r="U371" s="176"/>
      <c r="V371" s="176"/>
      <c r="W371" s="176"/>
      <c r="X371" s="176"/>
      <c r="Y371" s="176"/>
      <c r="Z371" s="176"/>
      <c r="AA371" s="176"/>
    </row>
    <row r="372" spans="1:27" ht="15.75" customHeight="1">
      <c r="A372" s="176"/>
      <c r="B372" s="209"/>
      <c r="C372" s="176"/>
      <c r="D372" s="176"/>
      <c r="E372" s="176"/>
      <c r="F372" s="210"/>
      <c r="G372" s="176"/>
      <c r="H372" s="176"/>
      <c r="I372" s="210"/>
      <c r="J372" s="176"/>
      <c r="K372" s="211"/>
      <c r="L372" s="211"/>
      <c r="M372" s="211"/>
      <c r="N372" s="211"/>
      <c r="O372" s="211"/>
      <c r="P372" s="211"/>
      <c r="Q372" s="210"/>
      <c r="R372" s="176"/>
      <c r="S372" s="176"/>
      <c r="T372" s="212"/>
      <c r="U372" s="176"/>
      <c r="V372" s="176"/>
      <c r="W372" s="176"/>
      <c r="X372" s="176"/>
      <c r="Y372" s="176"/>
      <c r="Z372" s="176"/>
      <c r="AA372" s="176"/>
    </row>
    <row r="373" spans="1:27" ht="15.75" customHeight="1">
      <c r="A373" s="176"/>
      <c r="B373" s="209"/>
      <c r="C373" s="176"/>
      <c r="D373" s="176"/>
      <c r="E373" s="176"/>
      <c r="F373" s="210"/>
      <c r="G373" s="176"/>
      <c r="H373" s="176"/>
      <c r="I373" s="210"/>
      <c r="J373" s="176"/>
      <c r="K373" s="211"/>
      <c r="L373" s="211"/>
      <c r="M373" s="211"/>
      <c r="N373" s="211"/>
      <c r="O373" s="211"/>
      <c r="P373" s="211"/>
      <c r="Q373" s="210"/>
      <c r="R373" s="176"/>
      <c r="S373" s="176"/>
      <c r="T373" s="212"/>
      <c r="U373" s="176"/>
      <c r="V373" s="176"/>
      <c r="W373" s="176"/>
      <c r="X373" s="176"/>
      <c r="Y373" s="176"/>
      <c r="Z373" s="176"/>
      <c r="AA373" s="176"/>
    </row>
    <row r="374" spans="1:27" ht="15.75" customHeight="1">
      <c r="A374" s="176"/>
      <c r="B374" s="209"/>
      <c r="C374" s="176"/>
      <c r="D374" s="176"/>
      <c r="E374" s="176"/>
      <c r="F374" s="210"/>
      <c r="G374" s="176"/>
      <c r="H374" s="176"/>
      <c r="I374" s="210"/>
      <c r="J374" s="176"/>
      <c r="K374" s="211"/>
      <c r="L374" s="211"/>
      <c r="M374" s="211"/>
      <c r="N374" s="211"/>
      <c r="O374" s="211"/>
      <c r="P374" s="211"/>
      <c r="Q374" s="210"/>
      <c r="R374" s="176"/>
      <c r="S374" s="176"/>
      <c r="T374" s="212"/>
      <c r="U374" s="176"/>
      <c r="V374" s="176"/>
      <c r="W374" s="176"/>
      <c r="X374" s="176"/>
      <c r="Y374" s="176"/>
      <c r="Z374" s="176"/>
      <c r="AA374" s="176"/>
    </row>
    <row r="375" spans="1:27" ht="15.75" customHeight="1">
      <c r="A375" s="176"/>
      <c r="B375" s="209"/>
      <c r="C375" s="176"/>
      <c r="D375" s="176"/>
      <c r="E375" s="176"/>
      <c r="F375" s="210"/>
      <c r="G375" s="176"/>
      <c r="H375" s="176"/>
      <c r="I375" s="210"/>
      <c r="J375" s="176"/>
      <c r="K375" s="211"/>
      <c r="L375" s="211"/>
      <c r="M375" s="211"/>
      <c r="N375" s="211"/>
      <c r="O375" s="211"/>
      <c r="P375" s="211"/>
      <c r="Q375" s="210"/>
      <c r="R375" s="176"/>
      <c r="S375" s="176"/>
      <c r="T375" s="212"/>
      <c r="U375" s="176"/>
      <c r="V375" s="176"/>
      <c r="W375" s="176"/>
      <c r="X375" s="176"/>
      <c r="Y375" s="176"/>
      <c r="Z375" s="176"/>
      <c r="AA375" s="176"/>
    </row>
    <row r="376" spans="1:27" ht="15.75" customHeight="1">
      <c r="A376" s="176"/>
      <c r="B376" s="209"/>
      <c r="C376" s="176"/>
      <c r="D376" s="176"/>
      <c r="E376" s="176"/>
      <c r="F376" s="210"/>
      <c r="G376" s="176"/>
      <c r="H376" s="176"/>
      <c r="I376" s="210"/>
      <c r="J376" s="176"/>
      <c r="K376" s="211"/>
      <c r="L376" s="211"/>
      <c r="M376" s="211"/>
      <c r="N376" s="211"/>
      <c r="O376" s="211"/>
      <c r="P376" s="211"/>
      <c r="Q376" s="210"/>
      <c r="R376" s="176"/>
      <c r="S376" s="176"/>
      <c r="T376" s="212"/>
      <c r="U376" s="176"/>
      <c r="V376" s="176"/>
      <c r="W376" s="176"/>
      <c r="X376" s="176"/>
      <c r="Y376" s="176"/>
      <c r="Z376" s="176"/>
      <c r="AA376" s="176"/>
    </row>
    <row r="377" spans="1:27" ht="15.75" customHeight="1">
      <c r="A377" s="176"/>
      <c r="B377" s="209"/>
      <c r="C377" s="176"/>
      <c r="D377" s="176"/>
      <c r="E377" s="176"/>
      <c r="F377" s="210"/>
      <c r="G377" s="176"/>
      <c r="H377" s="176"/>
      <c r="I377" s="210"/>
      <c r="J377" s="176"/>
      <c r="K377" s="211"/>
      <c r="L377" s="211"/>
      <c r="M377" s="211"/>
      <c r="N377" s="211"/>
      <c r="O377" s="211"/>
      <c r="P377" s="211"/>
      <c r="Q377" s="210"/>
      <c r="R377" s="176"/>
      <c r="S377" s="176"/>
      <c r="T377" s="212"/>
      <c r="U377" s="176"/>
      <c r="V377" s="176"/>
      <c r="W377" s="176"/>
      <c r="X377" s="176"/>
      <c r="Y377" s="176"/>
      <c r="Z377" s="176"/>
      <c r="AA377" s="176"/>
    </row>
    <row r="378" spans="1:27" ht="15.75" customHeight="1">
      <c r="A378" s="176"/>
      <c r="B378" s="209"/>
      <c r="C378" s="176"/>
      <c r="D378" s="176"/>
      <c r="E378" s="176"/>
      <c r="F378" s="210"/>
      <c r="G378" s="176"/>
      <c r="H378" s="176"/>
      <c r="I378" s="210"/>
      <c r="J378" s="176"/>
      <c r="K378" s="211"/>
      <c r="L378" s="211"/>
      <c r="M378" s="211"/>
      <c r="N378" s="211"/>
      <c r="O378" s="211"/>
      <c r="P378" s="211"/>
      <c r="Q378" s="210"/>
      <c r="R378" s="176"/>
      <c r="S378" s="176"/>
      <c r="T378" s="212"/>
      <c r="U378" s="176"/>
      <c r="V378" s="176"/>
      <c r="W378" s="176"/>
      <c r="X378" s="176"/>
      <c r="Y378" s="176"/>
      <c r="Z378" s="176"/>
      <c r="AA378" s="176"/>
    </row>
    <row r="379" spans="1:27" ht="15.75" customHeight="1">
      <c r="A379" s="176"/>
      <c r="B379" s="209"/>
      <c r="C379" s="176"/>
      <c r="D379" s="176"/>
      <c r="E379" s="176"/>
      <c r="F379" s="210"/>
      <c r="G379" s="176"/>
      <c r="H379" s="176"/>
      <c r="I379" s="210"/>
      <c r="J379" s="176"/>
      <c r="K379" s="211"/>
      <c r="L379" s="211"/>
      <c r="M379" s="211"/>
      <c r="N379" s="211"/>
      <c r="O379" s="211"/>
      <c r="P379" s="211"/>
      <c r="Q379" s="210"/>
      <c r="R379" s="176"/>
      <c r="S379" s="176"/>
      <c r="T379" s="212"/>
      <c r="U379" s="176"/>
      <c r="V379" s="176"/>
      <c r="W379" s="176"/>
      <c r="X379" s="176"/>
      <c r="Y379" s="176"/>
      <c r="Z379" s="176"/>
      <c r="AA379" s="176"/>
    </row>
    <row r="380" spans="1:27" ht="15.75" customHeight="1">
      <c r="A380" s="176"/>
      <c r="B380" s="209"/>
      <c r="C380" s="176"/>
      <c r="D380" s="176"/>
      <c r="E380" s="176"/>
      <c r="F380" s="210"/>
      <c r="G380" s="176"/>
      <c r="H380" s="176"/>
      <c r="I380" s="210"/>
      <c r="J380" s="176"/>
      <c r="K380" s="211"/>
      <c r="L380" s="211"/>
      <c r="M380" s="211"/>
      <c r="N380" s="211"/>
      <c r="O380" s="211"/>
      <c r="P380" s="211"/>
      <c r="Q380" s="210"/>
      <c r="R380" s="176"/>
      <c r="S380" s="176"/>
      <c r="T380" s="212"/>
      <c r="U380" s="176"/>
      <c r="V380" s="176"/>
      <c r="W380" s="176"/>
      <c r="X380" s="176"/>
      <c r="Y380" s="176"/>
      <c r="Z380" s="176"/>
      <c r="AA380" s="176"/>
    </row>
    <row r="381" spans="1:27" ht="15.75" customHeight="1">
      <c r="A381" s="176"/>
      <c r="B381" s="209"/>
      <c r="C381" s="176"/>
      <c r="D381" s="176"/>
      <c r="E381" s="176"/>
      <c r="F381" s="210"/>
      <c r="G381" s="176"/>
      <c r="H381" s="176"/>
      <c r="I381" s="210"/>
      <c r="J381" s="176"/>
      <c r="K381" s="211"/>
      <c r="L381" s="211"/>
      <c r="M381" s="211"/>
      <c r="N381" s="211"/>
      <c r="O381" s="211"/>
      <c r="P381" s="211"/>
      <c r="Q381" s="210"/>
      <c r="R381" s="176"/>
      <c r="S381" s="176"/>
      <c r="T381" s="212"/>
      <c r="U381" s="176"/>
      <c r="V381" s="176"/>
      <c r="W381" s="176"/>
      <c r="X381" s="176"/>
      <c r="Y381" s="176"/>
      <c r="Z381" s="176"/>
      <c r="AA381" s="176"/>
    </row>
    <row r="382" spans="1:27" ht="15.75" customHeight="1">
      <c r="A382" s="176"/>
      <c r="B382" s="209"/>
      <c r="C382" s="176"/>
      <c r="D382" s="176"/>
      <c r="E382" s="176"/>
      <c r="F382" s="210"/>
      <c r="G382" s="176"/>
      <c r="H382" s="176"/>
      <c r="I382" s="210"/>
      <c r="J382" s="176"/>
      <c r="K382" s="211"/>
      <c r="L382" s="211"/>
      <c r="M382" s="211"/>
      <c r="N382" s="211"/>
      <c r="O382" s="211"/>
      <c r="P382" s="211"/>
      <c r="Q382" s="210"/>
      <c r="R382" s="176"/>
      <c r="S382" s="176"/>
      <c r="T382" s="212"/>
      <c r="U382" s="176"/>
      <c r="V382" s="176"/>
      <c r="W382" s="176"/>
      <c r="X382" s="176"/>
      <c r="Y382" s="176"/>
      <c r="Z382" s="176"/>
      <c r="AA382" s="176"/>
    </row>
    <row r="383" spans="1:27" ht="15.75" customHeight="1">
      <c r="A383" s="176"/>
      <c r="B383" s="209"/>
      <c r="C383" s="176"/>
      <c r="D383" s="176"/>
      <c r="E383" s="176"/>
      <c r="F383" s="210"/>
      <c r="G383" s="176"/>
      <c r="H383" s="176"/>
      <c r="I383" s="210"/>
      <c r="J383" s="176"/>
      <c r="K383" s="211"/>
      <c r="L383" s="211"/>
      <c r="M383" s="211"/>
      <c r="N383" s="211"/>
      <c r="O383" s="211"/>
      <c r="P383" s="211"/>
      <c r="Q383" s="210"/>
      <c r="R383" s="176"/>
      <c r="S383" s="176"/>
      <c r="T383" s="212"/>
      <c r="U383" s="176"/>
      <c r="V383" s="176"/>
      <c r="W383" s="176"/>
      <c r="X383" s="176"/>
      <c r="Y383" s="176"/>
      <c r="Z383" s="176"/>
      <c r="AA383" s="176"/>
    </row>
    <row r="384" spans="1:27" ht="15.75" customHeight="1">
      <c r="A384" s="176"/>
      <c r="B384" s="209"/>
      <c r="C384" s="176"/>
      <c r="D384" s="176"/>
      <c r="E384" s="176"/>
      <c r="F384" s="210"/>
      <c r="G384" s="176"/>
      <c r="H384" s="176"/>
      <c r="I384" s="210"/>
      <c r="J384" s="176"/>
      <c r="K384" s="211"/>
      <c r="L384" s="211"/>
      <c r="M384" s="211"/>
      <c r="N384" s="211"/>
      <c r="O384" s="211"/>
      <c r="P384" s="211"/>
      <c r="Q384" s="210"/>
      <c r="R384" s="176"/>
      <c r="S384" s="176"/>
      <c r="T384" s="212"/>
      <c r="U384" s="176"/>
      <c r="V384" s="176"/>
      <c r="W384" s="176"/>
      <c r="X384" s="176"/>
      <c r="Y384" s="176"/>
      <c r="Z384" s="176"/>
      <c r="AA384" s="176"/>
    </row>
    <row r="385" spans="1:27" ht="15.75" customHeight="1">
      <c r="A385" s="176"/>
      <c r="B385" s="209"/>
      <c r="C385" s="176"/>
      <c r="D385" s="176"/>
      <c r="E385" s="176"/>
      <c r="F385" s="210"/>
      <c r="G385" s="176"/>
      <c r="H385" s="176"/>
      <c r="I385" s="210"/>
      <c r="J385" s="176"/>
      <c r="K385" s="211"/>
      <c r="L385" s="211"/>
      <c r="M385" s="211"/>
      <c r="N385" s="211"/>
      <c r="O385" s="211"/>
      <c r="P385" s="211"/>
      <c r="Q385" s="210"/>
      <c r="R385" s="176"/>
      <c r="S385" s="176"/>
      <c r="T385" s="212"/>
      <c r="U385" s="176"/>
      <c r="V385" s="176"/>
      <c r="W385" s="176"/>
      <c r="X385" s="176"/>
      <c r="Y385" s="176"/>
      <c r="Z385" s="176"/>
      <c r="AA385" s="176"/>
    </row>
    <row r="386" spans="1:27" ht="15.75" customHeight="1">
      <c r="A386" s="176"/>
      <c r="B386" s="209"/>
      <c r="C386" s="176"/>
      <c r="D386" s="176"/>
      <c r="E386" s="176"/>
      <c r="F386" s="210"/>
      <c r="G386" s="176"/>
      <c r="H386" s="176"/>
      <c r="I386" s="210"/>
      <c r="J386" s="176"/>
      <c r="K386" s="211"/>
      <c r="L386" s="211"/>
      <c r="M386" s="211"/>
      <c r="N386" s="211"/>
      <c r="O386" s="211"/>
      <c r="P386" s="211"/>
      <c r="Q386" s="210"/>
      <c r="R386" s="176"/>
      <c r="S386" s="176"/>
      <c r="T386" s="212"/>
      <c r="U386" s="176"/>
      <c r="V386" s="176"/>
      <c r="W386" s="176"/>
      <c r="X386" s="176"/>
      <c r="Y386" s="176"/>
      <c r="Z386" s="176"/>
      <c r="AA386" s="176"/>
    </row>
    <row r="387" spans="1:27" ht="15.75" customHeight="1">
      <c r="A387" s="176"/>
      <c r="B387" s="209"/>
      <c r="C387" s="176"/>
      <c r="D387" s="176"/>
      <c r="E387" s="176"/>
      <c r="F387" s="210"/>
      <c r="G387" s="176"/>
      <c r="H387" s="176"/>
      <c r="I387" s="210"/>
      <c r="J387" s="176"/>
      <c r="K387" s="211"/>
      <c r="L387" s="211"/>
      <c r="M387" s="211"/>
      <c r="N387" s="211"/>
      <c r="O387" s="211"/>
      <c r="P387" s="211"/>
      <c r="Q387" s="210"/>
      <c r="R387" s="176"/>
      <c r="S387" s="176"/>
      <c r="T387" s="212"/>
      <c r="U387" s="176"/>
      <c r="V387" s="176"/>
      <c r="W387" s="176"/>
      <c r="X387" s="176"/>
      <c r="Y387" s="176"/>
      <c r="Z387" s="176"/>
      <c r="AA387" s="176"/>
    </row>
    <row r="388" spans="1:27" ht="15.75" customHeight="1">
      <c r="A388" s="176"/>
      <c r="B388" s="209"/>
      <c r="C388" s="176"/>
      <c r="D388" s="176"/>
      <c r="E388" s="176"/>
      <c r="F388" s="210"/>
      <c r="G388" s="176"/>
      <c r="H388" s="176"/>
      <c r="I388" s="210"/>
      <c r="J388" s="176"/>
      <c r="K388" s="211"/>
      <c r="L388" s="211"/>
      <c r="M388" s="211"/>
      <c r="N388" s="211"/>
      <c r="O388" s="211"/>
      <c r="P388" s="211"/>
      <c r="Q388" s="210"/>
      <c r="R388" s="176"/>
      <c r="S388" s="176"/>
      <c r="T388" s="212"/>
      <c r="U388" s="176"/>
      <c r="V388" s="176"/>
      <c r="W388" s="176"/>
      <c r="X388" s="176"/>
      <c r="Y388" s="176"/>
      <c r="Z388" s="176"/>
      <c r="AA388" s="176"/>
    </row>
    <row r="389" spans="1:27" ht="15.75" customHeight="1">
      <c r="A389" s="176"/>
      <c r="B389" s="209"/>
      <c r="C389" s="176"/>
      <c r="D389" s="176"/>
      <c r="E389" s="176"/>
      <c r="F389" s="210"/>
      <c r="G389" s="176"/>
      <c r="H389" s="176"/>
      <c r="I389" s="210"/>
      <c r="J389" s="176"/>
      <c r="K389" s="211"/>
      <c r="L389" s="211"/>
      <c r="M389" s="211"/>
      <c r="N389" s="211"/>
      <c r="O389" s="211"/>
      <c r="P389" s="211"/>
      <c r="Q389" s="210"/>
      <c r="R389" s="176"/>
      <c r="S389" s="176"/>
      <c r="T389" s="212"/>
      <c r="U389" s="176"/>
      <c r="V389" s="176"/>
      <c r="W389" s="176"/>
      <c r="X389" s="176"/>
      <c r="Y389" s="176"/>
      <c r="Z389" s="176"/>
      <c r="AA389" s="176"/>
    </row>
    <row r="390" spans="1:27" ht="15.75" customHeight="1">
      <c r="A390" s="176"/>
      <c r="B390" s="209"/>
      <c r="C390" s="176"/>
      <c r="D390" s="176"/>
      <c r="E390" s="176"/>
      <c r="F390" s="210"/>
      <c r="G390" s="176"/>
      <c r="H390" s="176"/>
      <c r="I390" s="210"/>
      <c r="J390" s="176"/>
      <c r="K390" s="211"/>
      <c r="L390" s="211"/>
      <c r="M390" s="211"/>
      <c r="N390" s="211"/>
      <c r="O390" s="211"/>
      <c r="P390" s="211"/>
      <c r="Q390" s="210"/>
      <c r="R390" s="176"/>
      <c r="S390" s="176"/>
      <c r="T390" s="212"/>
      <c r="U390" s="176"/>
      <c r="V390" s="176"/>
      <c r="W390" s="176"/>
      <c r="X390" s="176"/>
      <c r="Y390" s="176"/>
      <c r="Z390" s="176"/>
      <c r="AA390" s="176"/>
    </row>
    <row r="391" spans="1:27" ht="15.75" customHeight="1">
      <c r="A391" s="176"/>
      <c r="B391" s="209"/>
      <c r="C391" s="176"/>
      <c r="D391" s="176"/>
      <c r="E391" s="176"/>
      <c r="F391" s="210"/>
      <c r="G391" s="176"/>
      <c r="H391" s="176"/>
      <c r="I391" s="210"/>
      <c r="J391" s="176"/>
      <c r="K391" s="211"/>
      <c r="L391" s="211"/>
      <c r="M391" s="211"/>
      <c r="N391" s="211"/>
      <c r="O391" s="211"/>
      <c r="P391" s="211"/>
      <c r="Q391" s="210"/>
      <c r="R391" s="176"/>
      <c r="S391" s="176"/>
      <c r="T391" s="212"/>
      <c r="U391" s="176"/>
      <c r="V391" s="176"/>
      <c r="W391" s="176"/>
      <c r="X391" s="176"/>
      <c r="Y391" s="176"/>
      <c r="Z391" s="176"/>
      <c r="AA391" s="176"/>
    </row>
    <row r="392" spans="1:27" ht="15.75" customHeight="1">
      <c r="A392" s="176"/>
      <c r="B392" s="209"/>
      <c r="C392" s="176"/>
      <c r="D392" s="176"/>
      <c r="E392" s="176"/>
      <c r="F392" s="210"/>
      <c r="G392" s="176"/>
      <c r="H392" s="176"/>
      <c r="I392" s="210"/>
      <c r="J392" s="176"/>
      <c r="K392" s="211"/>
      <c r="L392" s="211"/>
      <c r="M392" s="211"/>
      <c r="N392" s="211"/>
      <c r="O392" s="211"/>
      <c r="P392" s="211"/>
      <c r="Q392" s="210"/>
      <c r="R392" s="176"/>
      <c r="S392" s="176"/>
      <c r="T392" s="212"/>
      <c r="U392" s="176"/>
      <c r="V392" s="176"/>
      <c r="W392" s="176"/>
      <c r="X392" s="176"/>
      <c r="Y392" s="176"/>
      <c r="Z392" s="176"/>
      <c r="AA392" s="176"/>
    </row>
    <row r="393" spans="1:27" ht="15.75" customHeight="1">
      <c r="A393" s="176"/>
      <c r="B393" s="209"/>
      <c r="C393" s="176"/>
      <c r="D393" s="176"/>
      <c r="E393" s="176"/>
      <c r="F393" s="210"/>
      <c r="G393" s="176"/>
      <c r="H393" s="176"/>
      <c r="I393" s="210"/>
      <c r="J393" s="176"/>
      <c r="K393" s="211"/>
      <c r="L393" s="211"/>
      <c r="M393" s="211"/>
      <c r="N393" s="211"/>
      <c r="O393" s="211"/>
      <c r="P393" s="211"/>
      <c r="Q393" s="210"/>
      <c r="R393" s="176"/>
      <c r="S393" s="176"/>
      <c r="T393" s="212"/>
      <c r="U393" s="176"/>
      <c r="V393" s="176"/>
      <c r="W393" s="176"/>
      <c r="X393" s="176"/>
      <c r="Y393" s="176"/>
      <c r="Z393" s="176"/>
      <c r="AA393" s="176"/>
    </row>
    <row r="394" spans="1:27" ht="15.75" customHeight="1">
      <c r="A394" s="176"/>
      <c r="B394" s="209"/>
      <c r="C394" s="176"/>
      <c r="D394" s="176"/>
      <c r="E394" s="176"/>
      <c r="F394" s="210"/>
      <c r="G394" s="176"/>
      <c r="H394" s="176"/>
      <c r="I394" s="210"/>
      <c r="J394" s="176"/>
      <c r="K394" s="211"/>
      <c r="L394" s="211"/>
      <c r="M394" s="211"/>
      <c r="N394" s="211"/>
      <c r="O394" s="211"/>
      <c r="P394" s="211"/>
      <c r="Q394" s="210"/>
      <c r="R394" s="176"/>
      <c r="S394" s="176"/>
      <c r="T394" s="212"/>
      <c r="U394" s="176"/>
      <c r="V394" s="176"/>
      <c r="W394" s="176"/>
      <c r="X394" s="176"/>
      <c r="Y394" s="176"/>
      <c r="Z394" s="176"/>
      <c r="AA394" s="176"/>
    </row>
    <row r="395" spans="1:27" ht="15.75" customHeight="1">
      <c r="A395" s="176"/>
      <c r="B395" s="209"/>
      <c r="C395" s="176"/>
      <c r="D395" s="176"/>
      <c r="E395" s="176"/>
      <c r="F395" s="210"/>
      <c r="G395" s="176"/>
      <c r="H395" s="176"/>
      <c r="I395" s="210"/>
      <c r="J395" s="176"/>
      <c r="K395" s="211"/>
      <c r="L395" s="211"/>
      <c r="M395" s="211"/>
      <c r="N395" s="211"/>
      <c r="O395" s="211"/>
      <c r="P395" s="211"/>
      <c r="Q395" s="210"/>
      <c r="R395" s="176"/>
      <c r="S395" s="176"/>
      <c r="T395" s="212"/>
      <c r="U395" s="176"/>
      <c r="V395" s="176"/>
      <c r="W395" s="176"/>
      <c r="X395" s="176"/>
      <c r="Y395" s="176"/>
      <c r="Z395" s="176"/>
      <c r="AA395" s="176"/>
    </row>
    <row r="396" spans="1:27" ht="15.75" customHeight="1">
      <c r="A396" s="176"/>
      <c r="B396" s="209"/>
      <c r="C396" s="176"/>
      <c r="D396" s="176"/>
      <c r="E396" s="176"/>
      <c r="F396" s="210"/>
      <c r="G396" s="176"/>
      <c r="H396" s="176"/>
      <c r="I396" s="210"/>
      <c r="J396" s="176"/>
      <c r="K396" s="211"/>
      <c r="L396" s="211"/>
      <c r="M396" s="211"/>
      <c r="N396" s="211"/>
      <c r="O396" s="211"/>
      <c r="P396" s="211"/>
      <c r="Q396" s="210"/>
      <c r="R396" s="176"/>
      <c r="S396" s="176"/>
      <c r="T396" s="212"/>
      <c r="U396" s="176"/>
      <c r="V396" s="176"/>
      <c r="W396" s="176"/>
      <c r="X396" s="176"/>
      <c r="Y396" s="176"/>
      <c r="Z396" s="176"/>
      <c r="AA396" s="176"/>
    </row>
    <row r="397" spans="1:27" ht="15.75" customHeight="1">
      <c r="A397" s="176"/>
      <c r="B397" s="209"/>
      <c r="C397" s="176"/>
      <c r="D397" s="176"/>
      <c r="E397" s="176"/>
      <c r="F397" s="210"/>
      <c r="G397" s="176"/>
      <c r="H397" s="176"/>
      <c r="I397" s="210"/>
      <c r="J397" s="176"/>
      <c r="K397" s="211"/>
      <c r="L397" s="211"/>
      <c r="M397" s="211"/>
      <c r="N397" s="211"/>
      <c r="O397" s="211"/>
      <c r="P397" s="211"/>
      <c r="Q397" s="210"/>
      <c r="R397" s="176"/>
      <c r="S397" s="176"/>
      <c r="T397" s="212"/>
      <c r="U397" s="176"/>
      <c r="V397" s="176"/>
      <c r="W397" s="176"/>
      <c r="X397" s="176"/>
      <c r="Y397" s="176"/>
      <c r="Z397" s="176"/>
      <c r="AA397" s="176"/>
    </row>
    <row r="398" spans="1:27" ht="15.75" customHeight="1">
      <c r="A398" s="176"/>
      <c r="B398" s="209"/>
      <c r="C398" s="176"/>
      <c r="D398" s="176"/>
      <c r="E398" s="176"/>
      <c r="F398" s="210"/>
      <c r="G398" s="176"/>
      <c r="H398" s="176"/>
      <c r="I398" s="210"/>
      <c r="J398" s="176"/>
      <c r="K398" s="211"/>
      <c r="L398" s="211"/>
      <c r="M398" s="211"/>
      <c r="N398" s="211"/>
      <c r="O398" s="211"/>
      <c r="P398" s="211"/>
      <c r="Q398" s="210"/>
      <c r="R398" s="176"/>
      <c r="S398" s="176"/>
      <c r="T398" s="212"/>
      <c r="U398" s="176"/>
      <c r="V398" s="176"/>
      <c r="W398" s="176"/>
      <c r="X398" s="176"/>
      <c r="Y398" s="176"/>
      <c r="Z398" s="176"/>
      <c r="AA398" s="176"/>
    </row>
    <row r="399" spans="1:27" ht="15.75" customHeight="1">
      <c r="A399" s="176"/>
      <c r="B399" s="209"/>
      <c r="C399" s="176"/>
      <c r="D399" s="176"/>
      <c r="E399" s="176"/>
      <c r="F399" s="210"/>
      <c r="G399" s="176"/>
      <c r="H399" s="176"/>
      <c r="I399" s="210"/>
      <c r="J399" s="176"/>
      <c r="K399" s="211"/>
      <c r="L399" s="211"/>
      <c r="M399" s="211"/>
      <c r="N399" s="211"/>
      <c r="O399" s="211"/>
      <c r="P399" s="211"/>
      <c r="Q399" s="210"/>
      <c r="R399" s="176"/>
      <c r="S399" s="176"/>
      <c r="T399" s="212"/>
      <c r="U399" s="176"/>
      <c r="V399" s="176"/>
      <c r="W399" s="176"/>
      <c r="X399" s="176"/>
      <c r="Y399" s="176"/>
      <c r="Z399" s="176"/>
      <c r="AA399" s="176"/>
    </row>
    <row r="400" spans="1:27" ht="15.75" customHeight="1">
      <c r="A400" s="176"/>
      <c r="B400" s="209"/>
      <c r="C400" s="176"/>
      <c r="D400" s="176"/>
      <c r="E400" s="176"/>
      <c r="F400" s="210"/>
      <c r="G400" s="176"/>
      <c r="H400" s="176"/>
      <c r="I400" s="210"/>
      <c r="J400" s="176"/>
      <c r="K400" s="211"/>
      <c r="L400" s="211"/>
      <c r="M400" s="211"/>
      <c r="N400" s="211"/>
      <c r="O400" s="211"/>
      <c r="P400" s="211"/>
      <c r="Q400" s="210"/>
      <c r="R400" s="176"/>
      <c r="S400" s="176"/>
      <c r="T400" s="212"/>
      <c r="U400" s="176"/>
      <c r="V400" s="176"/>
      <c r="W400" s="176"/>
      <c r="X400" s="176"/>
      <c r="Y400" s="176"/>
      <c r="Z400" s="176"/>
      <c r="AA400" s="176"/>
    </row>
    <row r="401" spans="1:27" ht="15.75" customHeight="1">
      <c r="A401" s="176"/>
      <c r="B401" s="209"/>
      <c r="C401" s="176"/>
      <c r="D401" s="176"/>
      <c r="E401" s="176"/>
      <c r="F401" s="210"/>
      <c r="G401" s="176"/>
      <c r="H401" s="176"/>
      <c r="I401" s="210"/>
      <c r="J401" s="176"/>
      <c r="K401" s="211"/>
      <c r="L401" s="211"/>
      <c r="M401" s="211"/>
      <c r="N401" s="211"/>
      <c r="O401" s="211"/>
      <c r="P401" s="211"/>
      <c r="Q401" s="210"/>
      <c r="R401" s="176"/>
      <c r="S401" s="176"/>
      <c r="T401" s="212"/>
      <c r="U401" s="176"/>
      <c r="V401" s="176"/>
      <c r="W401" s="176"/>
      <c r="X401" s="176"/>
      <c r="Y401" s="176"/>
      <c r="Z401" s="176"/>
      <c r="AA401" s="176"/>
    </row>
    <row r="402" spans="1:27" ht="15.75" customHeight="1">
      <c r="A402" s="176"/>
      <c r="B402" s="209"/>
      <c r="C402" s="176"/>
      <c r="D402" s="176"/>
      <c r="E402" s="176"/>
      <c r="F402" s="210"/>
      <c r="G402" s="176"/>
      <c r="H402" s="176"/>
      <c r="I402" s="210"/>
      <c r="J402" s="176"/>
      <c r="K402" s="211"/>
      <c r="L402" s="211"/>
      <c r="M402" s="211"/>
      <c r="N402" s="211"/>
      <c r="O402" s="211"/>
      <c r="P402" s="211"/>
      <c r="Q402" s="210"/>
      <c r="R402" s="176"/>
      <c r="S402" s="176"/>
      <c r="T402" s="212"/>
      <c r="U402" s="176"/>
      <c r="V402" s="176"/>
      <c r="W402" s="176"/>
      <c r="X402" s="176"/>
      <c r="Y402" s="176"/>
      <c r="Z402" s="176"/>
      <c r="AA402" s="176"/>
    </row>
    <row r="403" spans="1:27" ht="15.75" customHeight="1">
      <c r="A403" s="176"/>
      <c r="B403" s="209"/>
      <c r="C403" s="176"/>
      <c r="D403" s="176"/>
      <c r="E403" s="176"/>
      <c r="F403" s="210"/>
      <c r="G403" s="176"/>
      <c r="H403" s="176"/>
      <c r="I403" s="210"/>
      <c r="J403" s="176"/>
      <c r="K403" s="211"/>
      <c r="L403" s="211"/>
      <c r="M403" s="211"/>
      <c r="N403" s="211"/>
      <c r="O403" s="211"/>
      <c r="P403" s="211"/>
      <c r="Q403" s="210"/>
      <c r="R403" s="176"/>
      <c r="S403" s="176"/>
      <c r="T403" s="212"/>
      <c r="U403" s="176"/>
      <c r="V403" s="176"/>
      <c r="W403" s="176"/>
      <c r="X403" s="176"/>
      <c r="Y403" s="176"/>
      <c r="Z403" s="176"/>
      <c r="AA403" s="176"/>
    </row>
    <row r="404" spans="1:27" ht="15.75" customHeight="1">
      <c r="A404" s="176"/>
      <c r="B404" s="209"/>
      <c r="C404" s="176"/>
      <c r="D404" s="176"/>
      <c r="E404" s="176"/>
      <c r="F404" s="210"/>
      <c r="G404" s="176"/>
      <c r="H404" s="176"/>
      <c r="I404" s="210"/>
      <c r="J404" s="176"/>
      <c r="K404" s="211"/>
      <c r="L404" s="211"/>
      <c r="M404" s="211"/>
      <c r="N404" s="211"/>
      <c r="O404" s="211"/>
      <c r="P404" s="211"/>
      <c r="Q404" s="210"/>
      <c r="R404" s="176"/>
      <c r="S404" s="176"/>
      <c r="T404" s="212"/>
      <c r="U404" s="176"/>
      <c r="V404" s="176"/>
      <c r="W404" s="176"/>
      <c r="X404" s="176"/>
      <c r="Y404" s="176"/>
      <c r="Z404" s="176"/>
      <c r="AA404" s="176"/>
    </row>
    <row r="405" spans="1:27" ht="15.75" customHeight="1">
      <c r="A405" s="176"/>
      <c r="B405" s="209"/>
      <c r="C405" s="176"/>
      <c r="D405" s="176"/>
      <c r="E405" s="176"/>
      <c r="F405" s="210"/>
      <c r="G405" s="176"/>
      <c r="H405" s="176"/>
      <c r="I405" s="210"/>
      <c r="J405" s="176"/>
      <c r="K405" s="211"/>
      <c r="L405" s="211"/>
      <c r="M405" s="211"/>
      <c r="N405" s="211"/>
      <c r="O405" s="211"/>
      <c r="P405" s="211"/>
      <c r="Q405" s="210"/>
      <c r="R405" s="176"/>
      <c r="S405" s="176"/>
      <c r="T405" s="212"/>
      <c r="U405" s="176"/>
      <c r="V405" s="176"/>
      <c r="W405" s="176"/>
      <c r="X405" s="176"/>
      <c r="Y405" s="176"/>
      <c r="Z405" s="176"/>
      <c r="AA405" s="176"/>
    </row>
    <row r="406" spans="1:27" ht="15.75" customHeight="1">
      <c r="A406" s="176"/>
      <c r="B406" s="209"/>
      <c r="C406" s="176"/>
      <c r="D406" s="176"/>
      <c r="E406" s="176"/>
      <c r="F406" s="210"/>
      <c r="G406" s="176"/>
      <c r="H406" s="176"/>
      <c r="I406" s="210"/>
      <c r="J406" s="176"/>
      <c r="K406" s="211"/>
      <c r="L406" s="211"/>
      <c r="M406" s="211"/>
      <c r="N406" s="211"/>
      <c r="O406" s="211"/>
      <c r="P406" s="211"/>
      <c r="Q406" s="210"/>
      <c r="R406" s="176"/>
      <c r="S406" s="176"/>
      <c r="T406" s="212"/>
      <c r="U406" s="176"/>
      <c r="V406" s="176"/>
      <c r="W406" s="176"/>
      <c r="X406" s="176"/>
      <c r="Y406" s="176"/>
      <c r="Z406" s="176"/>
      <c r="AA406" s="176"/>
    </row>
    <row r="407" spans="1:27" ht="15.75" customHeight="1">
      <c r="A407" s="176"/>
      <c r="B407" s="209"/>
      <c r="C407" s="176"/>
      <c r="D407" s="176"/>
      <c r="E407" s="176"/>
      <c r="F407" s="210"/>
      <c r="G407" s="176"/>
      <c r="H407" s="176"/>
      <c r="I407" s="210"/>
      <c r="J407" s="176"/>
      <c r="K407" s="211"/>
      <c r="L407" s="211"/>
      <c r="M407" s="211"/>
      <c r="N407" s="211"/>
      <c r="O407" s="211"/>
      <c r="P407" s="211"/>
      <c r="Q407" s="210"/>
      <c r="R407" s="176"/>
      <c r="S407" s="176"/>
      <c r="T407" s="212"/>
      <c r="U407" s="176"/>
      <c r="V407" s="176"/>
      <c r="W407" s="176"/>
      <c r="X407" s="176"/>
      <c r="Y407" s="176"/>
      <c r="Z407" s="176"/>
      <c r="AA407" s="176"/>
    </row>
    <row r="408" spans="1:27" ht="15.75" customHeight="1">
      <c r="A408" s="176"/>
      <c r="B408" s="209"/>
      <c r="C408" s="176"/>
      <c r="D408" s="176"/>
      <c r="E408" s="176"/>
      <c r="F408" s="210"/>
      <c r="G408" s="176"/>
      <c r="H408" s="176"/>
      <c r="I408" s="210"/>
      <c r="J408" s="176"/>
      <c r="K408" s="211"/>
      <c r="L408" s="211"/>
      <c r="M408" s="211"/>
      <c r="N408" s="211"/>
      <c r="O408" s="211"/>
      <c r="P408" s="211"/>
      <c r="Q408" s="210"/>
      <c r="R408" s="176"/>
      <c r="S408" s="176"/>
      <c r="T408" s="212"/>
      <c r="U408" s="176"/>
      <c r="V408" s="176"/>
      <c r="W408" s="176"/>
      <c r="X408" s="176"/>
      <c r="Y408" s="176"/>
      <c r="Z408" s="176"/>
      <c r="AA408" s="176"/>
    </row>
    <row r="409" spans="1:27" ht="15.75" customHeight="1">
      <c r="A409" s="176"/>
      <c r="B409" s="209"/>
      <c r="C409" s="176"/>
      <c r="D409" s="176"/>
      <c r="E409" s="176"/>
      <c r="F409" s="210"/>
      <c r="G409" s="176"/>
      <c r="H409" s="176"/>
      <c r="I409" s="210"/>
      <c r="J409" s="176"/>
      <c r="K409" s="211"/>
      <c r="L409" s="211"/>
      <c r="M409" s="211"/>
      <c r="N409" s="211"/>
      <c r="O409" s="211"/>
      <c r="P409" s="211"/>
      <c r="Q409" s="210"/>
      <c r="R409" s="176"/>
      <c r="S409" s="176"/>
      <c r="T409" s="212"/>
      <c r="U409" s="176"/>
      <c r="V409" s="176"/>
      <c r="W409" s="176"/>
      <c r="X409" s="176"/>
      <c r="Y409" s="176"/>
      <c r="Z409" s="176"/>
      <c r="AA409" s="176"/>
    </row>
    <row r="410" spans="1:27" ht="15.75" customHeight="1">
      <c r="A410" s="176"/>
      <c r="B410" s="209"/>
      <c r="C410" s="176"/>
      <c r="D410" s="176"/>
      <c r="E410" s="176"/>
      <c r="F410" s="210"/>
      <c r="G410" s="176"/>
      <c r="H410" s="176"/>
      <c r="I410" s="210"/>
      <c r="J410" s="176"/>
      <c r="K410" s="211"/>
      <c r="L410" s="211"/>
      <c r="M410" s="211"/>
      <c r="N410" s="211"/>
      <c r="O410" s="211"/>
      <c r="P410" s="211"/>
      <c r="Q410" s="210"/>
      <c r="R410" s="176"/>
      <c r="S410" s="176"/>
      <c r="T410" s="212"/>
      <c r="U410" s="176"/>
      <c r="V410" s="176"/>
      <c r="W410" s="176"/>
      <c r="X410" s="176"/>
      <c r="Y410" s="176"/>
      <c r="Z410" s="176"/>
      <c r="AA410" s="176"/>
    </row>
    <row r="411" spans="1:27" ht="15.75" customHeight="1">
      <c r="A411" s="176"/>
      <c r="B411" s="209"/>
      <c r="C411" s="176"/>
      <c r="D411" s="176"/>
      <c r="E411" s="176"/>
      <c r="F411" s="210"/>
      <c r="G411" s="176"/>
      <c r="H411" s="176"/>
      <c r="I411" s="210"/>
      <c r="J411" s="176"/>
      <c r="K411" s="211"/>
      <c r="L411" s="211"/>
      <c r="M411" s="211"/>
      <c r="N411" s="211"/>
      <c r="O411" s="211"/>
      <c r="P411" s="211"/>
      <c r="Q411" s="210"/>
      <c r="R411" s="176"/>
      <c r="S411" s="176"/>
      <c r="T411" s="212"/>
      <c r="U411" s="176"/>
      <c r="V411" s="176"/>
      <c r="W411" s="176"/>
      <c r="X411" s="176"/>
      <c r="Y411" s="176"/>
      <c r="Z411" s="176"/>
      <c r="AA411" s="176"/>
    </row>
    <row r="412" spans="1:27" ht="15.75" customHeight="1">
      <c r="A412" s="176"/>
      <c r="B412" s="209"/>
      <c r="C412" s="176"/>
      <c r="D412" s="176"/>
      <c r="E412" s="176"/>
      <c r="F412" s="210"/>
      <c r="G412" s="176"/>
      <c r="H412" s="176"/>
      <c r="I412" s="210"/>
      <c r="J412" s="176"/>
      <c r="K412" s="211"/>
      <c r="L412" s="211"/>
      <c r="M412" s="211"/>
      <c r="N412" s="211"/>
      <c r="O412" s="211"/>
      <c r="P412" s="211"/>
      <c r="Q412" s="210"/>
      <c r="R412" s="176"/>
      <c r="S412" s="176"/>
      <c r="T412" s="212"/>
      <c r="U412" s="176"/>
      <c r="V412" s="176"/>
      <c r="W412" s="176"/>
      <c r="X412" s="176"/>
      <c r="Y412" s="176"/>
      <c r="Z412" s="176"/>
      <c r="AA412" s="176"/>
    </row>
    <row r="413" spans="1:27" ht="15.75" customHeight="1">
      <c r="A413" s="176"/>
      <c r="B413" s="209"/>
      <c r="C413" s="176"/>
      <c r="D413" s="176"/>
      <c r="E413" s="176"/>
      <c r="F413" s="210"/>
      <c r="G413" s="176"/>
      <c r="H413" s="176"/>
      <c r="I413" s="210"/>
      <c r="J413" s="176"/>
      <c r="K413" s="211"/>
      <c r="L413" s="211"/>
      <c r="M413" s="211"/>
      <c r="N413" s="211"/>
      <c r="O413" s="211"/>
      <c r="P413" s="211"/>
      <c r="Q413" s="210"/>
      <c r="R413" s="176"/>
      <c r="S413" s="176"/>
      <c r="T413" s="212"/>
      <c r="U413" s="176"/>
      <c r="V413" s="176"/>
      <c r="W413" s="176"/>
      <c r="X413" s="176"/>
      <c r="Y413" s="176"/>
      <c r="Z413" s="176"/>
      <c r="AA413" s="176"/>
    </row>
    <row r="414" spans="1:27" ht="15.75" customHeight="1">
      <c r="A414" s="176"/>
      <c r="B414" s="209"/>
      <c r="C414" s="176"/>
      <c r="D414" s="176"/>
      <c r="E414" s="176"/>
      <c r="F414" s="210"/>
      <c r="G414" s="176"/>
      <c r="H414" s="176"/>
      <c r="I414" s="210"/>
      <c r="J414" s="176"/>
      <c r="K414" s="211"/>
      <c r="L414" s="211"/>
      <c r="M414" s="211"/>
      <c r="N414" s="211"/>
      <c r="O414" s="211"/>
      <c r="P414" s="211"/>
      <c r="Q414" s="210"/>
      <c r="R414" s="176"/>
      <c r="S414" s="176"/>
      <c r="T414" s="212"/>
      <c r="U414" s="176"/>
      <c r="V414" s="176"/>
      <c r="W414" s="176"/>
      <c r="X414" s="176"/>
      <c r="Y414" s="176"/>
      <c r="Z414" s="176"/>
      <c r="AA414" s="176"/>
    </row>
    <row r="415" spans="1:27" ht="15.75" customHeight="1">
      <c r="A415" s="176"/>
      <c r="B415" s="209"/>
      <c r="C415" s="176"/>
      <c r="D415" s="176"/>
      <c r="E415" s="176"/>
      <c r="F415" s="210"/>
      <c r="G415" s="176"/>
      <c r="H415" s="176"/>
      <c r="I415" s="210"/>
      <c r="J415" s="176"/>
      <c r="K415" s="211"/>
      <c r="L415" s="211"/>
      <c r="M415" s="211"/>
      <c r="N415" s="211"/>
      <c r="O415" s="211"/>
      <c r="P415" s="211"/>
      <c r="Q415" s="210"/>
      <c r="R415" s="176"/>
      <c r="S415" s="176"/>
      <c r="T415" s="212"/>
      <c r="U415" s="176"/>
      <c r="V415" s="176"/>
      <c r="W415" s="176"/>
      <c r="X415" s="176"/>
      <c r="Y415" s="176"/>
      <c r="Z415" s="176"/>
      <c r="AA415" s="176"/>
    </row>
    <row r="416" spans="1:27" ht="15.75" customHeight="1">
      <c r="A416" s="176"/>
      <c r="B416" s="209"/>
      <c r="C416" s="176"/>
      <c r="D416" s="176"/>
      <c r="E416" s="176"/>
      <c r="F416" s="210"/>
      <c r="G416" s="176"/>
      <c r="H416" s="176"/>
      <c r="I416" s="210"/>
      <c r="J416" s="176"/>
      <c r="K416" s="211"/>
      <c r="L416" s="211"/>
      <c r="M416" s="211"/>
      <c r="N416" s="211"/>
      <c r="O416" s="211"/>
      <c r="P416" s="211"/>
      <c r="Q416" s="210"/>
      <c r="R416" s="176"/>
      <c r="S416" s="176"/>
      <c r="T416" s="212"/>
      <c r="U416" s="176"/>
      <c r="V416" s="176"/>
      <c r="W416" s="176"/>
      <c r="X416" s="176"/>
      <c r="Y416" s="176"/>
      <c r="Z416" s="176"/>
      <c r="AA416" s="176"/>
    </row>
    <row r="417" spans="1:27" ht="15.75" customHeight="1">
      <c r="A417" s="176"/>
      <c r="B417" s="209"/>
      <c r="C417" s="176"/>
      <c r="D417" s="176"/>
      <c r="E417" s="176"/>
      <c r="F417" s="210"/>
      <c r="G417" s="176"/>
      <c r="H417" s="176"/>
      <c r="I417" s="210"/>
      <c r="J417" s="176"/>
      <c r="K417" s="211"/>
      <c r="L417" s="211"/>
      <c r="M417" s="211"/>
      <c r="N417" s="211"/>
      <c r="O417" s="211"/>
      <c r="P417" s="211"/>
      <c r="Q417" s="210"/>
      <c r="R417" s="176"/>
      <c r="S417" s="176"/>
      <c r="T417" s="212"/>
      <c r="U417" s="176"/>
      <c r="V417" s="176"/>
      <c r="W417" s="176"/>
      <c r="X417" s="176"/>
      <c r="Y417" s="176"/>
      <c r="Z417" s="176"/>
      <c r="AA417" s="176"/>
    </row>
    <row r="418" spans="1:27" ht="15.75" customHeight="1">
      <c r="A418" s="176"/>
      <c r="B418" s="209"/>
      <c r="C418" s="176"/>
      <c r="D418" s="176"/>
      <c r="E418" s="176"/>
      <c r="F418" s="210"/>
      <c r="G418" s="176"/>
      <c r="H418" s="176"/>
      <c r="I418" s="210"/>
      <c r="J418" s="176"/>
      <c r="K418" s="211"/>
      <c r="L418" s="211"/>
      <c r="M418" s="211"/>
      <c r="N418" s="211"/>
      <c r="O418" s="211"/>
      <c r="P418" s="211"/>
      <c r="Q418" s="210"/>
      <c r="R418" s="176"/>
      <c r="S418" s="176"/>
      <c r="T418" s="212"/>
      <c r="U418" s="176"/>
      <c r="V418" s="176"/>
      <c r="W418" s="176"/>
      <c r="X418" s="176"/>
      <c r="Y418" s="176"/>
      <c r="Z418" s="176"/>
      <c r="AA418" s="176"/>
    </row>
    <row r="419" spans="1:27" ht="15.75" customHeight="1">
      <c r="A419" s="176"/>
      <c r="B419" s="209"/>
      <c r="C419" s="176"/>
      <c r="D419" s="176"/>
      <c r="E419" s="176"/>
      <c r="F419" s="210"/>
      <c r="G419" s="176"/>
      <c r="H419" s="176"/>
      <c r="I419" s="210"/>
      <c r="J419" s="176"/>
      <c r="K419" s="211"/>
      <c r="L419" s="211"/>
      <c r="M419" s="211"/>
      <c r="N419" s="211"/>
      <c r="O419" s="211"/>
      <c r="P419" s="211"/>
      <c r="Q419" s="210"/>
      <c r="R419" s="176"/>
      <c r="S419" s="176"/>
      <c r="T419" s="212"/>
      <c r="U419" s="176"/>
      <c r="V419" s="176"/>
      <c r="W419" s="176"/>
      <c r="X419" s="176"/>
      <c r="Y419" s="176"/>
      <c r="Z419" s="176"/>
      <c r="AA419" s="176"/>
    </row>
    <row r="420" spans="1:27" ht="15.75" customHeight="1">
      <c r="A420" s="176"/>
      <c r="B420" s="209"/>
      <c r="C420" s="176"/>
      <c r="D420" s="176"/>
      <c r="E420" s="176"/>
      <c r="F420" s="210"/>
      <c r="G420" s="176"/>
      <c r="H420" s="176"/>
      <c r="I420" s="210"/>
      <c r="J420" s="176"/>
      <c r="K420" s="211"/>
      <c r="L420" s="211"/>
      <c r="M420" s="211"/>
      <c r="N420" s="211"/>
      <c r="O420" s="211"/>
      <c r="P420" s="211"/>
      <c r="Q420" s="210"/>
      <c r="R420" s="176"/>
      <c r="S420" s="176"/>
      <c r="T420" s="212"/>
      <c r="U420" s="176"/>
      <c r="V420" s="176"/>
      <c r="W420" s="176"/>
      <c r="X420" s="176"/>
      <c r="Y420" s="176"/>
      <c r="Z420" s="176"/>
      <c r="AA420" s="176"/>
    </row>
    <row r="421" spans="1:27" ht="15.75" customHeight="1">
      <c r="A421" s="176"/>
      <c r="B421" s="209"/>
      <c r="C421" s="176"/>
      <c r="D421" s="176"/>
      <c r="E421" s="176"/>
      <c r="F421" s="210"/>
      <c r="G421" s="176"/>
      <c r="H421" s="176"/>
      <c r="I421" s="210"/>
      <c r="J421" s="176"/>
      <c r="K421" s="211"/>
      <c r="L421" s="211"/>
      <c r="M421" s="211"/>
      <c r="N421" s="211"/>
      <c r="O421" s="211"/>
      <c r="P421" s="211"/>
      <c r="Q421" s="210"/>
      <c r="R421" s="176"/>
      <c r="S421" s="176"/>
      <c r="T421" s="212"/>
      <c r="U421" s="176"/>
      <c r="V421" s="176"/>
      <c r="W421" s="176"/>
      <c r="X421" s="176"/>
      <c r="Y421" s="176"/>
      <c r="Z421" s="176"/>
      <c r="AA421" s="176"/>
    </row>
    <row r="422" spans="1:27" ht="15.75" customHeight="1">
      <c r="A422" s="176"/>
      <c r="B422" s="209"/>
      <c r="C422" s="176"/>
      <c r="D422" s="176"/>
      <c r="E422" s="176"/>
      <c r="F422" s="210"/>
      <c r="G422" s="176"/>
      <c r="H422" s="176"/>
      <c r="I422" s="210"/>
      <c r="J422" s="176"/>
      <c r="K422" s="211"/>
      <c r="L422" s="211"/>
      <c r="M422" s="211"/>
      <c r="N422" s="211"/>
      <c r="O422" s="211"/>
      <c r="P422" s="211"/>
      <c r="Q422" s="210"/>
      <c r="R422" s="176"/>
      <c r="S422" s="176"/>
      <c r="T422" s="212"/>
      <c r="U422" s="176"/>
      <c r="V422" s="176"/>
      <c r="W422" s="176"/>
      <c r="X422" s="176"/>
      <c r="Y422" s="176"/>
      <c r="Z422" s="176"/>
      <c r="AA422" s="176"/>
    </row>
    <row r="423" spans="1:27" ht="15.75" customHeight="1">
      <c r="A423" s="176"/>
      <c r="B423" s="209"/>
      <c r="C423" s="176"/>
      <c r="D423" s="176"/>
      <c r="E423" s="176"/>
      <c r="F423" s="210"/>
      <c r="G423" s="176"/>
      <c r="H423" s="176"/>
      <c r="I423" s="210"/>
      <c r="J423" s="176"/>
      <c r="K423" s="211"/>
      <c r="L423" s="211"/>
      <c r="M423" s="211"/>
      <c r="N423" s="211"/>
      <c r="O423" s="211"/>
      <c r="P423" s="211"/>
      <c r="Q423" s="210"/>
      <c r="R423" s="176"/>
      <c r="S423" s="176"/>
      <c r="T423" s="212"/>
      <c r="U423" s="176"/>
      <c r="V423" s="176"/>
      <c r="W423" s="176"/>
      <c r="X423" s="176"/>
      <c r="Y423" s="176"/>
      <c r="Z423" s="176"/>
      <c r="AA423" s="176"/>
    </row>
    <row r="424" spans="1:27" ht="15.75" customHeight="1">
      <c r="A424" s="176"/>
      <c r="B424" s="209"/>
      <c r="C424" s="176"/>
      <c r="D424" s="176"/>
      <c r="E424" s="176"/>
      <c r="F424" s="210"/>
      <c r="G424" s="176"/>
      <c r="H424" s="176"/>
      <c r="I424" s="210"/>
      <c r="J424" s="176"/>
      <c r="K424" s="211"/>
      <c r="L424" s="211"/>
      <c r="M424" s="211"/>
      <c r="N424" s="211"/>
      <c r="O424" s="211"/>
      <c r="P424" s="211"/>
      <c r="Q424" s="210"/>
      <c r="R424" s="176"/>
      <c r="S424" s="176"/>
      <c r="T424" s="212"/>
      <c r="U424" s="176"/>
      <c r="V424" s="176"/>
      <c r="W424" s="176"/>
      <c r="X424" s="176"/>
      <c r="Y424" s="176"/>
      <c r="Z424" s="176"/>
      <c r="AA424" s="176"/>
    </row>
    <row r="425" spans="1:27" ht="15.75" customHeight="1">
      <c r="A425" s="176"/>
      <c r="B425" s="209"/>
      <c r="C425" s="176"/>
      <c r="D425" s="176"/>
      <c r="E425" s="176"/>
      <c r="F425" s="210"/>
      <c r="G425" s="176"/>
      <c r="H425" s="176"/>
      <c r="I425" s="210"/>
      <c r="J425" s="176"/>
      <c r="K425" s="211"/>
      <c r="L425" s="211"/>
      <c r="M425" s="211"/>
      <c r="N425" s="211"/>
      <c r="O425" s="211"/>
      <c r="P425" s="211"/>
      <c r="Q425" s="210"/>
      <c r="R425" s="176"/>
      <c r="S425" s="176"/>
      <c r="T425" s="212"/>
      <c r="U425" s="176"/>
      <c r="V425" s="176"/>
      <c r="W425" s="176"/>
      <c r="X425" s="176"/>
      <c r="Y425" s="176"/>
      <c r="Z425" s="176"/>
      <c r="AA425" s="176"/>
    </row>
    <row r="426" spans="1:27" ht="15.75" customHeight="1">
      <c r="A426" s="176"/>
      <c r="B426" s="209"/>
      <c r="C426" s="176"/>
      <c r="D426" s="176"/>
      <c r="E426" s="176"/>
      <c r="F426" s="210"/>
      <c r="G426" s="176"/>
      <c r="H426" s="176"/>
      <c r="I426" s="210"/>
      <c r="J426" s="176"/>
      <c r="K426" s="211"/>
      <c r="L426" s="211"/>
      <c r="M426" s="211"/>
      <c r="N426" s="211"/>
      <c r="O426" s="211"/>
      <c r="P426" s="211"/>
      <c r="Q426" s="210"/>
      <c r="R426" s="176"/>
      <c r="S426" s="176"/>
      <c r="T426" s="212"/>
      <c r="U426" s="176"/>
      <c r="V426" s="176"/>
      <c r="W426" s="176"/>
      <c r="X426" s="176"/>
      <c r="Y426" s="176"/>
      <c r="Z426" s="176"/>
      <c r="AA426" s="176"/>
    </row>
    <row r="427" spans="1:27" ht="15.75" customHeight="1">
      <c r="A427" s="176"/>
      <c r="B427" s="209"/>
      <c r="C427" s="176"/>
      <c r="D427" s="176"/>
      <c r="E427" s="176"/>
      <c r="F427" s="210"/>
      <c r="G427" s="176"/>
      <c r="H427" s="176"/>
      <c r="I427" s="210"/>
      <c r="J427" s="176"/>
      <c r="K427" s="211"/>
      <c r="L427" s="211"/>
      <c r="M427" s="211"/>
      <c r="N427" s="211"/>
      <c r="O427" s="211"/>
      <c r="P427" s="211"/>
      <c r="Q427" s="210"/>
      <c r="R427" s="176"/>
      <c r="S427" s="176"/>
      <c r="T427" s="212"/>
      <c r="U427" s="176"/>
      <c r="V427" s="176"/>
      <c r="W427" s="176"/>
      <c r="X427" s="176"/>
      <c r="Y427" s="176"/>
      <c r="Z427" s="176"/>
      <c r="AA427" s="176"/>
    </row>
    <row r="428" spans="1:27" ht="15.75" customHeight="1">
      <c r="A428" s="176"/>
      <c r="B428" s="209"/>
      <c r="C428" s="176"/>
      <c r="D428" s="176"/>
      <c r="E428" s="176"/>
      <c r="F428" s="210"/>
      <c r="G428" s="176"/>
      <c r="H428" s="176"/>
      <c r="I428" s="210"/>
      <c r="J428" s="176"/>
      <c r="K428" s="211"/>
      <c r="L428" s="211"/>
      <c r="M428" s="211"/>
      <c r="N428" s="211"/>
      <c r="O428" s="211"/>
      <c r="P428" s="211"/>
      <c r="Q428" s="210"/>
      <c r="R428" s="176"/>
      <c r="S428" s="176"/>
      <c r="T428" s="212"/>
      <c r="U428" s="176"/>
      <c r="V428" s="176"/>
      <c r="W428" s="176"/>
      <c r="X428" s="176"/>
      <c r="Y428" s="176"/>
      <c r="Z428" s="176"/>
      <c r="AA428" s="176"/>
    </row>
    <row r="429" spans="1:27" ht="15.75" customHeight="1">
      <c r="A429" s="176"/>
      <c r="B429" s="209"/>
      <c r="C429" s="176"/>
      <c r="D429" s="176"/>
      <c r="E429" s="176"/>
      <c r="F429" s="210"/>
      <c r="G429" s="176"/>
      <c r="H429" s="176"/>
      <c r="I429" s="210"/>
      <c r="J429" s="176"/>
      <c r="K429" s="211"/>
      <c r="L429" s="211"/>
      <c r="M429" s="211"/>
      <c r="N429" s="211"/>
      <c r="O429" s="211"/>
      <c r="P429" s="211"/>
      <c r="Q429" s="210"/>
      <c r="R429" s="176"/>
      <c r="S429" s="176"/>
      <c r="T429" s="212"/>
      <c r="U429" s="176"/>
      <c r="V429" s="176"/>
      <c r="W429" s="176"/>
      <c r="X429" s="176"/>
      <c r="Y429" s="176"/>
      <c r="Z429" s="176"/>
      <c r="AA429" s="176"/>
    </row>
    <row r="430" spans="1:27" ht="15.75" customHeight="1">
      <c r="A430" s="176"/>
      <c r="B430" s="209"/>
      <c r="C430" s="176"/>
      <c r="D430" s="176"/>
      <c r="E430" s="176"/>
      <c r="F430" s="210"/>
      <c r="G430" s="176"/>
      <c r="H430" s="176"/>
      <c r="I430" s="210"/>
      <c r="J430" s="176"/>
      <c r="K430" s="211"/>
      <c r="L430" s="211"/>
      <c r="M430" s="211"/>
      <c r="N430" s="211"/>
      <c r="O430" s="211"/>
      <c r="P430" s="211"/>
      <c r="Q430" s="210"/>
      <c r="R430" s="176"/>
      <c r="S430" s="176"/>
      <c r="T430" s="212"/>
      <c r="U430" s="176"/>
      <c r="V430" s="176"/>
      <c r="W430" s="176"/>
      <c r="X430" s="176"/>
      <c r="Y430" s="176"/>
      <c r="Z430" s="176"/>
      <c r="AA430" s="176"/>
    </row>
    <row r="431" spans="1:27" ht="15.75" customHeight="1">
      <c r="A431" s="176"/>
      <c r="B431" s="209"/>
      <c r="C431" s="176"/>
      <c r="D431" s="176"/>
      <c r="E431" s="176"/>
      <c r="F431" s="210"/>
      <c r="G431" s="176"/>
      <c r="H431" s="176"/>
      <c r="I431" s="210"/>
      <c r="J431" s="176"/>
      <c r="K431" s="211"/>
      <c r="L431" s="211"/>
      <c r="M431" s="211"/>
      <c r="N431" s="211"/>
      <c r="O431" s="211"/>
      <c r="P431" s="211"/>
      <c r="Q431" s="210"/>
      <c r="R431" s="176"/>
      <c r="S431" s="176"/>
      <c r="T431" s="212"/>
      <c r="U431" s="176"/>
      <c r="V431" s="176"/>
      <c r="W431" s="176"/>
      <c r="X431" s="176"/>
      <c r="Y431" s="176"/>
      <c r="Z431" s="176"/>
      <c r="AA431" s="176"/>
    </row>
    <row r="432" spans="1:27" ht="15.75" customHeight="1">
      <c r="A432" s="176"/>
      <c r="B432" s="209"/>
      <c r="C432" s="176"/>
      <c r="D432" s="176"/>
      <c r="E432" s="176"/>
      <c r="F432" s="210"/>
      <c r="G432" s="176"/>
      <c r="H432" s="176"/>
      <c r="I432" s="210"/>
      <c r="J432" s="176"/>
      <c r="K432" s="211"/>
      <c r="L432" s="211"/>
      <c r="M432" s="211"/>
      <c r="N432" s="211"/>
      <c r="O432" s="211"/>
      <c r="P432" s="211"/>
      <c r="Q432" s="210"/>
      <c r="R432" s="176"/>
      <c r="S432" s="176"/>
      <c r="T432" s="212"/>
      <c r="U432" s="176"/>
      <c r="V432" s="176"/>
      <c r="W432" s="176"/>
      <c r="X432" s="176"/>
      <c r="Y432" s="176"/>
      <c r="Z432" s="176"/>
      <c r="AA432" s="176"/>
    </row>
    <row r="433" spans="1:27" ht="15.75" customHeight="1">
      <c r="A433" s="176"/>
      <c r="B433" s="209"/>
      <c r="C433" s="176"/>
      <c r="D433" s="176"/>
      <c r="E433" s="176"/>
      <c r="F433" s="210"/>
      <c r="G433" s="176"/>
      <c r="H433" s="176"/>
      <c r="I433" s="210"/>
      <c r="J433" s="176"/>
      <c r="K433" s="211"/>
      <c r="L433" s="211"/>
      <c r="M433" s="211"/>
      <c r="N433" s="211"/>
      <c r="O433" s="211"/>
      <c r="P433" s="211"/>
      <c r="Q433" s="210"/>
      <c r="R433" s="176"/>
      <c r="S433" s="176"/>
      <c r="T433" s="212"/>
      <c r="U433" s="176"/>
      <c r="V433" s="176"/>
      <c r="W433" s="176"/>
      <c r="X433" s="176"/>
      <c r="Y433" s="176"/>
      <c r="Z433" s="176"/>
      <c r="AA433" s="176"/>
    </row>
    <row r="434" spans="1:27" ht="15.75" customHeight="1">
      <c r="A434" s="176"/>
      <c r="B434" s="209"/>
      <c r="C434" s="176"/>
      <c r="D434" s="176"/>
      <c r="E434" s="176"/>
      <c r="F434" s="210"/>
      <c r="G434" s="176"/>
      <c r="H434" s="176"/>
      <c r="I434" s="210"/>
      <c r="J434" s="176"/>
      <c r="K434" s="211"/>
      <c r="L434" s="211"/>
      <c r="M434" s="211"/>
      <c r="N434" s="211"/>
      <c r="O434" s="211"/>
      <c r="P434" s="211"/>
      <c r="Q434" s="210"/>
      <c r="R434" s="176"/>
      <c r="S434" s="176"/>
      <c r="T434" s="212"/>
      <c r="U434" s="176"/>
      <c r="V434" s="176"/>
      <c r="W434" s="176"/>
      <c r="X434" s="176"/>
      <c r="Y434" s="176"/>
      <c r="Z434" s="176"/>
      <c r="AA434" s="176"/>
    </row>
    <row r="435" spans="1:27" ht="15.75" customHeight="1">
      <c r="A435" s="176"/>
      <c r="B435" s="209"/>
      <c r="C435" s="176"/>
      <c r="D435" s="176"/>
      <c r="E435" s="176"/>
      <c r="F435" s="210"/>
      <c r="G435" s="176"/>
      <c r="H435" s="176"/>
      <c r="I435" s="210"/>
      <c r="J435" s="176"/>
      <c r="K435" s="211"/>
      <c r="L435" s="211"/>
      <c r="M435" s="211"/>
      <c r="N435" s="211"/>
      <c r="O435" s="211"/>
      <c r="P435" s="211"/>
      <c r="Q435" s="210"/>
      <c r="R435" s="176"/>
      <c r="S435" s="176"/>
      <c r="T435" s="212"/>
      <c r="U435" s="176"/>
      <c r="V435" s="176"/>
      <c r="W435" s="176"/>
      <c r="X435" s="176"/>
      <c r="Y435" s="176"/>
      <c r="Z435" s="176"/>
      <c r="AA435" s="176"/>
    </row>
    <row r="436" spans="1:27" ht="15.75" customHeight="1">
      <c r="A436" s="176"/>
      <c r="B436" s="209"/>
      <c r="C436" s="176"/>
      <c r="D436" s="176"/>
      <c r="E436" s="176"/>
      <c r="F436" s="210"/>
      <c r="G436" s="176"/>
      <c r="H436" s="176"/>
      <c r="I436" s="210"/>
      <c r="J436" s="176"/>
      <c r="K436" s="211"/>
      <c r="L436" s="211"/>
      <c r="M436" s="211"/>
      <c r="N436" s="211"/>
      <c r="O436" s="211"/>
      <c r="P436" s="211"/>
      <c r="Q436" s="210"/>
      <c r="R436" s="176"/>
      <c r="S436" s="176"/>
      <c r="T436" s="212"/>
      <c r="U436" s="176"/>
      <c r="V436" s="176"/>
      <c r="W436" s="176"/>
      <c r="X436" s="176"/>
      <c r="Y436" s="176"/>
      <c r="Z436" s="176"/>
      <c r="AA436" s="176"/>
    </row>
    <row r="437" spans="1:27" ht="15.75" customHeight="1">
      <c r="A437" s="176"/>
      <c r="B437" s="209"/>
      <c r="C437" s="176"/>
      <c r="D437" s="176"/>
      <c r="E437" s="176"/>
      <c r="F437" s="210"/>
      <c r="G437" s="176"/>
      <c r="H437" s="176"/>
      <c r="I437" s="210"/>
      <c r="J437" s="176"/>
      <c r="K437" s="211"/>
      <c r="L437" s="211"/>
      <c r="M437" s="211"/>
      <c r="N437" s="211"/>
      <c r="O437" s="211"/>
      <c r="P437" s="211"/>
      <c r="Q437" s="210"/>
      <c r="R437" s="176"/>
      <c r="S437" s="176"/>
      <c r="T437" s="212"/>
      <c r="U437" s="176"/>
      <c r="V437" s="176"/>
      <c r="W437" s="176"/>
      <c r="X437" s="176"/>
      <c r="Y437" s="176"/>
      <c r="Z437" s="176"/>
      <c r="AA437" s="176"/>
    </row>
    <row r="438" spans="1:27" ht="15.75" customHeight="1">
      <c r="A438" s="176"/>
      <c r="B438" s="209"/>
      <c r="C438" s="176"/>
      <c r="D438" s="176"/>
      <c r="E438" s="176"/>
      <c r="F438" s="210"/>
      <c r="G438" s="176"/>
      <c r="H438" s="176"/>
      <c r="I438" s="210"/>
      <c r="J438" s="176"/>
      <c r="K438" s="211"/>
      <c r="L438" s="211"/>
      <c r="M438" s="211"/>
      <c r="N438" s="211"/>
      <c r="O438" s="211"/>
      <c r="P438" s="211"/>
      <c r="Q438" s="210"/>
      <c r="R438" s="176"/>
      <c r="S438" s="176"/>
      <c r="T438" s="212"/>
      <c r="U438" s="176"/>
      <c r="V438" s="176"/>
      <c r="W438" s="176"/>
      <c r="X438" s="176"/>
      <c r="Y438" s="176"/>
      <c r="Z438" s="176"/>
      <c r="AA438" s="176"/>
    </row>
    <row r="439" spans="1:27" ht="15.75" customHeight="1">
      <c r="A439" s="176"/>
      <c r="B439" s="209"/>
      <c r="C439" s="176"/>
      <c r="D439" s="176"/>
      <c r="E439" s="176"/>
      <c r="F439" s="210"/>
      <c r="G439" s="176"/>
      <c r="H439" s="176"/>
      <c r="I439" s="210"/>
      <c r="J439" s="176"/>
      <c r="K439" s="211"/>
      <c r="L439" s="211"/>
      <c r="M439" s="211"/>
      <c r="N439" s="211"/>
      <c r="O439" s="211"/>
      <c r="P439" s="211"/>
      <c r="Q439" s="210"/>
      <c r="R439" s="176"/>
      <c r="S439" s="176"/>
      <c r="T439" s="212"/>
      <c r="U439" s="176"/>
      <c r="V439" s="176"/>
      <c r="W439" s="176"/>
      <c r="X439" s="176"/>
      <c r="Y439" s="176"/>
      <c r="Z439" s="176"/>
      <c r="AA439" s="176"/>
    </row>
    <row r="440" spans="1:27" ht="15.75" customHeight="1">
      <c r="A440" s="176"/>
      <c r="B440" s="209"/>
      <c r="C440" s="176"/>
      <c r="D440" s="176"/>
      <c r="E440" s="176"/>
      <c r="F440" s="210"/>
      <c r="G440" s="176"/>
      <c r="H440" s="176"/>
      <c r="I440" s="210"/>
      <c r="J440" s="176"/>
      <c r="K440" s="211"/>
      <c r="L440" s="211"/>
      <c r="M440" s="211"/>
      <c r="N440" s="211"/>
      <c r="O440" s="211"/>
      <c r="P440" s="211"/>
      <c r="Q440" s="210"/>
      <c r="R440" s="176"/>
      <c r="S440" s="176"/>
      <c r="T440" s="212"/>
      <c r="U440" s="176"/>
      <c r="V440" s="176"/>
      <c r="W440" s="176"/>
      <c r="X440" s="176"/>
      <c r="Y440" s="176"/>
      <c r="Z440" s="176"/>
      <c r="AA440" s="176"/>
    </row>
    <row r="441" spans="1:27" ht="15.75" customHeight="1">
      <c r="A441" s="176"/>
      <c r="B441" s="209"/>
      <c r="C441" s="176"/>
      <c r="D441" s="176"/>
      <c r="E441" s="176"/>
      <c r="F441" s="210"/>
      <c r="G441" s="176"/>
      <c r="H441" s="176"/>
      <c r="I441" s="210"/>
      <c r="J441" s="176"/>
      <c r="K441" s="211"/>
      <c r="L441" s="211"/>
      <c r="M441" s="211"/>
      <c r="N441" s="211"/>
      <c r="O441" s="211"/>
      <c r="P441" s="211"/>
      <c r="Q441" s="210"/>
      <c r="R441" s="176"/>
      <c r="S441" s="176"/>
      <c r="T441" s="212"/>
      <c r="U441" s="176"/>
      <c r="V441" s="176"/>
      <c r="W441" s="176"/>
      <c r="X441" s="176"/>
      <c r="Y441" s="176"/>
      <c r="Z441" s="176"/>
      <c r="AA441" s="176"/>
    </row>
    <row r="442" spans="1:27" ht="15.75" customHeight="1">
      <c r="A442" s="176"/>
      <c r="B442" s="209"/>
      <c r="C442" s="176"/>
      <c r="D442" s="176"/>
      <c r="E442" s="176"/>
      <c r="F442" s="210"/>
      <c r="G442" s="176"/>
      <c r="H442" s="176"/>
      <c r="I442" s="210"/>
      <c r="J442" s="176"/>
      <c r="K442" s="211"/>
      <c r="L442" s="211"/>
      <c r="M442" s="211"/>
      <c r="N442" s="211"/>
      <c r="O442" s="211"/>
      <c r="P442" s="211"/>
      <c r="Q442" s="210"/>
      <c r="R442" s="176"/>
      <c r="S442" s="176"/>
      <c r="T442" s="212"/>
      <c r="U442" s="176"/>
      <c r="V442" s="176"/>
      <c r="W442" s="176"/>
      <c r="X442" s="176"/>
      <c r="Y442" s="176"/>
      <c r="Z442" s="176"/>
      <c r="AA442" s="176"/>
    </row>
    <row r="443" spans="1:27" ht="15.75" customHeight="1">
      <c r="A443" s="176"/>
      <c r="B443" s="209"/>
      <c r="C443" s="176"/>
      <c r="D443" s="176"/>
      <c r="E443" s="176"/>
      <c r="F443" s="210"/>
      <c r="G443" s="176"/>
      <c r="H443" s="176"/>
      <c r="I443" s="210"/>
      <c r="J443" s="176"/>
      <c r="K443" s="211"/>
      <c r="L443" s="211"/>
      <c r="M443" s="211"/>
      <c r="N443" s="211"/>
      <c r="O443" s="211"/>
      <c r="P443" s="211"/>
      <c r="Q443" s="210"/>
      <c r="R443" s="176"/>
      <c r="S443" s="176"/>
      <c r="T443" s="212"/>
      <c r="U443" s="176"/>
      <c r="V443" s="176"/>
      <c r="W443" s="176"/>
      <c r="X443" s="176"/>
      <c r="Y443" s="176"/>
      <c r="Z443" s="176"/>
      <c r="AA443" s="176"/>
    </row>
    <row r="444" spans="1:27" ht="15.75" customHeight="1">
      <c r="A444" s="176"/>
      <c r="B444" s="209"/>
      <c r="C444" s="176"/>
      <c r="D444" s="176"/>
      <c r="E444" s="176"/>
      <c r="F444" s="210"/>
      <c r="G444" s="176"/>
      <c r="H444" s="176"/>
      <c r="I444" s="210"/>
      <c r="J444" s="176"/>
      <c r="K444" s="211"/>
      <c r="L444" s="211"/>
      <c r="M444" s="211"/>
      <c r="N444" s="211"/>
      <c r="O444" s="211"/>
      <c r="P444" s="211"/>
      <c r="Q444" s="210"/>
      <c r="R444" s="176"/>
      <c r="S444" s="176"/>
      <c r="T444" s="212"/>
      <c r="U444" s="176"/>
      <c r="V444" s="176"/>
      <c r="W444" s="176"/>
      <c r="X444" s="176"/>
      <c r="Y444" s="176"/>
      <c r="Z444" s="176"/>
      <c r="AA444" s="176"/>
    </row>
    <row r="445" spans="1:27" ht="15.75" customHeight="1">
      <c r="A445" s="176"/>
      <c r="B445" s="209"/>
      <c r="C445" s="176"/>
      <c r="D445" s="176"/>
      <c r="E445" s="176"/>
      <c r="F445" s="210"/>
      <c r="G445" s="176"/>
      <c r="H445" s="176"/>
      <c r="I445" s="210"/>
      <c r="J445" s="176"/>
      <c r="K445" s="211"/>
      <c r="L445" s="211"/>
      <c r="M445" s="211"/>
      <c r="N445" s="211"/>
      <c r="O445" s="211"/>
      <c r="P445" s="211"/>
      <c r="Q445" s="210"/>
      <c r="R445" s="176"/>
      <c r="S445" s="176"/>
      <c r="T445" s="212"/>
      <c r="U445" s="176"/>
      <c r="V445" s="176"/>
      <c r="W445" s="176"/>
      <c r="X445" s="176"/>
      <c r="Y445" s="176"/>
      <c r="Z445" s="176"/>
      <c r="AA445" s="176"/>
    </row>
    <row r="446" spans="1:27" ht="15.75" customHeight="1">
      <c r="A446" s="176"/>
      <c r="B446" s="209"/>
      <c r="C446" s="176"/>
      <c r="D446" s="176"/>
      <c r="E446" s="176"/>
      <c r="F446" s="210"/>
      <c r="G446" s="176"/>
      <c r="H446" s="176"/>
      <c r="I446" s="210"/>
      <c r="J446" s="176"/>
      <c r="K446" s="211"/>
      <c r="L446" s="211"/>
      <c r="M446" s="211"/>
      <c r="N446" s="211"/>
      <c r="O446" s="211"/>
      <c r="P446" s="211"/>
      <c r="Q446" s="210"/>
      <c r="R446" s="176"/>
      <c r="S446" s="176"/>
      <c r="T446" s="212"/>
      <c r="U446" s="176"/>
      <c r="V446" s="176"/>
      <c r="W446" s="176"/>
      <c r="X446" s="176"/>
      <c r="Y446" s="176"/>
      <c r="Z446" s="176"/>
      <c r="AA446" s="176"/>
    </row>
    <row r="447" spans="1:27" ht="15.75" customHeight="1">
      <c r="A447" s="176"/>
      <c r="B447" s="209"/>
      <c r="C447" s="176"/>
      <c r="D447" s="176"/>
      <c r="E447" s="176"/>
      <c r="F447" s="210"/>
      <c r="G447" s="176"/>
      <c r="H447" s="176"/>
      <c r="I447" s="210"/>
      <c r="J447" s="176"/>
      <c r="K447" s="211"/>
      <c r="L447" s="211"/>
      <c r="M447" s="211"/>
      <c r="N447" s="211"/>
      <c r="O447" s="211"/>
      <c r="P447" s="211"/>
      <c r="Q447" s="210"/>
      <c r="R447" s="176"/>
      <c r="S447" s="176"/>
      <c r="T447" s="212"/>
      <c r="U447" s="176"/>
      <c r="V447" s="176"/>
      <c r="W447" s="176"/>
      <c r="X447" s="176"/>
      <c r="Y447" s="176"/>
      <c r="Z447" s="176"/>
      <c r="AA447" s="176"/>
    </row>
    <row r="448" spans="1:27" ht="15.75" customHeight="1">
      <c r="A448" s="176"/>
      <c r="B448" s="209"/>
      <c r="C448" s="176"/>
      <c r="D448" s="176"/>
      <c r="E448" s="176"/>
      <c r="F448" s="210"/>
      <c r="G448" s="176"/>
      <c r="H448" s="176"/>
      <c r="I448" s="210"/>
      <c r="J448" s="176"/>
      <c r="K448" s="211"/>
      <c r="L448" s="211"/>
      <c r="M448" s="211"/>
      <c r="N448" s="211"/>
      <c r="O448" s="211"/>
      <c r="P448" s="211"/>
      <c r="Q448" s="210"/>
      <c r="R448" s="176"/>
      <c r="S448" s="176"/>
      <c r="T448" s="212"/>
      <c r="U448" s="176"/>
      <c r="V448" s="176"/>
      <c r="W448" s="176"/>
      <c r="X448" s="176"/>
      <c r="Y448" s="176"/>
      <c r="Z448" s="176"/>
      <c r="AA448" s="176"/>
    </row>
    <row r="449" spans="1:27" ht="15.75" customHeight="1">
      <c r="A449" s="176"/>
      <c r="B449" s="209"/>
      <c r="C449" s="176"/>
      <c r="D449" s="176"/>
      <c r="E449" s="176"/>
      <c r="F449" s="210"/>
      <c r="G449" s="176"/>
      <c r="H449" s="176"/>
      <c r="I449" s="210"/>
      <c r="J449" s="176"/>
      <c r="K449" s="211"/>
      <c r="L449" s="211"/>
      <c r="M449" s="211"/>
      <c r="N449" s="211"/>
      <c r="O449" s="211"/>
      <c r="P449" s="211"/>
      <c r="Q449" s="210"/>
      <c r="R449" s="176"/>
      <c r="S449" s="176"/>
      <c r="T449" s="212"/>
      <c r="U449" s="176"/>
      <c r="V449" s="176"/>
      <c r="W449" s="176"/>
      <c r="X449" s="176"/>
      <c r="Y449" s="176"/>
      <c r="Z449" s="176"/>
      <c r="AA449" s="176"/>
    </row>
    <row r="450" spans="1:27" ht="15.75" customHeight="1">
      <c r="A450" s="176"/>
      <c r="B450" s="209"/>
      <c r="C450" s="176"/>
      <c r="D450" s="176"/>
      <c r="E450" s="176"/>
      <c r="F450" s="210"/>
      <c r="G450" s="176"/>
      <c r="H450" s="176"/>
      <c r="I450" s="210"/>
      <c r="J450" s="176"/>
      <c r="K450" s="211"/>
      <c r="L450" s="211"/>
      <c r="M450" s="211"/>
      <c r="N450" s="211"/>
      <c r="O450" s="211"/>
      <c r="P450" s="211"/>
      <c r="Q450" s="210"/>
      <c r="R450" s="176"/>
      <c r="S450" s="176"/>
      <c r="T450" s="212"/>
      <c r="U450" s="176"/>
      <c r="V450" s="176"/>
      <c r="W450" s="176"/>
      <c r="X450" s="176"/>
      <c r="Y450" s="176"/>
      <c r="Z450" s="176"/>
      <c r="AA450" s="176"/>
    </row>
    <row r="451" spans="1:27" ht="15.75" customHeight="1">
      <c r="A451" s="176"/>
      <c r="B451" s="209"/>
      <c r="C451" s="176"/>
      <c r="D451" s="176"/>
      <c r="E451" s="176"/>
      <c r="F451" s="210"/>
      <c r="G451" s="176"/>
      <c r="H451" s="176"/>
      <c r="I451" s="210"/>
      <c r="J451" s="176"/>
      <c r="K451" s="211"/>
      <c r="L451" s="211"/>
      <c r="M451" s="211"/>
      <c r="N451" s="211"/>
      <c r="O451" s="211"/>
      <c r="P451" s="211"/>
      <c r="Q451" s="210"/>
      <c r="R451" s="176"/>
      <c r="S451" s="176"/>
      <c r="T451" s="212"/>
      <c r="U451" s="176"/>
      <c r="V451" s="176"/>
      <c r="W451" s="176"/>
      <c r="X451" s="176"/>
      <c r="Y451" s="176"/>
      <c r="Z451" s="176"/>
      <c r="AA451" s="176"/>
    </row>
    <row r="452" spans="1:27" ht="15.75" customHeight="1">
      <c r="A452" s="176"/>
      <c r="B452" s="209"/>
      <c r="C452" s="176"/>
      <c r="D452" s="176"/>
      <c r="E452" s="176"/>
      <c r="F452" s="210"/>
      <c r="G452" s="176"/>
      <c r="H452" s="176"/>
      <c r="I452" s="210"/>
      <c r="J452" s="176"/>
      <c r="K452" s="211"/>
      <c r="L452" s="211"/>
      <c r="M452" s="211"/>
      <c r="N452" s="211"/>
      <c r="O452" s="211"/>
      <c r="P452" s="211"/>
      <c r="Q452" s="210"/>
      <c r="R452" s="176"/>
      <c r="S452" s="176"/>
      <c r="T452" s="212"/>
      <c r="U452" s="176"/>
      <c r="V452" s="176"/>
      <c r="W452" s="176"/>
      <c r="X452" s="176"/>
      <c r="Y452" s="176"/>
      <c r="Z452" s="176"/>
      <c r="AA452" s="176"/>
    </row>
    <row r="453" spans="1:27" ht="15.75" customHeight="1">
      <c r="A453" s="176"/>
      <c r="B453" s="209"/>
      <c r="C453" s="176"/>
      <c r="D453" s="176"/>
      <c r="E453" s="176"/>
      <c r="F453" s="210"/>
      <c r="G453" s="176"/>
      <c r="H453" s="176"/>
      <c r="I453" s="210"/>
      <c r="J453" s="176"/>
      <c r="K453" s="211"/>
      <c r="L453" s="211"/>
      <c r="M453" s="211"/>
      <c r="N453" s="211"/>
      <c r="O453" s="211"/>
      <c r="P453" s="211"/>
      <c r="Q453" s="210"/>
      <c r="R453" s="176"/>
      <c r="S453" s="176"/>
      <c r="T453" s="212"/>
      <c r="U453" s="176"/>
      <c r="V453" s="176"/>
      <c r="W453" s="176"/>
      <c r="X453" s="176"/>
      <c r="Y453" s="176"/>
      <c r="Z453" s="176"/>
      <c r="AA453" s="176"/>
    </row>
    <row r="454" spans="1:27" ht="15.75" customHeight="1">
      <c r="A454" s="176"/>
      <c r="B454" s="209"/>
      <c r="C454" s="176"/>
      <c r="D454" s="176"/>
      <c r="E454" s="176"/>
      <c r="F454" s="210"/>
      <c r="G454" s="176"/>
      <c r="H454" s="176"/>
      <c r="I454" s="210"/>
      <c r="J454" s="176"/>
      <c r="K454" s="211"/>
      <c r="L454" s="211"/>
      <c r="M454" s="211"/>
      <c r="N454" s="211"/>
      <c r="O454" s="211"/>
      <c r="P454" s="211"/>
      <c r="Q454" s="210"/>
      <c r="R454" s="176"/>
      <c r="S454" s="176"/>
      <c r="T454" s="212"/>
      <c r="U454" s="176"/>
      <c r="V454" s="176"/>
      <c r="W454" s="176"/>
      <c r="X454" s="176"/>
      <c r="Y454" s="176"/>
      <c r="Z454" s="176"/>
      <c r="AA454" s="176"/>
    </row>
    <row r="455" spans="1:27" ht="15.75" customHeight="1">
      <c r="A455" s="176"/>
      <c r="B455" s="209"/>
      <c r="C455" s="176"/>
      <c r="D455" s="176"/>
      <c r="E455" s="176"/>
      <c r="F455" s="210"/>
      <c r="G455" s="176"/>
      <c r="H455" s="176"/>
      <c r="I455" s="210"/>
      <c r="J455" s="176"/>
      <c r="K455" s="211"/>
      <c r="L455" s="211"/>
      <c r="M455" s="211"/>
      <c r="N455" s="211"/>
      <c r="O455" s="211"/>
      <c r="P455" s="211"/>
      <c r="Q455" s="210"/>
      <c r="R455" s="176"/>
      <c r="S455" s="176"/>
      <c r="T455" s="212"/>
      <c r="U455" s="176"/>
      <c r="V455" s="176"/>
      <c r="W455" s="176"/>
      <c r="X455" s="176"/>
      <c r="Y455" s="176"/>
      <c r="Z455" s="176"/>
      <c r="AA455" s="176"/>
    </row>
    <row r="456" spans="1:27" ht="15.75" customHeight="1">
      <c r="A456" s="176"/>
      <c r="B456" s="209"/>
      <c r="C456" s="176"/>
      <c r="D456" s="176"/>
      <c r="E456" s="176"/>
      <c r="F456" s="210"/>
      <c r="G456" s="176"/>
      <c r="H456" s="176"/>
      <c r="I456" s="210"/>
      <c r="J456" s="176"/>
      <c r="K456" s="211"/>
      <c r="L456" s="211"/>
      <c r="M456" s="211"/>
      <c r="N456" s="211"/>
      <c r="O456" s="211"/>
      <c r="P456" s="211"/>
      <c r="Q456" s="210"/>
      <c r="R456" s="176"/>
      <c r="S456" s="176"/>
      <c r="T456" s="212"/>
      <c r="U456" s="176"/>
      <c r="V456" s="176"/>
      <c r="W456" s="176"/>
      <c r="X456" s="176"/>
      <c r="Y456" s="176"/>
      <c r="Z456" s="176"/>
      <c r="AA456" s="176"/>
    </row>
    <row r="457" spans="1:27" ht="15.75" customHeight="1">
      <c r="A457" s="176"/>
      <c r="B457" s="209"/>
      <c r="C457" s="176"/>
      <c r="D457" s="176"/>
      <c r="E457" s="176"/>
      <c r="F457" s="210"/>
      <c r="G457" s="176"/>
      <c r="H457" s="176"/>
      <c r="I457" s="210"/>
      <c r="J457" s="176"/>
      <c r="K457" s="211"/>
      <c r="L457" s="211"/>
      <c r="M457" s="211"/>
      <c r="N457" s="211"/>
      <c r="O457" s="211"/>
      <c r="P457" s="211"/>
      <c r="Q457" s="210"/>
      <c r="R457" s="176"/>
      <c r="S457" s="176"/>
      <c r="T457" s="212"/>
      <c r="U457" s="176"/>
      <c r="V457" s="176"/>
      <c r="W457" s="176"/>
      <c r="X457" s="176"/>
      <c r="Y457" s="176"/>
      <c r="Z457" s="176"/>
      <c r="AA457" s="176"/>
    </row>
    <row r="458" spans="1:27" ht="15.75" customHeight="1">
      <c r="A458" s="176"/>
      <c r="B458" s="209"/>
      <c r="C458" s="176"/>
      <c r="D458" s="176"/>
      <c r="E458" s="176"/>
      <c r="F458" s="210"/>
      <c r="G458" s="176"/>
      <c r="H458" s="176"/>
      <c r="I458" s="210"/>
      <c r="J458" s="176"/>
      <c r="K458" s="211"/>
      <c r="L458" s="211"/>
      <c r="M458" s="211"/>
      <c r="N458" s="211"/>
      <c r="O458" s="211"/>
      <c r="P458" s="211"/>
      <c r="Q458" s="210"/>
      <c r="R458" s="176"/>
      <c r="S458" s="176"/>
      <c r="T458" s="212"/>
      <c r="U458" s="176"/>
      <c r="V458" s="176"/>
      <c r="W458" s="176"/>
      <c r="X458" s="176"/>
      <c r="Y458" s="176"/>
      <c r="Z458" s="176"/>
      <c r="AA458" s="176"/>
    </row>
    <row r="459" spans="1:27" ht="15.75" customHeight="1">
      <c r="A459" s="176"/>
      <c r="B459" s="209"/>
      <c r="C459" s="176"/>
      <c r="D459" s="176"/>
      <c r="E459" s="176"/>
      <c r="F459" s="210"/>
      <c r="G459" s="176"/>
      <c r="H459" s="176"/>
      <c r="I459" s="210"/>
      <c r="J459" s="176"/>
      <c r="K459" s="211"/>
      <c r="L459" s="211"/>
      <c r="M459" s="211"/>
      <c r="N459" s="211"/>
      <c r="O459" s="211"/>
      <c r="P459" s="211"/>
      <c r="Q459" s="210"/>
      <c r="R459" s="176"/>
      <c r="S459" s="176"/>
      <c r="T459" s="212"/>
      <c r="U459" s="176"/>
      <c r="V459" s="176"/>
      <c r="W459" s="176"/>
      <c r="X459" s="176"/>
      <c r="Y459" s="176"/>
      <c r="Z459" s="176"/>
      <c r="AA459" s="176"/>
    </row>
    <row r="460" spans="1:27" ht="15.75" customHeight="1">
      <c r="A460" s="176"/>
      <c r="B460" s="209"/>
      <c r="C460" s="176"/>
      <c r="D460" s="176"/>
      <c r="E460" s="176"/>
      <c r="F460" s="210"/>
      <c r="G460" s="176"/>
      <c r="H460" s="176"/>
      <c r="I460" s="210"/>
      <c r="J460" s="176"/>
      <c r="K460" s="211"/>
      <c r="L460" s="211"/>
      <c r="M460" s="211"/>
      <c r="N460" s="211"/>
      <c r="O460" s="211"/>
      <c r="P460" s="211"/>
      <c r="Q460" s="210"/>
      <c r="R460" s="176"/>
      <c r="S460" s="176"/>
      <c r="T460" s="212"/>
      <c r="U460" s="176"/>
      <c r="V460" s="176"/>
      <c r="W460" s="176"/>
      <c r="X460" s="176"/>
      <c r="Y460" s="176"/>
      <c r="Z460" s="176"/>
      <c r="AA460" s="176"/>
    </row>
    <row r="461" spans="1:27" ht="15.75" customHeight="1">
      <c r="A461" s="176"/>
      <c r="B461" s="209"/>
      <c r="C461" s="176"/>
      <c r="D461" s="176"/>
      <c r="E461" s="176"/>
      <c r="F461" s="210"/>
      <c r="G461" s="176"/>
      <c r="H461" s="176"/>
      <c r="I461" s="210"/>
      <c r="J461" s="176"/>
      <c r="K461" s="211"/>
      <c r="L461" s="211"/>
      <c r="M461" s="211"/>
      <c r="N461" s="211"/>
      <c r="O461" s="211"/>
      <c r="P461" s="211"/>
      <c r="Q461" s="210"/>
      <c r="R461" s="176"/>
      <c r="S461" s="176"/>
      <c r="T461" s="212"/>
      <c r="U461" s="176"/>
      <c r="V461" s="176"/>
      <c r="W461" s="176"/>
      <c r="X461" s="176"/>
      <c r="Y461" s="176"/>
      <c r="Z461" s="176"/>
      <c r="AA461" s="176"/>
    </row>
    <row r="462" spans="1:27" ht="15.75" customHeight="1">
      <c r="A462" s="176"/>
      <c r="B462" s="209"/>
      <c r="C462" s="176"/>
      <c r="D462" s="176"/>
      <c r="E462" s="176"/>
      <c r="F462" s="210"/>
      <c r="G462" s="176"/>
      <c r="H462" s="176"/>
      <c r="I462" s="210"/>
      <c r="J462" s="176"/>
      <c r="K462" s="211"/>
      <c r="L462" s="211"/>
      <c r="M462" s="211"/>
      <c r="N462" s="211"/>
      <c r="O462" s="211"/>
      <c r="P462" s="211"/>
      <c r="Q462" s="210"/>
      <c r="R462" s="176"/>
      <c r="S462" s="176"/>
      <c r="T462" s="212"/>
      <c r="U462" s="176"/>
      <c r="V462" s="176"/>
      <c r="W462" s="176"/>
      <c r="X462" s="176"/>
      <c r="Y462" s="176"/>
      <c r="Z462" s="176"/>
      <c r="AA462" s="176"/>
    </row>
    <row r="463" spans="1:27" ht="15.75" customHeight="1">
      <c r="A463" s="176"/>
      <c r="B463" s="209"/>
      <c r="C463" s="176"/>
      <c r="D463" s="176"/>
      <c r="E463" s="176"/>
      <c r="F463" s="210"/>
      <c r="G463" s="176"/>
      <c r="H463" s="176"/>
      <c r="I463" s="210"/>
      <c r="J463" s="176"/>
      <c r="K463" s="211"/>
      <c r="L463" s="211"/>
      <c r="M463" s="211"/>
      <c r="N463" s="211"/>
      <c r="O463" s="211"/>
      <c r="P463" s="211"/>
      <c r="Q463" s="210"/>
      <c r="R463" s="176"/>
      <c r="S463" s="176"/>
      <c r="T463" s="212"/>
      <c r="U463" s="176"/>
      <c r="V463" s="176"/>
      <c r="W463" s="176"/>
      <c r="X463" s="176"/>
      <c r="Y463" s="176"/>
      <c r="Z463" s="176"/>
      <c r="AA463" s="176"/>
    </row>
    <row r="464" spans="1:27" ht="15.75" customHeight="1">
      <c r="A464" s="176"/>
      <c r="B464" s="209"/>
      <c r="C464" s="176"/>
      <c r="D464" s="176"/>
      <c r="E464" s="176"/>
      <c r="F464" s="210"/>
      <c r="G464" s="176"/>
      <c r="H464" s="176"/>
      <c r="I464" s="210"/>
      <c r="J464" s="176"/>
      <c r="K464" s="211"/>
      <c r="L464" s="211"/>
      <c r="M464" s="211"/>
      <c r="N464" s="211"/>
      <c r="O464" s="211"/>
      <c r="P464" s="211"/>
      <c r="Q464" s="210"/>
      <c r="R464" s="176"/>
      <c r="S464" s="176"/>
      <c r="T464" s="212"/>
      <c r="U464" s="176"/>
      <c r="V464" s="176"/>
      <c r="W464" s="176"/>
      <c r="X464" s="176"/>
      <c r="Y464" s="176"/>
      <c r="Z464" s="176"/>
      <c r="AA464" s="176"/>
    </row>
    <row r="465" spans="1:27" ht="15.75" customHeight="1">
      <c r="A465" s="176"/>
      <c r="B465" s="209"/>
      <c r="C465" s="176"/>
      <c r="D465" s="176"/>
      <c r="E465" s="176"/>
      <c r="F465" s="210"/>
      <c r="G465" s="176"/>
      <c r="H465" s="176"/>
      <c r="I465" s="210"/>
      <c r="J465" s="176"/>
      <c r="K465" s="211"/>
      <c r="L465" s="211"/>
      <c r="M465" s="211"/>
      <c r="N465" s="211"/>
      <c r="O465" s="211"/>
      <c r="P465" s="211"/>
      <c r="Q465" s="210"/>
      <c r="R465" s="176"/>
      <c r="S465" s="176"/>
      <c r="T465" s="212"/>
      <c r="U465" s="176"/>
      <c r="V465" s="176"/>
      <c r="W465" s="176"/>
      <c r="X465" s="176"/>
      <c r="Y465" s="176"/>
      <c r="Z465" s="176"/>
      <c r="AA465" s="176"/>
    </row>
    <row r="466" spans="1:27" ht="15.75" customHeight="1">
      <c r="A466" s="176"/>
      <c r="B466" s="209"/>
      <c r="C466" s="176"/>
      <c r="D466" s="176"/>
      <c r="E466" s="176"/>
      <c r="F466" s="210"/>
      <c r="G466" s="176"/>
      <c r="H466" s="176"/>
      <c r="I466" s="210"/>
      <c r="J466" s="176"/>
      <c r="K466" s="211"/>
      <c r="L466" s="211"/>
      <c r="M466" s="211"/>
      <c r="N466" s="211"/>
      <c r="O466" s="211"/>
      <c r="P466" s="211"/>
      <c r="Q466" s="210"/>
      <c r="R466" s="176"/>
      <c r="S466" s="176"/>
      <c r="T466" s="212"/>
      <c r="U466" s="176"/>
      <c r="V466" s="176"/>
      <c r="W466" s="176"/>
      <c r="X466" s="176"/>
      <c r="Y466" s="176"/>
      <c r="Z466" s="176"/>
      <c r="AA466" s="176"/>
    </row>
    <row r="467" spans="1:27" ht="15.75" customHeight="1">
      <c r="A467" s="176"/>
      <c r="B467" s="209"/>
      <c r="C467" s="176"/>
      <c r="D467" s="176"/>
      <c r="E467" s="176"/>
      <c r="F467" s="210"/>
      <c r="G467" s="176"/>
      <c r="H467" s="176"/>
      <c r="I467" s="210"/>
      <c r="J467" s="176"/>
      <c r="K467" s="211"/>
      <c r="L467" s="211"/>
      <c r="M467" s="211"/>
      <c r="N467" s="211"/>
      <c r="O467" s="211"/>
      <c r="P467" s="211"/>
      <c r="Q467" s="210"/>
      <c r="R467" s="176"/>
      <c r="S467" s="176"/>
      <c r="T467" s="212"/>
      <c r="U467" s="176"/>
      <c r="V467" s="176"/>
      <c r="W467" s="176"/>
      <c r="X467" s="176"/>
      <c r="Y467" s="176"/>
      <c r="Z467" s="176"/>
      <c r="AA467" s="176"/>
    </row>
    <row r="468" spans="1:27" ht="15.75" customHeight="1">
      <c r="A468" s="176"/>
      <c r="B468" s="209"/>
      <c r="C468" s="176"/>
      <c r="D468" s="176"/>
      <c r="E468" s="176"/>
      <c r="F468" s="210"/>
      <c r="G468" s="176"/>
      <c r="H468" s="176"/>
      <c r="I468" s="210"/>
      <c r="J468" s="176"/>
      <c r="K468" s="211"/>
      <c r="L468" s="211"/>
      <c r="M468" s="211"/>
      <c r="N468" s="211"/>
      <c r="O468" s="211"/>
      <c r="P468" s="211"/>
      <c r="Q468" s="210"/>
      <c r="R468" s="176"/>
      <c r="S468" s="176"/>
      <c r="T468" s="212"/>
      <c r="U468" s="176"/>
      <c r="V468" s="176"/>
      <c r="W468" s="176"/>
      <c r="X468" s="176"/>
      <c r="Y468" s="176"/>
      <c r="Z468" s="176"/>
      <c r="AA468" s="176"/>
    </row>
    <row r="469" spans="1:27" ht="15.75" customHeight="1">
      <c r="A469" s="176"/>
      <c r="B469" s="209"/>
      <c r="C469" s="176"/>
      <c r="D469" s="176"/>
      <c r="E469" s="176"/>
      <c r="F469" s="210"/>
      <c r="G469" s="176"/>
      <c r="H469" s="176"/>
      <c r="I469" s="210"/>
      <c r="J469" s="176"/>
      <c r="K469" s="211"/>
      <c r="L469" s="211"/>
      <c r="M469" s="211"/>
      <c r="N469" s="211"/>
      <c r="O469" s="211"/>
      <c r="P469" s="211"/>
      <c r="Q469" s="210"/>
      <c r="R469" s="176"/>
      <c r="S469" s="176"/>
      <c r="T469" s="212"/>
      <c r="U469" s="176"/>
      <c r="V469" s="176"/>
      <c r="W469" s="176"/>
      <c r="X469" s="176"/>
      <c r="Y469" s="176"/>
      <c r="Z469" s="176"/>
      <c r="AA469" s="176"/>
    </row>
    <row r="470" spans="1:27" ht="15.75" customHeight="1">
      <c r="A470" s="176"/>
      <c r="B470" s="209"/>
      <c r="C470" s="176"/>
      <c r="D470" s="176"/>
      <c r="E470" s="176"/>
      <c r="F470" s="210"/>
      <c r="G470" s="176"/>
      <c r="H470" s="176"/>
      <c r="I470" s="210"/>
      <c r="J470" s="176"/>
      <c r="K470" s="211"/>
      <c r="L470" s="211"/>
      <c r="M470" s="211"/>
      <c r="N470" s="211"/>
      <c r="O470" s="211"/>
      <c r="P470" s="211"/>
      <c r="Q470" s="210"/>
      <c r="R470" s="176"/>
      <c r="S470" s="176"/>
      <c r="T470" s="212"/>
      <c r="U470" s="176"/>
      <c r="V470" s="176"/>
      <c r="W470" s="176"/>
      <c r="X470" s="176"/>
      <c r="Y470" s="176"/>
      <c r="Z470" s="176"/>
      <c r="AA470" s="176"/>
    </row>
    <row r="471" spans="1:27" ht="15.75" customHeight="1">
      <c r="A471" s="176"/>
      <c r="B471" s="209"/>
      <c r="C471" s="176"/>
      <c r="D471" s="176"/>
      <c r="E471" s="176"/>
      <c r="F471" s="210"/>
      <c r="G471" s="176"/>
      <c r="H471" s="176"/>
      <c r="I471" s="210"/>
      <c r="J471" s="176"/>
      <c r="K471" s="211"/>
      <c r="L471" s="211"/>
      <c r="M471" s="211"/>
      <c r="N471" s="211"/>
      <c r="O471" s="211"/>
      <c r="P471" s="211"/>
      <c r="Q471" s="210"/>
      <c r="R471" s="176"/>
      <c r="S471" s="176"/>
      <c r="T471" s="212"/>
      <c r="U471" s="176"/>
      <c r="V471" s="176"/>
      <c r="W471" s="176"/>
      <c r="X471" s="176"/>
      <c r="Y471" s="176"/>
      <c r="Z471" s="176"/>
      <c r="AA471" s="176"/>
    </row>
    <row r="472" spans="1:27" ht="15.75" customHeight="1">
      <c r="A472" s="176"/>
      <c r="B472" s="209"/>
      <c r="C472" s="176"/>
      <c r="D472" s="176"/>
      <c r="E472" s="176"/>
      <c r="F472" s="210"/>
      <c r="G472" s="176"/>
      <c r="H472" s="176"/>
      <c r="I472" s="210"/>
      <c r="J472" s="176"/>
      <c r="K472" s="211"/>
      <c r="L472" s="211"/>
      <c r="M472" s="211"/>
      <c r="N472" s="211"/>
      <c r="O472" s="211"/>
      <c r="P472" s="211"/>
      <c r="Q472" s="210"/>
      <c r="R472" s="176"/>
      <c r="S472" s="176"/>
      <c r="T472" s="212"/>
      <c r="U472" s="176"/>
      <c r="V472" s="176"/>
      <c r="W472" s="176"/>
      <c r="X472" s="176"/>
      <c r="Y472" s="176"/>
      <c r="Z472" s="176"/>
      <c r="AA472" s="176"/>
    </row>
    <row r="473" spans="1:27" ht="15.75" customHeight="1">
      <c r="A473" s="176"/>
      <c r="B473" s="209"/>
      <c r="C473" s="176"/>
      <c r="D473" s="176"/>
      <c r="E473" s="176"/>
      <c r="F473" s="210"/>
      <c r="G473" s="176"/>
      <c r="H473" s="176"/>
      <c r="I473" s="210"/>
      <c r="J473" s="176"/>
      <c r="K473" s="211"/>
      <c r="L473" s="211"/>
      <c r="M473" s="211"/>
      <c r="N473" s="211"/>
      <c r="O473" s="211"/>
      <c r="P473" s="211"/>
      <c r="Q473" s="210"/>
      <c r="R473" s="176"/>
      <c r="S473" s="176"/>
      <c r="T473" s="212"/>
      <c r="U473" s="176"/>
      <c r="V473" s="176"/>
      <c r="W473" s="176"/>
      <c r="X473" s="176"/>
      <c r="Y473" s="176"/>
      <c r="Z473" s="176"/>
      <c r="AA473" s="176"/>
    </row>
    <row r="474" spans="1:27" ht="15.75" customHeight="1">
      <c r="A474" s="176"/>
      <c r="B474" s="209"/>
      <c r="C474" s="176"/>
      <c r="D474" s="176"/>
      <c r="E474" s="176"/>
      <c r="F474" s="210"/>
      <c r="G474" s="176"/>
      <c r="H474" s="176"/>
      <c r="I474" s="210"/>
      <c r="J474" s="176"/>
      <c r="K474" s="211"/>
      <c r="L474" s="211"/>
      <c r="M474" s="211"/>
      <c r="N474" s="211"/>
      <c r="O474" s="211"/>
      <c r="P474" s="211"/>
      <c r="Q474" s="210"/>
      <c r="R474" s="176"/>
      <c r="S474" s="176"/>
      <c r="T474" s="212"/>
      <c r="U474" s="176"/>
      <c r="V474" s="176"/>
      <c r="W474" s="176"/>
      <c r="X474" s="176"/>
      <c r="Y474" s="176"/>
      <c r="Z474" s="176"/>
      <c r="AA474" s="176"/>
    </row>
    <row r="475" spans="1:27" ht="15.75" customHeight="1">
      <c r="A475" s="176"/>
      <c r="B475" s="209"/>
      <c r="C475" s="176"/>
      <c r="D475" s="176"/>
      <c r="E475" s="176"/>
      <c r="F475" s="210"/>
      <c r="G475" s="176"/>
      <c r="H475" s="176"/>
      <c r="I475" s="210"/>
      <c r="J475" s="176"/>
      <c r="K475" s="211"/>
      <c r="L475" s="211"/>
      <c r="M475" s="211"/>
      <c r="N475" s="211"/>
      <c r="O475" s="211"/>
      <c r="P475" s="211"/>
      <c r="Q475" s="210"/>
      <c r="R475" s="176"/>
      <c r="S475" s="176"/>
      <c r="T475" s="212"/>
      <c r="U475" s="176"/>
      <c r="V475" s="176"/>
      <c r="W475" s="176"/>
      <c r="X475" s="176"/>
      <c r="Y475" s="176"/>
      <c r="Z475" s="176"/>
      <c r="AA475" s="176"/>
    </row>
    <row r="476" spans="1:27" ht="15.75" customHeight="1">
      <c r="A476" s="176"/>
      <c r="B476" s="209"/>
      <c r="C476" s="176"/>
      <c r="D476" s="176"/>
      <c r="E476" s="176"/>
      <c r="F476" s="210"/>
      <c r="G476" s="176"/>
      <c r="H476" s="176"/>
      <c r="I476" s="210"/>
      <c r="J476" s="176"/>
      <c r="K476" s="211"/>
      <c r="L476" s="211"/>
      <c r="M476" s="211"/>
      <c r="N476" s="211"/>
      <c r="O476" s="211"/>
      <c r="P476" s="211"/>
      <c r="Q476" s="210"/>
      <c r="R476" s="176"/>
      <c r="S476" s="176"/>
      <c r="T476" s="212"/>
      <c r="U476" s="176"/>
      <c r="V476" s="176"/>
      <c r="W476" s="176"/>
      <c r="X476" s="176"/>
      <c r="Y476" s="176"/>
      <c r="Z476" s="176"/>
      <c r="AA476" s="176"/>
    </row>
    <row r="477" spans="1:27" ht="15.75" customHeight="1">
      <c r="A477" s="176"/>
      <c r="B477" s="209"/>
      <c r="C477" s="176"/>
      <c r="D477" s="176"/>
      <c r="E477" s="176"/>
      <c r="F477" s="210"/>
      <c r="G477" s="176"/>
      <c r="H477" s="176"/>
      <c r="I477" s="210"/>
      <c r="J477" s="176"/>
      <c r="K477" s="211"/>
      <c r="L477" s="211"/>
      <c r="M477" s="211"/>
      <c r="N477" s="211"/>
      <c r="O477" s="211"/>
      <c r="P477" s="211"/>
      <c r="Q477" s="210"/>
      <c r="R477" s="176"/>
      <c r="S477" s="176"/>
      <c r="T477" s="212"/>
      <c r="U477" s="176"/>
      <c r="V477" s="176"/>
      <c r="W477" s="176"/>
      <c r="X477" s="176"/>
      <c r="Y477" s="176"/>
      <c r="Z477" s="176"/>
      <c r="AA477" s="176"/>
    </row>
    <row r="478" spans="1:27" ht="15.75" customHeight="1">
      <c r="A478" s="176"/>
      <c r="B478" s="209"/>
      <c r="C478" s="176"/>
      <c r="D478" s="176"/>
      <c r="E478" s="176"/>
      <c r="F478" s="210"/>
      <c r="G478" s="176"/>
      <c r="H478" s="176"/>
      <c r="I478" s="210"/>
      <c r="J478" s="176"/>
      <c r="K478" s="211"/>
      <c r="L478" s="211"/>
      <c r="M478" s="211"/>
      <c r="N478" s="211"/>
      <c r="O478" s="211"/>
      <c r="P478" s="211"/>
      <c r="Q478" s="210"/>
      <c r="R478" s="176"/>
      <c r="S478" s="176"/>
      <c r="T478" s="212"/>
      <c r="U478" s="176"/>
      <c r="V478" s="176"/>
      <c r="W478" s="176"/>
      <c r="X478" s="176"/>
      <c r="Y478" s="176"/>
      <c r="Z478" s="176"/>
      <c r="AA478" s="176"/>
    </row>
    <row r="479" spans="1:27" ht="15.75" customHeight="1">
      <c r="A479" s="176"/>
      <c r="B479" s="209"/>
      <c r="C479" s="176"/>
      <c r="D479" s="176"/>
      <c r="E479" s="176"/>
      <c r="F479" s="210"/>
      <c r="G479" s="176"/>
      <c r="H479" s="176"/>
      <c r="I479" s="210"/>
      <c r="J479" s="176"/>
      <c r="K479" s="211"/>
      <c r="L479" s="211"/>
      <c r="M479" s="211"/>
      <c r="N479" s="211"/>
      <c r="O479" s="211"/>
      <c r="P479" s="211"/>
      <c r="Q479" s="210"/>
      <c r="R479" s="176"/>
      <c r="S479" s="176"/>
      <c r="T479" s="212"/>
      <c r="U479" s="176"/>
      <c r="V479" s="176"/>
      <c r="W479" s="176"/>
      <c r="X479" s="176"/>
      <c r="Y479" s="176"/>
      <c r="Z479" s="176"/>
      <c r="AA479" s="176"/>
    </row>
    <row r="480" spans="1:27" ht="15.75" customHeight="1">
      <c r="A480" s="176"/>
      <c r="B480" s="209"/>
      <c r="C480" s="176"/>
      <c r="D480" s="176"/>
      <c r="E480" s="176"/>
      <c r="F480" s="210"/>
      <c r="G480" s="176"/>
      <c r="H480" s="176"/>
      <c r="I480" s="210"/>
      <c r="J480" s="176"/>
      <c r="K480" s="211"/>
      <c r="L480" s="211"/>
      <c r="M480" s="211"/>
      <c r="N480" s="211"/>
      <c r="O480" s="211"/>
      <c r="P480" s="211"/>
      <c r="Q480" s="210"/>
      <c r="R480" s="176"/>
      <c r="S480" s="176"/>
      <c r="T480" s="212"/>
      <c r="U480" s="176"/>
      <c r="V480" s="176"/>
      <c r="W480" s="176"/>
      <c r="X480" s="176"/>
      <c r="Y480" s="176"/>
      <c r="Z480" s="176"/>
      <c r="AA480" s="176"/>
    </row>
    <row r="481" spans="1:27" ht="15.75" customHeight="1">
      <c r="A481" s="176"/>
      <c r="B481" s="209"/>
      <c r="C481" s="176"/>
      <c r="D481" s="176"/>
      <c r="E481" s="176"/>
      <c r="F481" s="210"/>
      <c r="G481" s="176"/>
      <c r="H481" s="176"/>
      <c r="I481" s="210"/>
      <c r="J481" s="176"/>
      <c r="K481" s="211"/>
      <c r="L481" s="211"/>
      <c r="M481" s="211"/>
      <c r="N481" s="211"/>
      <c r="O481" s="211"/>
      <c r="P481" s="211"/>
      <c r="Q481" s="210"/>
      <c r="R481" s="176"/>
      <c r="S481" s="176"/>
      <c r="T481" s="212"/>
      <c r="U481" s="176"/>
      <c r="V481" s="176"/>
      <c r="W481" s="176"/>
      <c r="X481" s="176"/>
      <c r="Y481" s="176"/>
      <c r="Z481" s="176"/>
      <c r="AA481" s="176"/>
    </row>
    <row r="482" spans="1:27" ht="15.75" customHeight="1">
      <c r="A482" s="176"/>
      <c r="B482" s="209"/>
      <c r="C482" s="176"/>
      <c r="D482" s="176"/>
      <c r="E482" s="176"/>
      <c r="F482" s="210"/>
      <c r="G482" s="176"/>
      <c r="H482" s="176"/>
      <c r="I482" s="210"/>
      <c r="J482" s="176"/>
      <c r="K482" s="211"/>
      <c r="L482" s="211"/>
      <c r="M482" s="211"/>
      <c r="N482" s="211"/>
      <c r="O482" s="211"/>
      <c r="P482" s="211"/>
      <c r="Q482" s="210"/>
      <c r="R482" s="176"/>
      <c r="S482" s="176"/>
      <c r="T482" s="212"/>
      <c r="U482" s="176"/>
      <c r="V482" s="176"/>
      <c r="W482" s="176"/>
      <c r="X482" s="176"/>
      <c r="Y482" s="176"/>
      <c r="Z482" s="176"/>
      <c r="AA482" s="176"/>
    </row>
    <row r="483" spans="1:27" ht="15.75" customHeight="1">
      <c r="A483" s="176"/>
      <c r="B483" s="209"/>
      <c r="C483" s="176"/>
      <c r="D483" s="176"/>
      <c r="E483" s="176"/>
      <c r="F483" s="210"/>
      <c r="G483" s="176"/>
      <c r="H483" s="176"/>
      <c r="I483" s="210"/>
      <c r="J483" s="176"/>
      <c r="K483" s="211"/>
      <c r="L483" s="211"/>
      <c r="M483" s="211"/>
      <c r="N483" s="211"/>
      <c r="O483" s="211"/>
      <c r="P483" s="211"/>
      <c r="Q483" s="210"/>
      <c r="R483" s="176"/>
      <c r="S483" s="176"/>
      <c r="T483" s="212"/>
      <c r="U483" s="176"/>
      <c r="V483" s="176"/>
      <c r="W483" s="176"/>
      <c r="X483" s="176"/>
      <c r="Y483" s="176"/>
      <c r="Z483" s="176"/>
      <c r="AA483" s="176"/>
    </row>
    <row r="484" spans="1:27" ht="15.75" customHeight="1">
      <c r="A484" s="176"/>
      <c r="B484" s="209"/>
      <c r="C484" s="176"/>
      <c r="D484" s="176"/>
      <c r="E484" s="176"/>
      <c r="F484" s="210"/>
      <c r="G484" s="176"/>
      <c r="H484" s="176"/>
      <c r="I484" s="210"/>
      <c r="J484" s="176"/>
      <c r="K484" s="211"/>
      <c r="L484" s="211"/>
      <c r="M484" s="211"/>
      <c r="N484" s="211"/>
      <c r="O484" s="211"/>
      <c r="P484" s="211"/>
      <c r="Q484" s="210"/>
      <c r="R484" s="176"/>
      <c r="S484" s="176"/>
      <c r="T484" s="212"/>
      <c r="U484" s="176"/>
      <c r="V484" s="176"/>
      <c r="W484" s="176"/>
      <c r="X484" s="176"/>
      <c r="Y484" s="176"/>
      <c r="Z484" s="176"/>
      <c r="AA484" s="176"/>
    </row>
    <row r="485" spans="1:27" ht="15.75" customHeight="1">
      <c r="A485" s="176"/>
      <c r="B485" s="209"/>
      <c r="C485" s="176"/>
      <c r="D485" s="176"/>
      <c r="E485" s="176"/>
      <c r="F485" s="210"/>
      <c r="G485" s="176"/>
      <c r="H485" s="176"/>
      <c r="I485" s="210"/>
      <c r="J485" s="176"/>
      <c r="K485" s="211"/>
      <c r="L485" s="211"/>
      <c r="M485" s="211"/>
      <c r="N485" s="211"/>
      <c r="O485" s="211"/>
      <c r="P485" s="211"/>
      <c r="Q485" s="210"/>
      <c r="R485" s="176"/>
      <c r="S485" s="176"/>
      <c r="T485" s="212"/>
      <c r="U485" s="176"/>
      <c r="V485" s="176"/>
      <c r="W485" s="176"/>
      <c r="X485" s="176"/>
      <c r="Y485" s="176"/>
      <c r="Z485" s="176"/>
      <c r="AA485" s="176"/>
    </row>
    <row r="486" spans="1:27" ht="15.75" customHeight="1">
      <c r="A486" s="176"/>
      <c r="B486" s="209"/>
      <c r="C486" s="176"/>
      <c r="D486" s="176"/>
      <c r="E486" s="176"/>
      <c r="F486" s="210"/>
      <c r="G486" s="176"/>
      <c r="H486" s="176"/>
      <c r="I486" s="210"/>
      <c r="J486" s="176"/>
      <c r="K486" s="211"/>
      <c r="L486" s="211"/>
      <c r="M486" s="211"/>
      <c r="N486" s="211"/>
      <c r="O486" s="211"/>
      <c r="P486" s="211"/>
      <c r="Q486" s="210"/>
      <c r="R486" s="176"/>
      <c r="S486" s="176"/>
      <c r="T486" s="212"/>
      <c r="U486" s="176"/>
      <c r="V486" s="176"/>
      <c r="W486" s="176"/>
      <c r="X486" s="176"/>
      <c r="Y486" s="176"/>
      <c r="Z486" s="176"/>
      <c r="AA486" s="176"/>
    </row>
    <row r="487" spans="1:27" ht="15.75" customHeight="1">
      <c r="A487" s="176"/>
      <c r="B487" s="209"/>
      <c r="C487" s="176"/>
      <c r="D487" s="176"/>
      <c r="E487" s="176"/>
      <c r="F487" s="210"/>
      <c r="G487" s="176"/>
      <c r="H487" s="176"/>
      <c r="I487" s="210"/>
      <c r="J487" s="176"/>
      <c r="K487" s="211"/>
      <c r="L487" s="211"/>
      <c r="M487" s="211"/>
      <c r="N487" s="211"/>
      <c r="O487" s="211"/>
      <c r="P487" s="211"/>
      <c r="Q487" s="210"/>
      <c r="R487" s="176"/>
      <c r="S487" s="176"/>
      <c r="T487" s="212"/>
      <c r="U487" s="176"/>
      <c r="V487" s="176"/>
      <c r="W487" s="176"/>
      <c r="X487" s="176"/>
      <c r="Y487" s="176"/>
      <c r="Z487" s="176"/>
      <c r="AA487" s="176"/>
    </row>
    <row r="488" spans="1:27" ht="15.75" customHeight="1">
      <c r="A488" s="176"/>
      <c r="B488" s="209"/>
      <c r="C488" s="176"/>
      <c r="D488" s="176"/>
      <c r="E488" s="176"/>
      <c r="F488" s="210"/>
      <c r="G488" s="176"/>
      <c r="H488" s="176"/>
      <c r="I488" s="210"/>
      <c r="J488" s="176"/>
      <c r="K488" s="211"/>
      <c r="L488" s="211"/>
      <c r="M488" s="211"/>
      <c r="N488" s="211"/>
      <c r="O488" s="211"/>
      <c r="P488" s="211"/>
      <c r="Q488" s="210"/>
      <c r="R488" s="176"/>
      <c r="S488" s="176"/>
      <c r="T488" s="212"/>
      <c r="U488" s="176"/>
      <c r="V488" s="176"/>
      <c r="W488" s="176"/>
      <c r="X488" s="176"/>
      <c r="Y488" s="176"/>
      <c r="Z488" s="176"/>
      <c r="AA488" s="176"/>
    </row>
    <row r="489" spans="1:27" ht="15.75" customHeight="1">
      <c r="A489" s="176"/>
      <c r="B489" s="209"/>
      <c r="C489" s="176"/>
      <c r="D489" s="176"/>
      <c r="E489" s="176"/>
      <c r="F489" s="210"/>
      <c r="G489" s="176"/>
      <c r="H489" s="176"/>
      <c r="I489" s="210"/>
      <c r="J489" s="176"/>
      <c r="K489" s="211"/>
      <c r="L489" s="211"/>
      <c r="M489" s="211"/>
      <c r="N489" s="211"/>
      <c r="O489" s="211"/>
      <c r="P489" s="211"/>
      <c r="Q489" s="210"/>
      <c r="R489" s="176"/>
      <c r="S489" s="176"/>
      <c r="T489" s="212"/>
      <c r="U489" s="176"/>
      <c r="V489" s="176"/>
      <c r="W489" s="176"/>
      <c r="X489" s="176"/>
      <c r="Y489" s="176"/>
      <c r="Z489" s="176"/>
      <c r="AA489" s="176"/>
    </row>
    <row r="490" spans="1:27" ht="15.75" customHeight="1">
      <c r="A490" s="176"/>
      <c r="B490" s="209"/>
      <c r="C490" s="176"/>
      <c r="D490" s="176"/>
      <c r="E490" s="176"/>
      <c r="F490" s="210"/>
      <c r="G490" s="176"/>
      <c r="H490" s="176"/>
      <c r="I490" s="210"/>
      <c r="J490" s="176"/>
      <c r="K490" s="211"/>
      <c r="L490" s="211"/>
      <c r="M490" s="211"/>
      <c r="N490" s="211"/>
      <c r="O490" s="211"/>
      <c r="P490" s="211"/>
      <c r="Q490" s="210"/>
      <c r="R490" s="176"/>
      <c r="S490" s="176"/>
      <c r="T490" s="212"/>
      <c r="U490" s="176"/>
      <c r="V490" s="176"/>
      <c r="W490" s="176"/>
      <c r="X490" s="176"/>
      <c r="Y490" s="176"/>
      <c r="Z490" s="176"/>
      <c r="AA490" s="176"/>
    </row>
    <row r="491" spans="1:27" ht="15.75" customHeight="1">
      <c r="A491" s="176"/>
      <c r="B491" s="209"/>
      <c r="C491" s="176"/>
      <c r="D491" s="176"/>
      <c r="E491" s="176"/>
      <c r="F491" s="210"/>
      <c r="G491" s="176"/>
      <c r="H491" s="176"/>
      <c r="I491" s="210"/>
      <c r="J491" s="176"/>
      <c r="K491" s="211"/>
      <c r="L491" s="211"/>
      <c r="M491" s="211"/>
      <c r="N491" s="211"/>
      <c r="O491" s="211"/>
      <c r="P491" s="211"/>
      <c r="Q491" s="210"/>
      <c r="R491" s="176"/>
      <c r="S491" s="176"/>
      <c r="T491" s="212"/>
      <c r="U491" s="176"/>
      <c r="V491" s="176"/>
      <c r="W491" s="176"/>
      <c r="X491" s="176"/>
      <c r="Y491" s="176"/>
      <c r="Z491" s="176"/>
      <c r="AA491" s="176"/>
    </row>
    <row r="492" spans="1:27" ht="15.75" customHeight="1">
      <c r="A492" s="176"/>
      <c r="B492" s="209"/>
      <c r="C492" s="176"/>
      <c r="D492" s="176"/>
      <c r="E492" s="176"/>
      <c r="F492" s="210"/>
      <c r="G492" s="176"/>
      <c r="H492" s="176"/>
      <c r="I492" s="210"/>
      <c r="J492" s="176"/>
      <c r="K492" s="211"/>
      <c r="L492" s="211"/>
      <c r="M492" s="211"/>
      <c r="N492" s="211"/>
      <c r="O492" s="211"/>
      <c r="P492" s="211"/>
      <c r="Q492" s="210"/>
      <c r="R492" s="176"/>
      <c r="S492" s="176"/>
      <c r="T492" s="212"/>
      <c r="U492" s="176"/>
      <c r="V492" s="176"/>
      <c r="W492" s="176"/>
      <c r="X492" s="176"/>
      <c r="Y492" s="176"/>
      <c r="Z492" s="176"/>
      <c r="AA492" s="176"/>
    </row>
    <row r="493" spans="1:27" ht="15.75" customHeight="1">
      <c r="A493" s="176"/>
      <c r="B493" s="209"/>
      <c r="C493" s="176"/>
      <c r="D493" s="176"/>
      <c r="E493" s="176"/>
      <c r="F493" s="210"/>
      <c r="G493" s="176"/>
      <c r="H493" s="176"/>
      <c r="I493" s="210"/>
      <c r="J493" s="176"/>
      <c r="K493" s="211"/>
      <c r="L493" s="211"/>
      <c r="M493" s="211"/>
      <c r="N493" s="211"/>
      <c r="O493" s="211"/>
      <c r="P493" s="211"/>
      <c r="Q493" s="210"/>
      <c r="R493" s="176"/>
      <c r="S493" s="176"/>
      <c r="T493" s="212"/>
      <c r="U493" s="176"/>
      <c r="V493" s="176"/>
      <c r="W493" s="176"/>
      <c r="X493" s="176"/>
      <c r="Y493" s="176"/>
      <c r="Z493" s="176"/>
      <c r="AA493" s="176"/>
    </row>
    <row r="494" spans="1:27" ht="15.75" customHeight="1">
      <c r="A494" s="176"/>
      <c r="B494" s="209"/>
      <c r="C494" s="176"/>
      <c r="D494" s="176"/>
      <c r="E494" s="176"/>
      <c r="F494" s="210"/>
      <c r="G494" s="176"/>
      <c r="H494" s="176"/>
      <c r="I494" s="210"/>
      <c r="J494" s="176"/>
      <c r="K494" s="211"/>
      <c r="L494" s="211"/>
      <c r="M494" s="211"/>
      <c r="N494" s="211"/>
      <c r="O494" s="211"/>
      <c r="P494" s="211"/>
      <c r="Q494" s="210"/>
      <c r="R494" s="176"/>
      <c r="S494" s="176"/>
      <c r="T494" s="212"/>
      <c r="U494" s="176"/>
      <c r="V494" s="176"/>
      <c r="W494" s="176"/>
      <c r="X494" s="176"/>
      <c r="Y494" s="176"/>
      <c r="Z494" s="176"/>
      <c r="AA494" s="176"/>
    </row>
    <row r="495" spans="1:27" ht="15.75" customHeight="1">
      <c r="A495" s="176"/>
      <c r="B495" s="209"/>
      <c r="C495" s="176"/>
      <c r="D495" s="176"/>
      <c r="E495" s="176"/>
      <c r="F495" s="210"/>
      <c r="G495" s="176"/>
      <c r="H495" s="176"/>
      <c r="I495" s="210"/>
      <c r="J495" s="176"/>
      <c r="K495" s="211"/>
      <c r="L495" s="211"/>
      <c r="M495" s="211"/>
      <c r="N495" s="211"/>
      <c r="O495" s="211"/>
      <c r="P495" s="211"/>
      <c r="Q495" s="210"/>
      <c r="R495" s="176"/>
      <c r="S495" s="176"/>
      <c r="T495" s="212"/>
      <c r="U495" s="176"/>
      <c r="V495" s="176"/>
      <c r="W495" s="176"/>
      <c r="X495" s="176"/>
      <c r="Y495" s="176"/>
      <c r="Z495" s="176"/>
      <c r="AA495" s="176"/>
    </row>
    <row r="496" spans="1:27" ht="15.75" customHeight="1">
      <c r="A496" s="176"/>
      <c r="B496" s="209"/>
      <c r="C496" s="176"/>
      <c r="D496" s="176"/>
      <c r="E496" s="176"/>
      <c r="F496" s="210"/>
      <c r="G496" s="176"/>
      <c r="H496" s="176"/>
      <c r="I496" s="210"/>
      <c r="J496" s="176"/>
      <c r="K496" s="211"/>
      <c r="L496" s="211"/>
      <c r="M496" s="211"/>
      <c r="N496" s="211"/>
      <c r="O496" s="211"/>
      <c r="P496" s="211"/>
      <c r="Q496" s="210"/>
      <c r="R496" s="176"/>
      <c r="S496" s="176"/>
      <c r="T496" s="212"/>
      <c r="U496" s="176"/>
      <c r="V496" s="176"/>
      <c r="W496" s="176"/>
      <c r="X496" s="176"/>
      <c r="Y496" s="176"/>
      <c r="Z496" s="176"/>
      <c r="AA496" s="176"/>
    </row>
    <row r="497" spans="1:27" ht="15.75" customHeight="1">
      <c r="A497" s="176"/>
      <c r="B497" s="209"/>
      <c r="C497" s="176"/>
      <c r="D497" s="176"/>
      <c r="E497" s="176"/>
      <c r="F497" s="210"/>
      <c r="G497" s="176"/>
      <c r="H497" s="176"/>
      <c r="I497" s="210"/>
      <c r="J497" s="176"/>
      <c r="K497" s="211"/>
      <c r="L497" s="211"/>
      <c r="M497" s="211"/>
      <c r="N497" s="211"/>
      <c r="O497" s="211"/>
      <c r="P497" s="211"/>
      <c r="Q497" s="210"/>
      <c r="R497" s="176"/>
      <c r="S497" s="176"/>
      <c r="T497" s="212"/>
      <c r="U497" s="176"/>
      <c r="V497" s="176"/>
      <c r="W497" s="176"/>
      <c r="X497" s="176"/>
      <c r="Y497" s="176"/>
      <c r="Z497" s="176"/>
      <c r="AA497" s="176"/>
    </row>
    <row r="498" spans="1:27" ht="15.75" customHeight="1">
      <c r="A498" s="176"/>
      <c r="B498" s="209"/>
      <c r="C498" s="176"/>
      <c r="D498" s="176"/>
      <c r="E498" s="176"/>
      <c r="F498" s="210"/>
      <c r="G498" s="176"/>
      <c r="H498" s="176"/>
      <c r="I498" s="210"/>
      <c r="J498" s="176"/>
      <c r="K498" s="211"/>
      <c r="L498" s="211"/>
      <c r="M498" s="211"/>
      <c r="N498" s="211"/>
      <c r="O498" s="211"/>
      <c r="P498" s="211"/>
      <c r="Q498" s="210"/>
      <c r="R498" s="176"/>
      <c r="S498" s="176"/>
      <c r="T498" s="212"/>
      <c r="U498" s="176"/>
      <c r="V498" s="176"/>
      <c r="W498" s="176"/>
      <c r="X498" s="176"/>
      <c r="Y498" s="176"/>
      <c r="Z498" s="176"/>
      <c r="AA498" s="176"/>
    </row>
    <row r="499" spans="1:27" ht="15.75" customHeight="1">
      <c r="A499" s="176"/>
      <c r="B499" s="209"/>
      <c r="C499" s="176"/>
      <c r="D499" s="176"/>
      <c r="E499" s="176"/>
      <c r="F499" s="210"/>
      <c r="G499" s="176"/>
      <c r="H499" s="176"/>
      <c r="I499" s="210"/>
      <c r="J499" s="176"/>
      <c r="K499" s="211"/>
      <c r="L499" s="211"/>
      <c r="M499" s="211"/>
      <c r="N499" s="211"/>
      <c r="O499" s="211"/>
      <c r="P499" s="211"/>
      <c r="Q499" s="210"/>
      <c r="R499" s="176"/>
      <c r="S499" s="176"/>
      <c r="T499" s="212"/>
      <c r="U499" s="176"/>
      <c r="V499" s="176"/>
      <c r="W499" s="176"/>
      <c r="X499" s="176"/>
      <c r="Y499" s="176"/>
      <c r="Z499" s="176"/>
      <c r="AA499" s="176"/>
    </row>
    <row r="500" spans="1:27" ht="15.75" customHeight="1">
      <c r="A500" s="176"/>
      <c r="B500" s="209"/>
      <c r="C500" s="176"/>
      <c r="D500" s="176"/>
      <c r="E500" s="176"/>
      <c r="F500" s="210"/>
      <c r="G500" s="176"/>
      <c r="H500" s="176"/>
      <c r="I500" s="210"/>
      <c r="J500" s="176"/>
      <c r="K500" s="211"/>
      <c r="L500" s="211"/>
      <c r="M500" s="211"/>
      <c r="N500" s="211"/>
      <c r="O500" s="211"/>
      <c r="P500" s="211"/>
      <c r="Q500" s="210"/>
      <c r="R500" s="176"/>
      <c r="S500" s="176"/>
      <c r="T500" s="212"/>
      <c r="U500" s="176"/>
      <c r="V500" s="176"/>
      <c r="W500" s="176"/>
      <c r="X500" s="176"/>
      <c r="Y500" s="176"/>
      <c r="Z500" s="176"/>
      <c r="AA500" s="176"/>
    </row>
    <row r="501" spans="1:27" ht="15.75" customHeight="1">
      <c r="A501" s="176"/>
      <c r="B501" s="209"/>
      <c r="C501" s="176"/>
      <c r="D501" s="176"/>
      <c r="E501" s="176"/>
      <c r="F501" s="210"/>
      <c r="G501" s="176"/>
      <c r="H501" s="176"/>
      <c r="I501" s="210"/>
      <c r="J501" s="176"/>
      <c r="K501" s="211"/>
      <c r="L501" s="211"/>
      <c r="M501" s="211"/>
      <c r="N501" s="211"/>
      <c r="O501" s="211"/>
      <c r="P501" s="211"/>
      <c r="Q501" s="210"/>
      <c r="R501" s="176"/>
      <c r="S501" s="176"/>
      <c r="T501" s="212"/>
      <c r="U501" s="176"/>
      <c r="V501" s="176"/>
      <c r="W501" s="176"/>
      <c r="X501" s="176"/>
      <c r="Y501" s="176"/>
      <c r="Z501" s="176"/>
      <c r="AA501" s="176"/>
    </row>
    <row r="502" spans="1:27" ht="15.75" customHeight="1">
      <c r="A502" s="176"/>
      <c r="B502" s="209"/>
      <c r="C502" s="176"/>
      <c r="D502" s="176"/>
      <c r="E502" s="176"/>
      <c r="F502" s="210"/>
      <c r="G502" s="176"/>
      <c r="H502" s="176"/>
      <c r="I502" s="210"/>
      <c r="J502" s="176"/>
      <c r="K502" s="211"/>
      <c r="L502" s="211"/>
      <c r="M502" s="211"/>
      <c r="N502" s="211"/>
      <c r="O502" s="211"/>
      <c r="P502" s="211"/>
      <c r="Q502" s="210"/>
      <c r="R502" s="176"/>
      <c r="S502" s="176"/>
      <c r="T502" s="212"/>
      <c r="U502" s="176"/>
      <c r="V502" s="176"/>
      <c r="W502" s="176"/>
      <c r="X502" s="176"/>
      <c r="Y502" s="176"/>
      <c r="Z502" s="176"/>
      <c r="AA502" s="176"/>
    </row>
    <row r="503" spans="1:27" ht="15.75" customHeight="1">
      <c r="A503" s="176"/>
      <c r="B503" s="209"/>
      <c r="C503" s="176"/>
      <c r="D503" s="176"/>
      <c r="E503" s="176"/>
      <c r="F503" s="210"/>
      <c r="G503" s="176"/>
      <c r="H503" s="176"/>
      <c r="I503" s="210"/>
      <c r="J503" s="176"/>
      <c r="K503" s="211"/>
      <c r="L503" s="211"/>
      <c r="M503" s="211"/>
      <c r="N503" s="211"/>
      <c r="O503" s="211"/>
      <c r="P503" s="211"/>
      <c r="Q503" s="210"/>
      <c r="R503" s="176"/>
      <c r="S503" s="176"/>
      <c r="T503" s="212"/>
      <c r="U503" s="176"/>
      <c r="V503" s="176"/>
      <c r="W503" s="176"/>
      <c r="X503" s="176"/>
      <c r="Y503" s="176"/>
      <c r="Z503" s="176"/>
      <c r="AA503" s="176"/>
    </row>
    <row r="504" spans="1:27" ht="15.75" customHeight="1">
      <c r="A504" s="176"/>
      <c r="B504" s="209"/>
      <c r="C504" s="176"/>
      <c r="D504" s="176"/>
      <c r="E504" s="176"/>
      <c r="F504" s="210"/>
      <c r="G504" s="176"/>
      <c r="H504" s="176"/>
      <c r="I504" s="210"/>
      <c r="J504" s="176"/>
      <c r="K504" s="211"/>
      <c r="L504" s="211"/>
      <c r="M504" s="211"/>
      <c r="N504" s="211"/>
      <c r="O504" s="211"/>
      <c r="P504" s="211"/>
      <c r="Q504" s="210"/>
      <c r="R504" s="176"/>
      <c r="S504" s="176"/>
      <c r="T504" s="212"/>
      <c r="U504" s="176"/>
      <c r="V504" s="176"/>
      <c r="W504" s="176"/>
      <c r="X504" s="176"/>
      <c r="Y504" s="176"/>
      <c r="Z504" s="176"/>
      <c r="AA504" s="176"/>
    </row>
    <row r="505" spans="1:27" ht="15.75" customHeight="1">
      <c r="A505" s="176"/>
      <c r="B505" s="209"/>
      <c r="C505" s="176"/>
      <c r="D505" s="176"/>
      <c r="E505" s="176"/>
      <c r="F505" s="210"/>
      <c r="G505" s="176"/>
      <c r="H505" s="176"/>
      <c r="I505" s="210"/>
      <c r="J505" s="176"/>
      <c r="K505" s="211"/>
      <c r="L505" s="211"/>
      <c r="M505" s="211"/>
      <c r="N505" s="211"/>
      <c r="O505" s="211"/>
      <c r="P505" s="211"/>
      <c r="Q505" s="210"/>
      <c r="R505" s="176"/>
      <c r="S505" s="176"/>
      <c r="T505" s="212"/>
      <c r="U505" s="176"/>
      <c r="V505" s="176"/>
      <c r="W505" s="176"/>
      <c r="X505" s="176"/>
      <c r="Y505" s="176"/>
      <c r="Z505" s="176"/>
      <c r="AA505" s="176"/>
    </row>
    <row r="506" spans="1:27" ht="15.75" customHeight="1">
      <c r="A506" s="176"/>
      <c r="B506" s="209"/>
      <c r="C506" s="176"/>
      <c r="D506" s="176"/>
      <c r="E506" s="176"/>
      <c r="F506" s="210"/>
      <c r="G506" s="176"/>
      <c r="H506" s="176"/>
      <c r="I506" s="210"/>
      <c r="J506" s="176"/>
      <c r="K506" s="211"/>
      <c r="L506" s="211"/>
      <c r="M506" s="211"/>
      <c r="N506" s="211"/>
      <c r="O506" s="211"/>
      <c r="P506" s="211"/>
      <c r="Q506" s="210"/>
      <c r="R506" s="176"/>
      <c r="S506" s="176"/>
      <c r="T506" s="212"/>
      <c r="U506" s="176"/>
      <c r="V506" s="176"/>
      <c r="W506" s="176"/>
      <c r="X506" s="176"/>
      <c r="Y506" s="176"/>
      <c r="Z506" s="176"/>
      <c r="AA506" s="176"/>
    </row>
    <row r="507" spans="1:27" ht="15.75" customHeight="1">
      <c r="A507" s="176"/>
      <c r="B507" s="209"/>
      <c r="C507" s="176"/>
      <c r="D507" s="176"/>
      <c r="E507" s="176"/>
      <c r="F507" s="210"/>
      <c r="G507" s="176"/>
      <c r="H507" s="176"/>
      <c r="I507" s="210"/>
      <c r="J507" s="176"/>
      <c r="K507" s="211"/>
      <c r="L507" s="211"/>
      <c r="M507" s="211"/>
      <c r="N507" s="211"/>
      <c r="O507" s="211"/>
      <c r="P507" s="211"/>
      <c r="Q507" s="210"/>
      <c r="R507" s="176"/>
      <c r="S507" s="176"/>
      <c r="T507" s="212"/>
      <c r="U507" s="176"/>
      <c r="V507" s="176"/>
      <c r="W507" s="176"/>
      <c r="X507" s="176"/>
      <c r="Y507" s="176"/>
      <c r="Z507" s="176"/>
      <c r="AA507" s="176"/>
    </row>
    <row r="508" spans="1:27" ht="15.75" customHeight="1">
      <c r="A508" s="176"/>
      <c r="B508" s="209"/>
      <c r="C508" s="176"/>
      <c r="D508" s="176"/>
      <c r="E508" s="176"/>
      <c r="F508" s="210"/>
      <c r="G508" s="176"/>
      <c r="H508" s="176"/>
      <c r="I508" s="210"/>
      <c r="J508" s="176"/>
      <c r="K508" s="211"/>
      <c r="L508" s="211"/>
      <c r="M508" s="211"/>
      <c r="N508" s="211"/>
      <c r="O508" s="211"/>
      <c r="P508" s="211"/>
      <c r="Q508" s="210"/>
      <c r="R508" s="176"/>
      <c r="S508" s="176"/>
      <c r="T508" s="212"/>
      <c r="U508" s="176"/>
      <c r="V508" s="176"/>
      <c r="W508" s="176"/>
      <c r="X508" s="176"/>
      <c r="Y508" s="176"/>
      <c r="Z508" s="176"/>
      <c r="AA508" s="176"/>
    </row>
    <row r="509" spans="1:27" ht="15.75" customHeight="1">
      <c r="A509" s="176"/>
      <c r="B509" s="209"/>
      <c r="C509" s="176"/>
      <c r="D509" s="176"/>
      <c r="E509" s="176"/>
      <c r="F509" s="210"/>
      <c r="G509" s="176"/>
      <c r="H509" s="176"/>
      <c r="I509" s="210"/>
      <c r="J509" s="176"/>
      <c r="K509" s="211"/>
      <c r="L509" s="211"/>
      <c r="M509" s="211"/>
      <c r="N509" s="211"/>
      <c r="O509" s="211"/>
      <c r="P509" s="211"/>
      <c r="Q509" s="210"/>
      <c r="R509" s="176"/>
      <c r="S509" s="176"/>
      <c r="T509" s="212"/>
      <c r="U509" s="176"/>
      <c r="V509" s="176"/>
      <c r="W509" s="176"/>
      <c r="X509" s="176"/>
      <c r="Y509" s="176"/>
      <c r="Z509" s="176"/>
      <c r="AA509" s="176"/>
    </row>
    <row r="510" spans="1:27" ht="15.75" customHeight="1">
      <c r="A510" s="176"/>
      <c r="B510" s="209"/>
      <c r="C510" s="176"/>
      <c r="D510" s="176"/>
      <c r="E510" s="176"/>
      <c r="F510" s="210"/>
      <c r="G510" s="176"/>
      <c r="H510" s="176"/>
      <c r="I510" s="210"/>
      <c r="J510" s="176"/>
      <c r="K510" s="211"/>
      <c r="L510" s="211"/>
      <c r="M510" s="211"/>
      <c r="N510" s="211"/>
      <c r="O510" s="211"/>
      <c r="P510" s="211"/>
      <c r="Q510" s="210"/>
      <c r="R510" s="176"/>
      <c r="S510" s="176"/>
      <c r="T510" s="212"/>
      <c r="U510" s="176"/>
      <c r="V510" s="176"/>
      <c r="W510" s="176"/>
      <c r="X510" s="176"/>
      <c r="Y510" s="176"/>
      <c r="Z510" s="176"/>
      <c r="AA510" s="176"/>
    </row>
    <row r="511" spans="1:27" ht="15.75" customHeight="1">
      <c r="A511" s="176"/>
      <c r="B511" s="209"/>
      <c r="C511" s="176"/>
      <c r="D511" s="176"/>
      <c r="E511" s="176"/>
      <c r="F511" s="210"/>
      <c r="G511" s="176"/>
      <c r="H511" s="176"/>
      <c r="I511" s="210"/>
      <c r="J511" s="176"/>
      <c r="K511" s="211"/>
      <c r="L511" s="211"/>
      <c r="M511" s="211"/>
      <c r="N511" s="211"/>
      <c r="O511" s="211"/>
      <c r="P511" s="211"/>
      <c r="Q511" s="210"/>
      <c r="R511" s="176"/>
      <c r="S511" s="176"/>
      <c r="T511" s="212"/>
      <c r="U511" s="176"/>
      <c r="V511" s="176"/>
      <c r="W511" s="176"/>
      <c r="X511" s="176"/>
      <c r="Y511" s="176"/>
      <c r="Z511" s="176"/>
      <c r="AA511" s="176"/>
    </row>
    <row r="512" spans="1:27" ht="15.75" customHeight="1">
      <c r="A512" s="176"/>
      <c r="B512" s="209"/>
      <c r="C512" s="176"/>
      <c r="D512" s="176"/>
      <c r="E512" s="176"/>
      <c r="F512" s="210"/>
      <c r="G512" s="176"/>
      <c r="H512" s="176"/>
      <c r="I512" s="210"/>
      <c r="J512" s="176"/>
      <c r="K512" s="211"/>
      <c r="L512" s="211"/>
      <c r="M512" s="211"/>
      <c r="N512" s="211"/>
      <c r="O512" s="211"/>
      <c r="P512" s="211"/>
      <c r="Q512" s="210"/>
      <c r="R512" s="176"/>
      <c r="S512" s="176"/>
      <c r="T512" s="212"/>
      <c r="U512" s="176"/>
      <c r="V512" s="176"/>
      <c r="W512" s="176"/>
      <c r="X512" s="176"/>
      <c r="Y512" s="176"/>
      <c r="Z512" s="176"/>
      <c r="AA512" s="176"/>
    </row>
    <row r="513" spans="1:27" ht="15.75" customHeight="1">
      <c r="A513" s="176"/>
      <c r="B513" s="209"/>
      <c r="C513" s="176"/>
      <c r="D513" s="176"/>
      <c r="E513" s="176"/>
      <c r="F513" s="210"/>
      <c r="G513" s="176"/>
      <c r="H513" s="176"/>
      <c r="I513" s="210"/>
      <c r="J513" s="176"/>
      <c r="K513" s="211"/>
      <c r="L513" s="211"/>
      <c r="M513" s="211"/>
      <c r="N513" s="211"/>
      <c r="O513" s="211"/>
      <c r="P513" s="211"/>
      <c r="Q513" s="210"/>
      <c r="R513" s="176"/>
      <c r="S513" s="176"/>
      <c r="T513" s="212"/>
      <c r="U513" s="176"/>
      <c r="V513" s="176"/>
      <c r="W513" s="176"/>
      <c r="X513" s="176"/>
      <c r="Y513" s="176"/>
      <c r="Z513" s="176"/>
      <c r="AA513" s="176"/>
    </row>
    <row r="514" spans="1:27" ht="15.75" customHeight="1">
      <c r="A514" s="176"/>
      <c r="B514" s="209"/>
      <c r="C514" s="176"/>
      <c r="D514" s="176"/>
      <c r="E514" s="176"/>
      <c r="F514" s="210"/>
      <c r="G514" s="176"/>
      <c r="H514" s="176"/>
      <c r="I514" s="210"/>
      <c r="J514" s="176"/>
      <c r="K514" s="211"/>
      <c r="L514" s="211"/>
      <c r="M514" s="211"/>
      <c r="N514" s="211"/>
      <c r="O514" s="211"/>
      <c r="P514" s="211"/>
      <c r="Q514" s="210"/>
      <c r="R514" s="176"/>
      <c r="S514" s="176"/>
      <c r="T514" s="212"/>
      <c r="U514" s="176"/>
      <c r="V514" s="176"/>
      <c r="W514" s="176"/>
      <c r="X514" s="176"/>
      <c r="Y514" s="176"/>
      <c r="Z514" s="176"/>
      <c r="AA514" s="176"/>
    </row>
    <row r="515" spans="1:27" ht="15.75" customHeight="1">
      <c r="A515" s="176"/>
      <c r="B515" s="209"/>
      <c r="C515" s="176"/>
      <c r="D515" s="176"/>
      <c r="E515" s="176"/>
      <c r="F515" s="210"/>
      <c r="G515" s="176"/>
      <c r="H515" s="176"/>
      <c r="I515" s="210"/>
      <c r="J515" s="176"/>
      <c r="K515" s="211"/>
      <c r="L515" s="211"/>
      <c r="M515" s="211"/>
      <c r="N515" s="211"/>
      <c r="O515" s="211"/>
      <c r="P515" s="211"/>
      <c r="Q515" s="210"/>
      <c r="R515" s="176"/>
      <c r="S515" s="176"/>
      <c r="T515" s="212"/>
      <c r="U515" s="176"/>
      <c r="V515" s="176"/>
      <c r="W515" s="176"/>
      <c r="X515" s="176"/>
      <c r="Y515" s="176"/>
      <c r="Z515" s="176"/>
      <c r="AA515" s="176"/>
    </row>
    <row r="516" spans="1:27" ht="15.75" customHeight="1">
      <c r="A516" s="176"/>
      <c r="B516" s="209"/>
      <c r="C516" s="176"/>
      <c r="D516" s="176"/>
      <c r="E516" s="176"/>
      <c r="F516" s="210"/>
      <c r="G516" s="176"/>
      <c r="H516" s="176"/>
      <c r="I516" s="210"/>
      <c r="J516" s="176"/>
      <c r="K516" s="211"/>
      <c r="L516" s="211"/>
      <c r="M516" s="211"/>
      <c r="N516" s="211"/>
      <c r="O516" s="211"/>
      <c r="P516" s="211"/>
      <c r="Q516" s="210"/>
      <c r="R516" s="176"/>
      <c r="S516" s="176"/>
      <c r="T516" s="212"/>
      <c r="U516" s="176"/>
      <c r="V516" s="176"/>
      <c r="W516" s="176"/>
      <c r="X516" s="176"/>
      <c r="Y516" s="176"/>
      <c r="Z516" s="176"/>
      <c r="AA516" s="176"/>
    </row>
    <row r="517" spans="1:27" ht="15.75" customHeight="1">
      <c r="A517" s="176"/>
      <c r="B517" s="209"/>
      <c r="C517" s="176"/>
      <c r="D517" s="176"/>
      <c r="E517" s="176"/>
      <c r="F517" s="210"/>
      <c r="G517" s="176"/>
      <c r="H517" s="176"/>
      <c r="I517" s="210"/>
      <c r="J517" s="176"/>
      <c r="K517" s="211"/>
      <c r="L517" s="211"/>
      <c r="M517" s="211"/>
      <c r="N517" s="211"/>
      <c r="O517" s="211"/>
      <c r="P517" s="211"/>
      <c r="Q517" s="210"/>
      <c r="R517" s="176"/>
      <c r="S517" s="176"/>
      <c r="T517" s="212"/>
      <c r="U517" s="176"/>
      <c r="V517" s="176"/>
      <c r="W517" s="176"/>
      <c r="X517" s="176"/>
      <c r="Y517" s="176"/>
      <c r="Z517" s="176"/>
      <c r="AA517" s="176"/>
    </row>
    <row r="518" spans="1:27" ht="15.75" customHeight="1">
      <c r="A518" s="176"/>
      <c r="B518" s="209"/>
      <c r="C518" s="176"/>
      <c r="D518" s="176"/>
      <c r="E518" s="176"/>
      <c r="F518" s="210"/>
      <c r="G518" s="176"/>
      <c r="H518" s="176"/>
      <c r="I518" s="210"/>
      <c r="J518" s="176"/>
      <c r="K518" s="211"/>
      <c r="L518" s="211"/>
      <c r="M518" s="211"/>
      <c r="N518" s="211"/>
      <c r="O518" s="211"/>
      <c r="P518" s="211"/>
      <c r="Q518" s="210"/>
      <c r="R518" s="176"/>
      <c r="S518" s="176"/>
      <c r="T518" s="212"/>
      <c r="U518" s="176"/>
      <c r="V518" s="176"/>
      <c r="W518" s="176"/>
      <c r="X518" s="176"/>
      <c r="Y518" s="176"/>
      <c r="Z518" s="176"/>
      <c r="AA518" s="176"/>
    </row>
    <row r="519" spans="1:27" ht="15.75" customHeight="1">
      <c r="A519" s="176"/>
      <c r="B519" s="209"/>
      <c r="C519" s="176"/>
      <c r="D519" s="176"/>
      <c r="E519" s="176"/>
      <c r="F519" s="210"/>
      <c r="G519" s="176"/>
      <c r="H519" s="176"/>
      <c r="I519" s="210"/>
      <c r="J519" s="176"/>
      <c r="K519" s="211"/>
      <c r="L519" s="211"/>
      <c r="M519" s="211"/>
      <c r="N519" s="211"/>
      <c r="O519" s="211"/>
      <c r="P519" s="211"/>
      <c r="Q519" s="210"/>
      <c r="R519" s="176"/>
      <c r="S519" s="176"/>
      <c r="T519" s="212"/>
      <c r="U519" s="176"/>
      <c r="V519" s="176"/>
      <c r="W519" s="176"/>
      <c r="X519" s="176"/>
      <c r="Y519" s="176"/>
      <c r="Z519" s="176"/>
      <c r="AA519" s="176"/>
    </row>
    <row r="520" spans="1:27" ht="15.75" customHeight="1">
      <c r="A520" s="176"/>
      <c r="B520" s="209"/>
      <c r="C520" s="176"/>
      <c r="D520" s="176"/>
      <c r="E520" s="176"/>
      <c r="F520" s="210"/>
      <c r="G520" s="176"/>
      <c r="H520" s="176"/>
      <c r="I520" s="210"/>
      <c r="J520" s="176"/>
      <c r="K520" s="211"/>
      <c r="L520" s="211"/>
      <c r="M520" s="211"/>
      <c r="N520" s="211"/>
      <c r="O520" s="211"/>
      <c r="P520" s="211"/>
      <c r="Q520" s="210"/>
      <c r="R520" s="176"/>
      <c r="S520" s="176"/>
      <c r="T520" s="212"/>
      <c r="U520" s="176"/>
      <c r="V520" s="176"/>
      <c r="W520" s="176"/>
      <c r="X520" s="176"/>
      <c r="Y520" s="176"/>
      <c r="Z520" s="176"/>
      <c r="AA520" s="176"/>
    </row>
    <row r="521" spans="1:27" ht="15.75" customHeight="1">
      <c r="A521" s="176"/>
      <c r="B521" s="209"/>
      <c r="C521" s="176"/>
      <c r="D521" s="176"/>
      <c r="E521" s="176"/>
      <c r="F521" s="210"/>
      <c r="G521" s="176"/>
      <c r="H521" s="176"/>
      <c r="I521" s="210"/>
      <c r="J521" s="176"/>
      <c r="K521" s="211"/>
      <c r="L521" s="211"/>
      <c r="M521" s="211"/>
      <c r="N521" s="211"/>
      <c r="O521" s="211"/>
      <c r="P521" s="211"/>
      <c r="Q521" s="210"/>
      <c r="R521" s="176"/>
      <c r="S521" s="176"/>
      <c r="T521" s="212"/>
      <c r="U521" s="176"/>
      <c r="V521" s="176"/>
      <c r="W521" s="176"/>
      <c r="X521" s="176"/>
      <c r="Y521" s="176"/>
      <c r="Z521" s="176"/>
      <c r="AA521" s="176"/>
    </row>
    <row r="522" spans="1:27" ht="15.75" customHeight="1">
      <c r="A522" s="176"/>
      <c r="B522" s="209"/>
      <c r="C522" s="176"/>
      <c r="D522" s="176"/>
      <c r="E522" s="176"/>
      <c r="F522" s="210"/>
      <c r="G522" s="176"/>
      <c r="H522" s="176"/>
      <c r="I522" s="210"/>
      <c r="J522" s="176"/>
      <c r="K522" s="211"/>
      <c r="L522" s="211"/>
      <c r="M522" s="211"/>
      <c r="N522" s="211"/>
      <c r="O522" s="211"/>
      <c r="P522" s="211"/>
      <c r="Q522" s="210"/>
      <c r="R522" s="176"/>
      <c r="S522" s="176"/>
      <c r="T522" s="212"/>
      <c r="U522" s="176"/>
      <c r="V522" s="176"/>
      <c r="W522" s="176"/>
      <c r="X522" s="176"/>
      <c r="Y522" s="176"/>
      <c r="Z522" s="176"/>
      <c r="AA522" s="176"/>
    </row>
    <row r="523" spans="1:27" ht="15.75" customHeight="1">
      <c r="A523" s="176"/>
      <c r="B523" s="209"/>
      <c r="C523" s="176"/>
      <c r="D523" s="176"/>
      <c r="E523" s="176"/>
      <c r="F523" s="210"/>
      <c r="G523" s="176"/>
      <c r="H523" s="176"/>
      <c r="I523" s="210"/>
      <c r="J523" s="176"/>
      <c r="K523" s="211"/>
      <c r="L523" s="211"/>
      <c r="M523" s="211"/>
      <c r="N523" s="211"/>
      <c r="O523" s="211"/>
      <c r="P523" s="211"/>
      <c r="Q523" s="210"/>
      <c r="R523" s="176"/>
      <c r="S523" s="176"/>
      <c r="T523" s="212"/>
      <c r="U523" s="176"/>
      <c r="V523" s="176"/>
      <c r="W523" s="176"/>
      <c r="X523" s="176"/>
      <c r="Y523" s="176"/>
      <c r="Z523" s="176"/>
      <c r="AA523" s="176"/>
    </row>
    <row r="524" spans="1:27" ht="15.75" customHeight="1">
      <c r="A524" s="176"/>
      <c r="B524" s="209"/>
      <c r="C524" s="176"/>
      <c r="D524" s="176"/>
      <c r="E524" s="176"/>
      <c r="F524" s="210"/>
      <c r="G524" s="176"/>
      <c r="H524" s="176"/>
      <c r="I524" s="210"/>
      <c r="J524" s="176"/>
      <c r="K524" s="211"/>
      <c r="L524" s="211"/>
      <c r="M524" s="211"/>
      <c r="N524" s="211"/>
      <c r="O524" s="211"/>
      <c r="P524" s="211"/>
      <c r="Q524" s="210"/>
      <c r="R524" s="176"/>
      <c r="S524" s="176"/>
      <c r="T524" s="212"/>
      <c r="U524" s="176"/>
      <c r="V524" s="176"/>
      <c r="W524" s="176"/>
      <c r="X524" s="176"/>
      <c r="Y524" s="176"/>
      <c r="Z524" s="176"/>
      <c r="AA524" s="176"/>
    </row>
    <row r="525" spans="1:27" ht="15.75" customHeight="1">
      <c r="A525" s="176"/>
      <c r="B525" s="209"/>
      <c r="C525" s="176"/>
      <c r="D525" s="176"/>
      <c r="E525" s="176"/>
      <c r="F525" s="210"/>
      <c r="G525" s="176"/>
      <c r="H525" s="176"/>
      <c r="I525" s="210"/>
      <c r="J525" s="176"/>
      <c r="K525" s="211"/>
      <c r="L525" s="211"/>
      <c r="M525" s="211"/>
      <c r="N525" s="211"/>
      <c r="O525" s="211"/>
      <c r="P525" s="211"/>
      <c r="Q525" s="210"/>
      <c r="R525" s="176"/>
      <c r="S525" s="176"/>
      <c r="T525" s="212"/>
      <c r="U525" s="176"/>
      <c r="V525" s="176"/>
      <c r="W525" s="176"/>
      <c r="X525" s="176"/>
      <c r="Y525" s="176"/>
      <c r="Z525" s="176"/>
      <c r="AA525" s="176"/>
    </row>
    <row r="526" spans="1:27" ht="15.75" customHeight="1">
      <c r="A526" s="176"/>
      <c r="B526" s="209"/>
      <c r="C526" s="176"/>
      <c r="D526" s="176"/>
      <c r="E526" s="176"/>
      <c r="F526" s="210"/>
      <c r="G526" s="176"/>
      <c r="H526" s="176"/>
      <c r="I526" s="210"/>
      <c r="J526" s="176"/>
      <c r="K526" s="211"/>
      <c r="L526" s="211"/>
      <c r="M526" s="211"/>
      <c r="N526" s="211"/>
      <c r="O526" s="211"/>
      <c r="P526" s="211"/>
      <c r="Q526" s="210"/>
      <c r="R526" s="176"/>
      <c r="S526" s="176"/>
      <c r="T526" s="212"/>
      <c r="U526" s="176"/>
      <c r="V526" s="176"/>
      <c r="W526" s="176"/>
      <c r="X526" s="176"/>
      <c r="Y526" s="176"/>
      <c r="Z526" s="176"/>
      <c r="AA526" s="176"/>
    </row>
    <row r="527" spans="1:27" ht="15.75" customHeight="1">
      <c r="A527" s="176"/>
      <c r="B527" s="209"/>
      <c r="C527" s="176"/>
      <c r="D527" s="176"/>
      <c r="E527" s="176"/>
      <c r="F527" s="210"/>
      <c r="G527" s="176"/>
      <c r="H527" s="176"/>
      <c r="I527" s="210"/>
      <c r="J527" s="176"/>
      <c r="K527" s="211"/>
      <c r="L527" s="211"/>
      <c r="M527" s="211"/>
      <c r="N527" s="211"/>
      <c r="O527" s="211"/>
      <c r="P527" s="211"/>
      <c r="Q527" s="210"/>
      <c r="R527" s="176"/>
      <c r="S527" s="176"/>
      <c r="T527" s="212"/>
      <c r="U527" s="176"/>
      <c r="V527" s="176"/>
      <c r="W527" s="176"/>
      <c r="X527" s="176"/>
      <c r="Y527" s="176"/>
      <c r="Z527" s="176"/>
      <c r="AA527" s="176"/>
    </row>
    <row r="528" spans="1:27" ht="15.75" customHeight="1">
      <c r="A528" s="176"/>
      <c r="B528" s="209"/>
      <c r="C528" s="176"/>
      <c r="D528" s="176"/>
      <c r="E528" s="176"/>
      <c r="F528" s="210"/>
      <c r="G528" s="176"/>
      <c r="H528" s="176"/>
      <c r="I528" s="210"/>
      <c r="J528" s="176"/>
      <c r="K528" s="211"/>
      <c r="L528" s="211"/>
      <c r="M528" s="211"/>
      <c r="N528" s="211"/>
      <c r="O528" s="211"/>
      <c r="P528" s="211"/>
      <c r="Q528" s="210"/>
      <c r="R528" s="176"/>
      <c r="S528" s="176"/>
      <c r="T528" s="212"/>
      <c r="U528" s="176"/>
      <c r="V528" s="176"/>
      <c r="W528" s="176"/>
      <c r="X528" s="176"/>
      <c r="Y528" s="176"/>
      <c r="Z528" s="176"/>
      <c r="AA528" s="176"/>
    </row>
    <row r="529" spans="1:27" ht="15.75" customHeight="1">
      <c r="A529" s="176"/>
      <c r="B529" s="209"/>
      <c r="C529" s="176"/>
      <c r="D529" s="176"/>
      <c r="E529" s="176"/>
      <c r="F529" s="210"/>
      <c r="G529" s="176"/>
      <c r="H529" s="176"/>
      <c r="I529" s="210"/>
      <c r="J529" s="176"/>
      <c r="K529" s="211"/>
      <c r="L529" s="211"/>
      <c r="M529" s="211"/>
      <c r="N529" s="211"/>
      <c r="O529" s="211"/>
      <c r="P529" s="211"/>
      <c r="Q529" s="210"/>
      <c r="R529" s="176"/>
      <c r="S529" s="176"/>
      <c r="T529" s="212"/>
      <c r="U529" s="176"/>
      <c r="V529" s="176"/>
      <c r="W529" s="176"/>
      <c r="X529" s="176"/>
      <c r="Y529" s="176"/>
      <c r="Z529" s="176"/>
      <c r="AA529" s="176"/>
    </row>
    <row r="530" spans="1:27" ht="15.75" customHeight="1">
      <c r="A530" s="176"/>
      <c r="B530" s="209"/>
      <c r="C530" s="176"/>
      <c r="D530" s="176"/>
      <c r="E530" s="176"/>
      <c r="F530" s="210"/>
      <c r="G530" s="176"/>
      <c r="H530" s="176"/>
      <c r="I530" s="210"/>
      <c r="J530" s="176"/>
      <c r="K530" s="211"/>
      <c r="L530" s="211"/>
      <c r="M530" s="211"/>
      <c r="N530" s="211"/>
      <c r="O530" s="211"/>
      <c r="P530" s="211"/>
      <c r="Q530" s="210"/>
      <c r="R530" s="176"/>
      <c r="S530" s="176"/>
      <c r="T530" s="212"/>
      <c r="U530" s="176"/>
      <c r="V530" s="176"/>
      <c r="W530" s="176"/>
      <c r="X530" s="176"/>
      <c r="Y530" s="176"/>
      <c r="Z530" s="176"/>
      <c r="AA530" s="176"/>
    </row>
    <row r="531" spans="1:27" ht="15.75" customHeight="1">
      <c r="A531" s="176"/>
      <c r="B531" s="209"/>
      <c r="C531" s="176"/>
      <c r="D531" s="176"/>
      <c r="E531" s="176"/>
      <c r="F531" s="210"/>
      <c r="G531" s="176"/>
      <c r="H531" s="176"/>
      <c r="I531" s="210"/>
      <c r="J531" s="176"/>
      <c r="K531" s="211"/>
      <c r="L531" s="211"/>
      <c r="M531" s="211"/>
      <c r="N531" s="211"/>
      <c r="O531" s="211"/>
      <c r="P531" s="211"/>
      <c r="Q531" s="210"/>
      <c r="R531" s="176"/>
      <c r="S531" s="176"/>
      <c r="T531" s="212"/>
      <c r="U531" s="176"/>
      <c r="V531" s="176"/>
      <c r="W531" s="176"/>
      <c r="X531" s="176"/>
      <c r="Y531" s="176"/>
      <c r="Z531" s="176"/>
      <c r="AA531" s="176"/>
    </row>
    <row r="532" spans="1:27" ht="15.75" customHeight="1">
      <c r="A532" s="176"/>
      <c r="B532" s="209"/>
      <c r="C532" s="176"/>
      <c r="D532" s="176"/>
      <c r="E532" s="176"/>
      <c r="F532" s="210"/>
      <c r="G532" s="176"/>
      <c r="H532" s="176"/>
      <c r="I532" s="210"/>
      <c r="J532" s="176"/>
      <c r="K532" s="211"/>
      <c r="L532" s="211"/>
      <c r="M532" s="211"/>
      <c r="N532" s="211"/>
      <c r="O532" s="211"/>
      <c r="P532" s="211"/>
      <c r="Q532" s="210"/>
      <c r="R532" s="176"/>
      <c r="S532" s="176"/>
      <c r="T532" s="212"/>
      <c r="U532" s="176"/>
      <c r="V532" s="176"/>
      <c r="W532" s="176"/>
      <c r="X532" s="176"/>
      <c r="Y532" s="176"/>
      <c r="Z532" s="176"/>
      <c r="AA532" s="176"/>
    </row>
    <row r="533" spans="1:27" ht="15.75" customHeight="1">
      <c r="A533" s="176"/>
      <c r="B533" s="209"/>
      <c r="C533" s="176"/>
      <c r="D533" s="176"/>
      <c r="E533" s="176"/>
      <c r="F533" s="210"/>
      <c r="G533" s="176"/>
      <c r="H533" s="176"/>
      <c r="I533" s="210"/>
      <c r="J533" s="176"/>
      <c r="K533" s="211"/>
      <c r="L533" s="211"/>
      <c r="M533" s="211"/>
      <c r="N533" s="211"/>
      <c r="O533" s="211"/>
      <c r="P533" s="211"/>
      <c r="Q533" s="210"/>
      <c r="R533" s="176"/>
      <c r="S533" s="176"/>
      <c r="T533" s="212"/>
      <c r="U533" s="176"/>
      <c r="V533" s="176"/>
      <c r="W533" s="176"/>
      <c r="X533" s="176"/>
      <c r="Y533" s="176"/>
      <c r="Z533" s="176"/>
      <c r="AA533" s="176"/>
    </row>
    <row r="534" spans="1:27" ht="15.75" customHeight="1">
      <c r="A534" s="176"/>
      <c r="B534" s="209"/>
      <c r="C534" s="176"/>
      <c r="D534" s="176"/>
      <c r="E534" s="176"/>
      <c r="F534" s="210"/>
      <c r="G534" s="176"/>
      <c r="H534" s="176"/>
      <c r="I534" s="210"/>
      <c r="J534" s="176"/>
      <c r="K534" s="211"/>
      <c r="L534" s="211"/>
      <c r="M534" s="211"/>
      <c r="N534" s="211"/>
      <c r="O534" s="211"/>
      <c r="P534" s="211"/>
      <c r="Q534" s="210"/>
      <c r="R534" s="176"/>
      <c r="S534" s="176"/>
      <c r="T534" s="212"/>
      <c r="U534" s="176"/>
      <c r="V534" s="176"/>
      <c r="W534" s="176"/>
      <c r="X534" s="176"/>
      <c r="Y534" s="176"/>
      <c r="Z534" s="176"/>
      <c r="AA534" s="176"/>
    </row>
    <row r="535" spans="1:27" ht="15.75" customHeight="1">
      <c r="A535" s="176"/>
      <c r="B535" s="209"/>
      <c r="C535" s="176"/>
      <c r="D535" s="176"/>
      <c r="E535" s="176"/>
      <c r="F535" s="210"/>
      <c r="G535" s="176"/>
      <c r="H535" s="176"/>
      <c r="I535" s="210"/>
      <c r="J535" s="176"/>
      <c r="K535" s="211"/>
      <c r="L535" s="211"/>
      <c r="M535" s="211"/>
      <c r="N535" s="211"/>
      <c r="O535" s="211"/>
      <c r="P535" s="211"/>
      <c r="Q535" s="210"/>
      <c r="R535" s="176"/>
      <c r="S535" s="176"/>
      <c r="T535" s="212"/>
      <c r="U535" s="176"/>
      <c r="V535" s="176"/>
      <c r="W535" s="176"/>
      <c r="X535" s="176"/>
      <c r="Y535" s="176"/>
      <c r="Z535" s="176"/>
      <c r="AA535" s="176"/>
    </row>
    <row r="536" spans="1:27" ht="15.75" customHeight="1">
      <c r="A536" s="176"/>
      <c r="B536" s="209"/>
      <c r="C536" s="176"/>
      <c r="D536" s="176"/>
      <c r="E536" s="176"/>
      <c r="F536" s="210"/>
      <c r="G536" s="176"/>
      <c r="H536" s="176"/>
      <c r="I536" s="210"/>
      <c r="J536" s="176"/>
      <c r="K536" s="211"/>
      <c r="L536" s="211"/>
      <c r="M536" s="211"/>
      <c r="N536" s="211"/>
      <c r="O536" s="211"/>
      <c r="P536" s="211"/>
      <c r="Q536" s="210"/>
      <c r="R536" s="176"/>
      <c r="S536" s="176"/>
      <c r="T536" s="212"/>
      <c r="U536" s="176"/>
      <c r="V536" s="176"/>
      <c r="W536" s="176"/>
      <c r="X536" s="176"/>
      <c r="Y536" s="176"/>
      <c r="Z536" s="176"/>
      <c r="AA536" s="176"/>
    </row>
    <row r="537" spans="1:27" ht="15.75" customHeight="1">
      <c r="A537" s="176"/>
      <c r="B537" s="209"/>
      <c r="C537" s="176"/>
      <c r="D537" s="176"/>
      <c r="E537" s="176"/>
      <c r="F537" s="210"/>
      <c r="G537" s="176"/>
      <c r="H537" s="176"/>
      <c r="I537" s="210"/>
      <c r="J537" s="176"/>
      <c r="K537" s="211"/>
      <c r="L537" s="211"/>
      <c r="M537" s="211"/>
      <c r="N537" s="211"/>
      <c r="O537" s="211"/>
      <c r="P537" s="211"/>
      <c r="Q537" s="210"/>
      <c r="R537" s="176"/>
      <c r="S537" s="176"/>
      <c r="T537" s="212"/>
      <c r="U537" s="176"/>
      <c r="V537" s="176"/>
      <c r="W537" s="176"/>
      <c r="X537" s="176"/>
      <c r="Y537" s="176"/>
      <c r="Z537" s="176"/>
      <c r="AA537" s="176"/>
    </row>
    <row r="538" spans="1:27" ht="15.75" customHeight="1">
      <c r="A538" s="176"/>
      <c r="B538" s="209"/>
      <c r="C538" s="176"/>
      <c r="D538" s="176"/>
      <c r="E538" s="176"/>
      <c r="F538" s="210"/>
      <c r="G538" s="176"/>
      <c r="H538" s="176"/>
      <c r="I538" s="210"/>
      <c r="J538" s="176"/>
      <c r="K538" s="211"/>
      <c r="L538" s="211"/>
      <c r="M538" s="211"/>
      <c r="N538" s="211"/>
      <c r="O538" s="211"/>
      <c r="P538" s="211"/>
      <c r="Q538" s="210"/>
      <c r="R538" s="176"/>
      <c r="S538" s="176"/>
      <c r="T538" s="212"/>
      <c r="U538" s="176"/>
      <c r="V538" s="176"/>
      <c r="W538" s="176"/>
      <c r="X538" s="176"/>
      <c r="Y538" s="176"/>
      <c r="Z538" s="176"/>
      <c r="AA538" s="176"/>
    </row>
    <row r="539" spans="1:27" ht="15.75" customHeight="1">
      <c r="A539" s="176"/>
      <c r="B539" s="209"/>
      <c r="C539" s="176"/>
      <c r="D539" s="176"/>
      <c r="E539" s="176"/>
      <c r="F539" s="210"/>
      <c r="G539" s="176"/>
      <c r="H539" s="176"/>
      <c r="I539" s="210"/>
      <c r="J539" s="176"/>
      <c r="K539" s="211"/>
      <c r="L539" s="211"/>
      <c r="M539" s="211"/>
      <c r="N539" s="211"/>
      <c r="O539" s="211"/>
      <c r="P539" s="211"/>
      <c r="Q539" s="210"/>
      <c r="R539" s="176"/>
      <c r="S539" s="176"/>
      <c r="T539" s="212"/>
      <c r="U539" s="176"/>
      <c r="V539" s="176"/>
      <c r="W539" s="176"/>
      <c r="X539" s="176"/>
      <c r="Y539" s="176"/>
      <c r="Z539" s="176"/>
      <c r="AA539" s="176"/>
    </row>
    <row r="540" spans="1:27" ht="15.75" customHeight="1">
      <c r="A540" s="176"/>
      <c r="B540" s="209"/>
      <c r="C540" s="176"/>
      <c r="D540" s="176"/>
      <c r="E540" s="176"/>
      <c r="F540" s="210"/>
      <c r="G540" s="176"/>
      <c r="H540" s="176"/>
      <c r="I540" s="210"/>
      <c r="J540" s="176"/>
      <c r="K540" s="211"/>
      <c r="L540" s="211"/>
      <c r="M540" s="211"/>
      <c r="N540" s="211"/>
      <c r="O540" s="211"/>
      <c r="P540" s="211"/>
      <c r="Q540" s="210"/>
      <c r="R540" s="176"/>
      <c r="S540" s="176"/>
      <c r="T540" s="212"/>
      <c r="U540" s="176"/>
      <c r="V540" s="176"/>
      <c r="W540" s="176"/>
      <c r="X540" s="176"/>
      <c r="Y540" s="176"/>
      <c r="Z540" s="176"/>
      <c r="AA540" s="176"/>
    </row>
    <row r="541" spans="1:27" ht="15.75" customHeight="1">
      <c r="A541" s="176"/>
      <c r="B541" s="209"/>
      <c r="C541" s="176"/>
      <c r="D541" s="176"/>
      <c r="E541" s="176"/>
      <c r="F541" s="210"/>
      <c r="G541" s="176"/>
      <c r="H541" s="176"/>
      <c r="I541" s="210"/>
      <c r="J541" s="176"/>
      <c r="K541" s="211"/>
      <c r="L541" s="211"/>
      <c r="M541" s="211"/>
      <c r="N541" s="211"/>
      <c r="O541" s="211"/>
      <c r="P541" s="211"/>
      <c r="Q541" s="210"/>
      <c r="R541" s="176"/>
      <c r="S541" s="176"/>
      <c r="T541" s="212"/>
      <c r="U541" s="176"/>
      <c r="V541" s="176"/>
      <c r="W541" s="176"/>
      <c r="X541" s="176"/>
      <c r="Y541" s="176"/>
      <c r="Z541" s="176"/>
      <c r="AA541" s="176"/>
    </row>
    <row r="542" spans="1:27" ht="15.75" customHeight="1">
      <c r="A542" s="176"/>
      <c r="B542" s="209"/>
      <c r="C542" s="176"/>
      <c r="D542" s="176"/>
      <c r="E542" s="176"/>
      <c r="F542" s="210"/>
      <c r="G542" s="176"/>
      <c r="H542" s="176"/>
      <c r="I542" s="210"/>
      <c r="J542" s="176"/>
      <c r="K542" s="211"/>
      <c r="L542" s="211"/>
      <c r="M542" s="211"/>
      <c r="N542" s="211"/>
      <c r="O542" s="211"/>
      <c r="P542" s="211"/>
      <c r="Q542" s="210"/>
      <c r="R542" s="176"/>
      <c r="S542" s="176"/>
      <c r="T542" s="212"/>
      <c r="U542" s="176"/>
      <c r="V542" s="176"/>
      <c r="W542" s="176"/>
      <c r="X542" s="176"/>
      <c r="Y542" s="176"/>
      <c r="Z542" s="176"/>
      <c r="AA542" s="176"/>
    </row>
    <row r="543" spans="1:27" ht="15.75" customHeight="1">
      <c r="A543" s="176"/>
      <c r="B543" s="209"/>
      <c r="C543" s="176"/>
      <c r="D543" s="176"/>
      <c r="E543" s="176"/>
      <c r="F543" s="210"/>
      <c r="G543" s="176"/>
      <c r="H543" s="176"/>
      <c r="I543" s="210"/>
      <c r="J543" s="176"/>
      <c r="K543" s="211"/>
      <c r="L543" s="211"/>
      <c r="M543" s="211"/>
      <c r="N543" s="211"/>
      <c r="O543" s="211"/>
      <c r="P543" s="211"/>
      <c r="Q543" s="210"/>
      <c r="R543" s="176"/>
      <c r="S543" s="176"/>
      <c r="T543" s="212"/>
      <c r="U543" s="176"/>
      <c r="V543" s="176"/>
      <c r="W543" s="176"/>
      <c r="X543" s="176"/>
      <c r="Y543" s="176"/>
      <c r="Z543" s="176"/>
      <c r="AA543" s="176"/>
    </row>
    <row r="544" spans="1:27" ht="15.75" customHeight="1">
      <c r="A544" s="176"/>
      <c r="B544" s="209"/>
      <c r="C544" s="176"/>
      <c r="D544" s="176"/>
      <c r="E544" s="176"/>
      <c r="F544" s="210"/>
      <c r="G544" s="176"/>
      <c r="H544" s="176"/>
      <c r="I544" s="210"/>
      <c r="J544" s="176"/>
      <c r="K544" s="211"/>
      <c r="L544" s="211"/>
      <c r="M544" s="211"/>
      <c r="N544" s="211"/>
      <c r="O544" s="211"/>
      <c r="P544" s="211"/>
      <c r="Q544" s="210"/>
      <c r="R544" s="176"/>
      <c r="S544" s="176"/>
      <c r="T544" s="212"/>
      <c r="U544" s="176"/>
      <c r="V544" s="176"/>
      <c r="W544" s="176"/>
      <c r="X544" s="176"/>
      <c r="Y544" s="176"/>
      <c r="Z544" s="176"/>
      <c r="AA544" s="176"/>
    </row>
    <row r="545" spans="1:27" ht="15.75" customHeight="1">
      <c r="A545" s="176"/>
      <c r="B545" s="209"/>
      <c r="C545" s="176"/>
      <c r="D545" s="176"/>
      <c r="E545" s="176"/>
      <c r="F545" s="210"/>
      <c r="G545" s="176"/>
      <c r="H545" s="176"/>
      <c r="I545" s="210"/>
      <c r="J545" s="176"/>
      <c r="K545" s="211"/>
      <c r="L545" s="211"/>
      <c r="M545" s="211"/>
      <c r="N545" s="211"/>
      <c r="O545" s="211"/>
      <c r="P545" s="211"/>
      <c r="Q545" s="210"/>
      <c r="R545" s="176"/>
      <c r="S545" s="176"/>
      <c r="T545" s="212"/>
      <c r="U545" s="176"/>
      <c r="V545" s="176"/>
      <c r="W545" s="176"/>
      <c r="X545" s="176"/>
      <c r="Y545" s="176"/>
      <c r="Z545" s="176"/>
      <c r="AA545" s="176"/>
    </row>
    <row r="546" spans="1:27" ht="15.75" customHeight="1">
      <c r="A546" s="176"/>
      <c r="B546" s="209"/>
      <c r="C546" s="176"/>
      <c r="D546" s="176"/>
      <c r="E546" s="176"/>
      <c r="F546" s="210"/>
      <c r="G546" s="176"/>
      <c r="H546" s="176"/>
      <c r="I546" s="210"/>
      <c r="J546" s="176"/>
      <c r="K546" s="211"/>
      <c r="L546" s="211"/>
      <c r="M546" s="211"/>
      <c r="N546" s="211"/>
      <c r="O546" s="211"/>
      <c r="P546" s="211"/>
      <c r="Q546" s="210"/>
      <c r="R546" s="176"/>
      <c r="S546" s="176"/>
      <c r="T546" s="212"/>
      <c r="U546" s="176"/>
      <c r="V546" s="176"/>
      <c r="W546" s="176"/>
      <c r="X546" s="176"/>
      <c r="Y546" s="176"/>
      <c r="Z546" s="176"/>
      <c r="AA546" s="176"/>
    </row>
    <row r="547" spans="1:27" ht="15.75" customHeight="1">
      <c r="A547" s="176"/>
      <c r="B547" s="209"/>
      <c r="C547" s="176"/>
      <c r="D547" s="176"/>
      <c r="E547" s="176"/>
      <c r="F547" s="210"/>
      <c r="G547" s="176"/>
      <c r="H547" s="176"/>
      <c r="I547" s="210"/>
      <c r="J547" s="176"/>
      <c r="K547" s="211"/>
      <c r="L547" s="211"/>
      <c r="M547" s="211"/>
      <c r="N547" s="211"/>
      <c r="O547" s="211"/>
      <c r="P547" s="211"/>
      <c r="Q547" s="210"/>
      <c r="R547" s="176"/>
      <c r="S547" s="176"/>
      <c r="T547" s="212"/>
      <c r="U547" s="176"/>
      <c r="V547" s="176"/>
      <c r="W547" s="176"/>
      <c r="X547" s="176"/>
      <c r="Y547" s="176"/>
      <c r="Z547" s="176"/>
      <c r="AA547" s="176"/>
    </row>
    <row r="548" spans="1:27" ht="15.75" customHeight="1">
      <c r="A548" s="176"/>
      <c r="B548" s="209"/>
      <c r="C548" s="176"/>
      <c r="D548" s="176"/>
      <c r="E548" s="176"/>
      <c r="F548" s="210"/>
      <c r="G548" s="176"/>
      <c r="H548" s="176"/>
      <c r="I548" s="210"/>
      <c r="J548" s="176"/>
      <c r="K548" s="211"/>
      <c r="L548" s="211"/>
      <c r="M548" s="211"/>
      <c r="N548" s="211"/>
      <c r="O548" s="211"/>
      <c r="P548" s="211"/>
      <c r="Q548" s="210"/>
      <c r="R548" s="176"/>
      <c r="S548" s="176"/>
      <c r="T548" s="212"/>
      <c r="U548" s="176"/>
      <c r="V548" s="176"/>
      <c r="W548" s="176"/>
      <c r="X548" s="176"/>
      <c r="Y548" s="176"/>
      <c r="Z548" s="176"/>
      <c r="AA548" s="176"/>
    </row>
    <row r="549" spans="1:27" ht="15.75" customHeight="1">
      <c r="A549" s="176"/>
      <c r="B549" s="209"/>
      <c r="C549" s="176"/>
      <c r="D549" s="176"/>
      <c r="E549" s="176"/>
      <c r="F549" s="210"/>
      <c r="G549" s="176"/>
      <c r="H549" s="176"/>
      <c r="I549" s="210"/>
      <c r="J549" s="176"/>
      <c r="K549" s="211"/>
      <c r="L549" s="211"/>
      <c r="M549" s="211"/>
      <c r="N549" s="211"/>
      <c r="O549" s="211"/>
      <c r="P549" s="211"/>
      <c r="Q549" s="210"/>
      <c r="R549" s="176"/>
      <c r="S549" s="176"/>
      <c r="T549" s="212"/>
      <c r="U549" s="176"/>
      <c r="V549" s="176"/>
      <c r="W549" s="176"/>
      <c r="X549" s="176"/>
      <c r="Y549" s="176"/>
      <c r="Z549" s="176"/>
      <c r="AA549" s="176"/>
    </row>
    <row r="550" spans="1:27" ht="15.75" customHeight="1">
      <c r="A550" s="176"/>
      <c r="B550" s="209"/>
      <c r="C550" s="176"/>
      <c r="D550" s="176"/>
      <c r="E550" s="176"/>
      <c r="F550" s="210"/>
      <c r="G550" s="176"/>
      <c r="H550" s="176"/>
      <c r="I550" s="210"/>
      <c r="J550" s="176"/>
      <c r="K550" s="211"/>
      <c r="L550" s="211"/>
      <c r="M550" s="211"/>
      <c r="N550" s="211"/>
      <c r="O550" s="211"/>
      <c r="P550" s="211"/>
      <c r="Q550" s="210"/>
      <c r="R550" s="176"/>
      <c r="S550" s="176"/>
      <c r="T550" s="212"/>
      <c r="U550" s="176"/>
      <c r="V550" s="176"/>
      <c r="W550" s="176"/>
      <c r="X550" s="176"/>
      <c r="Y550" s="176"/>
      <c r="Z550" s="176"/>
      <c r="AA550" s="176"/>
    </row>
    <row r="551" spans="1:27" ht="15.75" customHeight="1">
      <c r="A551" s="176"/>
      <c r="B551" s="209"/>
      <c r="C551" s="176"/>
      <c r="D551" s="176"/>
      <c r="E551" s="176"/>
      <c r="F551" s="210"/>
      <c r="G551" s="176"/>
      <c r="H551" s="176"/>
      <c r="I551" s="210"/>
      <c r="J551" s="176"/>
      <c r="K551" s="211"/>
      <c r="L551" s="211"/>
      <c r="M551" s="211"/>
      <c r="N551" s="211"/>
      <c r="O551" s="211"/>
      <c r="P551" s="211"/>
      <c r="Q551" s="210"/>
      <c r="R551" s="176"/>
      <c r="S551" s="176"/>
      <c r="T551" s="212"/>
      <c r="U551" s="176"/>
      <c r="V551" s="176"/>
      <c r="W551" s="176"/>
      <c r="X551" s="176"/>
      <c r="Y551" s="176"/>
      <c r="Z551" s="176"/>
      <c r="AA551" s="176"/>
    </row>
    <row r="552" spans="1:27" ht="15.75" customHeight="1">
      <c r="A552" s="176"/>
      <c r="B552" s="209"/>
      <c r="C552" s="176"/>
      <c r="D552" s="176"/>
      <c r="E552" s="176"/>
      <c r="F552" s="210"/>
      <c r="G552" s="176"/>
      <c r="H552" s="176"/>
      <c r="I552" s="210"/>
      <c r="J552" s="176"/>
      <c r="K552" s="211"/>
      <c r="L552" s="211"/>
      <c r="M552" s="211"/>
      <c r="N552" s="211"/>
      <c r="O552" s="211"/>
      <c r="P552" s="211"/>
      <c r="Q552" s="210"/>
      <c r="R552" s="176"/>
      <c r="S552" s="176"/>
      <c r="T552" s="212"/>
      <c r="U552" s="176"/>
      <c r="V552" s="176"/>
      <c r="W552" s="176"/>
      <c r="X552" s="176"/>
      <c r="Y552" s="176"/>
      <c r="Z552" s="176"/>
      <c r="AA552" s="176"/>
    </row>
    <row r="553" spans="1:27" ht="15.75" customHeight="1">
      <c r="A553" s="176"/>
      <c r="B553" s="209"/>
      <c r="C553" s="176"/>
      <c r="D553" s="176"/>
      <c r="E553" s="176"/>
      <c r="F553" s="210"/>
      <c r="G553" s="176"/>
      <c r="H553" s="176"/>
      <c r="I553" s="210"/>
      <c r="J553" s="176"/>
      <c r="K553" s="211"/>
      <c r="L553" s="211"/>
      <c r="M553" s="211"/>
      <c r="N553" s="211"/>
      <c r="O553" s="211"/>
      <c r="P553" s="211"/>
      <c r="Q553" s="210"/>
      <c r="R553" s="176"/>
      <c r="S553" s="176"/>
      <c r="T553" s="212"/>
      <c r="U553" s="176"/>
      <c r="V553" s="176"/>
      <c r="W553" s="176"/>
      <c r="X553" s="176"/>
      <c r="Y553" s="176"/>
      <c r="Z553" s="176"/>
      <c r="AA553" s="176"/>
    </row>
    <row r="554" spans="1:27" ht="15.75" customHeight="1">
      <c r="A554" s="176"/>
      <c r="B554" s="209"/>
      <c r="C554" s="176"/>
      <c r="D554" s="176"/>
      <c r="E554" s="176"/>
      <c r="F554" s="210"/>
      <c r="G554" s="176"/>
      <c r="H554" s="176"/>
      <c r="I554" s="210"/>
      <c r="J554" s="176"/>
      <c r="K554" s="211"/>
      <c r="L554" s="211"/>
      <c r="M554" s="211"/>
      <c r="N554" s="211"/>
      <c r="O554" s="211"/>
      <c r="P554" s="211"/>
      <c r="Q554" s="210"/>
      <c r="R554" s="176"/>
      <c r="S554" s="176"/>
      <c r="T554" s="212"/>
      <c r="U554" s="176"/>
      <c r="V554" s="176"/>
      <c r="W554" s="176"/>
      <c r="X554" s="176"/>
      <c r="Y554" s="176"/>
      <c r="Z554" s="176"/>
      <c r="AA554" s="176"/>
    </row>
    <row r="555" spans="1:27" ht="15.75" customHeight="1">
      <c r="A555" s="176"/>
      <c r="B555" s="209"/>
      <c r="C555" s="176"/>
      <c r="D555" s="176"/>
      <c r="E555" s="176"/>
      <c r="F555" s="210"/>
      <c r="G555" s="176"/>
      <c r="H555" s="176"/>
      <c r="I555" s="210"/>
      <c r="J555" s="176"/>
      <c r="K555" s="211"/>
      <c r="L555" s="211"/>
      <c r="M555" s="211"/>
      <c r="N555" s="211"/>
      <c r="O555" s="211"/>
      <c r="P555" s="211"/>
      <c r="Q555" s="210"/>
      <c r="R555" s="176"/>
      <c r="S555" s="176"/>
      <c r="T555" s="212"/>
      <c r="U555" s="176"/>
      <c r="V555" s="176"/>
      <c r="W555" s="176"/>
      <c r="X555" s="176"/>
      <c r="Y555" s="176"/>
      <c r="Z555" s="176"/>
      <c r="AA555" s="176"/>
    </row>
    <row r="556" spans="1:27" ht="15.75" customHeight="1">
      <c r="A556" s="176"/>
      <c r="B556" s="209"/>
      <c r="C556" s="176"/>
      <c r="D556" s="176"/>
      <c r="E556" s="176"/>
      <c r="F556" s="210"/>
      <c r="G556" s="176"/>
      <c r="H556" s="176"/>
      <c r="I556" s="210"/>
      <c r="J556" s="176"/>
      <c r="K556" s="211"/>
      <c r="L556" s="211"/>
      <c r="M556" s="211"/>
      <c r="N556" s="211"/>
      <c r="O556" s="211"/>
      <c r="P556" s="211"/>
      <c r="Q556" s="210"/>
      <c r="R556" s="176"/>
      <c r="S556" s="176"/>
      <c r="T556" s="212"/>
      <c r="U556" s="176"/>
      <c r="V556" s="176"/>
      <c r="W556" s="176"/>
      <c r="X556" s="176"/>
      <c r="Y556" s="176"/>
      <c r="Z556" s="176"/>
      <c r="AA556" s="176"/>
    </row>
    <row r="557" spans="1:27" ht="15.75" customHeight="1">
      <c r="A557" s="176"/>
      <c r="B557" s="209"/>
      <c r="C557" s="176"/>
      <c r="D557" s="176"/>
      <c r="E557" s="176"/>
      <c r="F557" s="210"/>
      <c r="G557" s="176"/>
      <c r="H557" s="176"/>
      <c r="I557" s="210"/>
      <c r="J557" s="176"/>
      <c r="K557" s="211"/>
      <c r="L557" s="211"/>
      <c r="M557" s="211"/>
      <c r="N557" s="211"/>
      <c r="O557" s="211"/>
      <c r="P557" s="211"/>
      <c r="Q557" s="210"/>
      <c r="R557" s="176"/>
      <c r="S557" s="176"/>
      <c r="T557" s="212"/>
      <c r="U557" s="176"/>
      <c r="V557" s="176"/>
      <c r="W557" s="176"/>
      <c r="X557" s="176"/>
      <c r="Y557" s="176"/>
      <c r="Z557" s="176"/>
      <c r="AA557" s="176"/>
    </row>
    <row r="558" spans="1:27" ht="15.75" customHeight="1">
      <c r="A558" s="176"/>
      <c r="B558" s="209"/>
      <c r="C558" s="176"/>
      <c r="D558" s="176"/>
      <c r="E558" s="176"/>
      <c r="F558" s="210"/>
      <c r="G558" s="176"/>
      <c r="H558" s="176"/>
      <c r="I558" s="210"/>
      <c r="J558" s="176"/>
      <c r="K558" s="211"/>
      <c r="L558" s="211"/>
      <c r="M558" s="211"/>
      <c r="N558" s="211"/>
      <c r="O558" s="211"/>
      <c r="P558" s="211"/>
      <c r="Q558" s="210"/>
      <c r="R558" s="176"/>
      <c r="S558" s="176"/>
      <c r="T558" s="212"/>
      <c r="U558" s="176"/>
      <c r="V558" s="176"/>
      <c r="W558" s="176"/>
      <c r="X558" s="176"/>
      <c r="Y558" s="176"/>
      <c r="Z558" s="176"/>
      <c r="AA558" s="176"/>
    </row>
    <row r="559" spans="1:27" ht="15.75" customHeight="1">
      <c r="A559" s="176"/>
      <c r="B559" s="209"/>
      <c r="C559" s="176"/>
      <c r="D559" s="176"/>
      <c r="E559" s="176"/>
      <c r="F559" s="210"/>
      <c r="G559" s="176"/>
      <c r="H559" s="176"/>
      <c r="I559" s="210"/>
      <c r="J559" s="176"/>
      <c r="K559" s="211"/>
      <c r="L559" s="211"/>
      <c r="M559" s="211"/>
      <c r="N559" s="211"/>
      <c r="O559" s="211"/>
      <c r="P559" s="211"/>
      <c r="Q559" s="210"/>
      <c r="R559" s="176"/>
      <c r="S559" s="176"/>
      <c r="T559" s="212"/>
      <c r="U559" s="176"/>
      <c r="V559" s="176"/>
      <c r="W559" s="176"/>
      <c r="X559" s="176"/>
      <c r="Y559" s="176"/>
      <c r="Z559" s="176"/>
      <c r="AA559" s="176"/>
    </row>
    <row r="560" spans="1:27" ht="15.75" customHeight="1">
      <c r="A560" s="176"/>
      <c r="B560" s="209"/>
      <c r="C560" s="176"/>
      <c r="D560" s="176"/>
      <c r="E560" s="176"/>
      <c r="F560" s="210"/>
      <c r="G560" s="176"/>
      <c r="H560" s="176"/>
      <c r="I560" s="210"/>
      <c r="J560" s="176"/>
      <c r="K560" s="211"/>
      <c r="L560" s="211"/>
      <c r="M560" s="211"/>
      <c r="N560" s="211"/>
      <c r="O560" s="211"/>
      <c r="P560" s="211"/>
      <c r="Q560" s="210"/>
      <c r="R560" s="176"/>
      <c r="S560" s="176"/>
      <c r="T560" s="212"/>
      <c r="U560" s="176"/>
      <c r="V560" s="176"/>
      <c r="W560" s="176"/>
      <c r="X560" s="176"/>
      <c r="Y560" s="176"/>
      <c r="Z560" s="176"/>
      <c r="AA560" s="176"/>
    </row>
    <row r="561" spans="1:27" ht="15.75" customHeight="1">
      <c r="A561" s="176"/>
      <c r="B561" s="209"/>
      <c r="C561" s="176"/>
      <c r="D561" s="176"/>
      <c r="E561" s="176"/>
      <c r="F561" s="210"/>
      <c r="G561" s="176"/>
      <c r="H561" s="176"/>
      <c r="I561" s="210"/>
      <c r="J561" s="176"/>
      <c r="K561" s="211"/>
      <c r="L561" s="211"/>
      <c r="M561" s="211"/>
      <c r="N561" s="211"/>
      <c r="O561" s="211"/>
      <c r="P561" s="211"/>
      <c r="Q561" s="210"/>
      <c r="R561" s="176"/>
      <c r="S561" s="176"/>
      <c r="T561" s="212"/>
      <c r="U561" s="176"/>
      <c r="V561" s="176"/>
      <c r="W561" s="176"/>
      <c r="X561" s="176"/>
      <c r="Y561" s="176"/>
      <c r="Z561" s="176"/>
      <c r="AA561" s="176"/>
    </row>
    <row r="562" spans="1:27" ht="15.75" customHeight="1">
      <c r="A562" s="176"/>
      <c r="B562" s="209"/>
      <c r="C562" s="176"/>
      <c r="D562" s="176"/>
      <c r="E562" s="176"/>
      <c r="F562" s="210"/>
      <c r="G562" s="176"/>
      <c r="H562" s="176"/>
      <c r="I562" s="210"/>
      <c r="J562" s="176"/>
      <c r="K562" s="211"/>
      <c r="L562" s="211"/>
      <c r="M562" s="211"/>
      <c r="N562" s="211"/>
      <c r="O562" s="211"/>
      <c r="P562" s="211"/>
      <c r="Q562" s="210"/>
      <c r="R562" s="176"/>
      <c r="S562" s="176"/>
      <c r="T562" s="212"/>
      <c r="U562" s="176"/>
      <c r="V562" s="176"/>
      <c r="W562" s="176"/>
      <c r="X562" s="176"/>
      <c r="Y562" s="176"/>
      <c r="Z562" s="176"/>
      <c r="AA562" s="176"/>
    </row>
    <row r="563" spans="1:27" ht="15.75" customHeight="1">
      <c r="A563" s="176"/>
      <c r="B563" s="209"/>
      <c r="C563" s="176"/>
      <c r="D563" s="176"/>
      <c r="E563" s="176"/>
      <c r="F563" s="210"/>
      <c r="G563" s="176"/>
      <c r="H563" s="176"/>
      <c r="I563" s="210"/>
      <c r="J563" s="176"/>
      <c r="K563" s="211"/>
      <c r="L563" s="211"/>
      <c r="M563" s="211"/>
      <c r="N563" s="211"/>
      <c r="O563" s="211"/>
      <c r="P563" s="211"/>
      <c r="Q563" s="210"/>
      <c r="R563" s="176"/>
      <c r="S563" s="176"/>
      <c r="T563" s="212"/>
      <c r="U563" s="176"/>
      <c r="V563" s="176"/>
      <c r="W563" s="176"/>
      <c r="X563" s="176"/>
      <c r="Y563" s="176"/>
      <c r="Z563" s="176"/>
      <c r="AA563" s="176"/>
    </row>
    <row r="564" spans="1:27" ht="15.75" customHeight="1">
      <c r="A564" s="176"/>
      <c r="B564" s="209"/>
      <c r="C564" s="176"/>
      <c r="D564" s="176"/>
      <c r="E564" s="176"/>
      <c r="F564" s="210"/>
      <c r="G564" s="176"/>
      <c r="H564" s="176"/>
      <c r="I564" s="210"/>
      <c r="J564" s="176"/>
      <c r="K564" s="211"/>
      <c r="L564" s="211"/>
      <c r="M564" s="211"/>
      <c r="N564" s="211"/>
      <c r="O564" s="211"/>
      <c r="P564" s="211"/>
      <c r="Q564" s="210"/>
      <c r="R564" s="176"/>
      <c r="S564" s="176"/>
      <c r="T564" s="212"/>
      <c r="U564" s="176"/>
      <c r="V564" s="176"/>
      <c r="W564" s="176"/>
      <c r="X564" s="176"/>
      <c r="Y564" s="176"/>
      <c r="Z564" s="176"/>
      <c r="AA564" s="176"/>
    </row>
    <row r="565" spans="1:27" ht="15.75" customHeight="1">
      <c r="A565" s="176"/>
      <c r="B565" s="209"/>
      <c r="C565" s="176"/>
      <c r="D565" s="176"/>
      <c r="E565" s="176"/>
      <c r="F565" s="210"/>
      <c r="G565" s="176"/>
      <c r="H565" s="176"/>
      <c r="I565" s="210"/>
      <c r="J565" s="176"/>
      <c r="K565" s="211"/>
      <c r="L565" s="211"/>
      <c r="M565" s="211"/>
      <c r="N565" s="211"/>
      <c r="O565" s="211"/>
      <c r="P565" s="211"/>
      <c r="Q565" s="210"/>
      <c r="R565" s="176"/>
      <c r="S565" s="176"/>
      <c r="T565" s="212"/>
      <c r="U565" s="176"/>
      <c r="V565" s="176"/>
      <c r="W565" s="176"/>
      <c r="X565" s="176"/>
      <c r="Y565" s="176"/>
      <c r="Z565" s="176"/>
      <c r="AA565" s="176"/>
    </row>
    <row r="566" spans="1:27" ht="15.75" customHeight="1">
      <c r="A566" s="176"/>
      <c r="B566" s="209"/>
      <c r="C566" s="176"/>
      <c r="D566" s="176"/>
      <c r="E566" s="176"/>
      <c r="F566" s="210"/>
      <c r="G566" s="176"/>
      <c r="H566" s="176"/>
      <c r="I566" s="210"/>
      <c r="J566" s="176"/>
      <c r="K566" s="211"/>
      <c r="L566" s="211"/>
      <c r="M566" s="211"/>
      <c r="N566" s="211"/>
      <c r="O566" s="211"/>
      <c r="P566" s="211"/>
      <c r="Q566" s="210"/>
      <c r="R566" s="176"/>
      <c r="S566" s="176"/>
      <c r="T566" s="212"/>
      <c r="U566" s="176"/>
      <c r="V566" s="176"/>
      <c r="W566" s="176"/>
      <c r="X566" s="176"/>
      <c r="Y566" s="176"/>
      <c r="Z566" s="176"/>
      <c r="AA566" s="176"/>
    </row>
    <row r="567" spans="1:27" ht="15.75" customHeight="1">
      <c r="A567" s="176"/>
      <c r="B567" s="209"/>
      <c r="C567" s="176"/>
      <c r="D567" s="176"/>
      <c r="E567" s="176"/>
      <c r="F567" s="210"/>
      <c r="G567" s="176"/>
      <c r="H567" s="176"/>
      <c r="I567" s="210"/>
      <c r="J567" s="176"/>
      <c r="K567" s="211"/>
      <c r="L567" s="211"/>
      <c r="M567" s="211"/>
      <c r="N567" s="211"/>
      <c r="O567" s="211"/>
      <c r="P567" s="211"/>
      <c r="Q567" s="210"/>
      <c r="R567" s="176"/>
      <c r="S567" s="176"/>
      <c r="T567" s="212"/>
      <c r="U567" s="176"/>
      <c r="V567" s="176"/>
      <c r="W567" s="176"/>
      <c r="X567" s="176"/>
      <c r="Y567" s="176"/>
      <c r="Z567" s="176"/>
      <c r="AA567" s="176"/>
    </row>
    <row r="568" spans="1:27" ht="15.75" customHeight="1">
      <c r="A568" s="176"/>
      <c r="B568" s="209"/>
      <c r="C568" s="176"/>
      <c r="D568" s="176"/>
      <c r="E568" s="176"/>
      <c r="F568" s="210"/>
      <c r="G568" s="176"/>
      <c r="H568" s="176"/>
      <c r="I568" s="210"/>
      <c r="J568" s="176"/>
      <c r="K568" s="211"/>
      <c r="L568" s="211"/>
      <c r="M568" s="211"/>
      <c r="N568" s="211"/>
      <c r="O568" s="211"/>
      <c r="P568" s="211"/>
      <c r="Q568" s="210"/>
      <c r="R568" s="176"/>
      <c r="S568" s="176"/>
      <c r="T568" s="212"/>
      <c r="U568" s="176"/>
      <c r="V568" s="176"/>
      <c r="W568" s="176"/>
      <c r="X568" s="176"/>
      <c r="Y568" s="176"/>
      <c r="Z568" s="176"/>
      <c r="AA568" s="176"/>
    </row>
    <row r="569" spans="1:27" ht="15.75" customHeight="1">
      <c r="A569" s="176"/>
      <c r="B569" s="209"/>
      <c r="C569" s="176"/>
      <c r="D569" s="176"/>
      <c r="E569" s="176"/>
      <c r="F569" s="210"/>
      <c r="G569" s="176"/>
      <c r="H569" s="176"/>
      <c r="I569" s="210"/>
      <c r="J569" s="176"/>
      <c r="K569" s="211"/>
      <c r="L569" s="211"/>
      <c r="M569" s="211"/>
      <c r="N569" s="211"/>
      <c r="O569" s="211"/>
      <c r="P569" s="211"/>
      <c r="Q569" s="210"/>
      <c r="R569" s="176"/>
      <c r="S569" s="176"/>
      <c r="T569" s="212"/>
      <c r="U569" s="176"/>
      <c r="V569" s="176"/>
      <c r="W569" s="176"/>
      <c r="X569" s="176"/>
      <c r="Y569" s="176"/>
      <c r="Z569" s="176"/>
      <c r="AA569" s="176"/>
    </row>
    <row r="570" spans="1:27" ht="15.75" customHeight="1">
      <c r="A570" s="176"/>
      <c r="B570" s="209"/>
      <c r="C570" s="176"/>
      <c r="D570" s="176"/>
      <c r="E570" s="176"/>
      <c r="F570" s="210"/>
      <c r="G570" s="176"/>
      <c r="H570" s="176"/>
      <c r="I570" s="210"/>
      <c r="J570" s="176"/>
      <c r="K570" s="211"/>
      <c r="L570" s="211"/>
      <c r="M570" s="211"/>
      <c r="N570" s="211"/>
      <c r="O570" s="211"/>
      <c r="P570" s="211"/>
      <c r="Q570" s="210"/>
      <c r="R570" s="176"/>
      <c r="S570" s="176"/>
      <c r="T570" s="212"/>
      <c r="U570" s="176"/>
      <c r="V570" s="176"/>
      <c r="W570" s="176"/>
      <c r="X570" s="176"/>
      <c r="Y570" s="176"/>
      <c r="Z570" s="176"/>
      <c r="AA570" s="176"/>
    </row>
    <row r="571" spans="1:27" ht="15.75" customHeight="1">
      <c r="A571" s="176"/>
      <c r="B571" s="209"/>
      <c r="C571" s="176"/>
      <c r="D571" s="176"/>
      <c r="E571" s="176"/>
      <c r="F571" s="210"/>
      <c r="G571" s="176"/>
      <c r="H571" s="176"/>
      <c r="I571" s="210"/>
      <c r="J571" s="176"/>
      <c r="K571" s="211"/>
      <c r="L571" s="211"/>
      <c r="M571" s="211"/>
      <c r="N571" s="211"/>
      <c r="O571" s="211"/>
      <c r="P571" s="211"/>
      <c r="Q571" s="210"/>
      <c r="R571" s="176"/>
      <c r="S571" s="176"/>
      <c r="T571" s="212"/>
      <c r="U571" s="176"/>
      <c r="V571" s="176"/>
      <c r="W571" s="176"/>
      <c r="X571" s="176"/>
      <c r="Y571" s="176"/>
      <c r="Z571" s="176"/>
      <c r="AA571" s="176"/>
    </row>
    <row r="572" spans="1:27" ht="15.75" customHeight="1">
      <c r="A572" s="176"/>
      <c r="B572" s="209"/>
      <c r="C572" s="176"/>
      <c r="D572" s="176"/>
      <c r="E572" s="176"/>
      <c r="F572" s="210"/>
      <c r="G572" s="176"/>
      <c r="H572" s="176"/>
      <c r="I572" s="210"/>
      <c r="J572" s="176"/>
      <c r="K572" s="211"/>
      <c r="L572" s="211"/>
      <c r="M572" s="211"/>
      <c r="N572" s="211"/>
      <c r="O572" s="211"/>
      <c r="P572" s="211"/>
      <c r="Q572" s="210"/>
      <c r="R572" s="176"/>
      <c r="S572" s="176"/>
      <c r="T572" s="212"/>
      <c r="U572" s="176"/>
      <c r="V572" s="176"/>
      <c r="W572" s="176"/>
      <c r="X572" s="176"/>
      <c r="Y572" s="176"/>
      <c r="Z572" s="176"/>
      <c r="AA572" s="176"/>
    </row>
    <row r="573" spans="1:27" ht="15.75" customHeight="1">
      <c r="A573" s="176"/>
      <c r="B573" s="209"/>
      <c r="C573" s="176"/>
      <c r="D573" s="176"/>
      <c r="E573" s="176"/>
      <c r="F573" s="210"/>
      <c r="G573" s="176"/>
      <c r="H573" s="176"/>
      <c r="I573" s="210"/>
      <c r="J573" s="176"/>
      <c r="K573" s="211"/>
      <c r="L573" s="211"/>
      <c r="M573" s="211"/>
      <c r="N573" s="211"/>
      <c r="O573" s="211"/>
      <c r="P573" s="211"/>
      <c r="Q573" s="210"/>
      <c r="R573" s="176"/>
      <c r="S573" s="176"/>
      <c r="T573" s="212"/>
      <c r="U573" s="176"/>
      <c r="V573" s="176"/>
      <c r="W573" s="176"/>
      <c r="X573" s="176"/>
      <c r="Y573" s="176"/>
      <c r="Z573" s="176"/>
      <c r="AA573" s="176"/>
    </row>
    <row r="574" spans="1:27" ht="15.75" customHeight="1">
      <c r="A574" s="176"/>
      <c r="B574" s="209"/>
      <c r="C574" s="176"/>
      <c r="D574" s="176"/>
      <c r="E574" s="176"/>
      <c r="F574" s="210"/>
      <c r="G574" s="176"/>
      <c r="H574" s="176"/>
      <c r="I574" s="210"/>
      <c r="J574" s="176"/>
      <c r="K574" s="211"/>
      <c r="L574" s="211"/>
      <c r="M574" s="211"/>
      <c r="N574" s="211"/>
      <c r="O574" s="211"/>
      <c r="P574" s="211"/>
      <c r="Q574" s="210"/>
      <c r="R574" s="176"/>
      <c r="S574" s="176"/>
      <c r="T574" s="212"/>
      <c r="U574" s="176"/>
      <c r="V574" s="176"/>
      <c r="W574" s="176"/>
      <c r="X574" s="176"/>
      <c r="Y574" s="176"/>
      <c r="Z574" s="176"/>
      <c r="AA574" s="176"/>
    </row>
    <row r="575" spans="1:27" ht="15.75" customHeight="1">
      <c r="A575" s="176"/>
      <c r="B575" s="209"/>
      <c r="C575" s="176"/>
      <c r="D575" s="176"/>
      <c r="E575" s="176"/>
      <c r="F575" s="210"/>
      <c r="G575" s="176"/>
      <c r="H575" s="176"/>
      <c r="I575" s="210"/>
      <c r="J575" s="176"/>
      <c r="K575" s="211"/>
      <c r="L575" s="211"/>
      <c r="M575" s="211"/>
      <c r="N575" s="211"/>
      <c r="O575" s="211"/>
      <c r="P575" s="211"/>
      <c r="Q575" s="210"/>
      <c r="R575" s="176"/>
      <c r="S575" s="176"/>
      <c r="T575" s="212"/>
      <c r="U575" s="176"/>
      <c r="V575" s="176"/>
      <c r="W575" s="176"/>
      <c r="X575" s="176"/>
      <c r="Y575" s="176"/>
      <c r="Z575" s="176"/>
      <c r="AA575" s="176"/>
    </row>
    <row r="576" spans="1:27" ht="15.75" customHeight="1">
      <c r="A576" s="176"/>
      <c r="B576" s="209"/>
      <c r="C576" s="176"/>
      <c r="D576" s="176"/>
      <c r="E576" s="176"/>
      <c r="F576" s="210"/>
      <c r="G576" s="176"/>
      <c r="H576" s="176"/>
      <c r="I576" s="210"/>
      <c r="J576" s="176"/>
      <c r="K576" s="211"/>
      <c r="L576" s="211"/>
      <c r="M576" s="211"/>
      <c r="N576" s="211"/>
      <c r="O576" s="211"/>
      <c r="P576" s="211"/>
      <c r="Q576" s="210"/>
      <c r="R576" s="176"/>
      <c r="S576" s="176"/>
      <c r="T576" s="212"/>
      <c r="U576" s="176"/>
      <c r="V576" s="176"/>
      <c r="W576" s="176"/>
      <c r="X576" s="176"/>
      <c r="Y576" s="176"/>
      <c r="Z576" s="176"/>
      <c r="AA576" s="176"/>
    </row>
    <row r="577" spans="1:27" ht="15.75" customHeight="1">
      <c r="A577" s="176"/>
      <c r="B577" s="209"/>
      <c r="C577" s="176"/>
      <c r="D577" s="176"/>
      <c r="E577" s="176"/>
      <c r="F577" s="210"/>
      <c r="G577" s="176"/>
      <c r="H577" s="176"/>
      <c r="I577" s="210"/>
      <c r="J577" s="176"/>
      <c r="K577" s="211"/>
      <c r="L577" s="211"/>
      <c r="M577" s="211"/>
      <c r="N577" s="211"/>
      <c r="O577" s="211"/>
      <c r="P577" s="211"/>
      <c r="Q577" s="210"/>
      <c r="R577" s="176"/>
      <c r="S577" s="176"/>
      <c r="T577" s="212"/>
      <c r="U577" s="176"/>
      <c r="V577" s="176"/>
      <c r="W577" s="176"/>
      <c r="X577" s="176"/>
      <c r="Y577" s="176"/>
      <c r="Z577" s="176"/>
      <c r="AA577" s="176"/>
    </row>
    <row r="578" spans="1:27" ht="15.75" customHeight="1">
      <c r="A578" s="176"/>
      <c r="B578" s="209"/>
      <c r="C578" s="176"/>
      <c r="D578" s="176"/>
      <c r="E578" s="176"/>
      <c r="F578" s="210"/>
      <c r="G578" s="176"/>
      <c r="H578" s="176"/>
      <c r="I578" s="210"/>
      <c r="J578" s="176"/>
      <c r="K578" s="211"/>
      <c r="L578" s="211"/>
      <c r="M578" s="211"/>
      <c r="N578" s="211"/>
      <c r="O578" s="211"/>
      <c r="P578" s="211"/>
      <c r="Q578" s="210"/>
      <c r="R578" s="176"/>
      <c r="S578" s="176"/>
      <c r="T578" s="212"/>
      <c r="U578" s="176"/>
      <c r="V578" s="176"/>
      <c r="W578" s="176"/>
      <c r="X578" s="176"/>
      <c r="Y578" s="176"/>
      <c r="Z578" s="176"/>
      <c r="AA578" s="176"/>
    </row>
    <row r="579" spans="1:27" ht="15.75" customHeight="1">
      <c r="A579" s="176"/>
      <c r="B579" s="209"/>
      <c r="C579" s="176"/>
      <c r="D579" s="176"/>
      <c r="E579" s="176"/>
      <c r="F579" s="210"/>
      <c r="G579" s="176"/>
      <c r="H579" s="176"/>
      <c r="I579" s="210"/>
      <c r="J579" s="176"/>
      <c r="K579" s="211"/>
      <c r="L579" s="211"/>
      <c r="M579" s="211"/>
      <c r="N579" s="211"/>
      <c r="O579" s="211"/>
      <c r="P579" s="211"/>
      <c r="Q579" s="210"/>
      <c r="R579" s="176"/>
      <c r="S579" s="176"/>
      <c r="T579" s="212"/>
      <c r="U579" s="176"/>
      <c r="V579" s="176"/>
      <c r="W579" s="176"/>
      <c r="X579" s="176"/>
      <c r="Y579" s="176"/>
      <c r="Z579" s="176"/>
      <c r="AA579" s="176"/>
    </row>
    <row r="580" spans="1:27" ht="15.75" customHeight="1">
      <c r="A580" s="176"/>
      <c r="B580" s="209"/>
      <c r="C580" s="176"/>
      <c r="D580" s="176"/>
      <c r="E580" s="176"/>
      <c r="F580" s="210"/>
      <c r="G580" s="176"/>
      <c r="H580" s="176"/>
      <c r="I580" s="210"/>
      <c r="J580" s="176"/>
      <c r="K580" s="211"/>
      <c r="L580" s="211"/>
      <c r="M580" s="211"/>
      <c r="N580" s="211"/>
      <c r="O580" s="211"/>
      <c r="P580" s="211"/>
      <c r="Q580" s="210"/>
      <c r="R580" s="176"/>
      <c r="S580" s="176"/>
      <c r="T580" s="212"/>
      <c r="U580" s="176"/>
      <c r="V580" s="176"/>
      <c r="W580" s="176"/>
      <c r="X580" s="176"/>
      <c r="Y580" s="176"/>
      <c r="Z580" s="176"/>
      <c r="AA580" s="176"/>
    </row>
    <row r="581" spans="1:27" ht="15.75" customHeight="1">
      <c r="A581" s="176"/>
      <c r="B581" s="209"/>
      <c r="C581" s="176"/>
      <c r="D581" s="176"/>
      <c r="E581" s="176"/>
      <c r="F581" s="210"/>
      <c r="G581" s="176"/>
      <c r="H581" s="176"/>
      <c r="I581" s="210"/>
      <c r="J581" s="176"/>
      <c r="K581" s="211"/>
      <c r="L581" s="211"/>
      <c r="M581" s="211"/>
      <c r="N581" s="211"/>
      <c r="O581" s="211"/>
      <c r="P581" s="211"/>
      <c r="Q581" s="210"/>
      <c r="R581" s="176"/>
      <c r="S581" s="176"/>
      <c r="T581" s="212"/>
      <c r="U581" s="176"/>
      <c r="V581" s="176"/>
      <c r="W581" s="176"/>
      <c r="X581" s="176"/>
      <c r="Y581" s="176"/>
      <c r="Z581" s="176"/>
      <c r="AA581" s="176"/>
    </row>
    <row r="582" spans="1:27" ht="15.75" customHeight="1">
      <c r="A582" s="176"/>
      <c r="B582" s="209"/>
      <c r="C582" s="176"/>
      <c r="D582" s="176"/>
      <c r="E582" s="176"/>
      <c r="F582" s="210"/>
      <c r="G582" s="176"/>
      <c r="H582" s="176"/>
      <c r="I582" s="210"/>
      <c r="J582" s="176"/>
      <c r="K582" s="211"/>
      <c r="L582" s="211"/>
      <c r="M582" s="211"/>
      <c r="N582" s="211"/>
      <c r="O582" s="211"/>
      <c r="P582" s="211"/>
      <c r="Q582" s="210"/>
      <c r="R582" s="176"/>
      <c r="S582" s="176"/>
      <c r="T582" s="212"/>
      <c r="U582" s="176"/>
      <c r="V582" s="176"/>
      <c r="W582" s="176"/>
      <c r="X582" s="176"/>
      <c r="Y582" s="176"/>
      <c r="Z582" s="176"/>
      <c r="AA582" s="176"/>
    </row>
    <row r="583" spans="1:27" ht="15.75" customHeight="1">
      <c r="A583" s="176"/>
      <c r="B583" s="209"/>
      <c r="C583" s="176"/>
      <c r="D583" s="176"/>
      <c r="E583" s="176"/>
      <c r="F583" s="210"/>
      <c r="G583" s="176"/>
      <c r="H583" s="176"/>
      <c r="I583" s="210"/>
      <c r="J583" s="176"/>
      <c r="K583" s="211"/>
      <c r="L583" s="211"/>
      <c r="M583" s="211"/>
      <c r="N583" s="211"/>
      <c r="O583" s="211"/>
      <c r="P583" s="211"/>
      <c r="Q583" s="210"/>
      <c r="R583" s="176"/>
      <c r="S583" s="176"/>
      <c r="T583" s="212"/>
      <c r="U583" s="176"/>
      <c r="V583" s="176"/>
      <c r="W583" s="176"/>
      <c r="X583" s="176"/>
      <c r="Y583" s="176"/>
      <c r="Z583" s="176"/>
      <c r="AA583" s="176"/>
    </row>
    <row r="584" spans="1:27" ht="15.75" customHeight="1">
      <c r="A584" s="176"/>
      <c r="B584" s="209"/>
      <c r="C584" s="176"/>
      <c r="D584" s="176"/>
      <c r="E584" s="176"/>
      <c r="F584" s="210"/>
      <c r="G584" s="176"/>
      <c r="H584" s="176"/>
      <c r="I584" s="210"/>
      <c r="J584" s="176"/>
      <c r="K584" s="211"/>
      <c r="L584" s="211"/>
      <c r="M584" s="211"/>
      <c r="N584" s="211"/>
      <c r="O584" s="211"/>
      <c r="P584" s="211"/>
      <c r="Q584" s="210"/>
      <c r="R584" s="176"/>
      <c r="S584" s="176"/>
      <c r="T584" s="212"/>
      <c r="U584" s="176"/>
      <c r="V584" s="176"/>
      <c r="W584" s="176"/>
      <c r="X584" s="176"/>
      <c r="Y584" s="176"/>
      <c r="Z584" s="176"/>
      <c r="AA584" s="176"/>
    </row>
    <row r="585" spans="1:27" ht="15.75" customHeight="1">
      <c r="A585" s="176"/>
      <c r="B585" s="209"/>
      <c r="C585" s="176"/>
      <c r="D585" s="176"/>
      <c r="E585" s="176"/>
      <c r="F585" s="210"/>
      <c r="G585" s="176"/>
      <c r="H585" s="176"/>
      <c r="I585" s="210"/>
      <c r="J585" s="176"/>
      <c r="K585" s="211"/>
      <c r="L585" s="211"/>
      <c r="M585" s="211"/>
      <c r="N585" s="211"/>
      <c r="O585" s="211"/>
      <c r="P585" s="211"/>
      <c r="Q585" s="210"/>
      <c r="R585" s="176"/>
      <c r="S585" s="176"/>
      <c r="T585" s="212"/>
      <c r="U585" s="176"/>
      <c r="V585" s="176"/>
      <c r="W585" s="176"/>
      <c r="X585" s="176"/>
      <c r="Y585" s="176"/>
      <c r="Z585" s="176"/>
      <c r="AA585" s="176"/>
    </row>
    <row r="586" spans="1:27" ht="15.75" customHeight="1">
      <c r="A586" s="176"/>
      <c r="B586" s="209"/>
      <c r="C586" s="176"/>
      <c r="D586" s="176"/>
      <c r="E586" s="176"/>
      <c r="F586" s="210"/>
      <c r="G586" s="176"/>
      <c r="H586" s="176"/>
      <c r="I586" s="210"/>
      <c r="J586" s="176"/>
      <c r="K586" s="211"/>
      <c r="L586" s="211"/>
      <c r="M586" s="211"/>
      <c r="N586" s="211"/>
      <c r="O586" s="211"/>
      <c r="P586" s="211"/>
      <c r="Q586" s="210"/>
      <c r="R586" s="176"/>
      <c r="S586" s="176"/>
      <c r="T586" s="212"/>
      <c r="U586" s="176"/>
      <c r="V586" s="176"/>
      <c r="W586" s="176"/>
      <c r="X586" s="176"/>
      <c r="Y586" s="176"/>
      <c r="Z586" s="176"/>
      <c r="AA586" s="176"/>
    </row>
    <row r="587" spans="1:27" ht="15.75" customHeight="1">
      <c r="A587" s="176"/>
      <c r="B587" s="209"/>
      <c r="C587" s="176"/>
      <c r="D587" s="176"/>
      <c r="E587" s="176"/>
      <c r="F587" s="210"/>
      <c r="G587" s="176"/>
      <c r="H587" s="176"/>
      <c r="I587" s="210"/>
      <c r="J587" s="176"/>
      <c r="K587" s="211"/>
      <c r="L587" s="211"/>
      <c r="M587" s="211"/>
      <c r="N587" s="211"/>
      <c r="O587" s="211"/>
      <c r="P587" s="211"/>
      <c r="Q587" s="210"/>
      <c r="R587" s="176"/>
      <c r="S587" s="176"/>
      <c r="T587" s="212"/>
      <c r="U587" s="176"/>
      <c r="V587" s="176"/>
      <c r="W587" s="176"/>
      <c r="X587" s="176"/>
      <c r="Y587" s="176"/>
      <c r="Z587" s="176"/>
      <c r="AA587" s="176"/>
    </row>
    <row r="588" spans="1:27" ht="15.75" customHeight="1">
      <c r="A588" s="176"/>
      <c r="B588" s="209"/>
      <c r="C588" s="176"/>
      <c r="D588" s="176"/>
      <c r="E588" s="176"/>
      <c r="F588" s="210"/>
      <c r="G588" s="176"/>
      <c r="H588" s="176"/>
      <c r="I588" s="210"/>
      <c r="J588" s="176"/>
      <c r="K588" s="211"/>
      <c r="L588" s="211"/>
      <c r="M588" s="211"/>
      <c r="N588" s="211"/>
      <c r="O588" s="211"/>
      <c r="P588" s="211"/>
      <c r="Q588" s="210"/>
      <c r="R588" s="176"/>
      <c r="S588" s="176"/>
      <c r="T588" s="212"/>
      <c r="U588" s="176"/>
      <c r="V588" s="176"/>
      <c r="W588" s="176"/>
      <c r="X588" s="176"/>
      <c r="Y588" s="176"/>
      <c r="Z588" s="176"/>
      <c r="AA588" s="176"/>
    </row>
    <row r="589" spans="1:27" ht="15.75" customHeight="1">
      <c r="A589" s="176"/>
      <c r="B589" s="209"/>
      <c r="C589" s="176"/>
      <c r="D589" s="176"/>
      <c r="E589" s="176"/>
      <c r="F589" s="210"/>
      <c r="G589" s="176"/>
      <c r="H589" s="176"/>
      <c r="I589" s="210"/>
      <c r="J589" s="176"/>
      <c r="K589" s="211"/>
      <c r="L589" s="211"/>
      <c r="M589" s="211"/>
      <c r="N589" s="211"/>
      <c r="O589" s="211"/>
      <c r="P589" s="211"/>
      <c r="Q589" s="210"/>
      <c r="R589" s="176"/>
      <c r="S589" s="176"/>
      <c r="T589" s="212"/>
      <c r="U589" s="176"/>
      <c r="V589" s="176"/>
      <c r="W589" s="176"/>
      <c r="X589" s="176"/>
      <c r="Y589" s="176"/>
      <c r="Z589" s="176"/>
      <c r="AA589" s="176"/>
    </row>
    <row r="590" spans="1:27" ht="15.75" customHeight="1">
      <c r="A590" s="176"/>
      <c r="B590" s="209"/>
      <c r="C590" s="176"/>
      <c r="D590" s="176"/>
      <c r="E590" s="176"/>
      <c r="F590" s="210"/>
      <c r="G590" s="176"/>
      <c r="H590" s="176"/>
      <c r="I590" s="210"/>
      <c r="J590" s="176"/>
      <c r="K590" s="211"/>
      <c r="L590" s="211"/>
      <c r="M590" s="211"/>
      <c r="N590" s="211"/>
      <c r="O590" s="211"/>
      <c r="P590" s="211"/>
      <c r="Q590" s="210"/>
      <c r="R590" s="176"/>
      <c r="S590" s="176"/>
      <c r="T590" s="212"/>
      <c r="U590" s="176"/>
      <c r="V590" s="176"/>
      <c r="W590" s="176"/>
      <c r="X590" s="176"/>
      <c r="Y590" s="176"/>
      <c r="Z590" s="176"/>
      <c r="AA590" s="176"/>
    </row>
    <row r="591" spans="1:27" ht="15.75" customHeight="1">
      <c r="A591" s="176"/>
      <c r="B591" s="209"/>
      <c r="C591" s="176"/>
      <c r="D591" s="176"/>
      <c r="E591" s="176"/>
      <c r="F591" s="210"/>
      <c r="G591" s="176"/>
      <c r="H591" s="176"/>
      <c r="I591" s="210"/>
      <c r="J591" s="176"/>
      <c r="K591" s="211"/>
      <c r="L591" s="211"/>
      <c r="M591" s="211"/>
      <c r="N591" s="211"/>
      <c r="O591" s="211"/>
      <c r="P591" s="211"/>
      <c r="Q591" s="210"/>
      <c r="R591" s="176"/>
      <c r="S591" s="176"/>
      <c r="T591" s="212"/>
      <c r="U591" s="176"/>
      <c r="V591" s="176"/>
      <c r="W591" s="176"/>
      <c r="X591" s="176"/>
      <c r="Y591" s="176"/>
      <c r="Z591" s="176"/>
      <c r="AA591" s="176"/>
    </row>
    <row r="592" spans="1:27" ht="15.75" customHeight="1">
      <c r="A592" s="176"/>
      <c r="B592" s="209"/>
      <c r="C592" s="176"/>
      <c r="D592" s="176"/>
      <c r="E592" s="176"/>
      <c r="F592" s="210"/>
      <c r="G592" s="176"/>
      <c r="H592" s="176"/>
      <c r="I592" s="210"/>
      <c r="J592" s="176"/>
      <c r="K592" s="211"/>
      <c r="L592" s="211"/>
      <c r="M592" s="211"/>
      <c r="N592" s="211"/>
      <c r="O592" s="211"/>
      <c r="P592" s="211"/>
      <c r="Q592" s="210"/>
      <c r="R592" s="176"/>
      <c r="S592" s="176"/>
      <c r="T592" s="212"/>
      <c r="U592" s="176"/>
      <c r="V592" s="176"/>
      <c r="W592" s="176"/>
      <c r="X592" s="176"/>
      <c r="Y592" s="176"/>
      <c r="Z592" s="176"/>
      <c r="AA592" s="176"/>
    </row>
    <row r="593" spans="1:27" ht="15.75" customHeight="1">
      <c r="A593" s="176"/>
      <c r="B593" s="209"/>
      <c r="C593" s="176"/>
      <c r="D593" s="176"/>
      <c r="E593" s="176"/>
      <c r="F593" s="210"/>
      <c r="G593" s="176"/>
      <c r="H593" s="176"/>
      <c r="I593" s="210"/>
      <c r="J593" s="176"/>
      <c r="K593" s="211"/>
      <c r="L593" s="211"/>
      <c r="M593" s="211"/>
      <c r="N593" s="211"/>
      <c r="O593" s="211"/>
      <c r="P593" s="211"/>
      <c r="Q593" s="210"/>
      <c r="R593" s="176"/>
      <c r="S593" s="176"/>
      <c r="T593" s="212"/>
      <c r="U593" s="176"/>
      <c r="V593" s="176"/>
      <c r="W593" s="176"/>
      <c r="X593" s="176"/>
      <c r="Y593" s="176"/>
      <c r="Z593" s="176"/>
      <c r="AA593" s="176"/>
    </row>
    <row r="594" spans="1:27" ht="15.75" customHeight="1">
      <c r="A594" s="176"/>
      <c r="B594" s="209"/>
      <c r="C594" s="176"/>
      <c r="D594" s="176"/>
      <c r="E594" s="176"/>
      <c r="F594" s="210"/>
      <c r="G594" s="176"/>
      <c r="H594" s="176"/>
      <c r="I594" s="210"/>
      <c r="J594" s="176"/>
      <c r="K594" s="211"/>
      <c r="L594" s="211"/>
      <c r="M594" s="211"/>
      <c r="N594" s="211"/>
      <c r="O594" s="211"/>
      <c r="P594" s="211"/>
      <c r="Q594" s="210"/>
      <c r="R594" s="176"/>
      <c r="S594" s="176"/>
      <c r="T594" s="212"/>
      <c r="U594" s="176"/>
      <c r="V594" s="176"/>
      <c r="W594" s="176"/>
      <c r="X594" s="176"/>
      <c r="Y594" s="176"/>
      <c r="Z594" s="176"/>
      <c r="AA594" s="176"/>
    </row>
    <row r="595" spans="1:27" ht="15.75" customHeight="1">
      <c r="A595" s="176"/>
      <c r="B595" s="209"/>
      <c r="C595" s="176"/>
      <c r="D595" s="176"/>
      <c r="E595" s="176"/>
      <c r="F595" s="210"/>
      <c r="G595" s="176"/>
      <c r="H595" s="176"/>
      <c r="I595" s="210"/>
      <c r="J595" s="176"/>
      <c r="K595" s="211"/>
      <c r="L595" s="211"/>
      <c r="M595" s="211"/>
      <c r="N595" s="211"/>
      <c r="O595" s="211"/>
      <c r="P595" s="211"/>
      <c r="Q595" s="210"/>
      <c r="R595" s="176"/>
      <c r="S595" s="176"/>
      <c r="T595" s="212"/>
      <c r="U595" s="176"/>
      <c r="V595" s="176"/>
      <c r="W595" s="176"/>
      <c r="X595" s="176"/>
      <c r="Y595" s="176"/>
      <c r="Z595" s="176"/>
      <c r="AA595" s="176"/>
    </row>
    <row r="596" spans="1:27" ht="15.75" customHeight="1">
      <c r="A596" s="176"/>
      <c r="B596" s="209"/>
      <c r="C596" s="176"/>
      <c r="D596" s="176"/>
      <c r="E596" s="176"/>
      <c r="F596" s="210"/>
      <c r="G596" s="176"/>
      <c r="H596" s="176"/>
      <c r="I596" s="210"/>
      <c r="J596" s="176"/>
      <c r="K596" s="211"/>
      <c r="L596" s="211"/>
      <c r="M596" s="211"/>
      <c r="N596" s="211"/>
      <c r="O596" s="211"/>
      <c r="P596" s="211"/>
      <c r="Q596" s="210"/>
      <c r="R596" s="176"/>
      <c r="S596" s="176"/>
      <c r="T596" s="212"/>
      <c r="U596" s="176"/>
      <c r="V596" s="176"/>
      <c r="W596" s="176"/>
      <c r="X596" s="176"/>
      <c r="Y596" s="176"/>
      <c r="Z596" s="176"/>
      <c r="AA596" s="176"/>
    </row>
    <row r="597" spans="1:27" ht="15.75" customHeight="1">
      <c r="A597" s="176"/>
      <c r="B597" s="209"/>
      <c r="C597" s="176"/>
      <c r="D597" s="176"/>
      <c r="E597" s="176"/>
      <c r="F597" s="210"/>
      <c r="G597" s="176"/>
      <c r="H597" s="176"/>
      <c r="I597" s="210"/>
      <c r="J597" s="176"/>
      <c r="K597" s="211"/>
      <c r="L597" s="211"/>
      <c r="M597" s="211"/>
      <c r="N597" s="211"/>
      <c r="O597" s="211"/>
      <c r="P597" s="211"/>
      <c r="Q597" s="210"/>
      <c r="R597" s="176"/>
      <c r="S597" s="176"/>
      <c r="T597" s="212"/>
      <c r="U597" s="176"/>
      <c r="V597" s="176"/>
      <c r="W597" s="176"/>
      <c r="X597" s="176"/>
      <c r="Y597" s="176"/>
      <c r="Z597" s="176"/>
      <c r="AA597" s="176"/>
    </row>
    <row r="598" spans="1:27" ht="15.75" customHeight="1">
      <c r="A598" s="176"/>
      <c r="B598" s="209"/>
      <c r="C598" s="176"/>
      <c r="D598" s="176"/>
      <c r="E598" s="176"/>
      <c r="F598" s="210"/>
      <c r="G598" s="176"/>
      <c r="H598" s="176"/>
      <c r="I598" s="210"/>
      <c r="J598" s="176"/>
      <c r="K598" s="211"/>
      <c r="L598" s="211"/>
      <c r="M598" s="211"/>
      <c r="N598" s="211"/>
      <c r="O598" s="211"/>
      <c r="P598" s="211"/>
      <c r="Q598" s="210"/>
      <c r="R598" s="176"/>
      <c r="S598" s="176"/>
      <c r="T598" s="212"/>
      <c r="U598" s="176"/>
      <c r="V598" s="176"/>
      <c r="W598" s="176"/>
      <c r="X598" s="176"/>
      <c r="Y598" s="176"/>
      <c r="Z598" s="176"/>
      <c r="AA598" s="176"/>
    </row>
    <row r="599" spans="1:27" ht="15.75" customHeight="1">
      <c r="A599" s="176"/>
      <c r="B599" s="209"/>
      <c r="C599" s="176"/>
      <c r="D599" s="176"/>
      <c r="E599" s="176"/>
      <c r="F599" s="210"/>
      <c r="G599" s="176"/>
      <c r="H599" s="176"/>
      <c r="I599" s="210"/>
      <c r="J599" s="176"/>
      <c r="K599" s="211"/>
      <c r="L599" s="211"/>
      <c r="M599" s="211"/>
      <c r="N599" s="211"/>
      <c r="O599" s="211"/>
      <c r="P599" s="211"/>
      <c r="Q599" s="210"/>
      <c r="R599" s="176"/>
      <c r="S599" s="176"/>
      <c r="T599" s="212"/>
      <c r="U599" s="176"/>
      <c r="V599" s="176"/>
      <c r="W599" s="176"/>
      <c r="X599" s="176"/>
      <c r="Y599" s="176"/>
      <c r="Z599" s="176"/>
      <c r="AA599" s="176"/>
    </row>
    <row r="600" spans="1:27" ht="15.75" customHeight="1">
      <c r="A600" s="176"/>
      <c r="B600" s="209"/>
      <c r="C600" s="176"/>
      <c r="D600" s="176"/>
      <c r="E600" s="176"/>
      <c r="F600" s="210"/>
      <c r="G600" s="176"/>
      <c r="H600" s="176"/>
      <c r="I600" s="210"/>
      <c r="J600" s="176"/>
      <c r="K600" s="211"/>
      <c r="L600" s="211"/>
      <c r="M600" s="211"/>
      <c r="N600" s="211"/>
      <c r="O600" s="211"/>
      <c r="P600" s="211"/>
      <c r="Q600" s="210"/>
      <c r="R600" s="176"/>
      <c r="S600" s="176"/>
      <c r="T600" s="212"/>
      <c r="U600" s="176"/>
      <c r="V600" s="176"/>
      <c r="W600" s="176"/>
      <c r="X600" s="176"/>
      <c r="Y600" s="176"/>
      <c r="Z600" s="176"/>
      <c r="AA600" s="176"/>
    </row>
    <row r="601" spans="1:27" ht="15.75" customHeight="1">
      <c r="A601" s="176"/>
      <c r="B601" s="209"/>
      <c r="C601" s="176"/>
      <c r="D601" s="176"/>
      <c r="E601" s="176"/>
      <c r="F601" s="210"/>
      <c r="G601" s="176"/>
      <c r="H601" s="176"/>
      <c r="I601" s="210"/>
      <c r="J601" s="176"/>
      <c r="K601" s="211"/>
      <c r="L601" s="211"/>
      <c r="M601" s="211"/>
      <c r="N601" s="211"/>
      <c r="O601" s="211"/>
      <c r="P601" s="211"/>
      <c r="Q601" s="210"/>
      <c r="R601" s="176"/>
      <c r="S601" s="176"/>
      <c r="T601" s="212"/>
      <c r="U601" s="176"/>
      <c r="V601" s="176"/>
      <c r="W601" s="176"/>
      <c r="X601" s="176"/>
      <c r="Y601" s="176"/>
      <c r="Z601" s="176"/>
      <c r="AA601" s="176"/>
    </row>
    <row r="602" spans="1:27" ht="15.75" customHeight="1">
      <c r="A602" s="176"/>
      <c r="B602" s="209"/>
      <c r="C602" s="176"/>
      <c r="D602" s="176"/>
      <c r="E602" s="176"/>
      <c r="F602" s="210"/>
      <c r="G602" s="176"/>
      <c r="H602" s="176"/>
      <c r="I602" s="210"/>
      <c r="J602" s="176"/>
      <c r="K602" s="211"/>
      <c r="L602" s="211"/>
      <c r="M602" s="211"/>
      <c r="N602" s="211"/>
      <c r="O602" s="211"/>
      <c r="P602" s="211"/>
      <c r="Q602" s="210"/>
      <c r="R602" s="176"/>
      <c r="S602" s="176"/>
      <c r="T602" s="212"/>
      <c r="U602" s="176"/>
      <c r="V602" s="176"/>
      <c r="W602" s="176"/>
      <c r="X602" s="176"/>
      <c r="Y602" s="176"/>
      <c r="Z602" s="176"/>
      <c r="AA602" s="176"/>
    </row>
    <row r="603" spans="1:27" ht="15.75" customHeight="1">
      <c r="A603" s="176"/>
      <c r="B603" s="209"/>
      <c r="C603" s="176"/>
      <c r="D603" s="176"/>
      <c r="E603" s="176"/>
      <c r="F603" s="210"/>
      <c r="G603" s="176"/>
      <c r="H603" s="176"/>
      <c r="I603" s="210"/>
      <c r="J603" s="176"/>
      <c r="K603" s="211"/>
      <c r="L603" s="211"/>
      <c r="M603" s="211"/>
      <c r="N603" s="211"/>
      <c r="O603" s="211"/>
      <c r="P603" s="211"/>
      <c r="Q603" s="210"/>
      <c r="R603" s="176"/>
      <c r="S603" s="176"/>
      <c r="T603" s="212"/>
      <c r="U603" s="176"/>
      <c r="V603" s="176"/>
      <c r="W603" s="176"/>
      <c r="X603" s="176"/>
      <c r="Y603" s="176"/>
      <c r="Z603" s="176"/>
      <c r="AA603" s="176"/>
    </row>
    <row r="604" spans="1:27" ht="15.75" customHeight="1">
      <c r="A604" s="176"/>
      <c r="B604" s="209"/>
      <c r="C604" s="176"/>
      <c r="D604" s="176"/>
      <c r="E604" s="176"/>
      <c r="F604" s="210"/>
      <c r="G604" s="176"/>
      <c r="H604" s="176"/>
      <c r="I604" s="210"/>
      <c r="J604" s="176"/>
      <c r="K604" s="211"/>
      <c r="L604" s="211"/>
      <c r="M604" s="211"/>
      <c r="N604" s="211"/>
      <c r="O604" s="211"/>
      <c r="P604" s="211"/>
      <c r="Q604" s="210"/>
      <c r="R604" s="176"/>
      <c r="S604" s="176"/>
      <c r="T604" s="212"/>
      <c r="U604" s="176"/>
      <c r="V604" s="176"/>
      <c r="W604" s="176"/>
      <c r="X604" s="176"/>
      <c r="Y604" s="176"/>
      <c r="Z604" s="176"/>
      <c r="AA604" s="176"/>
    </row>
    <row r="605" spans="1:27" ht="15.75" customHeight="1">
      <c r="A605" s="176"/>
      <c r="B605" s="209"/>
      <c r="C605" s="176"/>
      <c r="D605" s="176"/>
      <c r="E605" s="176"/>
      <c r="F605" s="210"/>
      <c r="G605" s="176"/>
      <c r="H605" s="176"/>
      <c r="I605" s="210"/>
      <c r="J605" s="176"/>
      <c r="K605" s="211"/>
      <c r="L605" s="211"/>
      <c r="M605" s="211"/>
      <c r="N605" s="211"/>
      <c r="O605" s="211"/>
      <c r="P605" s="211"/>
      <c r="Q605" s="210"/>
      <c r="R605" s="176"/>
      <c r="S605" s="176"/>
      <c r="T605" s="212"/>
      <c r="U605" s="176"/>
      <c r="V605" s="176"/>
      <c r="W605" s="176"/>
      <c r="X605" s="176"/>
      <c r="Y605" s="176"/>
      <c r="Z605" s="176"/>
      <c r="AA605" s="176"/>
    </row>
    <row r="606" spans="1:27" ht="15.75" customHeight="1">
      <c r="A606" s="176"/>
      <c r="B606" s="209"/>
      <c r="C606" s="176"/>
      <c r="D606" s="176"/>
      <c r="E606" s="176"/>
      <c r="F606" s="210"/>
      <c r="G606" s="176"/>
      <c r="H606" s="176"/>
      <c r="I606" s="210"/>
      <c r="J606" s="176"/>
      <c r="K606" s="211"/>
      <c r="L606" s="211"/>
      <c r="M606" s="211"/>
      <c r="N606" s="211"/>
      <c r="O606" s="211"/>
      <c r="P606" s="211"/>
      <c r="Q606" s="210"/>
      <c r="R606" s="176"/>
      <c r="S606" s="176"/>
      <c r="T606" s="212"/>
      <c r="U606" s="176"/>
      <c r="V606" s="176"/>
      <c r="W606" s="176"/>
      <c r="X606" s="176"/>
      <c r="Y606" s="176"/>
      <c r="Z606" s="176"/>
      <c r="AA606" s="176"/>
    </row>
    <row r="607" spans="1:27" ht="15.75" customHeight="1">
      <c r="A607" s="176"/>
      <c r="B607" s="209"/>
      <c r="C607" s="176"/>
      <c r="D607" s="176"/>
      <c r="E607" s="176"/>
      <c r="F607" s="210"/>
      <c r="G607" s="176"/>
      <c r="H607" s="176"/>
      <c r="I607" s="210"/>
      <c r="J607" s="176"/>
      <c r="K607" s="211"/>
      <c r="L607" s="211"/>
      <c r="M607" s="211"/>
      <c r="N607" s="211"/>
      <c r="O607" s="211"/>
      <c r="P607" s="211"/>
      <c r="Q607" s="210"/>
      <c r="R607" s="176"/>
      <c r="S607" s="176"/>
      <c r="T607" s="212"/>
      <c r="U607" s="176"/>
      <c r="V607" s="176"/>
      <c r="W607" s="176"/>
      <c r="X607" s="176"/>
      <c r="Y607" s="176"/>
      <c r="Z607" s="176"/>
      <c r="AA607" s="176"/>
    </row>
    <row r="608" spans="1:27" ht="15.75" customHeight="1">
      <c r="A608" s="176"/>
      <c r="B608" s="209"/>
      <c r="C608" s="176"/>
      <c r="D608" s="176"/>
      <c r="E608" s="176"/>
      <c r="F608" s="210"/>
      <c r="G608" s="176"/>
      <c r="H608" s="176"/>
      <c r="I608" s="210"/>
      <c r="J608" s="176"/>
      <c r="K608" s="211"/>
      <c r="L608" s="211"/>
      <c r="M608" s="211"/>
      <c r="N608" s="211"/>
      <c r="O608" s="211"/>
      <c r="P608" s="211"/>
      <c r="Q608" s="210"/>
      <c r="R608" s="176"/>
      <c r="S608" s="176"/>
      <c r="T608" s="212"/>
      <c r="U608" s="176"/>
      <c r="V608" s="176"/>
      <c r="W608" s="176"/>
      <c r="X608" s="176"/>
      <c r="Y608" s="176"/>
      <c r="Z608" s="176"/>
      <c r="AA608" s="176"/>
    </row>
    <row r="609" spans="1:27" ht="15.75" customHeight="1">
      <c r="A609" s="176"/>
      <c r="B609" s="209"/>
      <c r="C609" s="176"/>
      <c r="D609" s="176"/>
      <c r="E609" s="176"/>
      <c r="F609" s="210"/>
      <c r="G609" s="176"/>
      <c r="H609" s="176"/>
      <c r="I609" s="210"/>
      <c r="J609" s="176"/>
      <c r="K609" s="211"/>
      <c r="L609" s="211"/>
      <c r="M609" s="211"/>
      <c r="N609" s="211"/>
      <c r="O609" s="211"/>
      <c r="P609" s="211"/>
      <c r="Q609" s="210"/>
      <c r="R609" s="176"/>
      <c r="S609" s="176"/>
      <c r="T609" s="212"/>
      <c r="U609" s="176"/>
      <c r="V609" s="176"/>
      <c r="W609" s="176"/>
      <c r="X609" s="176"/>
      <c r="Y609" s="176"/>
      <c r="Z609" s="176"/>
      <c r="AA609" s="176"/>
    </row>
    <row r="610" spans="1:27" ht="15.75" customHeight="1">
      <c r="A610" s="176"/>
      <c r="B610" s="209"/>
      <c r="C610" s="176"/>
      <c r="D610" s="176"/>
      <c r="E610" s="176"/>
      <c r="F610" s="210"/>
      <c r="G610" s="176"/>
      <c r="H610" s="176"/>
      <c r="I610" s="210"/>
      <c r="J610" s="176"/>
      <c r="K610" s="211"/>
      <c r="L610" s="211"/>
      <c r="M610" s="211"/>
      <c r="N610" s="211"/>
      <c r="O610" s="211"/>
      <c r="P610" s="211"/>
      <c r="Q610" s="210"/>
      <c r="R610" s="176"/>
      <c r="S610" s="176"/>
      <c r="T610" s="212"/>
      <c r="U610" s="176"/>
      <c r="V610" s="176"/>
      <c r="W610" s="176"/>
      <c r="X610" s="176"/>
      <c r="Y610" s="176"/>
      <c r="Z610" s="176"/>
      <c r="AA610" s="176"/>
    </row>
    <row r="611" spans="1:27" ht="15.75" customHeight="1">
      <c r="A611" s="176"/>
      <c r="B611" s="209"/>
      <c r="C611" s="176"/>
      <c r="D611" s="176"/>
      <c r="E611" s="176"/>
      <c r="F611" s="210"/>
      <c r="G611" s="176"/>
      <c r="H611" s="176"/>
      <c r="I611" s="210"/>
      <c r="J611" s="176"/>
      <c r="K611" s="211"/>
      <c r="L611" s="211"/>
      <c r="M611" s="211"/>
      <c r="N611" s="211"/>
      <c r="O611" s="211"/>
      <c r="P611" s="211"/>
      <c r="Q611" s="210"/>
      <c r="R611" s="176"/>
      <c r="S611" s="176"/>
      <c r="T611" s="212"/>
      <c r="U611" s="176"/>
      <c r="V611" s="176"/>
      <c r="W611" s="176"/>
      <c r="X611" s="176"/>
      <c r="Y611" s="176"/>
      <c r="Z611" s="176"/>
      <c r="AA611" s="176"/>
    </row>
    <row r="612" spans="1:27" ht="15.75" customHeight="1">
      <c r="A612" s="176"/>
      <c r="B612" s="209"/>
      <c r="C612" s="176"/>
      <c r="D612" s="176"/>
      <c r="E612" s="176"/>
      <c r="F612" s="210"/>
      <c r="G612" s="176"/>
      <c r="H612" s="176"/>
      <c r="I612" s="210"/>
      <c r="J612" s="176"/>
      <c r="K612" s="211"/>
      <c r="L612" s="211"/>
      <c r="M612" s="211"/>
      <c r="N612" s="211"/>
      <c r="O612" s="211"/>
      <c r="P612" s="211"/>
      <c r="Q612" s="210"/>
      <c r="R612" s="176"/>
      <c r="S612" s="176"/>
      <c r="T612" s="212"/>
      <c r="U612" s="176"/>
      <c r="V612" s="176"/>
      <c r="W612" s="176"/>
      <c r="X612" s="176"/>
      <c r="Y612" s="176"/>
      <c r="Z612" s="176"/>
      <c r="AA612" s="176"/>
    </row>
    <row r="613" spans="1:27" ht="15.75" customHeight="1">
      <c r="A613" s="176"/>
      <c r="B613" s="209"/>
      <c r="C613" s="176"/>
      <c r="D613" s="176"/>
      <c r="E613" s="176"/>
      <c r="F613" s="210"/>
      <c r="G613" s="176"/>
      <c r="H613" s="176"/>
      <c r="I613" s="210"/>
      <c r="J613" s="176"/>
      <c r="K613" s="211"/>
      <c r="L613" s="211"/>
      <c r="M613" s="211"/>
      <c r="N613" s="211"/>
      <c r="O613" s="211"/>
      <c r="P613" s="211"/>
      <c r="Q613" s="210"/>
      <c r="R613" s="176"/>
      <c r="S613" s="176"/>
      <c r="T613" s="212"/>
      <c r="U613" s="176"/>
      <c r="V613" s="176"/>
      <c r="W613" s="176"/>
      <c r="X613" s="176"/>
      <c r="Y613" s="176"/>
      <c r="Z613" s="176"/>
      <c r="AA613" s="176"/>
    </row>
    <row r="614" spans="1:27" ht="15.75" customHeight="1">
      <c r="A614" s="176"/>
      <c r="B614" s="209"/>
      <c r="C614" s="176"/>
      <c r="D614" s="176"/>
      <c r="E614" s="176"/>
      <c r="F614" s="210"/>
      <c r="G614" s="176"/>
      <c r="H614" s="176"/>
      <c r="I614" s="210"/>
      <c r="J614" s="176"/>
      <c r="K614" s="211"/>
      <c r="L614" s="211"/>
      <c r="M614" s="211"/>
      <c r="N614" s="211"/>
      <c r="O614" s="211"/>
      <c r="P614" s="211"/>
      <c r="Q614" s="210"/>
      <c r="R614" s="176"/>
      <c r="S614" s="176"/>
      <c r="T614" s="212"/>
      <c r="U614" s="176"/>
      <c r="V614" s="176"/>
      <c r="W614" s="176"/>
      <c r="X614" s="176"/>
      <c r="Y614" s="176"/>
      <c r="Z614" s="176"/>
      <c r="AA614" s="176"/>
    </row>
    <row r="615" spans="1:27" ht="15.75" customHeight="1">
      <c r="A615" s="176"/>
      <c r="B615" s="209"/>
      <c r="C615" s="176"/>
      <c r="D615" s="176"/>
      <c r="E615" s="176"/>
      <c r="F615" s="210"/>
      <c r="G615" s="176"/>
      <c r="H615" s="176"/>
      <c r="I615" s="210"/>
      <c r="J615" s="176"/>
      <c r="K615" s="211"/>
      <c r="L615" s="211"/>
      <c r="M615" s="211"/>
      <c r="N615" s="211"/>
      <c r="O615" s="211"/>
      <c r="P615" s="211"/>
      <c r="Q615" s="210"/>
      <c r="R615" s="176"/>
      <c r="S615" s="176"/>
      <c r="T615" s="212"/>
      <c r="U615" s="176"/>
      <c r="V615" s="176"/>
      <c r="W615" s="176"/>
      <c r="X615" s="176"/>
      <c r="Y615" s="176"/>
      <c r="Z615" s="176"/>
      <c r="AA615" s="176"/>
    </row>
    <row r="616" spans="1:27" ht="15.75" customHeight="1">
      <c r="A616" s="176"/>
      <c r="B616" s="209"/>
      <c r="C616" s="176"/>
      <c r="D616" s="176"/>
      <c r="E616" s="176"/>
      <c r="F616" s="210"/>
      <c r="G616" s="176"/>
      <c r="H616" s="176"/>
      <c r="I616" s="210"/>
      <c r="J616" s="176"/>
      <c r="K616" s="211"/>
      <c r="L616" s="211"/>
      <c r="M616" s="211"/>
      <c r="N616" s="211"/>
      <c r="O616" s="211"/>
      <c r="P616" s="211"/>
      <c r="Q616" s="210"/>
      <c r="R616" s="176"/>
      <c r="S616" s="176"/>
      <c r="T616" s="212"/>
      <c r="U616" s="176"/>
      <c r="V616" s="176"/>
      <c r="W616" s="176"/>
      <c r="X616" s="176"/>
      <c r="Y616" s="176"/>
      <c r="Z616" s="176"/>
      <c r="AA616" s="176"/>
    </row>
    <row r="617" spans="1:27" ht="15.75" customHeight="1">
      <c r="A617" s="176"/>
      <c r="B617" s="209"/>
      <c r="C617" s="176"/>
      <c r="D617" s="176"/>
      <c r="E617" s="176"/>
      <c r="F617" s="210"/>
      <c r="G617" s="176"/>
      <c r="H617" s="176"/>
      <c r="I617" s="210"/>
      <c r="J617" s="176"/>
      <c r="K617" s="211"/>
      <c r="L617" s="211"/>
      <c r="M617" s="211"/>
      <c r="N617" s="211"/>
      <c r="O617" s="211"/>
      <c r="P617" s="211"/>
      <c r="Q617" s="210"/>
      <c r="R617" s="176"/>
      <c r="S617" s="176"/>
      <c r="T617" s="212"/>
      <c r="U617" s="176"/>
      <c r="V617" s="176"/>
      <c r="W617" s="176"/>
      <c r="X617" s="176"/>
      <c r="Y617" s="176"/>
      <c r="Z617" s="176"/>
      <c r="AA617" s="176"/>
    </row>
    <row r="618" spans="1:27" ht="15.75" customHeight="1">
      <c r="A618" s="176"/>
      <c r="B618" s="209"/>
      <c r="C618" s="176"/>
      <c r="D618" s="176"/>
      <c r="E618" s="176"/>
      <c r="F618" s="210"/>
      <c r="G618" s="176"/>
      <c r="H618" s="176"/>
      <c r="I618" s="210"/>
      <c r="J618" s="176"/>
      <c r="K618" s="211"/>
      <c r="L618" s="211"/>
      <c r="M618" s="211"/>
      <c r="N618" s="211"/>
      <c r="O618" s="211"/>
      <c r="P618" s="211"/>
      <c r="Q618" s="210"/>
      <c r="R618" s="176"/>
      <c r="S618" s="176"/>
      <c r="T618" s="212"/>
      <c r="U618" s="176"/>
      <c r="V618" s="176"/>
      <c r="W618" s="176"/>
      <c r="X618" s="176"/>
      <c r="Y618" s="176"/>
      <c r="Z618" s="176"/>
      <c r="AA618" s="176"/>
    </row>
    <row r="619" spans="1:27" ht="15.75" customHeight="1">
      <c r="A619" s="176"/>
      <c r="B619" s="209"/>
      <c r="C619" s="176"/>
      <c r="D619" s="176"/>
      <c r="E619" s="176"/>
      <c r="F619" s="210"/>
      <c r="G619" s="176"/>
      <c r="H619" s="176"/>
      <c r="I619" s="210"/>
      <c r="J619" s="176"/>
      <c r="K619" s="211"/>
      <c r="L619" s="211"/>
      <c r="M619" s="211"/>
      <c r="N619" s="211"/>
      <c r="O619" s="211"/>
      <c r="P619" s="211"/>
      <c r="Q619" s="210"/>
      <c r="R619" s="176"/>
      <c r="S619" s="176"/>
      <c r="T619" s="212"/>
      <c r="U619" s="176"/>
      <c r="V619" s="176"/>
      <c r="W619" s="176"/>
      <c r="X619" s="176"/>
      <c r="Y619" s="176"/>
      <c r="Z619" s="176"/>
      <c r="AA619" s="176"/>
    </row>
    <row r="620" spans="1:27" ht="15.75" customHeight="1">
      <c r="A620" s="176"/>
      <c r="B620" s="209"/>
      <c r="C620" s="176"/>
      <c r="D620" s="176"/>
      <c r="E620" s="176"/>
      <c r="F620" s="210"/>
      <c r="G620" s="176"/>
      <c r="H620" s="176"/>
      <c r="I620" s="210"/>
      <c r="J620" s="176"/>
      <c r="K620" s="211"/>
      <c r="L620" s="211"/>
      <c r="M620" s="211"/>
      <c r="N620" s="211"/>
      <c r="O620" s="211"/>
      <c r="P620" s="211"/>
      <c r="Q620" s="210"/>
      <c r="R620" s="176"/>
      <c r="S620" s="176"/>
      <c r="T620" s="212"/>
      <c r="U620" s="176"/>
      <c r="V620" s="176"/>
      <c r="W620" s="176"/>
      <c r="X620" s="176"/>
      <c r="Y620" s="176"/>
      <c r="Z620" s="176"/>
      <c r="AA620" s="176"/>
    </row>
    <row r="621" spans="1:27" ht="15.75" customHeight="1">
      <c r="A621" s="176"/>
      <c r="B621" s="209"/>
      <c r="C621" s="176"/>
      <c r="D621" s="176"/>
      <c r="E621" s="176"/>
      <c r="F621" s="210"/>
      <c r="G621" s="176"/>
      <c r="H621" s="176"/>
      <c r="I621" s="210"/>
      <c r="J621" s="176"/>
      <c r="K621" s="211"/>
      <c r="L621" s="211"/>
      <c r="M621" s="211"/>
      <c r="N621" s="211"/>
      <c r="O621" s="211"/>
      <c r="P621" s="211"/>
      <c r="Q621" s="210"/>
      <c r="R621" s="176"/>
      <c r="S621" s="176"/>
      <c r="T621" s="212"/>
      <c r="U621" s="176"/>
      <c r="V621" s="176"/>
      <c r="W621" s="176"/>
      <c r="X621" s="176"/>
      <c r="Y621" s="176"/>
      <c r="Z621" s="176"/>
      <c r="AA621" s="176"/>
    </row>
    <row r="622" spans="1:27" ht="15.75" customHeight="1">
      <c r="A622" s="176"/>
      <c r="B622" s="209"/>
      <c r="C622" s="176"/>
      <c r="D622" s="176"/>
      <c r="E622" s="176"/>
      <c r="F622" s="210"/>
      <c r="G622" s="176"/>
      <c r="H622" s="176"/>
      <c r="I622" s="210"/>
      <c r="J622" s="176"/>
      <c r="K622" s="211"/>
      <c r="L622" s="211"/>
      <c r="M622" s="211"/>
      <c r="N622" s="211"/>
      <c r="O622" s="211"/>
      <c r="P622" s="211"/>
      <c r="Q622" s="210"/>
      <c r="R622" s="176"/>
      <c r="S622" s="176"/>
      <c r="T622" s="212"/>
      <c r="U622" s="176"/>
      <c r="V622" s="176"/>
      <c r="W622" s="176"/>
      <c r="X622" s="176"/>
      <c r="Y622" s="176"/>
      <c r="Z622" s="176"/>
      <c r="AA622" s="176"/>
    </row>
    <row r="623" spans="1:27" ht="15.75" customHeight="1">
      <c r="A623" s="176"/>
      <c r="B623" s="209"/>
      <c r="C623" s="176"/>
      <c r="D623" s="176"/>
      <c r="E623" s="176"/>
      <c r="F623" s="210"/>
      <c r="G623" s="176"/>
      <c r="H623" s="176"/>
      <c r="I623" s="210"/>
      <c r="J623" s="176"/>
      <c r="K623" s="211"/>
      <c r="L623" s="211"/>
      <c r="M623" s="211"/>
      <c r="N623" s="211"/>
      <c r="O623" s="211"/>
      <c r="P623" s="211"/>
      <c r="Q623" s="210"/>
      <c r="R623" s="176"/>
      <c r="S623" s="176"/>
      <c r="T623" s="212"/>
      <c r="U623" s="176"/>
      <c r="V623" s="176"/>
      <c r="W623" s="176"/>
      <c r="X623" s="176"/>
      <c r="Y623" s="176"/>
      <c r="Z623" s="176"/>
      <c r="AA623" s="176"/>
    </row>
    <row r="624" spans="1:27" ht="15.75" customHeight="1">
      <c r="A624" s="176"/>
      <c r="B624" s="209"/>
      <c r="C624" s="176"/>
      <c r="D624" s="176"/>
      <c r="E624" s="176"/>
      <c r="F624" s="210"/>
      <c r="G624" s="176"/>
      <c r="H624" s="176"/>
      <c r="I624" s="210"/>
      <c r="J624" s="176"/>
      <c r="K624" s="211"/>
      <c r="L624" s="211"/>
      <c r="M624" s="211"/>
      <c r="N624" s="211"/>
      <c r="O624" s="211"/>
      <c r="P624" s="211"/>
      <c r="Q624" s="210"/>
      <c r="R624" s="176"/>
      <c r="S624" s="176"/>
      <c r="T624" s="212"/>
      <c r="U624" s="176"/>
      <c r="V624" s="176"/>
      <c r="W624" s="176"/>
      <c r="X624" s="176"/>
      <c r="Y624" s="176"/>
      <c r="Z624" s="176"/>
      <c r="AA624" s="176"/>
    </row>
    <row r="625" spans="1:27" ht="15.75" customHeight="1">
      <c r="A625" s="176"/>
      <c r="B625" s="209"/>
      <c r="C625" s="176"/>
      <c r="D625" s="176"/>
      <c r="E625" s="176"/>
      <c r="F625" s="210"/>
      <c r="G625" s="176"/>
      <c r="H625" s="176"/>
      <c r="I625" s="210"/>
      <c r="J625" s="176"/>
      <c r="K625" s="211"/>
      <c r="L625" s="211"/>
      <c r="M625" s="211"/>
      <c r="N625" s="211"/>
      <c r="O625" s="211"/>
      <c r="P625" s="211"/>
      <c r="Q625" s="210"/>
      <c r="R625" s="176"/>
      <c r="S625" s="176"/>
      <c r="T625" s="212"/>
      <c r="U625" s="176"/>
      <c r="V625" s="176"/>
      <c r="W625" s="176"/>
      <c r="X625" s="176"/>
      <c r="Y625" s="176"/>
      <c r="Z625" s="176"/>
      <c r="AA625" s="176"/>
    </row>
    <row r="626" spans="1:27" ht="15.75" customHeight="1">
      <c r="A626" s="176"/>
      <c r="B626" s="209"/>
      <c r="C626" s="176"/>
      <c r="D626" s="176"/>
      <c r="E626" s="176"/>
      <c r="F626" s="210"/>
      <c r="G626" s="176"/>
      <c r="H626" s="176"/>
      <c r="I626" s="210"/>
      <c r="J626" s="176"/>
      <c r="K626" s="211"/>
      <c r="L626" s="211"/>
      <c r="M626" s="211"/>
      <c r="N626" s="211"/>
      <c r="O626" s="211"/>
      <c r="P626" s="211"/>
      <c r="Q626" s="210"/>
      <c r="R626" s="176"/>
      <c r="S626" s="176"/>
      <c r="T626" s="212"/>
      <c r="U626" s="176"/>
      <c r="V626" s="176"/>
      <c r="W626" s="176"/>
      <c r="X626" s="176"/>
      <c r="Y626" s="176"/>
      <c r="Z626" s="176"/>
      <c r="AA626" s="176"/>
    </row>
    <row r="627" spans="1:27" ht="15.75" customHeight="1">
      <c r="A627" s="176"/>
      <c r="B627" s="209"/>
      <c r="C627" s="176"/>
      <c r="D627" s="176"/>
      <c r="E627" s="176"/>
      <c r="F627" s="210"/>
      <c r="G627" s="176"/>
      <c r="H627" s="176"/>
      <c r="I627" s="210"/>
      <c r="J627" s="176"/>
      <c r="K627" s="211"/>
      <c r="L627" s="211"/>
      <c r="M627" s="211"/>
      <c r="N627" s="211"/>
      <c r="O627" s="211"/>
      <c r="P627" s="211"/>
      <c r="Q627" s="210"/>
      <c r="R627" s="176"/>
      <c r="S627" s="176"/>
      <c r="T627" s="212"/>
      <c r="U627" s="176"/>
      <c r="V627" s="176"/>
      <c r="W627" s="176"/>
      <c r="X627" s="176"/>
      <c r="Y627" s="176"/>
      <c r="Z627" s="176"/>
      <c r="AA627" s="176"/>
    </row>
    <row r="628" spans="1:27" ht="15.75" customHeight="1">
      <c r="A628" s="176"/>
      <c r="B628" s="209"/>
      <c r="C628" s="176"/>
      <c r="D628" s="176"/>
      <c r="E628" s="176"/>
      <c r="F628" s="210"/>
      <c r="G628" s="176"/>
      <c r="H628" s="176"/>
      <c r="I628" s="210"/>
      <c r="J628" s="176"/>
      <c r="K628" s="211"/>
      <c r="L628" s="211"/>
      <c r="M628" s="211"/>
      <c r="N628" s="211"/>
      <c r="O628" s="211"/>
      <c r="P628" s="211"/>
      <c r="Q628" s="210"/>
      <c r="R628" s="176"/>
      <c r="S628" s="176"/>
      <c r="T628" s="212"/>
      <c r="U628" s="176"/>
      <c r="V628" s="176"/>
      <c r="W628" s="176"/>
      <c r="X628" s="176"/>
      <c r="Y628" s="176"/>
      <c r="Z628" s="176"/>
      <c r="AA628" s="176"/>
    </row>
    <row r="629" spans="1:27" ht="15.75" customHeight="1">
      <c r="A629" s="176"/>
      <c r="B629" s="209"/>
      <c r="C629" s="176"/>
      <c r="D629" s="176"/>
      <c r="E629" s="176"/>
      <c r="F629" s="210"/>
      <c r="G629" s="176"/>
      <c r="H629" s="176"/>
      <c r="I629" s="210"/>
      <c r="J629" s="176"/>
      <c r="K629" s="211"/>
      <c r="L629" s="211"/>
      <c r="M629" s="211"/>
      <c r="N629" s="211"/>
      <c r="O629" s="211"/>
      <c r="P629" s="211"/>
      <c r="Q629" s="210"/>
      <c r="R629" s="176"/>
      <c r="S629" s="176"/>
      <c r="T629" s="212"/>
      <c r="U629" s="176"/>
      <c r="V629" s="176"/>
      <c r="W629" s="176"/>
      <c r="X629" s="176"/>
      <c r="Y629" s="176"/>
      <c r="Z629" s="176"/>
      <c r="AA629" s="176"/>
    </row>
    <row r="630" spans="1:27" ht="15.75" customHeight="1">
      <c r="A630" s="176"/>
      <c r="B630" s="209"/>
      <c r="C630" s="176"/>
      <c r="D630" s="176"/>
      <c r="E630" s="176"/>
      <c r="F630" s="210"/>
      <c r="G630" s="176"/>
      <c r="H630" s="176"/>
      <c r="I630" s="210"/>
      <c r="J630" s="176"/>
      <c r="K630" s="211"/>
      <c r="L630" s="211"/>
      <c r="M630" s="211"/>
      <c r="N630" s="211"/>
      <c r="O630" s="211"/>
      <c r="P630" s="211"/>
      <c r="Q630" s="210"/>
      <c r="R630" s="176"/>
      <c r="S630" s="176"/>
      <c r="T630" s="212"/>
      <c r="U630" s="176"/>
      <c r="V630" s="176"/>
      <c r="W630" s="176"/>
      <c r="X630" s="176"/>
      <c r="Y630" s="176"/>
      <c r="Z630" s="176"/>
      <c r="AA630" s="176"/>
    </row>
    <row r="631" spans="1:27" ht="15.75" customHeight="1">
      <c r="A631" s="176"/>
      <c r="B631" s="209"/>
      <c r="C631" s="176"/>
      <c r="D631" s="176"/>
      <c r="E631" s="176"/>
      <c r="F631" s="210"/>
      <c r="G631" s="176"/>
      <c r="H631" s="176"/>
      <c r="I631" s="210"/>
      <c r="J631" s="176"/>
      <c r="K631" s="211"/>
      <c r="L631" s="211"/>
      <c r="M631" s="211"/>
      <c r="N631" s="211"/>
      <c r="O631" s="211"/>
      <c r="P631" s="211"/>
      <c r="Q631" s="210"/>
      <c r="R631" s="176"/>
      <c r="S631" s="176"/>
      <c r="T631" s="212"/>
      <c r="U631" s="176"/>
      <c r="V631" s="176"/>
      <c r="W631" s="176"/>
      <c r="X631" s="176"/>
      <c r="Y631" s="176"/>
      <c r="Z631" s="176"/>
      <c r="AA631" s="176"/>
    </row>
    <row r="632" spans="1:27" ht="15.75" customHeight="1">
      <c r="A632" s="176"/>
      <c r="B632" s="209"/>
      <c r="C632" s="176"/>
      <c r="D632" s="176"/>
      <c r="E632" s="176"/>
      <c r="F632" s="210"/>
      <c r="G632" s="176"/>
      <c r="H632" s="176"/>
      <c r="I632" s="210"/>
      <c r="J632" s="176"/>
      <c r="K632" s="211"/>
      <c r="L632" s="211"/>
      <c r="M632" s="211"/>
      <c r="N632" s="211"/>
      <c r="O632" s="211"/>
      <c r="P632" s="211"/>
      <c r="Q632" s="210"/>
      <c r="R632" s="176"/>
      <c r="S632" s="176"/>
      <c r="T632" s="212"/>
      <c r="U632" s="176"/>
      <c r="V632" s="176"/>
      <c r="W632" s="176"/>
      <c r="X632" s="176"/>
      <c r="Y632" s="176"/>
      <c r="Z632" s="176"/>
      <c r="AA632" s="176"/>
    </row>
    <row r="633" spans="1:27" ht="15.75" customHeight="1">
      <c r="A633" s="176"/>
      <c r="B633" s="209"/>
      <c r="C633" s="176"/>
      <c r="D633" s="176"/>
      <c r="E633" s="176"/>
      <c r="F633" s="210"/>
      <c r="G633" s="176"/>
      <c r="H633" s="176"/>
      <c r="I633" s="210"/>
      <c r="J633" s="176"/>
      <c r="K633" s="211"/>
      <c r="L633" s="211"/>
      <c r="M633" s="211"/>
      <c r="N633" s="211"/>
      <c r="O633" s="211"/>
      <c r="P633" s="211"/>
      <c r="Q633" s="210"/>
      <c r="R633" s="176"/>
      <c r="S633" s="176"/>
      <c r="T633" s="212"/>
      <c r="U633" s="176"/>
      <c r="V633" s="176"/>
      <c r="W633" s="176"/>
      <c r="X633" s="176"/>
      <c r="Y633" s="176"/>
      <c r="Z633" s="176"/>
      <c r="AA633" s="176"/>
    </row>
    <row r="634" spans="1:27" ht="15.75" customHeight="1">
      <c r="A634" s="176"/>
      <c r="B634" s="209"/>
      <c r="C634" s="176"/>
      <c r="D634" s="176"/>
      <c r="E634" s="176"/>
      <c r="F634" s="210"/>
      <c r="G634" s="176"/>
      <c r="H634" s="176"/>
      <c r="I634" s="210"/>
      <c r="J634" s="176"/>
      <c r="K634" s="211"/>
      <c r="L634" s="211"/>
      <c r="M634" s="211"/>
      <c r="N634" s="211"/>
      <c r="O634" s="211"/>
      <c r="P634" s="211"/>
      <c r="Q634" s="210"/>
      <c r="R634" s="176"/>
      <c r="S634" s="176"/>
      <c r="T634" s="212"/>
      <c r="U634" s="176"/>
      <c r="V634" s="176"/>
      <c r="W634" s="176"/>
      <c r="X634" s="176"/>
      <c r="Y634" s="176"/>
      <c r="Z634" s="176"/>
      <c r="AA634" s="176"/>
    </row>
    <row r="635" spans="1:27" ht="15.75" customHeight="1">
      <c r="A635" s="176"/>
      <c r="B635" s="209"/>
      <c r="C635" s="176"/>
      <c r="D635" s="176"/>
      <c r="E635" s="176"/>
      <c r="F635" s="210"/>
      <c r="G635" s="176"/>
      <c r="H635" s="176"/>
      <c r="I635" s="210"/>
      <c r="J635" s="176"/>
      <c r="K635" s="211"/>
      <c r="L635" s="211"/>
      <c r="M635" s="211"/>
      <c r="N635" s="211"/>
      <c r="O635" s="211"/>
      <c r="P635" s="211"/>
      <c r="Q635" s="210"/>
      <c r="R635" s="176"/>
      <c r="S635" s="176"/>
      <c r="T635" s="212"/>
      <c r="U635" s="176"/>
      <c r="V635" s="176"/>
      <c r="W635" s="176"/>
      <c r="X635" s="176"/>
      <c r="Y635" s="176"/>
      <c r="Z635" s="176"/>
      <c r="AA635" s="176"/>
    </row>
    <row r="636" spans="1:27" ht="15.75" customHeight="1">
      <c r="A636" s="176"/>
      <c r="B636" s="209"/>
      <c r="C636" s="176"/>
      <c r="D636" s="176"/>
      <c r="E636" s="176"/>
      <c r="F636" s="210"/>
      <c r="G636" s="176"/>
      <c r="H636" s="176"/>
      <c r="I636" s="210"/>
      <c r="J636" s="176"/>
      <c r="K636" s="211"/>
      <c r="L636" s="211"/>
      <c r="M636" s="211"/>
      <c r="N636" s="211"/>
      <c r="O636" s="211"/>
      <c r="P636" s="211"/>
      <c r="Q636" s="210"/>
      <c r="R636" s="176"/>
      <c r="S636" s="176"/>
      <c r="T636" s="212"/>
      <c r="U636" s="176"/>
      <c r="V636" s="176"/>
      <c r="W636" s="176"/>
      <c r="X636" s="176"/>
      <c r="Y636" s="176"/>
      <c r="Z636" s="176"/>
      <c r="AA636" s="176"/>
    </row>
    <row r="637" spans="1:27" ht="15.75" customHeight="1">
      <c r="A637" s="176"/>
      <c r="B637" s="209"/>
      <c r="C637" s="176"/>
      <c r="D637" s="176"/>
      <c r="E637" s="176"/>
      <c r="F637" s="210"/>
      <c r="G637" s="176"/>
      <c r="H637" s="176"/>
      <c r="I637" s="210"/>
      <c r="J637" s="176"/>
      <c r="K637" s="211"/>
      <c r="L637" s="211"/>
      <c r="M637" s="211"/>
      <c r="N637" s="211"/>
      <c r="O637" s="211"/>
      <c r="P637" s="211"/>
      <c r="Q637" s="210"/>
      <c r="R637" s="176"/>
      <c r="S637" s="176"/>
      <c r="T637" s="212"/>
      <c r="U637" s="176"/>
      <c r="V637" s="176"/>
      <c r="W637" s="176"/>
      <c r="X637" s="176"/>
      <c r="Y637" s="176"/>
      <c r="Z637" s="176"/>
      <c r="AA637" s="176"/>
    </row>
    <row r="638" spans="1:27" ht="15.75" customHeight="1">
      <c r="A638" s="176"/>
      <c r="B638" s="209"/>
      <c r="C638" s="176"/>
      <c r="D638" s="176"/>
      <c r="E638" s="176"/>
      <c r="F638" s="210"/>
      <c r="G638" s="176"/>
      <c r="H638" s="176"/>
      <c r="I638" s="210"/>
      <c r="J638" s="176"/>
      <c r="K638" s="211"/>
      <c r="L638" s="211"/>
      <c r="M638" s="211"/>
      <c r="N638" s="211"/>
      <c r="O638" s="211"/>
      <c r="P638" s="211"/>
      <c r="Q638" s="210"/>
      <c r="R638" s="176"/>
      <c r="S638" s="176"/>
      <c r="T638" s="212"/>
      <c r="U638" s="176"/>
      <c r="V638" s="176"/>
      <c r="W638" s="176"/>
      <c r="X638" s="176"/>
      <c r="Y638" s="176"/>
      <c r="Z638" s="176"/>
      <c r="AA638" s="176"/>
    </row>
    <row r="639" spans="1:27" ht="15.75" customHeight="1">
      <c r="A639" s="176"/>
      <c r="B639" s="209"/>
      <c r="C639" s="176"/>
      <c r="D639" s="176"/>
      <c r="E639" s="176"/>
      <c r="F639" s="210"/>
      <c r="G639" s="176"/>
      <c r="H639" s="176"/>
      <c r="I639" s="210"/>
      <c r="J639" s="176"/>
      <c r="K639" s="211"/>
      <c r="L639" s="211"/>
      <c r="M639" s="211"/>
      <c r="N639" s="211"/>
      <c r="O639" s="211"/>
      <c r="P639" s="211"/>
      <c r="Q639" s="210"/>
      <c r="R639" s="176"/>
      <c r="S639" s="176"/>
      <c r="T639" s="212"/>
      <c r="U639" s="176"/>
      <c r="V639" s="176"/>
      <c r="W639" s="176"/>
      <c r="X639" s="176"/>
      <c r="Y639" s="176"/>
      <c r="Z639" s="176"/>
      <c r="AA639" s="176"/>
    </row>
    <row r="640" spans="1:27" ht="15.75" customHeight="1">
      <c r="A640" s="176"/>
      <c r="B640" s="209"/>
      <c r="C640" s="176"/>
      <c r="D640" s="176"/>
      <c r="E640" s="176"/>
      <c r="F640" s="210"/>
      <c r="G640" s="176"/>
      <c r="H640" s="176"/>
      <c r="I640" s="210"/>
      <c r="J640" s="176"/>
      <c r="K640" s="211"/>
      <c r="L640" s="211"/>
      <c r="M640" s="211"/>
      <c r="N640" s="211"/>
      <c r="O640" s="211"/>
      <c r="P640" s="211"/>
      <c r="Q640" s="210"/>
      <c r="R640" s="176"/>
      <c r="S640" s="176"/>
      <c r="T640" s="212"/>
      <c r="U640" s="176"/>
      <c r="V640" s="176"/>
      <c r="W640" s="176"/>
      <c r="X640" s="176"/>
      <c r="Y640" s="176"/>
      <c r="Z640" s="176"/>
      <c r="AA640" s="176"/>
    </row>
    <row r="641" spans="1:27" ht="15.75" customHeight="1">
      <c r="A641" s="176"/>
      <c r="B641" s="209"/>
      <c r="C641" s="176"/>
      <c r="D641" s="176"/>
      <c r="E641" s="176"/>
      <c r="F641" s="210"/>
      <c r="G641" s="176"/>
      <c r="H641" s="176"/>
      <c r="I641" s="210"/>
      <c r="J641" s="176"/>
      <c r="K641" s="211"/>
      <c r="L641" s="211"/>
      <c r="M641" s="211"/>
      <c r="N641" s="211"/>
      <c r="O641" s="211"/>
      <c r="P641" s="211"/>
      <c r="Q641" s="210"/>
      <c r="R641" s="176"/>
      <c r="S641" s="176"/>
      <c r="T641" s="212"/>
      <c r="U641" s="176"/>
      <c r="V641" s="176"/>
      <c r="W641" s="176"/>
      <c r="X641" s="176"/>
      <c r="Y641" s="176"/>
      <c r="Z641" s="176"/>
      <c r="AA641" s="176"/>
    </row>
    <row r="642" spans="1:27" ht="15.75" customHeight="1">
      <c r="A642" s="176"/>
      <c r="B642" s="209"/>
      <c r="C642" s="176"/>
      <c r="D642" s="176"/>
      <c r="E642" s="176"/>
      <c r="F642" s="210"/>
      <c r="G642" s="176"/>
      <c r="H642" s="176"/>
      <c r="I642" s="210"/>
      <c r="J642" s="176"/>
      <c r="K642" s="211"/>
      <c r="L642" s="211"/>
      <c r="M642" s="211"/>
      <c r="N642" s="211"/>
      <c r="O642" s="211"/>
      <c r="P642" s="211"/>
      <c r="Q642" s="210"/>
      <c r="R642" s="176"/>
      <c r="S642" s="176"/>
      <c r="T642" s="212"/>
      <c r="U642" s="176"/>
      <c r="V642" s="176"/>
      <c r="W642" s="176"/>
      <c r="X642" s="176"/>
      <c r="Y642" s="176"/>
      <c r="Z642" s="176"/>
      <c r="AA642" s="176"/>
    </row>
    <row r="643" spans="1:27" ht="15.75" customHeight="1">
      <c r="A643" s="176"/>
      <c r="B643" s="209"/>
      <c r="C643" s="176"/>
      <c r="D643" s="176"/>
      <c r="E643" s="176"/>
      <c r="F643" s="210"/>
      <c r="G643" s="176"/>
      <c r="H643" s="176"/>
      <c r="I643" s="210"/>
      <c r="J643" s="176"/>
      <c r="K643" s="211"/>
      <c r="L643" s="211"/>
      <c r="M643" s="211"/>
      <c r="N643" s="211"/>
      <c r="O643" s="211"/>
      <c r="P643" s="211"/>
      <c r="Q643" s="210"/>
      <c r="R643" s="176"/>
      <c r="S643" s="176"/>
      <c r="T643" s="212"/>
      <c r="U643" s="176"/>
      <c r="V643" s="176"/>
      <c r="W643" s="176"/>
      <c r="X643" s="176"/>
      <c r="Y643" s="176"/>
      <c r="Z643" s="176"/>
      <c r="AA643" s="176"/>
    </row>
    <row r="644" spans="1:27" ht="15.75" customHeight="1">
      <c r="A644" s="176"/>
      <c r="B644" s="209"/>
      <c r="C644" s="176"/>
      <c r="D644" s="176"/>
      <c r="E644" s="176"/>
      <c r="F644" s="210"/>
      <c r="G644" s="176"/>
      <c r="H644" s="176"/>
      <c r="I644" s="210"/>
      <c r="J644" s="176"/>
      <c r="K644" s="211"/>
      <c r="L644" s="211"/>
      <c r="M644" s="211"/>
      <c r="N644" s="211"/>
      <c r="O644" s="211"/>
      <c r="P644" s="211"/>
      <c r="Q644" s="210"/>
      <c r="R644" s="176"/>
      <c r="S644" s="176"/>
      <c r="T644" s="212"/>
      <c r="U644" s="176"/>
      <c r="V644" s="176"/>
      <c r="W644" s="176"/>
      <c r="X644" s="176"/>
      <c r="Y644" s="176"/>
      <c r="Z644" s="176"/>
      <c r="AA644" s="176"/>
    </row>
    <row r="645" spans="1:27" ht="15.75" customHeight="1">
      <c r="A645" s="176"/>
      <c r="B645" s="209"/>
      <c r="C645" s="176"/>
      <c r="D645" s="176"/>
      <c r="E645" s="176"/>
      <c r="F645" s="210"/>
      <c r="G645" s="176"/>
      <c r="H645" s="176"/>
      <c r="I645" s="210"/>
      <c r="J645" s="176"/>
      <c r="K645" s="211"/>
      <c r="L645" s="211"/>
      <c r="M645" s="211"/>
      <c r="N645" s="211"/>
      <c r="O645" s="211"/>
      <c r="P645" s="211"/>
      <c r="Q645" s="210"/>
      <c r="R645" s="176"/>
      <c r="S645" s="176"/>
      <c r="T645" s="212"/>
      <c r="U645" s="176"/>
      <c r="V645" s="176"/>
      <c r="W645" s="176"/>
      <c r="X645" s="176"/>
      <c r="Y645" s="176"/>
      <c r="Z645" s="176"/>
      <c r="AA645" s="176"/>
    </row>
    <row r="646" spans="1:27" ht="15.75" customHeight="1">
      <c r="A646" s="176"/>
      <c r="B646" s="209"/>
      <c r="C646" s="176"/>
      <c r="D646" s="176"/>
      <c r="E646" s="176"/>
      <c r="F646" s="210"/>
      <c r="G646" s="176"/>
      <c r="H646" s="176"/>
      <c r="I646" s="210"/>
      <c r="J646" s="176"/>
      <c r="K646" s="211"/>
      <c r="L646" s="211"/>
      <c r="M646" s="211"/>
      <c r="N646" s="211"/>
      <c r="O646" s="211"/>
      <c r="P646" s="211"/>
      <c r="Q646" s="210"/>
      <c r="R646" s="176"/>
      <c r="S646" s="176"/>
      <c r="T646" s="212"/>
      <c r="U646" s="176"/>
      <c r="V646" s="176"/>
      <c r="W646" s="176"/>
      <c r="X646" s="176"/>
      <c r="Y646" s="176"/>
      <c r="Z646" s="176"/>
      <c r="AA646" s="176"/>
    </row>
    <row r="647" spans="1:27" ht="15.75" customHeight="1">
      <c r="A647" s="176"/>
      <c r="B647" s="209"/>
      <c r="C647" s="176"/>
      <c r="D647" s="176"/>
      <c r="E647" s="176"/>
      <c r="F647" s="210"/>
      <c r="G647" s="176"/>
      <c r="H647" s="176"/>
      <c r="I647" s="210"/>
      <c r="J647" s="176"/>
      <c r="K647" s="211"/>
      <c r="L647" s="211"/>
      <c r="M647" s="211"/>
      <c r="N647" s="211"/>
      <c r="O647" s="211"/>
      <c r="P647" s="211"/>
      <c r="Q647" s="210"/>
      <c r="R647" s="176"/>
      <c r="S647" s="176"/>
      <c r="T647" s="212"/>
      <c r="U647" s="176"/>
      <c r="V647" s="176"/>
      <c r="W647" s="176"/>
      <c r="X647" s="176"/>
      <c r="Y647" s="176"/>
      <c r="Z647" s="176"/>
      <c r="AA647" s="176"/>
    </row>
    <row r="648" spans="1:27" ht="15.75" customHeight="1">
      <c r="A648" s="176"/>
      <c r="B648" s="209"/>
      <c r="C648" s="176"/>
      <c r="D648" s="176"/>
      <c r="E648" s="176"/>
      <c r="F648" s="210"/>
      <c r="G648" s="176"/>
      <c r="H648" s="176"/>
      <c r="I648" s="210"/>
      <c r="J648" s="176"/>
      <c r="K648" s="211"/>
      <c r="L648" s="211"/>
      <c r="M648" s="211"/>
      <c r="N648" s="211"/>
      <c r="O648" s="211"/>
      <c r="P648" s="211"/>
      <c r="Q648" s="210"/>
      <c r="R648" s="176"/>
      <c r="S648" s="176"/>
      <c r="T648" s="212"/>
      <c r="U648" s="176"/>
      <c r="V648" s="176"/>
      <c r="W648" s="176"/>
      <c r="X648" s="176"/>
      <c r="Y648" s="176"/>
      <c r="Z648" s="176"/>
      <c r="AA648" s="176"/>
    </row>
    <row r="649" spans="1:27" ht="15.75" customHeight="1">
      <c r="A649" s="176"/>
      <c r="B649" s="209"/>
      <c r="C649" s="176"/>
      <c r="D649" s="176"/>
      <c r="E649" s="176"/>
      <c r="F649" s="210"/>
      <c r="G649" s="176"/>
      <c r="H649" s="176"/>
      <c r="I649" s="210"/>
      <c r="J649" s="176"/>
      <c r="K649" s="211"/>
      <c r="L649" s="211"/>
      <c r="M649" s="211"/>
      <c r="N649" s="211"/>
      <c r="O649" s="211"/>
      <c r="P649" s="211"/>
      <c r="Q649" s="210"/>
      <c r="R649" s="176"/>
      <c r="S649" s="176"/>
      <c r="T649" s="212"/>
      <c r="U649" s="176"/>
      <c r="V649" s="176"/>
      <c r="W649" s="176"/>
      <c r="X649" s="176"/>
      <c r="Y649" s="176"/>
      <c r="Z649" s="176"/>
      <c r="AA649" s="176"/>
    </row>
    <row r="650" spans="1:27" ht="15.75" customHeight="1">
      <c r="A650" s="176"/>
      <c r="B650" s="209"/>
      <c r="C650" s="176"/>
      <c r="D650" s="176"/>
      <c r="E650" s="176"/>
      <c r="F650" s="210"/>
      <c r="G650" s="176"/>
      <c r="H650" s="176"/>
      <c r="I650" s="210"/>
      <c r="J650" s="176"/>
      <c r="K650" s="211"/>
      <c r="L650" s="211"/>
      <c r="M650" s="211"/>
      <c r="N650" s="211"/>
      <c r="O650" s="211"/>
      <c r="P650" s="211"/>
      <c r="Q650" s="210"/>
      <c r="R650" s="176"/>
      <c r="S650" s="176"/>
      <c r="T650" s="212"/>
      <c r="U650" s="176"/>
      <c r="V650" s="176"/>
      <c r="W650" s="176"/>
      <c r="X650" s="176"/>
      <c r="Y650" s="176"/>
      <c r="Z650" s="176"/>
      <c r="AA650" s="176"/>
    </row>
    <row r="651" spans="1:27" ht="15.75" customHeight="1">
      <c r="A651" s="176"/>
      <c r="B651" s="209"/>
      <c r="C651" s="176"/>
      <c r="D651" s="176"/>
      <c r="E651" s="176"/>
      <c r="F651" s="210"/>
      <c r="G651" s="176"/>
      <c r="H651" s="176"/>
      <c r="I651" s="210"/>
      <c r="J651" s="176"/>
      <c r="K651" s="211"/>
      <c r="L651" s="211"/>
      <c r="M651" s="211"/>
      <c r="N651" s="211"/>
      <c r="O651" s="211"/>
      <c r="P651" s="211"/>
      <c r="Q651" s="210"/>
      <c r="R651" s="176"/>
      <c r="S651" s="176"/>
      <c r="T651" s="212"/>
      <c r="U651" s="176"/>
      <c r="V651" s="176"/>
      <c r="W651" s="176"/>
      <c r="X651" s="176"/>
      <c r="Y651" s="176"/>
      <c r="Z651" s="176"/>
      <c r="AA651" s="176"/>
    </row>
    <row r="652" spans="1:27" ht="15.75" customHeight="1">
      <c r="A652" s="176"/>
      <c r="B652" s="209"/>
      <c r="C652" s="176"/>
      <c r="D652" s="176"/>
      <c r="E652" s="176"/>
      <c r="F652" s="210"/>
      <c r="G652" s="176"/>
      <c r="H652" s="176"/>
      <c r="I652" s="210"/>
      <c r="J652" s="176"/>
      <c r="K652" s="211"/>
      <c r="L652" s="211"/>
      <c r="M652" s="211"/>
      <c r="N652" s="211"/>
      <c r="O652" s="211"/>
      <c r="P652" s="211"/>
      <c r="Q652" s="210"/>
      <c r="R652" s="176"/>
      <c r="S652" s="176"/>
      <c r="T652" s="212"/>
      <c r="U652" s="176"/>
      <c r="V652" s="176"/>
      <c r="W652" s="176"/>
      <c r="X652" s="176"/>
      <c r="Y652" s="176"/>
      <c r="Z652" s="176"/>
      <c r="AA652" s="176"/>
    </row>
    <row r="653" spans="1:27" ht="15.75" customHeight="1">
      <c r="A653" s="176"/>
      <c r="B653" s="209"/>
      <c r="C653" s="176"/>
      <c r="D653" s="176"/>
      <c r="E653" s="176"/>
      <c r="F653" s="210"/>
      <c r="G653" s="176"/>
      <c r="H653" s="176"/>
      <c r="I653" s="210"/>
      <c r="J653" s="176"/>
      <c r="K653" s="211"/>
      <c r="L653" s="211"/>
      <c r="M653" s="211"/>
      <c r="N653" s="211"/>
      <c r="O653" s="211"/>
      <c r="P653" s="211"/>
      <c r="Q653" s="210"/>
      <c r="R653" s="176"/>
      <c r="S653" s="176"/>
      <c r="T653" s="212"/>
      <c r="U653" s="176"/>
      <c r="V653" s="176"/>
      <c r="W653" s="176"/>
      <c r="X653" s="176"/>
      <c r="Y653" s="176"/>
      <c r="Z653" s="176"/>
      <c r="AA653" s="176"/>
    </row>
    <row r="654" spans="1:27" ht="15.75" customHeight="1">
      <c r="A654" s="176"/>
      <c r="B654" s="209"/>
      <c r="C654" s="176"/>
      <c r="D654" s="176"/>
      <c r="E654" s="176"/>
      <c r="F654" s="210"/>
      <c r="G654" s="176"/>
      <c r="H654" s="176"/>
      <c r="I654" s="210"/>
      <c r="J654" s="176"/>
      <c r="K654" s="211"/>
      <c r="L654" s="211"/>
      <c r="M654" s="211"/>
      <c r="N654" s="211"/>
      <c r="O654" s="211"/>
      <c r="P654" s="211"/>
      <c r="Q654" s="210"/>
      <c r="R654" s="176"/>
      <c r="S654" s="176"/>
      <c r="T654" s="212"/>
      <c r="U654" s="176"/>
      <c r="V654" s="176"/>
      <c r="W654" s="176"/>
      <c r="X654" s="176"/>
      <c r="Y654" s="176"/>
      <c r="Z654" s="176"/>
      <c r="AA654" s="176"/>
    </row>
    <row r="655" spans="1:27" ht="15.75" customHeight="1">
      <c r="A655" s="176"/>
      <c r="B655" s="209"/>
      <c r="C655" s="176"/>
      <c r="D655" s="176"/>
      <c r="E655" s="176"/>
      <c r="F655" s="210"/>
      <c r="G655" s="176"/>
      <c r="H655" s="176"/>
      <c r="I655" s="210"/>
      <c r="J655" s="176"/>
      <c r="K655" s="211"/>
      <c r="L655" s="211"/>
      <c r="M655" s="211"/>
      <c r="N655" s="211"/>
      <c r="O655" s="211"/>
      <c r="P655" s="211"/>
      <c r="Q655" s="210"/>
      <c r="R655" s="176"/>
      <c r="S655" s="176"/>
      <c r="T655" s="212"/>
      <c r="U655" s="176"/>
      <c r="V655" s="176"/>
      <c r="W655" s="176"/>
      <c r="X655" s="176"/>
      <c r="Y655" s="176"/>
      <c r="Z655" s="176"/>
      <c r="AA655" s="176"/>
    </row>
    <row r="656" spans="1:27" ht="15.75" customHeight="1">
      <c r="A656" s="176"/>
      <c r="B656" s="209"/>
      <c r="C656" s="176"/>
      <c r="D656" s="176"/>
      <c r="E656" s="176"/>
      <c r="F656" s="210"/>
      <c r="G656" s="176"/>
      <c r="H656" s="176"/>
      <c r="I656" s="210"/>
      <c r="J656" s="176"/>
      <c r="K656" s="211"/>
      <c r="L656" s="211"/>
      <c r="M656" s="211"/>
      <c r="N656" s="211"/>
      <c r="O656" s="211"/>
      <c r="P656" s="211"/>
      <c r="Q656" s="210"/>
      <c r="R656" s="176"/>
      <c r="S656" s="176"/>
      <c r="T656" s="212"/>
      <c r="U656" s="176"/>
      <c r="V656" s="176"/>
      <c r="W656" s="176"/>
      <c r="X656" s="176"/>
      <c r="Y656" s="176"/>
      <c r="Z656" s="176"/>
      <c r="AA656" s="176"/>
    </row>
    <row r="657" spans="1:27" ht="15.75" customHeight="1">
      <c r="A657" s="176"/>
      <c r="B657" s="209"/>
      <c r="C657" s="176"/>
      <c r="D657" s="176"/>
      <c r="E657" s="176"/>
      <c r="F657" s="210"/>
      <c r="G657" s="176"/>
      <c r="H657" s="176"/>
      <c r="I657" s="210"/>
      <c r="J657" s="176"/>
      <c r="K657" s="211"/>
      <c r="L657" s="211"/>
      <c r="M657" s="211"/>
      <c r="N657" s="211"/>
      <c r="O657" s="211"/>
      <c r="P657" s="211"/>
      <c r="Q657" s="210"/>
      <c r="R657" s="176"/>
      <c r="S657" s="176"/>
      <c r="T657" s="212"/>
      <c r="U657" s="176"/>
      <c r="V657" s="176"/>
      <c r="W657" s="176"/>
      <c r="X657" s="176"/>
      <c r="Y657" s="176"/>
      <c r="Z657" s="176"/>
      <c r="AA657" s="176"/>
    </row>
    <row r="658" spans="1:27" ht="15.75" customHeight="1">
      <c r="A658" s="176"/>
      <c r="B658" s="209"/>
      <c r="C658" s="176"/>
      <c r="D658" s="176"/>
      <c r="E658" s="176"/>
      <c r="F658" s="210"/>
      <c r="G658" s="176"/>
      <c r="H658" s="176"/>
      <c r="I658" s="210"/>
      <c r="J658" s="176"/>
      <c r="K658" s="211"/>
      <c r="L658" s="211"/>
      <c r="M658" s="211"/>
      <c r="N658" s="211"/>
      <c r="O658" s="211"/>
      <c r="P658" s="211"/>
      <c r="Q658" s="210"/>
      <c r="R658" s="176"/>
      <c r="S658" s="176"/>
      <c r="T658" s="212"/>
      <c r="U658" s="176"/>
      <c r="V658" s="176"/>
      <c r="W658" s="176"/>
      <c r="X658" s="176"/>
      <c r="Y658" s="176"/>
      <c r="Z658" s="176"/>
      <c r="AA658" s="176"/>
    </row>
    <row r="659" spans="1:27" ht="15.75" customHeight="1">
      <c r="A659" s="176"/>
      <c r="B659" s="209"/>
      <c r="C659" s="176"/>
      <c r="D659" s="176"/>
      <c r="E659" s="176"/>
      <c r="F659" s="210"/>
      <c r="G659" s="176"/>
      <c r="H659" s="176"/>
      <c r="I659" s="210"/>
      <c r="J659" s="176"/>
      <c r="K659" s="211"/>
      <c r="L659" s="211"/>
      <c r="M659" s="211"/>
      <c r="N659" s="211"/>
      <c r="O659" s="211"/>
      <c r="P659" s="211"/>
      <c r="Q659" s="210"/>
      <c r="R659" s="176"/>
      <c r="S659" s="176"/>
      <c r="T659" s="212"/>
      <c r="U659" s="176"/>
      <c r="V659" s="176"/>
      <c r="W659" s="176"/>
      <c r="X659" s="176"/>
      <c r="Y659" s="176"/>
      <c r="Z659" s="176"/>
      <c r="AA659" s="176"/>
    </row>
    <row r="660" spans="1:27" ht="15.75" customHeight="1">
      <c r="A660" s="176"/>
      <c r="B660" s="209"/>
      <c r="C660" s="176"/>
      <c r="D660" s="176"/>
      <c r="E660" s="176"/>
      <c r="F660" s="210"/>
      <c r="G660" s="176"/>
      <c r="H660" s="176"/>
      <c r="I660" s="210"/>
      <c r="J660" s="176"/>
      <c r="K660" s="211"/>
      <c r="L660" s="211"/>
      <c r="M660" s="211"/>
      <c r="N660" s="211"/>
      <c r="O660" s="211"/>
      <c r="P660" s="211"/>
      <c r="Q660" s="210"/>
      <c r="R660" s="176"/>
      <c r="S660" s="176"/>
      <c r="T660" s="212"/>
      <c r="U660" s="176"/>
      <c r="V660" s="176"/>
      <c r="W660" s="176"/>
      <c r="X660" s="176"/>
      <c r="Y660" s="176"/>
      <c r="Z660" s="176"/>
      <c r="AA660" s="176"/>
    </row>
    <row r="661" spans="1:27" ht="15.75" customHeight="1">
      <c r="A661" s="176"/>
      <c r="B661" s="209"/>
      <c r="C661" s="176"/>
      <c r="D661" s="176"/>
      <c r="E661" s="176"/>
      <c r="F661" s="210"/>
      <c r="G661" s="176"/>
      <c r="H661" s="176"/>
      <c r="I661" s="210"/>
      <c r="J661" s="176"/>
      <c r="K661" s="211"/>
      <c r="L661" s="211"/>
      <c r="M661" s="211"/>
      <c r="N661" s="211"/>
      <c r="O661" s="211"/>
      <c r="P661" s="211"/>
      <c r="Q661" s="210"/>
      <c r="R661" s="176"/>
      <c r="S661" s="176"/>
      <c r="T661" s="212"/>
      <c r="U661" s="176"/>
      <c r="V661" s="176"/>
      <c r="W661" s="176"/>
      <c r="X661" s="176"/>
      <c r="Y661" s="176"/>
      <c r="Z661" s="176"/>
      <c r="AA661" s="176"/>
    </row>
    <row r="662" spans="1:27" ht="15.75" customHeight="1">
      <c r="A662" s="176"/>
      <c r="B662" s="209"/>
      <c r="C662" s="176"/>
      <c r="D662" s="176"/>
      <c r="E662" s="176"/>
      <c r="F662" s="210"/>
      <c r="G662" s="176"/>
      <c r="H662" s="176"/>
      <c r="I662" s="210"/>
      <c r="J662" s="176"/>
      <c r="K662" s="211"/>
      <c r="L662" s="211"/>
      <c r="M662" s="211"/>
      <c r="N662" s="211"/>
      <c r="O662" s="211"/>
      <c r="P662" s="211"/>
      <c r="Q662" s="210"/>
      <c r="R662" s="176"/>
      <c r="S662" s="176"/>
      <c r="T662" s="212"/>
      <c r="U662" s="176"/>
      <c r="V662" s="176"/>
      <c r="W662" s="176"/>
      <c r="X662" s="176"/>
      <c r="Y662" s="176"/>
      <c r="Z662" s="176"/>
      <c r="AA662" s="176"/>
    </row>
    <row r="663" spans="1:27" ht="15.75" customHeight="1">
      <c r="A663" s="176"/>
      <c r="B663" s="209"/>
      <c r="C663" s="176"/>
      <c r="D663" s="176"/>
      <c r="E663" s="176"/>
      <c r="F663" s="210"/>
      <c r="G663" s="176"/>
      <c r="H663" s="176"/>
      <c r="I663" s="210"/>
      <c r="J663" s="176"/>
      <c r="K663" s="211"/>
      <c r="L663" s="211"/>
      <c r="M663" s="211"/>
      <c r="N663" s="211"/>
      <c r="O663" s="211"/>
      <c r="P663" s="211"/>
      <c r="Q663" s="210"/>
      <c r="R663" s="176"/>
      <c r="S663" s="176"/>
      <c r="T663" s="212"/>
      <c r="U663" s="176"/>
      <c r="V663" s="176"/>
      <c r="W663" s="176"/>
      <c r="X663" s="176"/>
      <c r="Y663" s="176"/>
      <c r="Z663" s="176"/>
      <c r="AA663" s="176"/>
    </row>
    <row r="664" spans="1:27" ht="15.75" customHeight="1">
      <c r="A664" s="176"/>
      <c r="B664" s="209"/>
      <c r="C664" s="176"/>
      <c r="D664" s="176"/>
      <c r="E664" s="176"/>
      <c r="F664" s="210"/>
      <c r="G664" s="176"/>
      <c r="H664" s="176"/>
      <c r="I664" s="210"/>
      <c r="J664" s="176"/>
      <c r="K664" s="211"/>
      <c r="L664" s="211"/>
      <c r="M664" s="211"/>
      <c r="N664" s="211"/>
      <c r="O664" s="211"/>
      <c r="P664" s="211"/>
      <c r="Q664" s="210"/>
      <c r="R664" s="176"/>
      <c r="S664" s="176"/>
      <c r="T664" s="212"/>
      <c r="U664" s="176"/>
      <c r="V664" s="176"/>
      <c r="W664" s="176"/>
      <c r="X664" s="176"/>
      <c r="Y664" s="176"/>
      <c r="Z664" s="176"/>
      <c r="AA664" s="176"/>
    </row>
    <row r="665" spans="1:27" ht="15.75" customHeight="1">
      <c r="A665" s="176"/>
      <c r="B665" s="209"/>
      <c r="C665" s="176"/>
      <c r="D665" s="176"/>
      <c r="E665" s="176"/>
      <c r="F665" s="210"/>
      <c r="G665" s="176"/>
      <c r="H665" s="176"/>
      <c r="I665" s="210"/>
      <c r="J665" s="176"/>
      <c r="K665" s="211"/>
      <c r="L665" s="211"/>
      <c r="M665" s="211"/>
      <c r="N665" s="211"/>
      <c r="O665" s="211"/>
      <c r="P665" s="211"/>
      <c r="Q665" s="210"/>
      <c r="R665" s="176"/>
      <c r="S665" s="176"/>
      <c r="T665" s="212"/>
      <c r="U665" s="176"/>
      <c r="V665" s="176"/>
      <c r="W665" s="176"/>
      <c r="X665" s="176"/>
      <c r="Y665" s="176"/>
      <c r="Z665" s="176"/>
      <c r="AA665" s="176"/>
    </row>
    <row r="666" spans="1:27" ht="15.75" customHeight="1">
      <c r="A666" s="176"/>
      <c r="B666" s="209"/>
      <c r="C666" s="176"/>
      <c r="D666" s="176"/>
      <c r="E666" s="176"/>
      <c r="F666" s="210"/>
      <c r="G666" s="176"/>
      <c r="H666" s="176"/>
      <c r="I666" s="210"/>
      <c r="J666" s="176"/>
      <c r="K666" s="211"/>
      <c r="L666" s="211"/>
      <c r="M666" s="211"/>
      <c r="N666" s="211"/>
      <c r="O666" s="211"/>
      <c r="P666" s="211"/>
      <c r="Q666" s="210"/>
      <c r="R666" s="176"/>
      <c r="S666" s="176"/>
      <c r="T666" s="212"/>
      <c r="U666" s="176"/>
      <c r="V666" s="176"/>
      <c r="W666" s="176"/>
      <c r="X666" s="176"/>
      <c r="Y666" s="176"/>
      <c r="Z666" s="176"/>
      <c r="AA666" s="176"/>
    </row>
    <row r="667" spans="1:27" ht="15.75" customHeight="1">
      <c r="A667" s="176"/>
      <c r="B667" s="209"/>
      <c r="C667" s="176"/>
      <c r="D667" s="176"/>
      <c r="E667" s="176"/>
      <c r="F667" s="210"/>
      <c r="G667" s="176"/>
      <c r="H667" s="176"/>
      <c r="I667" s="210"/>
      <c r="J667" s="176"/>
      <c r="K667" s="211"/>
      <c r="L667" s="211"/>
      <c r="M667" s="211"/>
      <c r="N667" s="211"/>
      <c r="O667" s="211"/>
      <c r="P667" s="211"/>
      <c r="Q667" s="210"/>
      <c r="R667" s="176"/>
      <c r="S667" s="176"/>
      <c r="T667" s="212"/>
      <c r="U667" s="176"/>
      <c r="V667" s="176"/>
      <c r="W667" s="176"/>
      <c r="X667" s="176"/>
      <c r="Y667" s="176"/>
      <c r="Z667" s="176"/>
      <c r="AA667" s="176"/>
    </row>
    <row r="668" spans="1:27" ht="15.75" customHeight="1">
      <c r="A668" s="176"/>
      <c r="B668" s="209"/>
      <c r="C668" s="176"/>
      <c r="D668" s="176"/>
      <c r="E668" s="176"/>
      <c r="F668" s="210"/>
      <c r="G668" s="176"/>
      <c r="H668" s="176"/>
      <c r="I668" s="210"/>
      <c r="J668" s="176"/>
      <c r="K668" s="211"/>
      <c r="L668" s="211"/>
      <c r="M668" s="211"/>
      <c r="N668" s="211"/>
      <c r="O668" s="211"/>
      <c r="P668" s="211"/>
      <c r="Q668" s="210"/>
      <c r="R668" s="176"/>
      <c r="S668" s="176"/>
      <c r="T668" s="212"/>
      <c r="U668" s="176"/>
      <c r="V668" s="176"/>
      <c r="W668" s="176"/>
      <c r="X668" s="176"/>
      <c r="Y668" s="176"/>
      <c r="Z668" s="176"/>
      <c r="AA668" s="176"/>
    </row>
    <row r="669" spans="1:27" ht="15.75" customHeight="1">
      <c r="A669" s="176"/>
      <c r="B669" s="209"/>
      <c r="C669" s="176"/>
      <c r="D669" s="176"/>
      <c r="E669" s="176"/>
      <c r="F669" s="210"/>
      <c r="G669" s="176"/>
      <c r="H669" s="176"/>
      <c r="I669" s="210"/>
      <c r="J669" s="176"/>
      <c r="K669" s="211"/>
      <c r="L669" s="211"/>
      <c r="M669" s="211"/>
      <c r="N669" s="211"/>
      <c r="O669" s="211"/>
      <c r="P669" s="211"/>
      <c r="Q669" s="210"/>
      <c r="R669" s="176"/>
      <c r="S669" s="176"/>
      <c r="T669" s="212"/>
      <c r="U669" s="176"/>
      <c r="V669" s="176"/>
      <c r="W669" s="176"/>
      <c r="X669" s="176"/>
      <c r="Y669" s="176"/>
      <c r="Z669" s="176"/>
      <c r="AA669" s="176"/>
    </row>
    <row r="670" spans="1:27" ht="15.75" customHeight="1">
      <c r="A670" s="176"/>
      <c r="B670" s="209"/>
      <c r="C670" s="176"/>
      <c r="D670" s="176"/>
      <c r="E670" s="176"/>
      <c r="F670" s="210"/>
      <c r="G670" s="176"/>
      <c r="H670" s="176"/>
      <c r="I670" s="210"/>
      <c r="J670" s="176"/>
      <c r="K670" s="211"/>
      <c r="L670" s="211"/>
      <c r="M670" s="211"/>
      <c r="N670" s="211"/>
      <c r="O670" s="211"/>
      <c r="P670" s="211"/>
      <c r="Q670" s="210"/>
      <c r="R670" s="176"/>
      <c r="S670" s="176"/>
      <c r="T670" s="212"/>
      <c r="U670" s="176"/>
      <c r="V670" s="176"/>
      <c r="W670" s="176"/>
      <c r="X670" s="176"/>
      <c r="Y670" s="176"/>
      <c r="Z670" s="176"/>
      <c r="AA670" s="176"/>
    </row>
    <row r="671" spans="1:27" ht="15.75" customHeight="1">
      <c r="A671" s="176"/>
      <c r="B671" s="209"/>
      <c r="C671" s="176"/>
      <c r="D671" s="176"/>
      <c r="E671" s="176"/>
      <c r="F671" s="210"/>
      <c r="G671" s="176"/>
      <c r="H671" s="176"/>
      <c r="I671" s="210"/>
      <c r="J671" s="176"/>
      <c r="K671" s="211"/>
      <c r="L671" s="211"/>
      <c r="M671" s="211"/>
      <c r="N671" s="211"/>
      <c r="O671" s="211"/>
      <c r="P671" s="211"/>
      <c r="Q671" s="210"/>
      <c r="R671" s="176"/>
      <c r="S671" s="176"/>
      <c r="T671" s="212"/>
      <c r="U671" s="176"/>
      <c r="V671" s="176"/>
      <c r="W671" s="176"/>
      <c r="X671" s="176"/>
      <c r="Y671" s="176"/>
      <c r="Z671" s="176"/>
      <c r="AA671" s="176"/>
    </row>
    <row r="672" spans="1:27" ht="15.75" customHeight="1">
      <c r="A672" s="176"/>
      <c r="B672" s="209"/>
      <c r="C672" s="176"/>
      <c r="D672" s="176"/>
      <c r="E672" s="176"/>
      <c r="F672" s="210"/>
      <c r="G672" s="176"/>
      <c r="H672" s="176"/>
      <c r="I672" s="210"/>
      <c r="J672" s="176"/>
      <c r="K672" s="211"/>
      <c r="L672" s="211"/>
      <c r="M672" s="211"/>
      <c r="N672" s="211"/>
      <c r="O672" s="211"/>
      <c r="P672" s="211"/>
      <c r="Q672" s="210"/>
      <c r="R672" s="176"/>
      <c r="S672" s="176"/>
      <c r="T672" s="212"/>
      <c r="U672" s="176"/>
      <c r="V672" s="176"/>
      <c r="W672" s="176"/>
      <c r="X672" s="176"/>
      <c r="Y672" s="176"/>
      <c r="Z672" s="176"/>
      <c r="AA672" s="176"/>
    </row>
    <row r="673" spans="1:27" ht="15.75" customHeight="1">
      <c r="A673" s="176"/>
      <c r="B673" s="209"/>
      <c r="C673" s="176"/>
      <c r="D673" s="176"/>
      <c r="E673" s="176"/>
      <c r="F673" s="210"/>
      <c r="G673" s="176"/>
      <c r="H673" s="176"/>
      <c r="I673" s="210"/>
      <c r="J673" s="176"/>
      <c r="K673" s="211"/>
      <c r="L673" s="211"/>
      <c r="M673" s="211"/>
      <c r="N673" s="211"/>
      <c r="O673" s="211"/>
      <c r="P673" s="211"/>
      <c r="Q673" s="210"/>
      <c r="R673" s="176"/>
      <c r="S673" s="176"/>
      <c r="T673" s="212"/>
      <c r="U673" s="176"/>
      <c r="V673" s="176"/>
      <c r="W673" s="176"/>
      <c r="X673" s="176"/>
      <c r="Y673" s="176"/>
      <c r="Z673" s="176"/>
      <c r="AA673" s="176"/>
    </row>
    <row r="674" spans="1:27" ht="15.75" customHeight="1">
      <c r="A674" s="176"/>
      <c r="B674" s="209"/>
      <c r="C674" s="176"/>
      <c r="D674" s="176"/>
      <c r="E674" s="176"/>
      <c r="F674" s="210"/>
      <c r="G674" s="176"/>
      <c r="H674" s="176"/>
      <c r="I674" s="210"/>
      <c r="J674" s="176"/>
      <c r="K674" s="211"/>
      <c r="L674" s="211"/>
      <c r="M674" s="211"/>
      <c r="N674" s="211"/>
      <c r="O674" s="211"/>
      <c r="P674" s="211"/>
      <c r="Q674" s="210"/>
      <c r="R674" s="176"/>
      <c r="S674" s="176"/>
      <c r="T674" s="212"/>
      <c r="U674" s="176"/>
      <c r="V674" s="176"/>
      <c r="W674" s="176"/>
      <c r="X674" s="176"/>
      <c r="Y674" s="176"/>
      <c r="Z674" s="176"/>
      <c r="AA674" s="176"/>
    </row>
    <row r="675" spans="1:27" ht="15.75" customHeight="1">
      <c r="A675" s="176"/>
      <c r="B675" s="209"/>
      <c r="C675" s="176"/>
      <c r="D675" s="176"/>
      <c r="E675" s="176"/>
      <c r="F675" s="210"/>
      <c r="G675" s="176"/>
      <c r="H675" s="176"/>
      <c r="I675" s="210"/>
      <c r="J675" s="176"/>
      <c r="K675" s="211"/>
      <c r="L675" s="211"/>
      <c r="M675" s="211"/>
      <c r="N675" s="211"/>
      <c r="O675" s="211"/>
      <c r="P675" s="211"/>
      <c r="Q675" s="210"/>
      <c r="R675" s="176"/>
      <c r="S675" s="176"/>
      <c r="T675" s="212"/>
      <c r="U675" s="176"/>
      <c r="V675" s="176"/>
      <c r="W675" s="176"/>
      <c r="X675" s="176"/>
      <c r="Y675" s="176"/>
      <c r="Z675" s="176"/>
      <c r="AA675" s="176"/>
    </row>
    <row r="676" spans="1:27" ht="15.75" customHeight="1">
      <c r="A676" s="176"/>
      <c r="B676" s="209"/>
      <c r="C676" s="176"/>
      <c r="D676" s="176"/>
      <c r="E676" s="176"/>
      <c r="F676" s="210"/>
      <c r="G676" s="176"/>
      <c r="H676" s="176"/>
      <c r="I676" s="210"/>
      <c r="J676" s="176"/>
      <c r="K676" s="211"/>
      <c r="L676" s="211"/>
      <c r="M676" s="211"/>
      <c r="N676" s="211"/>
      <c r="O676" s="211"/>
      <c r="P676" s="211"/>
      <c r="Q676" s="210"/>
      <c r="R676" s="176"/>
      <c r="S676" s="176"/>
      <c r="T676" s="212"/>
      <c r="U676" s="176"/>
      <c r="V676" s="176"/>
      <c r="W676" s="176"/>
      <c r="X676" s="176"/>
      <c r="Y676" s="176"/>
      <c r="Z676" s="176"/>
      <c r="AA676" s="176"/>
    </row>
    <row r="677" spans="1:27" ht="15.75" customHeight="1">
      <c r="A677" s="176"/>
      <c r="B677" s="209"/>
      <c r="C677" s="176"/>
      <c r="D677" s="176"/>
      <c r="E677" s="176"/>
      <c r="F677" s="210"/>
      <c r="G677" s="176"/>
      <c r="H677" s="176"/>
      <c r="I677" s="210"/>
      <c r="J677" s="176"/>
      <c r="K677" s="211"/>
      <c r="L677" s="211"/>
      <c r="M677" s="211"/>
      <c r="N677" s="211"/>
      <c r="O677" s="211"/>
      <c r="P677" s="211"/>
      <c r="Q677" s="210"/>
      <c r="R677" s="176"/>
      <c r="S677" s="176"/>
      <c r="T677" s="212"/>
      <c r="U677" s="176"/>
      <c r="V677" s="176"/>
      <c r="W677" s="176"/>
      <c r="X677" s="176"/>
      <c r="Y677" s="176"/>
      <c r="Z677" s="176"/>
      <c r="AA677" s="176"/>
    </row>
    <row r="678" spans="1:27" ht="15.75" customHeight="1">
      <c r="A678" s="176"/>
      <c r="B678" s="209"/>
      <c r="C678" s="176"/>
      <c r="D678" s="176"/>
      <c r="E678" s="176"/>
      <c r="F678" s="210"/>
      <c r="G678" s="176"/>
      <c r="H678" s="176"/>
      <c r="I678" s="210"/>
      <c r="J678" s="176"/>
      <c r="K678" s="211"/>
      <c r="L678" s="211"/>
      <c r="M678" s="211"/>
      <c r="N678" s="211"/>
      <c r="O678" s="211"/>
      <c r="P678" s="211"/>
      <c r="Q678" s="210"/>
      <c r="R678" s="176"/>
      <c r="S678" s="176"/>
      <c r="T678" s="212"/>
      <c r="U678" s="176"/>
      <c r="V678" s="176"/>
      <c r="W678" s="176"/>
      <c r="X678" s="176"/>
      <c r="Y678" s="176"/>
      <c r="Z678" s="176"/>
      <c r="AA678" s="176"/>
    </row>
    <row r="679" spans="1:27" ht="15.75" customHeight="1">
      <c r="A679" s="176"/>
      <c r="B679" s="209"/>
      <c r="C679" s="176"/>
      <c r="D679" s="176"/>
      <c r="E679" s="176"/>
      <c r="F679" s="210"/>
      <c r="G679" s="176"/>
      <c r="H679" s="176"/>
      <c r="I679" s="210"/>
      <c r="J679" s="176"/>
      <c r="K679" s="211"/>
      <c r="L679" s="211"/>
      <c r="M679" s="211"/>
      <c r="N679" s="211"/>
      <c r="O679" s="211"/>
      <c r="P679" s="211"/>
      <c r="Q679" s="210"/>
      <c r="R679" s="176"/>
      <c r="S679" s="176"/>
      <c r="T679" s="212"/>
      <c r="U679" s="176"/>
      <c r="V679" s="176"/>
      <c r="W679" s="176"/>
      <c r="X679" s="176"/>
      <c r="Y679" s="176"/>
      <c r="Z679" s="176"/>
      <c r="AA679" s="176"/>
    </row>
    <row r="680" spans="1:27" ht="15.75" customHeight="1">
      <c r="A680" s="176"/>
      <c r="B680" s="209"/>
      <c r="C680" s="176"/>
      <c r="D680" s="176"/>
      <c r="E680" s="176"/>
      <c r="F680" s="210"/>
      <c r="G680" s="176"/>
      <c r="H680" s="176"/>
      <c r="I680" s="210"/>
      <c r="J680" s="176"/>
      <c r="K680" s="211"/>
      <c r="L680" s="211"/>
      <c r="M680" s="211"/>
      <c r="N680" s="211"/>
      <c r="O680" s="211"/>
      <c r="P680" s="211"/>
      <c r="Q680" s="210"/>
      <c r="R680" s="176"/>
      <c r="S680" s="176"/>
      <c r="T680" s="212"/>
      <c r="U680" s="176"/>
      <c r="V680" s="176"/>
      <c r="W680" s="176"/>
      <c r="X680" s="176"/>
      <c r="Y680" s="176"/>
      <c r="Z680" s="176"/>
      <c r="AA680" s="176"/>
    </row>
    <row r="681" spans="1:27" ht="15.75" customHeight="1">
      <c r="A681" s="176"/>
      <c r="B681" s="209"/>
      <c r="C681" s="176"/>
      <c r="D681" s="176"/>
      <c r="E681" s="176"/>
      <c r="F681" s="210"/>
      <c r="G681" s="176"/>
      <c r="H681" s="176"/>
      <c r="I681" s="210"/>
      <c r="J681" s="176"/>
      <c r="K681" s="211"/>
      <c r="L681" s="211"/>
      <c r="M681" s="211"/>
      <c r="N681" s="211"/>
      <c r="O681" s="211"/>
      <c r="P681" s="211"/>
      <c r="Q681" s="210"/>
      <c r="R681" s="176"/>
      <c r="S681" s="176"/>
      <c r="T681" s="212"/>
      <c r="U681" s="176"/>
      <c r="V681" s="176"/>
      <c r="W681" s="176"/>
      <c r="X681" s="176"/>
      <c r="Y681" s="176"/>
      <c r="Z681" s="176"/>
      <c r="AA681" s="176"/>
    </row>
    <row r="682" spans="1:27" ht="15.75" customHeight="1">
      <c r="A682" s="176"/>
      <c r="B682" s="209"/>
      <c r="C682" s="176"/>
      <c r="D682" s="176"/>
      <c r="E682" s="176"/>
      <c r="F682" s="210"/>
      <c r="G682" s="176"/>
      <c r="H682" s="176"/>
      <c r="I682" s="210"/>
      <c r="J682" s="176"/>
      <c r="K682" s="211"/>
      <c r="L682" s="211"/>
      <c r="M682" s="211"/>
      <c r="N682" s="211"/>
      <c r="O682" s="211"/>
      <c r="P682" s="211"/>
      <c r="Q682" s="210"/>
      <c r="R682" s="176"/>
      <c r="S682" s="176"/>
      <c r="T682" s="212"/>
      <c r="U682" s="176"/>
      <c r="V682" s="176"/>
      <c r="W682" s="176"/>
      <c r="X682" s="176"/>
      <c r="Y682" s="176"/>
      <c r="Z682" s="176"/>
      <c r="AA682" s="176"/>
    </row>
    <row r="683" spans="1:27" ht="15.75" customHeight="1">
      <c r="A683" s="176"/>
      <c r="B683" s="209"/>
      <c r="C683" s="176"/>
      <c r="D683" s="176"/>
      <c r="E683" s="176"/>
      <c r="F683" s="210"/>
      <c r="G683" s="176"/>
      <c r="H683" s="176"/>
      <c r="I683" s="210"/>
      <c r="J683" s="176"/>
      <c r="K683" s="211"/>
      <c r="L683" s="211"/>
      <c r="M683" s="211"/>
      <c r="N683" s="211"/>
      <c r="O683" s="211"/>
      <c r="P683" s="211"/>
      <c r="Q683" s="210"/>
      <c r="R683" s="176"/>
      <c r="S683" s="176"/>
      <c r="T683" s="212"/>
      <c r="U683" s="176"/>
      <c r="V683" s="176"/>
      <c r="W683" s="176"/>
      <c r="X683" s="176"/>
      <c r="Y683" s="176"/>
      <c r="Z683" s="176"/>
      <c r="AA683" s="176"/>
    </row>
    <row r="684" spans="1:27" ht="15.75" customHeight="1">
      <c r="A684" s="176"/>
      <c r="B684" s="209"/>
      <c r="C684" s="176"/>
      <c r="D684" s="176"/>
      <c r="E684" s="176"/>
      <c r="F684" s="210"/>
      <c r="G684" s="176"/>
      <c r="H684" s="176"/>
      <c r="I684" s="210"/>
      <c r="J684" s="176"/>
      <c r="K684" s="211"/>
      <c r="L684" s="211"/>
      <c r="M684" s="211"/>
      <c r="N684" s="211"/>
      <c r="O684" s="211"/>
      <c r="P684" s="211"/>
      <c r="Q684" s="210"/>
      <c r="R684" s="176"/>
      <c r="S684" s="176"/>
      <c r="T684" s="212"/>
      <c r="U684" s="176"/>
      <c r="V684" s="176"/>
      <c r="W684" s="176"/>
      <c r="X684" s="176"/>
      <c r="Y684" s="176"/>
      <c r="Z684" s="176"/>
      <c r="AA684" s="176"/>
    </row>
    <row r="685" spans="1:27" ht="15.75" customHeight="1">
      <c r="A685" s="176"/>
      <c r="B685" s="209"/>
      <c r="C685" s="176"/>
      <c r="D685" s="176"/>
      <c r="E685" s="176"/>
      <c r="F685" s="210"/>
      <c r="G685" s="176"/>
      <c r="H685" s="176"/>
      <c r="I685" s="210"/>
      <c r="J685" s="176"/>
      <c r="K685" s="211"/>
      <c r="L685" s="211"/>
      <c r="M685" s="211"/>
      <c r="N685" s="211"/>
      <c r="O685" s="211"/>
      <c r="P685" s="211"/>
      <c r="Q685" s="210"/>
      <c r="R685" s="176"/>
      <c r="S685" s="176"/>
      <c r="T685" s="212"/>
      <c r="U685" s="176"/>
      <c r="V685" s="176"/>
      <c r="W685" s="176"/>
      <c r="X685" s="176"/>
      <c r="Y685" s="176"/>
      <c r="Z685" s="176"/>
      <c r="AA685" s="176"/>
    </row>
    <row r="686" spans="1:27" ht="15.75" customHeight="1">
      <c r="A686" s="176"/>
      <c r="B686" s="209"/>
      <c r="C686" s="176"/>
      <c r="D686" s="176"/>
      <c r="E686" s="176"/>
      <c r="F686" s="210"/>
      <c r="G686" s="176"/>
      <c r="H686" s="176"/>
      <c r="I686" s="210"/>
      <c r="J686" s="176"/>
      <c r="K686" s="211"/>
      <c r="L686" s="211"/>
      <c r="M686" s="211"/>
      <c r="N686" s="211"/>
      <c r="O686" s="211"/>
      <c r="P686" s="211"/>
      <c r="Q686" s="210"/>
      <c r="R686" s="176"/>
      <c r="S686" s="176"/>
      <c r="T686" s="212"/>
      <c r="U686" s="176"/>
      <c r="V686" s="176"/>
      <c r="W686" s="176"/>
      <c r="X686" s="176"/>
      <c r="Y686" s="176"/>
      <c r="Z686" s="176"/>
      <c r="AA686" s="176"/>
    </row>
    <row r="687" spans="1:27" ht="15.75" customHeight="1">
      <c r="A687" s="176"/>
      <c r="B687" s="209"/>
      <c r="C687" s="176"/>
      <c r="D687" s="176"/>
      <c r="E687" s="176"/>
      <c r="F687" s="210"/>
      <c r="G687" s="176"/>
      <c r="H687" s="176"/>
      <c r="I687" s="210"/>
      <c r="J687" s="176"/>
      <c r="K687" s="211"/>
      <c r="L687" s="211"/>
      <c r="M687" s="211"/>
      <c r="N687" s="211"/>
      <c r="O687" s="211"/>
      <c r="P687" s="211"/>
      <c r="Q687" s="210"/>
      <c r="R687" s="176"/>
      <c r="S687" s="176"/>
      <c r="T687" s="212"/>
      <c r="U687" s="176"/>
      <c r="V687" s="176"/>
      <c r="W687" s="176"/>
      <c r="X687" s="176"/>
      <c r="Y687" s="176"/>
      <c r="Z687" s="176"/>
      <c r="AA687" s="176"/>
    </row>
    <row r="688" spans="1:27" ht="15.75" customHeight="1">
      <c r="A688" s="176"/>
      <c r="B688" s="209"/>
      <c r="C688" s="176"/>
      <c r="D688" s="176"/>
      <c r="E688" s="176"/>
      <c r="F688" s="210"/>
      <c r="G688" s="176"/>
      <c r="H688" s="176"/>
      <c r="I688" s="210"/>
      <c r="J688" s="176"/>
      <c r="K688" s="211"/>
      <c r="L688" s="211"/>
      <c r="M688" s="211"/>
      <c r="N688" s="211"/>
      <c r="O688" s="211"/>
      <c r="P688" s="211"/>
      <c r="Q688" s="210"/>
      <c r="R688" s="176"/>
      <c r="S688" s="176"/>
      <c r="T688" s="212"/>
      <c r="U688" s="176"/>
      <c r="V688" s="176"/>
      <c r="W688" s="176"/>
      <c r="X688" s="176"/>
      <c r="Y688" s="176"/>
      <c r="Z688" s="176"/>
      <c r="AA688" s="176"/>
    </row>
    <row r="689" spans="1:27" ht="15.75" customHeight="1">
      <c r="A689" s="176"/>
      <c r="B689" s="209"/>
      <c r="C689" s="176"/>
      <c r="D689" s="176"/>
      <c r="E689" s="176"/>
      <c r="F689" s="210"/>
      <c r="G689" s="176"/>
      <c r="H689" s="176"/>
      <c r="I689" s="210"/>
      <c r="J689" s="176"/>
      <c r="K689" s="211"/>
      <c r="L689" s="211"/>
      <c r="M689" s="211"/>
      <c r="N689" s="211"/>
      <c r="O689" s="211"/>
      <c r="P689" s="211"/>
      <c r="Q689" s="210"/>
      <c r="R689" s="176"/>
      <c r="S689" s="176"/>
      <c r="T689" s="212"/>
      <c r="U689" s="176"/>
      <c r="V689" s="176"/>
      <c r="W689" s="176"/>
      <c r="X689" s="176"/>
      <c r="Y689" s="176"/>
      <c r="Z689" s="176"/>
      <c r="AA689" s="176"/>
    </row>
    <row r="690" spans="1:27" ht="15.75" customHeight="1">
      <c r="A690" s="176"/>
      <c r="B690" s="209"/>
      <c r="C690" s="176"/>
      <c r="D690" s="176"/>
      <c r="E690" s="176"/>
      <c r="F690" s="210"/>
      <c r="G690" s="176"/>
      <c r="H690" s="176"/>
      <c r="I690" s="210"/>
      <c r="J690" s="176"/>
      <c r="K690" s="211"/>
      <c r="L690" s="211"/>
      <c r="M690" s="211"/>
      <c r="N690" s="211"/>
      <c r="O690" s="211"/>
      <c r="P690" s="211"/>
      <c r="Q690" s="210"/>
      <c r="R690" s="176"/>
      <c r="S690" s="176"/>
      <c r="T690" s="212"/>
      <c r="U690" s="176"/>
      <c r="V690" s="176"/>
      <c r="W690" s="176"/>
      <c r="X690" s="176"/>
      <c r="Y690" s="176"/>
      <c r="Z690" s="176"/>
      <c r="AA690" s="176"/>
    </row>
    <row r="691" spans="1:27" ht="15.75" customHeight="1">
      <c r="A691" s="176"/>
      <c r="B691" s="209"/>
      <c r="C691" s="176"/>
      <c r="D691" s="176"/>
      <c r="E691" s="176"/>
      <c r="F691" s="210"/>
      <c r="G691" s="176"/>
      <c r="H691" s="176"/>
      <c r="I691" s="210"/>
      <c r="J691" s="176"/>
      <c r="K691" s="211"/>
      <c r="L691" s="211"/>
      <c r="M691" s="211"/>
      <c r="N691" s="211"/>
      <c r="O691" s="211"/>
      <c r="P691" s="211"/>
      <c r="Q691" s="210"/>
      <c r="R691" s="176"/>
      <c r="S691" s="176"/>
      <c r="T691" s="212"/>
      <c r="U691" s="176"/>
      <c r="V691" s="176"/>
      <c r="W691" s="176"/>
      <c r="X691" s="176"/>
      <c r="Y691" s="176"/>
      <c r="Z691" s="176"/>
      <c r="AA691" s="176"/>
    </row>
    <row r="692" spans="1:27" ht="15.75" customHeight="1">
      <c r="A692" s="176"/>
      <c r="B692" s="209"/>
      <c r="C692" s="176"/>
      <c r="D692" s="176"/>
      <c r="E692" s="176"/>
      <c r="F692" s="210"/>
      <c r="G692" s="176"/>
      <c r="H692" s="176"/>
      <c r="I692" s="210"/>
      <c r="J692" s="176"/>
      <c r="K692" s="211"/>
      <c r="L692" s="211"/>
      <c r="M692" s="211"/>
      <c r="N692" s="211"/>
      <c r="O692" s="211"/>
      <c r="P692" s="211"/>
      <c r="Q692" s="210"/>
      <c r="R692" s="176"/>
      <c r="S692" s="176"/>
      <c r="T692" s="212"/>
      <c r="U692" s="176"/>
      <c r="V692" s="176"/>
      <c r="W692" s="176"/>
      <c r="X692" s="176"/>
      <c r="Y692" s="176"/>
      <c r="Z692" s="176"/>
      <c r="AA692" s="176"/>
    </row>
    <row r="693" spans="1:27" ht="15.75" customHeight="1">
      <c r="A693" s="176"/>
      <c r="B693" s="209"/>
      <c r="C693" s="176"/>
      <c r="D693" s="176"/>
      <c r="E693" s="176"/>
      <c r="F693" s="210"/>
      <c r="G693" s="176"/>
      <c r="H693" s="176"/>
      <c r="I693" s="210"/>
      <c r="J693" s="176"/>
      <c r="K693" s="211"/>
      <c r="L693" s="211"/>
      <c r="M693" s="211"/>
      <c r="N693" s="211"/>
      <c r="O693" s="211"/>
      <c r="P693" s="211"/>
      <c r="Q693" s="210"/>
      <c r="R693" s="176"/>
      <c r="S693" s="176"/>
      <c r="T693" s="212"/>
      <c r="U693" s="176"/>
      <c r="V693" s="176"/>
      <c r="W693" s="176"/>
      <c r="X693" s="176"/>
      <c r="Y693" s="176"/>
      <c r="Z693" s="176"/>
      <c r="AA693" s="176"/>
    </row>
    <row r="694" spans="1:27" ht="15.75" customHeight="1">
      <c r="A694" s="176"/>
      <c r="B694" s="209"/>
      <c r="C694" s="176"/>
      <c r="D694" s="176"/>
      <c r="E694" s="176"/>
      <c r="F694" s="210"/>
      <c r="G694" s="176"/>
      <c r="H694" s="176"/>
      <c r="I694" s="210"/>
      <c r="J694" s="176"/>
      <c r="K694" s="211"/>
      <c r="L694" s="211"/>
      <c r="M694" s="211"/>
      <c r="N694" s="211"/>
      <c r="O694" s="211"/>
      <c r="P694" s="211"/>
      <c r="Q694" s="210"/>
      <c r="R694" s="176"/>
      <c r="S694" s="176"/>
      <c r="T694" s="212"/>
      <c r="U694" s="176"/>
      <c r="V694" s="176"/>
      <c r="W694" s="176"/>
      <c r="X694" s="176"/>
      <c r="Y694" s="176"/>
      <c r="Z694" s="176"/>
      <c r="AA694" s="176"/>
    </row>
    <row r="695" spans="1:27" ht="15.75" customHeight="1">
      <c r="A695" s="176"/>
      <c r="B695" s="209"/>
      <c r="C695" s="176"/>
      <c r="D695" s="176"/>
      <c r="E695" s="176"/>
      <c r="F695" s="210"/>
      <c r="G695" s="176"/>
      <c r="H695" s="176"/>
      <c r="I695" s="210"/>
      <c r="J695" s="176"/>
      <c r="K695" s="211"/>
      <c r="L695" s="211"/>
      <c r="M695" s="211"/>
      <c r="N695" s="211"/>
      <c r="O695" s="211"/>
      <c r="P695" s="211"/>
      <c r="Q695" s="210"/>
      <c r="R695" s="176"/>
      <c r="S695" s="176"/>
      <c r="T695" s="212"/>
      <c r="U695" s="176"/>
      <c r="V695" s="176"/>
      <c r="W695" s="176"/>
      <c r="X695" s="176"/>
      <c r="Y695" s="176"/>
      <c r="Z695" s="176"/>
      <c r="AA695" s="176"/>
    </row>
    <row r="696" spans="1:27" ht="15.75" customHeight="1">
      <c r="A696" s="176"/>
      <c r="B696" s="209"/>
      <c r="C696" s="176"/>
      <c r="D696" s="176"/>
      <c r="E696" s="176"/>
      <c r="F696" s="210"/>
      <c r="G696" s="176"/>
      <c r="H696" s="176"/>
      <c r="I696" s="210"/>
      <c r="J696" s="176"/>
      <c r="K696" s="211"/>
      <c r="L696" s="211"/>
      <c r="M696" s="211"/>
      <c r="N696" s="211"/>
      <c r="O696" s="211"/>
      <c r="P696" s="211"/>
      <c r="Q696" s="210"/>
      <c r="R696" s="176"/>
      <c r="S696" s="176"/>
      <c r="T696" s="212"/>
      <c r="U696" s="176"/>
      <c r="V696" s="176"/>
      <c r="W696" s="176"/>
      <c r="X696" s="176"/>
      <c r="Y696" s="176"/>
      <c r="Z696" s="176"/>
      <c r="AA696" s="176"/>
    </row>
    <row r="697" spans="1:27" ht="15.75" customHeight="1">
      <c r="A697" s="176"/>
      <c r="B697" s="209"/>
      <c r="C697" s="176"/>
      <c r="D697" s="176"/>
      <c r="E697" s="176"/>
      <c r="F697" s="210"/>
      <c r="G697" s="176"/>
      <c r="H697" s="176"/>
      <c r="I697" s="210"/>
      <c r="J697" s="176"/>
      <c r="K697" s="211"/>
      <c r="L697" s="211"/>
      <c r="M697" s="211"/>
      <c r="N697" s="211"/>
      <c r="O697" s="211"/>
      <c r="P697" s="211"/>
      <c r="Q697" s="210"/>
      <c r="R697" s="176"/>
      <c r="S697" s="176"/>
      <c r="T697" s="212"/>
      <c r="U697" s="176"/>
      <c r="V697" s="176"/>
      <c r="W697" s="176"/>
      <c r="X697" s="176"/>
      <c r="Y697" s="176"/>
      <c r="Z697" s="176"/>
      <c r="AA697" s="176"/>
    </row>
    <row r="698" spans="1:27" ht="15.75" customHeight="1">
      <c r="A698" s="176"/>
      <c r="B698" s="209"/>
      <c r="C698" s="176"/>
      <c r="D698" s="176"/>
      <c r="E698" s="176"/>
      <c r="F698" s="210"/>
      <c r="G698" s="176"/>
      <c r="H698" s="176"/>
      <c r="I698" s="210"/>
      <c r="J698" s="176"/>
      <c r="K698" s="211"/>
      <c r="L698" s="211"/>
      <c r="M698" s="211"/>
      <c r="N698" s="211"/>
      <c r="O698" s="211"/>
      <c r="P698" s="211"/>
      <c r="Q698" s="210"/>
      <c r="R698" s="176"/>
      <c r="S698" s="176"/>
      <c r="T698" s="212"/>
      <c r="U698" s="176"/>
      <c r="V698" s="176"/>
      <c r="W698" s="176"/>
      <c r="X698" s="176"/>
      <c r="Y698" s="176"/>
      <c r="Z698" s="176"/>
      <c r="AA698" s="176"/>
    </row>
    <row r="699" spans="1:27" ht="15.75" customHeight="1">
      <c r="A699" s="176"/>
      <c r="B699" s="209"/>
      <c r="C699" s="176"/>
      <c r="D699" s="176"/>
      <c r="E699" s="176"/>
      <c r="F699" s="210"/>
      <c r="G699" s="176"/>
      <c r="H699" s="176"/>
      <c r="I699" s="210"/>
      <c r="J699" s="176"/>
      <c r="K699" s="211"/>
      <c r="L699" s="211"/>
      <c r="M699" s="211"/>
      <c r="N699" s="211"/>
      <c r="O699" s="211"/>
      <c r="P699" s="211"/>
      <c r="Q699" s="210"/>
      <c r="R699" s="176"/>
      <c r="S699" s="176"/>
      <c r="T699" s="212"/>
      <c r="U699" s="176"/>
      <c r="V699" s="176"/>
      <c r="W699" s="176"/>
      <c r="X699" s="176"/>
      <c r="Y699" s="176"/>
      <c r="Z699" s="176"/>
      <c r="AA699" s="176"/>
    </row>
    <row r="700" spans="1:27" ht="15.75" customHeight="1">
      <c r="A700" s="176"/>
      <c r="B700" s="209"/>
      <c r="C700" s="176"/>
      <c r="D700" s="176"/>
      <c r="E700" s="176"/>
      <c r="F700" s="210"/>
      <c r="G700" s="176"/>
      <c r="H700" s="176"/>
      <c r="I700" s="210"/>
      <c r="J700" s="176"/>
      <c r="K700" s="211"/>
      <c r="L700" s="211"/>
      <c r="M700" s="211"/>
      <c r="N700" s="211"/>
      <c r="O700" s="211"/>
      <c r="P700" s="211"/>
      <c r="Q700" s="210"/>
      <c r="R700" s="176"/>
      <c r="S700" s="176"/>
      <c r="T700" s="212"/>
      <c r="U700" s="176"/>
      <c r="V700" s="176"/>
      <c r="W700" s="176"/>
      <c r="X700" s="176"/>
      <c r="Y700" s="176"/>
      <c r="Z700" s="176"/>
      <c r="AA700" s="176"/>
    </row>
    <row r="701" spans="1:27" ht="15.75" customHeight="1">
      <c r="A701" s="176"/>
      <c r="B701" s="209"/>
      <c r="C701" s="176"/>
      <c r="D701" s="176"/>
      <c r="E701" s="176"/>
      <c r="F701" s="210"/>
      <c r="G701" s="176"/>
      <c r="H701" s="176"/>
      <c r="I701" s="210"/>
      <c r="J701" s="176"/>
      <c r="K701" s="211"/>
      <c r="L701" s="211"/>
      <c r="M701" s="211"/>
      <c r="N701" s="211"/>
      <c r="O701" s="211"/>
      <c r="P701" s="211"/>
      <c r="Q701" s="210"/>
      <c r="R701" s="176"/>
      <c r="S701" s="176"/>
      <c r="T701" s="212"/>
      <c r="U701" s="176"/>
      <c r="V701" s="176"/>
      <c r="W701" s="176"/>
      <c r="X701" s="176"/>
      <c r="Y701" s="176"/>
      <c r="Z701" s="176"/>
      <c r="AA701" s="176"/>
    </row>
    <row r="702" spans="1:27" ht="15.75" customHeight="1">
      <c r="A702" s="176"/>
      <c r="B702" s="209"/>
      <c r="C702" s="176"/>
      <c r="D702" s="176"/>
      <c r="E702" s="176"/>
      <c r="F702" s="210"/>
      <c r="G702" s="176"/>
      <c r="H702" s="176"/>
      <c r="I702" s="210"/>
      <c r="J702" s="176"/>
      <c r="K702" s="211"/>
      <c r="L702" s="211"/>
      <c r="M702" s="211"/>
      <c r="N702" s="211"/>
      <c r="O702" s="211"/>
      <c r="P702" s="211"/>
      <c r="Q702" s="210"/>
      <c r="R702" s="176"/>
      <c r="S702" s="176"/>
      <c r="T702" s="212"/>
      <c r="U702" s="176"/>
      <c r="V702" s="176"/>
      <c r="W702" s="176"/>
      <c r="X702" s="176"/>
      <c r="Y702" s="176"/>
      <c r="Z702" s="176"/>
      <c r="AA702" s="176"/>
    </row>
    <row r="703" spans="1:27" ht="15.75" customHeight="1">
      <c r="A703" s="176"/>
      <c r="B703" s="209"/>
      <c r="C703" s="176"/>
      <c r="D703" s="176"/>
      <c r="E703" s="176"/>
      <c r="F703" s="210"/>
      <c r="G703" s="176"/>
      <c r="H703" s="176"/>
      <c r="I703" s="210"/>
      <c r="J703" s="176"/>
      <c r="K703" s="211"/>
      <c r="L703" s="211"/>
      <c r="M703" s="211"/>
      <c r="N703" s="211"/>
      <c r="O703" s="211"/>
      <c r="P703" s="211"/>
      <c r="Q703" s="210"/>
      <c r="R703" s="176"/>
      <c r="S703" s="176"/>
      <c r="T703" s="212"/>
      <c r="U703" s="176"/>
      <c r="V703" s="176"/>
      <c r="W703" s="176"/>
      <c r="X703" s="176"/>
      <c r="Y703" s="176"/>
      <c r="Z703" s="176"/>
      <c r="AA703" s="176"/>
    </row>
    <row r="704" spans="1:27" ht="15.75" customHeight="1">
      <c r="A704" s="176"/>
      <c r="B704" s="209"/>
      <c r="C704" s="176"/>
      <c r="D704" s="176"/>
      <c r="E704" s="176"/>
      <c r="F704" s="210"/>
      <c r="G704" s="176"/>
      <c r="H704" s="176"/>
      <c r="I704" s="210"/>
      <c r="J704" s="176"/>
      <c r="K704" s="211"/>
      <c r="L704" s="211"/>
      <c r="M704" s="211"/>
      <c r="N704" s="211"/>
      <c r="O704" s="211"/>
      <c r="P704" s="211"/>
      <c r="Q704" s="210"/>
      <c r="R704" s="176"/>
      <c r="S704" s="176"/>
      <c r="T704" s="212"/>
      <c r="U704" s="176"/>
      <c r="V704" s="176"/>
      <c r="W704" s="176"/>
      <c r="X704" s="176"/>
      <c r="Y704" s="176"/>
      <c r="Z704" s="176"/>
      <c r="AA704" s="176"/>
    </row>
    <row r="705" spans="1:27" ht="15.75" customHeight="1">
      <c r="A705" s="176"/>
      <c r="B705" s="209"/>
      <c r="C705" s="176"/>
      <c r="D705" s="176"/>
      <c r="E705" s="176"/>
      <c r="F705" s="210"/>
      <c r="G705" s="176"/>
      <c r="H705" s="176"/>
      <c r="I705" s="210"/>
      <c r="J705" s="176"/>
      <c r="K705" s="211"/>
      <c r="L705" s="211"/>
      <c r="M705" s="211"/>
      <c r="N705" s="211"/>
      <c r="O705" s="211"/>
      <c r="P705" s="211"/>
      <c r="Q705" s="210"/>
      <c r="R705" s="176"/>
      <c r="S705" s="176"/>
      <c r="T705" s="212"/>
      <c r="U705" s="176"/>
      <c r="V705" s="176"/>
      <c r="W705" s="176"/>
      <c r="X705" s="176"/>
      <c r="Y705" s="176"/>
      <c r="Z705" s="176"/>
      <c r="AA705" s="176"/>
    </row>
    <row r="706" spans="1:27" ht="15.75" customHeight="1">
      <c r="A706" s="176"/>
      <c r="B706" s="209"/>
      <c r="C706" s="176"/>
      <c r="D706" s="176"/>
      <c r="E706" s="176"/>
      <c r="F706" s="210"/>
      <c r="G706" s="176"/>
      <c r="H706" s="176"/>
      <c r="I706" s="210"/>
      <c r="J706" s="176"/>
      <c r="K706" s="211"/>
      <c r="L706" s="211"/>
      <c r="M706" s="211"/>
      <c r="N706" s="211"/>
      <c r="O706" s="211"/>
      <c r="P706" s="211"/>
      <c r="Q706" s="210"/>
      <c r="R706" s="176"/>
      <c r="S706" s="176"/>
      <c r="T706" s="212"/>
      <c r="U706" s="176"/>
      <c r="V706" s="176"/>
      <c r="W706" s="176"/>
      <c r="X706" s="176"/>
      <c r="Y706" s="176"/>
      <c r="Z706" s="176"/>
      <c r="AA706" s="176"/>
    </row>
    <row r="707" spans="1:27" ht="15.75" customHeight="1">
      <c r="A707" s="176"/>
      <c r="B707" s="209"/>
      <c r="C707" s="176"/>
      <c r="D707" s="176"/>
      <c r="E707" s="176"/>
      <c r="F707" s="210"/>
      <c r="G707" s="176"/>
      <c r="H707" s="176"/>
      <c r="I707" s="210"/>
      <c r="J707" s="176"/>
      <c r="K707" s="211"/>
      <c r="L707" s="211"/>
      <c r="M707" s="211"/>
      <c r="N707" s="211"/>
      <c r="O707" s="211"/>
      <c r="P707" s="211"/>
      <c r="Q707" s="210"/>
      <c r="R707" s="176"/>
      <c r="S707" s="176"/>
      <c r="T707" s="212"/>
      <c r="U707" s="176"/>
      <c r="V707" s="176"/>
      <c r="W707" s="176"/>
      <c r="X707" s="176"/>
      <c r="Y707" s="176"/>
      <c r="Z707" s="176"/>
      <c r="AA707" s="176"/>
    </row>
    <row r="708" spans="1:27" ht="15.75" customHeight="1">
      <c r="A708" s="176"/>
      <c r="B708" s="209"/>
      <c r="C708" s="176"/>
      <c r="D708" s="176"/>
      <c r="E708" s="176"/>
      <c r="F708" s="210"/>
      <c r="G708" s="176"/>
      <c r="H708" s="176"/>
      <c r="I708" s="210"/>
      <c r="J708" s="176"/>
      <c r="K708" s="211"/>
      <c r="L708" s="211"/>
      <c r="M708" s="211"/>
      <c r="N708" s="211"/>
      <c r="O708" s="211"/>
      <c r="P708" s="211"/>
      <c r="Q708" s="210"/>
      <c r="R708" s="176"/>
      <c r="S708" s="176"/>
      <c r="T708" s="212"/>
      <c r="U708" s="176"/>
      <c r="V708" s="176"/>
      <c r="W708" s="176"/>
      <c r="X708" s="176"/>
      <c r="Y708" s="176"/>
      <c r="Z708" s="176"/>
      <c r="AA708" s="176"/>
    </row>
    <row r="709" spans="1:27" ht="15.75" customHeight="1">
      <c r="A709" s="176"/>
      <c r="B709" s="209"/>
      <c r="C709" s="176"/>
      <c r="D709" s="176"/>
      <c r="E709" s="176"/>
      <c r="F709" s="210"/>
      <c r="G709" s="176"/>
      <c r="H709" s="176"/>
      <c r="I709" s="210"/>
      <c r="J709" s="176"/>
      <c r="K709" s="211"/>
      <c r="L709" s="211"/>
      <c r="M709" s="211"/>
      <c r="N709" s="211"/>
      <c r="O709" s="211"/>
      <c r="P709" s="211"/>
      <c r="Q709" s="210"/>
      <c r="R709" s="176"/>
      <c r="S709" s="176"/>
      <c r="T709" s="212"/>
      <c r="U709" s="176"/>
      <c r="V709" s="176"/>
      <c r="W709" s="176"/>
      <c r="X709" s="176"/>
      <c r="Y709" s="176"/>
      <c r="Z709" s="176"/>
      <c r="AA709" s="176"/>
    </row>
    <row r="710" spans="1:27" ht="15.75" customHeight="1">
      <c r="A710" s="176"/>
      <c r="B710" s="209"/>
      <c r="C710" s="176"/>
      <c r="D710" s="176"/>
      <c r="E710" s="176"/>
      <c r="F710" s="210"/>
      <c r="G710" s="176"/>
      <c r="H710" s="176"/>
      <c r="I710" s="210"/>
      <c r="J710" s="176"/>
      <c r="K710" s="211"/>
      <c r="L710" s="211"/>
      <c r="M710" s="211"/>
      <c r="N710" s="211"/>
      <c r="O710" s="211"/>
      <c r="P710" s="211"/>
      <c r="Q710" s="210"/>
      <c r="R710" s="176"/>
      <c r="S710" s="176"/>
      <c r="T710" s="212"/>
      <c r="U710" s="176"/>
      <c r="V710" s="176"/>
      <c r="W710" s="176"/>
      <c r="X710" s="176"/>
      <c r="Y710" s="176"/>
      <c r="Z710" s="176"/>
      <c r="AA710" s="176"/>
    </row>
    <row r="711" spans="1:27" ht="15.75" customHeight="1">
      <c r="A711" s="176"/>
      <c r="B711" s="209"/>
      <c r="C711" s="176"/>
      <c r="D711" s="176"/>
      <c r="E711" s="176"/>
      <c r="F711" s="210"/>
      <c r="G711" s="176"/>
      <c r="H711" s="176"/>
      <c r="I711" s="210"/>
      <c r="J711" s="176"/>
      <c r="K711" s="211"/>
      <c r="L711" s="211"/>
      <c r="M711" s="211"/>
      <c r="N711" s="211"/>
      <c r="O711" s="211"/>
      <c r="P711" s="211"/>
      <c r="Q711" s="210"/>
      <c r="R711" s="176"/>
      <c r="S711" s="176"/>
      <c r="T711" s="212"/>
      <c r="U711" s="176"/>
      <c r="V711" s="176"/>
      <c r="W711" s="176"/>
      <c r="X711" s="176"/>
      <c r="Y711" s="176"/>
      <c r="Z711" s="176"/>
      <c r="AA711" s="176"/>
    </row>
    <row r="712" spans="1:27" ht="15.75" customHeight="1">
      <c r="A712" s="176"/>
      <c r="B712" s="209"/>
      <c r="C712" s="176"/>
      <c r="D712" s="176"/>
      <c r="E712" s="176"/>
      <c r="F712" s="210"/>
      <c r="G712" s="176"/>
      <c r="H712" s="176"/>
      <c r="I712" s="210"/>
      <c r="J712" s="176"/>
      <c r="K712" s="211"/>
      <c r="L712" s="211"/>
      <c r="M712" s="211"/>
      <c r="N712" s="211"/>
      <c r="O712" s="211"/>
      <c r="P712" s="211"/>
      <c r="Q712" s="210"/>
      <c r="R712" s="176"/>
      <c r="S712" s="176"/>
      <c r="T712" s="212"/>
      <c r="U712" s="176"/>
      <c r="V712" s="176"/>
      <c r="W712" s="176"/>
      <c r="X712" s="176"/>
      <c r="Y712" s="176"/>
      <c r="Z712" s="176"/>
      <c r="AA712" s="176"/>
    </row>
    <row r="713" spans="1:27" ht="15.75" customHeight="1">
      <c r="A713" s="176"/>
      <c r="B713" s="209"/>
      <c r="C713" s="176"/>
      <c r="D713" s="176"/>
      <c r="E713" s="176"/>
      <c r="F713" s="210"/>
      <c r="G713" s="176"/>
      <c r="H713" s="176"/>
      <c r="I713" s="210"/>
      <c r="J713" s="176"/>
      <c r="K713" s="211"/>
      <c r="L713" s="211"/>
      <c r="M713" s="211"/>
      <c r="N713" s="211"/>
      <c r="O713" s="211"/>
      <c r="P713" s="211"/>
      <c r="Q713" s="210"/>
      <c r="R713" s="176"/>
      <c r="S713" s="176"/>
      <c r="T713" s="212"/>
      <c r="U713" s="176"/>
      <c r="V713" s="176"/>
      <c r="W713" s="176"/>
      <c r="X713" s="176"/>
      <c r="Y713" s="176"/>
      <c r="Z713" s="176"/>
      <c r="AA713" s="176"/>
    </row>
    <row r="714" spans="1:27" ht="15.75" customHeight="1">
      <c r="A714" s="176"/>
      <c r="B714" s="209"/>
      <c r="C714" s="176"/>
      <c r="D714" s="176"/>
      <c r="E714" s="176"/>
      <c r="F714" s="210"/>
      <c r="G714" s="176"/>
      <c r="H714" s="176"/>
      <c r="I714" s="210"/>
      <c r="J714" s="176"/>
      <c r="K714" s="211"/>
      <c r="L714" s="211"/>
      <c r="M714" s="211"/>
      <c r="N714" s="211"/>
      <c r="O714" s="211"/>
      <c r="P714" s="211"/>
      <c r="Q714" s="210"/>
      <c r="R714" s="176"/>
      <c r="S714" s="176"/>
      <c r="T714" s="212"/>
      <c r="U714" s="176"/>
      <c r="V714" s="176"/>
      <c r="W714" s="176"/>
      <c r="X714" s="176"/>
      <c r="Y714" s="176"/>
      <c r="Z714" s="176"/>
      <c r="AA714" s="176"/>
    </row>
    <row r="715" spans="1:27" ht="15.75" customHeight="1">
      <c r="A715" s="176"/>
      <c r="B715" s="209"/>
      <c r="C715" s="176"/>
      <c r="D715" s="176"/>
      <c r="E715" s="176"/>
      <c r="F715" s="210"/>
      <c r="G715" s="176"/>
      <c r="H715" s="176"/>
      <c r="I715" s="210"/>
      <c r="J715" s="176"/>
      <c r="K715" s="211"/>
      <c r="L715" s="211"/>
      <c r="M715" s="211"/>
      <c r="N715" s="211"/>
      <c r="O715" s="211"/>
      <c r="P715" s="211"/>
      <c r="Q715" s="210"/>
      <c r="R715" s="176"/>
      <c r="S715" s="176"/>
      <c r="T715" s="212"/>
      <c r="U715" s="176"/>
      <c r="V715" s="176"/>
      <c r="W715" s="176"/>
      <c r="X715" s="176"/>
      <c r="Y715" s="176"/>
      <c r="Z715" s="176"/>
      <c r="AA715" s="176"/>
    </row>
    <row r="716" spans="1:27" ht="15.75" customHeight="1">
      <c r="A716" s="176"/>
      <c r="B716" s="209"/>
      <c r="C716" s="176"/>
      <c r="D716" s="176"/>
      <c r="E716" s="176"/>
      <c r="F716" s="210"/>
      <c r="G716" s="176"/>
      <c r="H716" s="176"/>
      <c r="I716" s="210"/>
      <c r="J716" s="176"/>
      <c r="K716" s="211"/>
      <c r="L716" s="211"/>
      <c r="M716" s="211"/>
      <c r="N716" s="211"/>
      <c r="O716" s="211"/>
      <c r="P716" s="211"/>
      <c r="Q716" s="210"/>
      <c r="R716" s="176"/>
      <c r="S716" s="176"/>
      <c r="T716" s="212"/>
      <c r="U716" s="176"/>
      <c r="V716" s="176"/>
      <c r="W716" s="176"/>
      <c r="X716" s="176"/>
      <c r="Y716" s="176"/>
      <c r="Z716" s="176"/>
      <c r="AA716" s="176"/>
    </row>
    <row r="717" spans="1:27" ht="15.75" customHeight="1">
      <c r="A717" s="176"/>
      <c r="B717" s="209"/>
      <c r="C717" s="176"/>
      <c r="D717" s="176"/>
      <c r="E717" s="176"/>
      <c r="F717" s="210"/>
      <c r="G717" s="176"/>
      <c r="H717" s="176"/>
      <c r="I717" s="210"/>
      <c r="J717" s="176"/>
      <c r="K717" s="211"/>
      <c r="L717" s="211"/>
      <c r="M717" s="211"/>
      <c r="N717" s="211"/>
      <c r="O717" s="211"/>
      <c r="P717" s="211"/>
      <c r="Q717" s="210"/>
      <c r="R717" s="176"/>
      <c r="S717" s="176"/>
      <c r="T717" s="212"/>
      <c r="U717" s="176"/>
      <c r="V717" s="176"/>
      <c r="W717" s="176"/>
      <c r="X717" s="176"/>
      <c r="Y717" s="176"/>
      <c r="Z717" s="176"/>
      <c r="AA717" s="176"/>
    </row>
    <row r="718" spans="1:27" ht="15.75" customHeight="1">
      <c r="A718" s="176"/>
      <c r="B718" s="209"/>
      <c r="C718" s="176"/>
      <c r="D718" s="176"/>
      <c r="E718" s="176"/>
      <c r="F718" s="210"/>
      <c r="G718" s="176"/>
      <c r="H718" s="176"/>
      <c r="I718" s="210"/>
      <c r="J718" s="176"/>
      <c r="K718" s="211"/>
      <c r="L718" s="211"/>
      <c r="M718" s="211"/>
      <c r="N718" s="211"/>
      <c r="O718" s="211"/>
      <c r="P718" s="211"/>
      <c r="Q718" s="210"/>
      <c r="R718" s="176"/>
      <c r="S718" s="176"/>
      <c r="T718" s="212"/>
      <c r="U718" s="176"/>
      <c r="V718" s="176"/>
      <c r="W718" s="176"/>
      <c r="X718" s="176"/>
      <c r="Y718" s="176"/>
      <c r="Z718" s="176"/>
      <c r="AA718" s="176"/>
    </row>
    <row r="719" spans="1:27" ht="15.75" customHeight="1">
      <c r="A719" s="176"/>
      <c r="B719" s="209"/>
      <c r="C719" s="176"/>
      <c r="D719" s="176"/>
      <c r="E719" s="176"/>
      <c r="F719" s="210"/>
      <c r="G719" s="176"/>
      <c r="H719" s="176"/>
      <c r="I719" s="210"/>
      <c r="J719" s="176"/>
      <c r="K719" s="211"/>
      <c r="L719" s="211"/>
      <c r="M719" s="211"/>
      <c r="N719" s="211"/>
      <c r="O719" s="211"/>
      <c r="P719" s="211"/>
      <c r="Q719" s="210"/>
      <c r="R719" s="176"/>
      <c r="S719" s="176"/>
      <c r="T719" s="212"/>
      <c r="U719" s="176"/>
      <c r="V719" s="176"/>
      <c r="W719" s="176"/>
      <c r="X719" s="176"/>
      <c r="Y719" s="176"/>
      <c r="Z719" s="176"/>
      <c r="AA719" s="176"/>
    </row>
    <row r="720" spans="1:27" ht="15.75" customHeight="1">
      <c r="A720" s="176"/>
      <c r="B720" s="209"/>
      <c r="C720" s="176"/>
      <c r="D720" s="176"/>
      <c r="E720" s="176"/>
      <c r="F720" s="210"/>
      <c r="G720" s="176"/>
      <c r="H720" s="176"/>
      <c r="I720" s="210"/>
      <c r="J720" s="176"/>
      <c r="K720" s="211"/>
      <c r="L720" s="211"/>
      <c r="M720" s="211"/>
      <c r="N720" s="211"/>
      <c r="O720" s="211"/>
      <c r="P720" s="211"/>
      <c r="Q720" s="210"/>
      <c r="R720" s="176"/>
      <c r="S720" s="176"/>
      <c r="T720" s="212"/>
      <c r="U720" s="176"/>
      <c r="V720" s="176"/>
      <c r="W720" s="176"/>
      <c r="X720" s="176"/>
      <c r="Y720" s="176"/>
      <c r="Z720" s="176"/>
      <c r="AA720" s="176"/>
    </row>
    <row r="721" spans="1:27" ht="15.75" customHeight="1">
      <c r="A721" s="176"/>
      <c r="B721" s="209"/>
      <c r="C721" s="176"/>
      <c r="D721" s="176"/>
      <c r="E721" s="176"/>
      <c r="F721" s="210"/>
      <c r="G721" s="176"/>
      <c r="H721" s="176"/>
      <c r="I721" s="210"/>
      <c r="J721" s="176"/>
      <c r="K721" s="211"/>
      <c r="L721" s="211"/>
      <c r="M721" s="211"/>
      <c r="N721" s="211"/>
      <c r="O721" s="211"/>
      <c r="P721" s="211"/>
      <c r="Q721" s="210"/>
      <c r="R721" s="176"/>
      <c r="S721" s="176"/>
      <c r="T721" s="212"/>
      <c r="U721" s="176"/>
      <c r="V721" s="176"/>
      <c r="W721" s="176"/>
      <c r="X721" s="176"/>
      <c r="Y721" s="176"/>
      <c r="Z721" s="176"/>
      <c r="AA721" s="176"/>
    </row>
    <row r="722" spans="1:27" ht="15.75" customHeight="1">
      <c r="A722" s="176"/>
      <c r="B722" s="209"/>
      <c r="C722" s="176"/>
      <c r="D722" s="176"/>
      <c r="E722" s="176"/>
      <c r="F722" s="210"/>
      <c r="G722" s="176"/>
      <c r="H722" s="176"/>
      <c r="I722" s="210"/>
      <c r="J722" s="176"/>
      <c r="K722" s="211"/>
      <c r="L722" s="211"/>
      <c r="M722" s="211"/>
      <c r="N722" s="211"/>
      <c r="O722" s="211"/>
      <c r="P722" s="211"/>
      <c r="Q722" s="210"/>
      <c r="R722" s="176"/>
      <c r="S722" s="176"/>
      <c r="T722" s="212"/>
      <c r="U722" s="176"/>
      <c r="V722" s="176"/>
      <c r="W722" s="176"/>
      <c r="X722" s="176"/>
      <c r="Y722" s="176"/>
      <c r="Z722" s="176"/>
      <c r="AA722" s="176"/>
    </row>
    <row r="723" spans="1:27" ht="15.75" customHeight="1">
      <c r="A723" s="176"/>
      <c r="B723" s="209"/>
      <c r="C723" s="176"/>
      <c r="D723" s="176"/>
      <c r="E723" s="176"/>
      <c r="F723" s="210"/>
      <c r="G723" s="176"/>
      <c r="H723" s="176"/>
      <c r="I723" s="210"/>
      <c r="J723" s="176"/>
      <c r="K723" s="211"/>
      <c r="L723" s="211"/>
      <c r="M723" s="211"/>
      <c r="N723" s="211"/>
      <c r="O723" s="211"/>
      <c r="P723" s="211"/>
      <c r="Q723" s="210"/>
      <c r="R723" s="176"/>
      <c r="S723" s="176"/>
      <c r="T723" s="212"/>
      <c r="U723" s="176"/>
      <c r="V723" s="176"/>
      <c r="W723" s="176"/>
      <c r="X723" s="176"/>
      <c r="Y723" s="176"/>
      <c r="Z723" s="176"/>
      <c r="AA723" s="176"/>
    </row>
    <row r="724" spans="1:27" ht="15.75" customHeight="1">
      <c r="A724" s="176"/>
      <c r="B724" s="209"/>
      <c r="C724" s="176"/>
      <c r="D724" s="176"/>
      <c r="E724" s="176"/>
      <c r="F724" s="210"/>
      <c r="G724" s="176"/>
      <c r="H724" s="176"/>
      <c r="I724" s="210"/>
      <c r="J724" s="176"/>
      <c r="K724" s="211"/>
      <c r="L724" s="211"/>
      <c r="M724" s="211"/>
      <c r="N724" s="211"/>
      <c r="O724" s="211"/>
      <c r="P724" s="211"/>
      <c r="Q724" s="210"/>
      <c r="R724" s="176"/>
      <c r="S724" s="176"/>
      <c r="T724" s="212"/>
      <c r="U724" s="176"/>
      <c r="V724" s="176"/>
      <c r="W724" s="176"/>
      <c r="X724" s="176"/>
      <c r="Y724" s="176"/>
      <c r="Z724" s="176"/>
      <c r="AA724" s="176"/>
    </row>
    <row r="725" spans="1:27" ht="15.75" customHeight="1">
      <c r="A725" s="176"/>
      <c r="B725" s="209"/>
      <c r="C725" s="176"/>
      <c r="D725" s="176"/>
      <c r="E725" s="176"/>
      <c r="F725" s="210"/>
      <c r="G725" s="176"/>
      <c r="H725" s="176"/>
      <c r="I725" s="210"/>
      <c r="J725" s="176"/>
      <c r="K725" s="211"/>
      <c r="L725" s="211"/>
      <c r="M725" s="211"/>
      <c r="N725" s="211"/>
      <c r="O725" s="211"/>
      <c r="P725" s="211"/>
      <c r="Q725" s="210"/>
      <c r="R725" s="176"/>
      <c r="S725" s="176"/>
      <c r="T725" s="212"/>
      <c r="U725" s="176"/>
      <c r="V725" s="176"/>
      <c r="W725" s="176"/>
      <c r="X725" s="176"/>
      <c r="Y725" s="176"/>
      <c r="Z725" s="176"/>
      <c r="AA725" s="176"/>
    </row>
    <row r="726" spans="1:27" ht="15.75" customHeight="1">
      <c r="A726" s="176"/>
      <c r="B726" s="209"/>
      <c r="C726" s="176"/>
      <c r="D726" s="176"/>
      <c r="E726" s="176"/>
      <c r="F726" s="210"/>
      <c r="G726" s="176"/>
      <c r="H726" s="176"/>
      <c r="I726" s="210"/>
      <c r="J726" s="176"/>
      <c r="K726" s="211"/>
      <c r="L726" s="211"/>
      <c r="M726" s="211"/>
      <c r="N726" s="211"/>
      <c r="O726" s="211"/>
      <c r="P726" s="211"/>
      <c r="Q726" s="210"/>
      <c r="R726" s="176"/>
      <c r="S726" s="176"/>
      <c r="T726" s="212"/>
      <c r="U726" s="176"/>
      <c r="V726" s="176"/>
      <c r="W726" s="176"/>
      <c r="X726" s="176"/>
      <c r="Y726" s="176"/>
      <c r="Z726" s="176"/>
      <c r="AA726" s="176"/>
    </row>
    <row r="727" spans="1:27" ht="15.75" customHeight="1">
      <c r="A727" s="176"/>
      <c r="B727" s="209"/>
      <c r="C727" s="176"/>
      <c r="D727" s="176"/>
      <c r="E727" s="176"/>
      <c r="F727" s="210"/>
      <c r="G727" s="176"/>
      <c r="H727" s="176"/>
      <c r="I727" s="210"/>
      <c r="J727" s="176"/>
      <c r="K727" s="211"/>
      <c r="L727" s="211"/>
      <c r="M727" s="211"/>
      <c r="N727" s="211"/>
      <c r="O727" s="211"/>
      <c r="P727" s="211"/>
      <c r="Q727" s="210"/>
      <c r="R727" s="176"/>
      <c r="S727" s="176"/>
      <c r="T727" s="212"/>
      <c r="U727" s="176"/>
      <c r="V727" s="176"/>
      <c r="W727" s="176"/>
      <c r="X727" s="176"/>
      <c r="Y727" s="176"/>
      <c r="Z727" s="176"/>
      <c r="AA727" s="176"/>
    </row>
    <row r="728" spans="1:27" ht="15.75" customHeight="1">
      <c r="A728" s="176"/>
      <c r="B728" s="209"/>
      <c r="C728" s="176"/>
      <c r="D728" s="176"/>
      <c r="E728" s="176"/>
      <c r="F728" s="210"/>
      <c r="G728" s="176"/>
      <c r="H728" s="176"/>
      <c r="I728" s="210"/>
      <c r="J728" s="176"/>
      <c r="K728" s="211"/>
      <c r="L728" s="211"/>
      <c r="M728" s="211"/>
      <c r="N728" s="211"/>
      <c r="O728" s="211"/>
      <c r="P728" s="211"/>
      <c r="Q728" s="210"/>
      <c r="R728" s="176"/>
      <c r="S728" s="176"/>
      <c r="T728" s="212"/>
      <c r="U728" s="176"/>
      <c r="V728" s="176"/>
      <c r="W728" s="176"/>
      <c r="X728" s="176"/>
      <c r="Y728" s="176"/>
      <c r="Z728" s="176"/>
      <c r="AA728" s="176"/>
    </row>
    <row r="729" spans="1:27" ht="15.75" customHeight="1">
      <c r="A729" s="176"/>
      <c r="B729" s="209"/>
      <c r="C729" s="176"/>
      <c r="D729" s="176"/>
      <c r="E729" s="176"/>
      <c r="F729" s="210"/>
      <c r="G729" s="176"/>
      <c r="H729" s="176"/>
      <c r="I729" s="210"/>
      <c r="J729" s="176"/>
      <c r="K729" s="211"/>
      <c r="L729" s="211"/>
      <c r="M729" s="211"/>
      <c r="N729" s="211"/>
      <c r="O729" s="211"/>
      <c r="P729" s="211"/>
      <c r="Q729" s="210"/>
      <c r="R729" s="176"/>
      <c r="S729" s="176"/>
      <c r="T729" s="212"/>
      <c r="U729" s="176"/>
      <c r="V729" s="176"/>
      <c r="W729" s="176"/>
      <c r="X729" s="176"/>
      <c r="Y729" s="176"/>
      <c r="Z729" s="176"/>
      <c r="AA729" s="176"/>
    </row>
    <row r="730" spans="1:27" ht="15.75" customHeight="1">
      <c r="A730" s="176"/>
      <c r="B730" s="209"/>
      <c r="C730" s="176"/>
      <c r="D730" s="176"/>
      <c r="E730" s="176"/>
      <c r="F730" s="210"/>
      <c r="G730" s="176"/>
      <c r="H730" s="176"/>
      <c r="I730" s="210"/>
      <c r="J730" s="176"/>
      <c r="K730" s="211"/>
      <c r="L730" s="211"/>
      <c r="M730" s="211"/>
      <c r="N730" s="211"/>
      <c r="O730" s="211"/>
      <c r="P730" s="211"/>
      <c r="Q730" s="210"/>
      <c r="R730" s="176"/>
      <c r="S730" s="176"/>
      <c r="T730" s="212"/>
      <c r="U730" s="176"/>
      <c r="V730" s="176"/>
      <c r="W730" s="176"/>
      <c r="X730" s="176"/>
      <c r="Y730" s="176"/>
      <c r="Z730" s="176"/>
      <c r="AA730" s="176"/>
    </row>
    <row r="731" spans="1:27" ht="15.75" customHeight="1">
      <c r="A731" s="176"/>
      <c r="B731" s="209"/>
      <c r="C731" s="176"/>
      <c r="D731" s="176"/>
      <c r="E731" s="176"/>
      <c r="F731" s="210"/>
      <c r="G731" s="176"/>
      <c r="H731" s="176"/>
      <c r="I731" s="210"/>
      <c r="J731" s="176"/>
      <c r="K731" s="211"/>
      <c r="L731" s="211"/>
      <c r="M731" s="211"/>
      <c r="N731" s="211"/>
      <c r="O731" s="211"/>
      <c r="P731" s="211"/>
      <c r="Q731" s="210"/>
      <c r="R731" s="176"/>
      <c r="S731" s="176"/>
      <c r="T731" s="212"/>
      <c r="U731" s="176"/>
      <c r="V731" s="176"/>
      <c r="W731" s="176"/>
      <c r="X731" s="176"/>
      <c r="Y731" s="176"/>
      <c r="Z731" s="176"/>
      <c r="AA731" s="176"/>
    </row>
    <row r="732" spans="1:27" ht="15.75" customHeight="1">
      <c r="A732" s="176"/>
      <c r="B732" s="209"/>
      <c r="C732" s="176"/>
      <c r="D732" s="176"/>
      <c r="E732" s="176"/>
      <c r="F732" s="210"/>
      <c r="G732" s="176"/>
      <c r="H732" s="176"/>
      <c r="I732" s="210"/>
      <c r="J732" s="176"/>
      <c r="K732" s="211"/>
      <c r="L732" s="211"/>
      <c r="M732" s="211"/>
      <c r="N732" s="211"/>
      <c r="O732" s="211"/>
      <c r="P732" s="211"/>
      <c r="Q732" s="210"/>
      <c r="R732" s="176"/>
      <c r="S732" s="176"/>
      <c r="T732" s="212"/>
      <c r="U732" s="176"/>
      <c r="V732" s="176"/>
      <c r="W732" s="176"/>
      <c r="X732" s="176"/>
      <c r="Y732" s="176"/>
      <c r="Z732" s="176"/>
      <c r="AA732" s="176"/>
    </row>
    <row r="733" spans="1:27" ht="15.75" customHeight="1">
      <c r="A733" s="176"/>
      <c r="B733" s="209"/>
      <c r="C733" s="176"/>
      <c r="D733" s="176"/>
      <c r="E733" s="176"/>
      <c r="F733" s="210"/>
      <c r="G733" s="176"/>
      <c r="H733" s="176"/>
      <c r="I733" s="210"/>
      <c r="J733" s="176"/>
      <c r="K733" s="211"/>
      <c r="L733" s="211"/>
      <c r="M733" s="211"/>
      <c r="N733" s="211"/>
      <c r="O733" s="211"/>
      <c r="P733" s="211"/>
      <c r="Q733" s="210"/>
      <c r="R733" s="176"/>
      <c r="S733" s="176"/>
      <c r="T733" s="212"/>
      <c r="U733" s="176"/>
      <c r="V733" s="176"/>
      <c r="W733" s="176"/>
      <c r="X733" s="176"/>
      <c r="Y733" s="176"/>
      <c r="Z733" s="176"/>
      <c r="AA733" s="176"/>
    </row>
    <row r="734" spans="1:27" ht="15.75" customHeight="1">
      <c r="A734" s="176"/>
      <c r="B734" s="209"/>
      <c r="C734" s="176"/>
      <c r="D734" s="176"/>
      <c r="E734" s="176"/>
      <c r="F734" s="210"/>
      <c r="G734" s="176"/>
      <c r="H734" s="176"/>
      <c r="I734" s="210"/>
      <c r="J734" s="176"/>
      <c r="K734" s="211"/>
      <c r="L734" s="211"/>
      <c r="M734" s="211"/>
      <c r="N734" s="211"/>
      <c r="O734" s="211"/>
      <c r="P734" s="211"/>
      <c r="Q734" s="210"/>
      <c r="R734" s="176"/>
      <c r="S734" s="176"/>
      <c r="T734" s="212"/>
      <c r="U734" s="176"/>
      <c r="V734" s="176"/>
      <c r="W734" s="176"/>
      <c r="X734" s="176"/>
      <c r="Y734" s="176"/>
      <c r="Z734" s="176"/>
      <c r="AA734" s="176"/>
    </row>
    <row r="735" spans="1:27" ht="15.75" customHeight="1">
      <c r="A735" s="176"/>
      <c r="B735" s="209"/>
      <c r="C735" s="176"/>
      <c r="D735" s="176"/>
      <c r="E735" s="176"/>
      <c r="F735" s="210"/>
      <c r="G735" s="176"/>
      <c r="H735" s="176"/>
      <c r="I735" s="210"/>
      <c r="J735" s="176"/>
      <c r="K735" s="211"/>
      <c r="L735" s="211"/>
      <c r="M735" s="211"/>
      <c r="N735" s="211"/>
      <c r="O735" s="211"/>
      <c r="P735" s="211"/>
      <c r="Q735" s="210"/>
      <c r="R735" s="176"/>
      <c r="S735" s="176"/>
      <c r="T735" s="212"/>
      <c r="U735" s="176"/>
      <c r="V735" s="176"/>
      <c r="W735" s="176"/>
      <c r="X735" s="176"/>
      <c r="Y735" s="176"/>
      <c r="Z735" s="176"/>
      <c r="AA735" s="176"/>
    </row>
    <row r="736" spans="1:27" ht="15.75" customHeight="1">
      <c r="A736" s="176"/>
      <c r="B736" s="209"/>
      <c r="C736" s="176"/>
      <c r="D736" s="176"/>
      <c r="E736" s="176"/>
      <c r="F736" s="210"/>
      <c r="G736" s="176"/>
      <c r="H736" s="176"/>
      <c r="I736" s="210"/>
      <c r="J736" s="176"/>
      <c r="K736" s="211"/>
      <c r="L736" s="211"/>
      <c r="M736" s="211"/>
      <c r="N736" s="211"/>
      <c r="O736" s="211"/>
      <c r="P736" s="211"/>
      <c r="Q736" s="210"/>
      <c r="R736" s="176"/>
      <c r="S736" s="176"/>
      <c r="T736" s="212"/>
      <c r="U736" s="176"/>
      <c r="V736" s="176"/>
      <c r="W736" s="176"/>
      <c r="X736" s="176"/>
      <c r="Y736" s="176"/>
      <c r="Z736" s="176"/>
      <c r="AA736" s="176"/>
    </row>
    <row r="737" spans="1:27" ht="15.75" customHeight="1">
      <c r="A737" s="176"/>
      <c r="B737" s="209"/>
      <c r="C737" s="176"/>
      <c r="D737" s="176"/>
      <c r="E737" s="176"/>
      <c r="F737" s="210"/>
      <c r="G737" s="176"/>
      <c r="H737" s="176"/>
      <c r="I737" s="210"/>
      <c r="J737" s="176"/>
      <c r="K737" s="211"/>
      <c r="L737" s="211"/>
      <c r="M737" s="211"/>
      <c r="N737" s="211"/>
      <c r="O737" s="211"/>
      <c r="P737" s="211"/>
      <c r="Q737" s="210"/>
      <c r="R737" s="176"/>
      <c r="S737" s="176"/>
      <c r="T737" s="212"/>
      <c r="U737" s="176"/>
      <c r="V737" s="176"/>
      <c r="W737" s="176"/>
      <c r="X737" s="176"/>
      <c r="Y737" s="176"/>
      <c r="Z737" s="176"/>
      <c r="AA737" s="176"/>
    </row>
    <row r="738" spans="1:27" ht="15.75" customHeight="1">
      <c r="A738" s="176"/>
      <c r="B738" s="209"/>
      <c r="C738" s="176"/>
      <c r="D738" s="176"/>
      <c r="E738" s="176"/>
      <c r="F738" s="210"/>
      <c r="G738" s="176"/>
      <c r="H738" s="176"/>
      <c r="I738" s="210"/>
      <c r="J738" s="176"/>
      <c r="K738" s="211"/>
      <c r="L738" s="211"/>
      <c r="M738" s="211"/>
      <c r="N738" s="211"/>
      <c r="O738" s="211"/>
      <c r="P738" s="211"/>
      <c r="Q738" s="210"/>
      <c r="R738" s="176"/>
      <c r="S738" s="176"/>
      <c r="T738" s="212"/>
      <c r="U738" s="176"/>
      <c r="V738" s="176"/>
      <c r="W738" s="176"/>
      <c r="X738" s="176"/>
      <c r="Y738" s="176"/>
      <c r="Z738" s="176"/>
      <c r="AA738" s="176"/>
    </row>
    <row r="739" spans="1:27" ht="15.75" customHeight="1">
      <c r="A739" s="176"/>
      <c r="B739" s="209"/>
      <c r="C739" s="176"/>
      <c r="D739" s="176"/>
      <c r="E739" s="176"/>
      <c r="F739" s="210"/>
      <c r="G739" s="176"/>
      <c r="H739" s="176"/>
      <c r="I739" s="210"/>
      <c r="J739" s="176"/>
      <c r="K739" s="211"/>
      <c r="L739" s="211"/>
      <c r="M739" s="211"/>
      <c r="N739" s="211"/>
      <c r="O739" s="211"/>
      <c r="P739" s="211"/>
      <c r="Q739" s="210"/>
      <c r="R739" s="176"/>
      <c r="S739" s="176"/>
      <c r="T739" s="212"/>
      <c r="U739" s="176"/>
      <c r="V739" s="176"/>
      <c r="W739" s="176"/>
      <c r="X739" s="176"/>
      <c r="Y739" s="176"/>
      <c r="Z739" s="176"/>
      <c r="AA739" s="176"/>
    </row>
    <row r="740" spans="1:27" ht="15.75" customHeight="1">
      <c r="A740" s="176"/>
      <c r="B740" s="209"/>
      <c r="C740" s="176"/>
      <c r="D740" s="176"/>
      <c r="E740" s="176"/>
      <c r="F740" s="210"/>
      <c r="G740" s="176"/>
      <c r="H740" s="176"/>
      <c r="I740" s="210"/>
      <c r="J740" s="176"/>
      <c r="K740" s="211"/>
      <c r="L740" s="211"/>
      <c r="M740" s="211"/>
      <c r="N740" s="211"/>
      <c r="O740" s="211"/>
      <c r="P740" s="211"/>
      <c r="Q740" s="210"/>
      <c r="R740" s="176"/>
      <c r="S740" s="176"/>
      <c r="T740" s="212"/>
      <c r="U740" s="176"/>
      <c r="V740" s="176"/>
      <c r="W740" s="176"/>
      <c r="X740" s="176"/>
      <c r="Y740" s="176"/>
      <c r="Z740" s="176"/>
      <c r="AA740" s="176"/>
    </row>
    <row r="741" spans="1:27" ht="15.75" customHeight="1">
      <c r="A741" s="176"/>
      <c r="B741" s="209"/>
      <c r="C741" s="176"/>
      <c r="D741" s="176"/>
      <c r="E741" s="176"/>
      <c r="F741" s="210"/>
      <c r="G741" s="176"/>
      <c r="H741" s="176"/>
      <c r="I741" s="210"/>
      <c r="J741" s="176"/>
      <c r="K741" s="211"/>
      <c r="L741" s="211"/>
      <c r="M741" s="211"/>
      <c r="N741" s="211"/>
      <c r="O741" s="211"/>
      <c r="P741" s="211"/>
      <c r="Q741" s="210"/>
      <c r="R741" s="176"/>
      <c r="S741" s="176"/>
      <c r="T741" s="212"/>
      <c r="U741" s="176"/>
      <c r="V741" s="176"/>
      <c r="W741" s="176"/>
      <c r="X741" s="176"/>
      <c r="Y741" s="176"/>
      <c r="Z741" s="176"/>
      <c r="AA741" s="176"/>
    </row>
    <row r="742" spans="1:27" ht="15.75" customHeight="1">
      <c r="A742" s="176"/>
      <c r="B742" s="209"/>
      <c r="C742" s="176"/>
      <c r="D742" s="176"/>
      <c r="E742" s="176"/>
      <c r="F742" s="210"/>
      <c r="G742" s="176"/>
      <c r="H742" s="176"/>
      <c r="I742" s="210"/>
      <c r="J742" s="176"/>
      <c r="K742" s="211"/>
      <c r="L742" s="211"/>
      <c r="M742" s="211"/>
      <c r="N742" s="211"/>
      <c r="O742" s="211"/>
      <c r="P742" s="211"/>
      <c r="Q742" s="210"/>
      <c r="R742" s="176"/>
      <c r="S742" s="176"/>
      <c r="T742" s="212"/>
      <c r="U742" s="176"/>
      <c r="V742" s="176"/>
      <c r="W742" s="176"/>
      <c r="X742" s="176"/>
      <c r="Y742" s="176"/>
      <c r="Z742" s="176"/>
      <c r="AA742" s="176"/>
    </row>
    <row r="743" spans="1:27" ht="15.75" customHeight="1">
      <c r="A743" s="176"/>
      <c r="B743" s="209"/>
      <c r="C743" s="176"/>
      <c r="D743" s="176"/>
      <c r="E743" s="176"/>
      <c r="F743" s="210"/>
      <c r="G743" s="176"/>
      <c r="H743" s="176"/>
      <c r="I743" s="210"/>
      <c r="J743" s="176"/>
      <c r="K743" s="211"/>
      <c r="L743" s="211"/>
      <c r="M743" s="211"/>
      <c r="N743" s="211"/>
      <c r="O743" s="211"/>
      <c r="P743" s="211"/>
      <c r="Q743" s="210"/>
      <c r="R743" s="176"/>
      <c r="S743" s="176"/>
      <c r="T743" s="212"/>
      <c r="U743" s="176"/>
      <c r="V743" s="176"/>
      <c r="W743" s="176"/>
      <c r="X743" s="176"/>
      <c r="Y743" s="176"/>
      <c r="Z743" s="176"/>
      <c r="AA743" s="176"/>
    </row>
    <row r="744" spans="1:27" ht="15.75" customHeight="1">
      <c r="A744" s="176"/>
      <c r="B744" s="209"/>
      <c r="C744" s="176"/>
      <c r="D744" s="176"/>
      <c r="E744" s="176"/>
      <c r="F744" s="210"/>
      <c r="G744" s="176"/>
      <c r="H744" s="176"/>
      <c r="I744" s="210"/>
      <c r="J744" s="176"/>
      <c r="K744" s="211"/>
      <c r="L744" s="211"/>
      <c r="M744" s="211"/>
      <c r="N744" s="211"/>
      <c r="O744" s="211"/>
      <c r="P744" s="211"/>
      <c r="Q744" s="210"/>
      <c r="R744" s="176"/>
      <c r="S744" s="176"/>
      <c r="T744" s="212"/>
      <c r="U744" s="176"/>
      <c r="V744" s="176"/>
      <c r="W744" s="176"/>
      <c r="X744" s="176"/>
      <c r="Y744" s="176"/>
      <c r="Z744" s="176"/>
      <c r="AA744" s="176"/>
    </row>
    <row r="745" spans="1:27" ht="15.75" customHeight="1">
      <c r="A745" s="176"/>
      <c r="B745" s="209"/>
      <c r="C745" s="176"/>
      <c r="D745" s="176"/>
      <c r="E745" s="176"/>
      <c r="F745" s="210"/>
      <c r="G745" s="176"/>
      <c r="H745" s="176"/>
      <c r="I745" s="210"/>
      <c r="J745" s="176"/>
      <c r="K745" s="211"/>
      <c r="L745" s="211"/>
      <c r="M745" s="211"/>
      <c r="N745" s="211"/>
      <c r="O745" s="211"/>
      <c r="P745" s="211"/>
      <c r="Q745" s="210"/>
      <c r="R745" s="176"/>
      <c r="S745" s="176"/>
      <c r="T745" s="212"/>
      <c r="U745" s="176"/>
      <c r="V745" s="176"/>
      <c r="W745" s="176"/>
      <c r="X745" s="176"/>
      <c r="Y745" s="176"/>
      <c r="Z745" s="176"/>
      <c r="AA745" s="176"/>
    </row>
    <row r="746" spans="1:27" ht="15.75" customHeight="1">
      <c r="A746" s="176"/>
      <c r="B746" s="209"/>
      <c r="C746" s="176"/>
      <c r="D746" s="176"/>
      <c r="E746" s="176"/>
      <c r="F746" s="210"/>
      <c r="G746" s="176"/>
      <c r="H746" s="176"/>
      <c r="I746" s="210"/>
      <c r="J746" s="176"/>
      <c r="K746" s="211"/>
      <c r="L746" s="211"/>
      <c r="M746" s="211"/>
      <c r="N746" s="211"/>
      <c r="O746" s="211"/>
      <c r="P746" s="211"/>
      <c r="Q746" s="210"/>
      <c r="R746" s="176"/>
      <c r="S746" s="176"/>
      <c r="T746" s="212"/>
      <c r="U746" s="176"/>
      <c r="V746" s="176"/>
      <c r="W746" s="176"/>
      <c r="X746" s="176"/>
      <c r="Y746" s="176"/>
      <c r="Z746" s="176"/>
      <c r="AA746" s="176"/>
    </row>
    <row r="747" spans="1:27" ht="15.75" customHeight="1">
      <c r="A747" s="176"/>
      <c r="B747" s="209"/>
      <c r="C747" s="176"/>
      <c r="D747" s="176"/>
      <c r="E747" s="176"/>
      <c r="F747" s="210"/>
      <c r="G747" s="176"/>
      <c r="H747" s="176"/>
      <c r="I747" s="210"/>
      <c r="J747" s="176"/>
      <c r="K747" s="211"/>
      <c r="L747" s="211"/>
      <c r="M747" s="211"/>
      <c r="N747" s="211"/>
      <c r="O747" s="211"/>
      <c r="P747" s="211"/>
      <c r="Q747" s="210"/>
      <c r="R747" s="176"/>
      <c r="S747" s="176"/>
      <c r="T747" s="212"/>
      <c r="U747" s="176"/>
      <c r="V747" s="176"/>
      <c r="W747" s="176"/>
      <c r="X747" s="176"/>
      <c r="Y747" s="176"/>
      <c r="Z747" s="176"/>
      <c r="AA747" s="176"/>
    </row>
    <row r="748" spans="1:27" ht="15.75" customHeight="1">
      <c r="A748" s="176"/>
      <c r="B748" s="209"/>
      <c r="C748" s="176"/>
      <c r="D748" s="176"/>
      <c r="E748" s="176"/>
      <c r="F748" s="210"/>
      <c r="G748" s="176"/>
      <c r="H748" s="176"/>
      <c r="I748" s="210"/>
      <c r="J748" s="176"/>
      <c r="K748" s="211"/>
      <c r="L748" s="211"/>
      <c r="M748" s="211"/>
      <c r="N748" s="211"/>
      <c r="O748" s="211"/>
      <c r="P748" s="211"/>
      <c r="Q748" s="210"/>
      <c r="R748" s="176"/>
      <c r="S748" s="176"/>
      <c r="T748" s="212"/>
      <c r="U748" s="176"/>
      <c r="V748" s="176"/>
      <c r="W748" s="176"/>
      <c r="X748" s="176"/>
      <c r="Y748" s="176"/>
      <c r="Z748" s="176"/>
      <c r="AA748" s="176"/>
    </row>
    <row r="749" spans="1:27" ht="15.75" customHeight="1">
      <c r="A749" s="176"/>
      <c r="B749" s="209"/>
      <c r="C749" s="176"/>
      <c r="D749" s="176"/>
      <c r="E749" s="176"/>
      <c r="F749" s="210"/>
      <c r="G749" s="176"/>
      <c r="H749" s="176"/>
      <c r="I749" s="210"/>
      <c r="J749" s="176"/>
      <c r="K749" s="211"/>
      <c r="L749" s="211"/>
      <c r="M749" s="211"/>
      <c r="N749" s="211"/>
      <c r="O749" s="211"/>
      <c r="P749" s="211"/>
      <c r="Q749" s="210"/>
      <c r="R749" s="176"/>
      <c r="S749" s="176"/>
      <c r="T749" s="212"/>
      <c r="U749" s="176"/>
      <c r="V749" s="176"/>
      <c r="W749" s="176"/>
      <c r="X749" s="176"/>
      <c r="Y749" s="176"/>
      <c r="Z749" s="176"/>
      <c r="AA749" s="176"/>
    </row>
    <row r="750" spans="1:27" ht="15.75" customHeight="1">
      <c r="A750" s="176"/>
      <c r="B750" s="209"/>
      <c r="C750" s="176"/>
      <c r="D750" s="176"/>
      <c r="E750" s="176"/>
      <c r="F750" s="210"/>
      <c r="G750" s="176"/>
      <c r="H750" s="176"/>
      <c r="I750" s="210"/>
      <c r="J750" s="176"/>
      <c r="K750" s="211"/>
      <c r="L750" s="211"/>
      <c r="M750" s="211"/>
      <c r="N750" s="211"/>
      <c r="O750" s="211"/>
      <c r="P750" s="211"/>
      <c r="Q750" s="210"/>
      <c r="R750" s="176"/>
      <c r="S750" s="176"/>
      <c r="T750" s="212"/>
      <c r="U750" s="176"/>
      <c r="V750" s="176"/>
      <c r="W750" s="176"/>
      <c r="X750" s="176"/>
      <c r="Y750" s="176"/>
      <c r="Z750" s="176"/>
      <c r="AA750" s="176"/>
    </row>
    <row r="751" spans="1:27" ht="15.75" customHeight="1">
      <c r="A751" s="176"/>
      <c r="B751" s="209"/>
      <c r="C751" s="176"/>
      <c r="D751" s="176"/>
      <c r="E751" s="176"/>
      <c r="F751" s="210"/>
      <c r="G751" s="176"/>
      <c r="H751" s="176"/>
      <c r="I751" s="210"/>
      <c r="J751" s="176"/>
      <c r="K751" s="211"/>
      <c r="L751" s="211"/>
      <c r="M751" s="211"/>
      <c r="N751" s="211"/>
      <c r="O751" s="211"/>
      <c r="P751" s="211"/>
      <c r="Q751" s="210"/>
      <c r="R751" s="176"/>
      <c r="S751" s="176"/>
      <c r="T751" s="212"/>
      <c r="U751" s="176"/>
      <c r="V751" s="176"/>
      <c r="W751" s="176"/>
      <c r="X751" s="176"/>
      <c r="Y751" s="176"/>
      <c r="Z751" s="176"/>
      <c r="AA751" s="176"/>
    </row>
    <row r="752" spans="1:27" ht="15.75" customHeight="1">
      <c r="A752" s="176"/>
      <c r="B752" s="209"/>
      <c r="C752" s="176"/>
      <c r="D752" s="176"/>
      <c r="E752" s="176"/>
      <c r="F752" s="210"/>
      <c r="G752" s="176"/>
      <c r="H752" s="176"/>
      <c r="I752" s="210"/>
      <c r="J752" s="176"/>
      <c r="K752" s="211"/>
      <c r="L752" s="211"/>
      <c r="M752" s="211"/>
      <c r="N752" s="211"/>
      <c r="O752" s="211"/>
      <c r="P752" s="211"/>
      <c r="Q752" s="210"/>
      <c r="R752" s="176"/>
      <c r="S752" s="176"/>
      <c r="T752" s="212"/>
      <c r="U752" s="176"/>
      <c r="V752" s="176"/>
      <c r="W752" s="176"/>
      <c r="X752" s="176"/>
      <c r="Y752" s="176"/>
      <c r="Z752" s="176"/>
      <c r="AA752" s="176"/>
    </row>
    <row r="753" spans="1:27" ht="15.75" customHeight="1">
      <c r="A753" s="176"/>
      <c r="B753" s="209"/>
      <c r="C753" s="176"/>
      <c r="D753" s="176"/>
      <c r="E753" s="176"/>
      <c r="F753" s="210"/>
      <c r="G753" s="176"/>
      <c r="H753" s="176"/>
      <c r="I753" s="210"/>
      <c r="J753" s="176"/>
      <c r="K753" s="211"/>
      <c r="L753" s="211"/>
      <c r="M753" s="211"/>
      <c r="N753" s="211"/>
      <c r="O753" s="211"/>
      <c r="P753" s="211"/>
      <c r="Q753" s="210"/>
      <c r="R753" s="176"/>
      <c r="S753" s="176"/>
      <c r="T753" s="212"/>
      <c r="U753" s="176"/>
      <c r="V753" s="176"/>
      <c r="W753" s="176"/>
      <c r="X753" s="176"/>
      <c r="Y753" s="176"/>
      <c r="Z753" s="176"/>
      <c r="AA753" s="176"/>
    </row>
    <row r="754" spans="1:27" ht="15.75" customHeight="1">
      <c r="A754" s="176"/>
      <c r="B754" s="209"/>
      <c r="C754" s="176"/>
      <c r="D754" s="176"/>
      <c r="E754" s="176"/>
      <c r="F754" s="210"/>
      <c r="G754" s="176"/>
      <c r="H754" s="176"/>
      <c r="I754" s="210"/>
      <c r="J754" s="176"/>
      <c r="K754" s="211"/>
      <c r="L754" s="211"/>
      <c r="M754" s="211"/>
      <c r="N754" s="211"/>
      <c r="O754" s="211"/>
      <c r="P754" s="211"/>
      <c r="Q754" s="210"/>
      <c r="R754" s="176"/>
      <c r="S754" s="176"/>
      <c r="T754" s="212"/>
      <c r="U754" s="176"/>
      <c r="V754" s="176"/>
      <c r="W754" s="176"/>
      <c r="X754" s="176"/>
      <c r="Y754" s="176"/>
      <c r="Z754" s="176"/>
      <c r="AA754" s="176"/>
    </row>
    <row r="755" spans="1:27" ht="15.75" customHeight="1">
      <c r="A755" s="176"/>
      <c r="B755" s="209"/>
      <c r="C755" s="176"/>
      <c r="D755" s="176"/>
      <c r="E755" s="176"/>
      <c r="F755" s="210"/>
      <c r="G755" s="176"/>
      <c r="H755" s="176"/>
      <c r="I755" s="210"/>
      <c r="J755" s="176"/>
      <c r="K755" s="211"/>
      <c r="L755" s="211"/>
      <c r="M755" s="211"/>
      <c r="N755" s="211"/>
      <c r="O755" s="211"/>
      <c r="P755" s="211"/>
      <c r="Q755" s="210"/>
      <c r="R755" s="176"/>
      <c r="S755" s="176"/>
      <c r="T755" s="212"/>
      <c r="U755" s="176"/>
      <c r="V755" s="176"/>
      <c r="W755" s="176"/>
      <c r="X755" s="176"/>
      <c r="Y755" s="176"/>
      <c r="Z755" s="176"/>
      <c r="AA755" s="176"/>
    </row>
    <row r="756" spans="1:27" ht="15.75" customHeight="1">
      <c r="A756" s="176"/>
      <c r="B756" s="209"/>
      <c r="C756" s="176"/>
      <c r="D756" s="176"/>
      <c r="E756" s="176"/>
      <c r="F756" s="210"/>
      <c r="G756" s="176"/>
      <c r="H756" s="176"/>
      <c r="I756" s="210"/>
      <c r="J756" s="176"/>
      <c r="K756" s="211"/>
      <c r="L756" s="211"/>
      <c r="M756" s="211"/>
      <c r="N756" s="211"/>
      <c r="O756" s="211"/>
      <c r="P756" s="211"/>
      <c r="Q756" s="210"/>
      <c r="R756" s="176"/>
      <c r="S756" s="176"/>
      <c r="T756" s="212"/>
      <c r="U756" s="176"/>
      <c r="V756" s="176"/>
      <c r="W756" s="176"/>
      <c r="X756" s="176"/>
      <c r="Y756" s="176"/>
      <c r="Z756" s="176"/>
      <c r="AA756" s="176"/>
    </row>
    <row r="757" spans="1:27" ht="15.75" customHeight="1">
      <c r="A757" s="176"/>
      <c r="B757" s="209"/>
      <c r="C757" s="176"/>
      <c r="D757" s="176"/>
      <c r="E757" s="176"/>
      <c r="F757" s="210"/>
      <c r="G757" s="176"/>
      <c r="H757" s="176"/>
      <c r="I757" s="210"/>
      <c r="J757" s="176"/>
      <c r="K757" s="211"/>
      <c r="L757" s="211"/>
      <c r="M757" s="211"/>
      <c r="N757" s="211"/>
      <c r="O757" s="211"/>
      <c r="P757" s="211"/>
      <c r="Q757" s="210"/>
      <c r="R757" s="176"/>
      <c r="S757" s="176"/>
      <c r="T757" s="212"/>
      <c r="U757" s="176"/>
      <c r="V757" s="176"/>
      <c r="W757" s="176"/>
      <c r="X757" s="176"/>
      <c r="Y757" s="176"/>
      <c r="Z757" s="176"/>
      <c r="AA757" s="176"/>
    </row>
    <row r="758" spans="1:27" ht="15.75" customHeight="1">
      <c r="A758" s="176"/>
      <c r="B758" s="209"/>
      <c r="C758" s="176"/>
      <c r="D758" s="176"/>
      <c r="E758" s="176"/>
      <c r="F758" s="210"/>
      <c r="G758" s="176"/>
      <c r="H758" s="176"/>
      <c r="I758" s="210"/>
      <c r="J758" s="176"/>
      <c r="K758" s="211"/>
      <c r="L758" s="211"/>
      <c r="M758" s="211"/>
      <c r="N758" s="211"/>
      <c r="O758" s="211"/>
      <c r="P758" s="211"/>
      <c r="Q758" s="210"/>
      <c r="R758" s="176"/>
      <c r="S758" s="176"/>
      <c r="T758" s="212"/>
      <c r="U758" s="176"/>
      <c r="V758" s="176"/>
      <c r="W758" s="176"/>
      <c r="X758" s="176"/>
      <c r="Y758" s="176"/>
      <c r="Z758" s="176"/>
      <c r="AA758" s="176"/>
    </row>
    <row r="759" spans="1:27" ht="15.75" customHeight="1">
      <c r="A759" s="176"/>
      <c r="B759" s="209"/>
      <c r="C759" s="176"/>
      <c r="D759" s="176"/>
      <c r="E759" s="176"/>
      <c r="F759" s="210"/>
      <c r="G759" s="176"/>
      <c r="H759" s="176"/>
      <c r="I759" s="210"/>
      <c r="J759" s="176"/>
      <c r="K759" s="211"/>
      <c r="L759" s="211"/>
      <c r="M759" s="211"/>
      <c r="N759" s="211"/>
      <c r="O759" s="211"/>
      <c r="P759" s="211"/>
      <c r="Q759" s="210"/>
      <c r="R759" s="176"/>
      <c r="S759" s="176"/>
      <c r="T759" s="212"/>
      <c r="U759" s="176"/>
      <c r="V759" s="176"/>
      <c r="W759" s="176"/>
      <c r="X759" s="176"/>
      <c r="Y759" s="176"/>
      <c r="Z759" s="176"/>
      <c r="AA759" s="176"/>
    </row>
    <row r="760" spans="1:27" ht="15.75" customHeight="1">
      <c r="A760" s="176"/>
      <c r="B760" s="209"/>
      <c r="C760" s="176"/>
      <c r="D760" s="176"/>
      <c r="E760" s="176"/>
      <c r="F760" s="210"/>
      <c r="G760" s="176"/>
      <c r="H760" s="176"/>
      <c r="I760" s="210"/>
      <c r="J760" s="176"/>
      <c r="K760" s="211"/>
      <c r="L760" s="211"/>
      <c r="M760" s="211"/>
      <c r="N760" s="211"/>
      <c r="O760" s="211"/>
      <c r="P760" s="211"/>
      <c r="Q760" s="210"/>
      <c r="R760" s="176"/>
      <c r="S760" s="176"/>
      <c r="T760" s="212"/>
      <c r="U760" s="176"/>
      <c r="V760" s="176"/>
      <c r="W760" s="176"/>
      <c r="X760" s="176"/>
      <c r="Y760" s="176"/>
      <c r="Z760" s="176"/>
      <c r="AA760" s="176"/>
    </row>
    <row r="761" spans="1:27" ht="15.75" customHeight="1">
      <c r="A761" s="176"/>
      <c r="B761" s="209"/>
      <c r="C761" s="176"/>
      <c r="D761" s="176"/>
      <c r="E761" s="176"/>
      <c r="F761" s="210"/>
      <c r="G761" s="176"/>
      <c r="H761" s="176"/>
      <c r="I761" s="210"/>
      <c r="J761" s="176"/>
      <c r="K761" s="211"/>
      <c r="L761" s="211"/>
      <c r="M761" s="211"/>
      <c r="N761" s="211"/>
      <c r="O761" s="211"/>
      <c r="P761" s="211"/>
      <c r="Q761" s="210"/>
      <c r="R761" s="176"/>
      <c r="S761" s="176"/>
      <c r="T761" s="212"/>
      <c r="U761" s="176"/>
      <c r="V761" s="176"/>
      <c r="W761" s="176"/>
      <c r="X761" s="176"/>
      <c r="Y761" s="176"/>
      <c r="Z761" s="176"/>
      <c r="AA761" s="176"/>
    </row>
    <row r="762" spans="1:27" ht="15.75" customHeight="1">
      <c r="A762" s="176"/>
      <c r="B762" s="209"/>
      <c r="C762" s="176"/>
      <c r="D762" s="176"/>
      <c r="E762" s="176"/>
      <c r="F762" s="210"/>
      <c r="G762" s="176"/>
      <c r="H762" s="176"/>
      <c r="I762" s="210"/>
      <c r="J762" s="176"/>
      <c r="K762" s="211"/>
      <c r="L762" s="211"/>
      <c r="M762" s="211"/>
      <c r="N762" s="211"/>
      <c r="O762" s="211"/>
      <c r="P762" s="211"/>
      <c r="Q762" s="210"/>
      <c r="R762" s="176"/>
      <c r="S762" s="176"/>
      <c r="T762" s="212"/>
      <c r="U762" s="176"/>
      <c r="V762" s="176"/>
      <c r="W762" s="176"/>
      <c r="X762" s="176"/>
      <c r="Y762" s="176"/>
      <c r="Z762" s="176"/>
      <c r="AA762" s="176"/>
    </row>
    <row r="763" spans="1:27" ht="15.75" customHeight="1">
      <c r="A763" s="176"/>
      <c r="B763" s="209"/>
      <c r="C763" s="176"/>
      <c r="D763" s="176"/>
      <c r="E763" s="176"/>
      <c r="F763" s="210"/>
      <c r="G763" s="176"/>
      <c r="H763" s="176"/>
      <c r="I763" s="210"/>
      <c r="J763" s="176"/>
      <c r="K763" s="211"/>
      <c r="L763" s="211"/>
      <c r="M763" s="211"/>
      <c r="N763" s="211"/>
      <c r="O763" s="211"/>
      <c r="P763" s="211"/>
      <c r="Q763" s="210"/>
      <c r="R763" s="176"/>
      <c r="S763" s="176"/>
      <c r="T763" s="212"/>
      <c r="U763" s="176"/>
      <c r="V763" s="176"/>
      <c r="W763" s="176"/>
      <c r="X763" s="176"/>
      <c r="Y763" s="176"/>
      <c r="Z763" s="176"/>
      <c r="AA763" s="176"/>
    </row>
    <row r="764" spans="1:27" ht="15.75" customHeight="1">
      <c r="A764" s="176"/>
      <c r="B764" s="209"/>
      <c r="C764" s="176"/>
      <c r="D764" s="176"/>
      <c r="E764" s="176"/>
      <c r="F764" s="210"/>
      <c r="G764" s="176"/>
      <c r="H764" s="176"/>
      <c r="I764" s="210"/>
      <c r="J764" s="176"/>
      <c r="K764" s="211"/>
      <c r="L764" s="211"/>
      <c r="M764" s="211"/>
      <c r="N764" s="211"/>
      <c r="O764" s="211"/>
      <c r="P764" s="211"/>
      <c r="Q764" s="210"/>
      <c r="R764" s="176"/>
      <c r="S764" s="176"/>
      <c r="T764" s="212"/>
      <c r="U764" s="176"/>
      <c r="V764" s="176"/>
      <c r="W764" s="176"/>
      <c r="X764" s="176"/>
      <c r="Y764" s="176"/>
      <c r="Z764" s="176"/>
      <c r="AA764" s="176"/>
    </row>
    <row r="765" spans="1:27" ht="15.75" customHeight="1">
      <c r="A765" s="176"/>
      <c r="B765" s="209"/>
      <c r="C765" s="176"/>
      <c r="D765" s="176"/>
      <c r="E765" s="176"/>
      <c r="F765" s="210"/>
      <c r="G765" s="176"/>
      <c r="H765" s="176"/>
      <c r="I765" s="210"/>
      <c r="J765" s="176"/>
      <c r="K765" s="211"/>
      <c r="L765" s="211"/>
      <c r="M765" s="211"/>
      <c r="N765" s="211"/>
      <c r="O765" s="211"/>
      <c r="P765" s="211"/>
      <c r="Q765" s="210"/>
      <c r="R765" s="176"/>
      <c r="S765" s="176"/>
      <c r="T765" s="212"/>
      <c r="U765" s="176"/>
      <c r="V765" s="176"/>
      <c r="W765" s="176"/>
      <c r="X765" s="176"/>
      <c r="Y765" s="176"/>
      <c r="Z765" s="176"/>
      <c r="AA765" s="176"/>
    </row>
    <row r="766" spans="1:27" ht="15.75" customHeight="1">
      <c r="A766" s="176"/>
      <c r="B766" s="209"/>
      <c r="C766" s="176"/>
      <c r="D766" s="176"/>
      <c r="E766" s="176"/>
      <c r="F766" s="210"/>
      <c r="G766" s="176"/>
      <c r="H766" s="176"/>
      <c r="I766" s="210"/>
      <c r="J766" s="176"/>
      <c r="K766" s="211"/>
      <c r="L766" s="211"/>
      <c r="M766" s="211"/>
      <c r="N766" s="211"/>
      <c r="O766" s="211"/>
      <c r="P766" s="211"/>
      <c r="Q766" s="210"/>
      <c r="R766" s="176"/>
      <c r="S766" s="176"/>
      <c r="T766" s="212"/>
      <c r="U766" s="176"/>
      <c r="V766" s="176"/>
      <c r="W766" s="176"/>
      <c r="X766" s="176"/>
      <c r="Y766" s="176"/>
      <c r="Z766" s="176"/>
      <c r="AA766" s="176"/>
    </row>
    <row r="767" spans="1:27" ht="15.75" customHeight="1">
      <c r="A767" s="176"/>
      <c r="B767" s="209"/>
      <c r="C767" s="176"/>
      <c r="D767" s="176"/>
      <c r="E767" s="176"/>
      <c r="F767" s="210"/>
      <c r="G767" s="176"/>
      <c r="H767" s="176"/>
      <c r="I767" s="210"/>
      <c r="J767" s="176"/>
      <c r="K767" s="211"/>
      <c r="L767" s="211"/>
      <c r="M767" s="211"/>
      <c r="N767" s="211"/>
      <c r="O767" s="211"/>
      <c r="P767" s="211"/>
      <c r="Q767" s="210"/>
      <c r="R767" s="176"/>
      <c r="S767" s="176"/>
      <c r="T767" s="212"/>
      <c r="U767" s="176"/>
      <c r="V767" s="176"/>
      <c r="W767" s="176"/>
      <c r="X767" s="176"/>
      <c r="Y767" s="176"/>
      <c r="Z767" s="176"/>
      <c r="AA767" s="176"/>
    </row>
    <row r="768" spans="1:27" ht="15.75" customHeight="1">
      <c r="A768" s="176"/>
      <c r="B768" s="209"/>
      <c r="C768" s="176"/>
      <c r="D768" s="176"/>
      <c r="E768" s="176"/>
      <c r="F768" s="210"/>
      <c r="G768" s="176"/>
      <c r="H768" s="176"/>
      <c r="I768" s="210"/>
      <c r="J768" s="176"/>
      <c r="K768" s="211"/>
      <c r="L768" s="211"/>
      <c r="M768" s="211"/>
      <c r="N768" s="211"/>
      <c r="O768" s="211"/>
      <c r="P768" s="211"/>
      <c r="Q768" s="210"/>
      <c r="R768" s="176"/>
      <c r="S768" s="176"/>
      <c r="T768" s="212"/>
      <c r="U768" s="176"/>
      <c r="V768" s="176"/>
      <c r="W768" s="176"/>
      <c r="X768" s="176"/>
      <c r="Y768" s="176"/>
      <c r="Z768" s="176"/>
      <c r="AA768" s="176"/>
    </row>
    <row r="769" spans="1:27" ht="15.75" customHeight="1">
      <c r="A769" s="176"/>
      <c r="B769" s="209"/>
      <c r="C769" s="176"/>
      <c r="D769" s="176"/>
      <c r="E769" s="176"/>
      <c r="F769" s="210"/>
      <c r="G769" s="176"/>
      <c r="H769" s="176"/>
      <c r="I769" s="210"/>
      <c r="J769" s="176"/>
      <c r="K769" s="211"/>
      <c r="L769" s="211"/>
      <c r="M769" s="211"/>
      <c r="N769" s="211"/>
      <c r="O769" s="211"/>
      <c r="P769" s="211"/>
      <c r="Q769" s="210"/>
      <c r="R769" s="176"/>
      <c r="S769" s="176"/>
      <c r="T769" s="212"/>
      <c r="U769" s="176"/>
      <c r="V769" s="176"/>
      <c r="W769" s="176"/>
      <c r="X769" s="176"/>
      <c r="Y769" s="176"/>
      <c r="Z769" s="176"/>
      <c r="AA769" s="176"/>
    </row>
    <row r="770" spans="1:27" ht="15.75" customHeight="1">
      <c r="A770" s="176"/>
      <c r="B770" s="209"/>
      <c r="C770" s="176"/>
      <c r="D770" s="176"/>
      <c r="E770" s="176"/>
      <c r="F770" s="210"/>
      <c r="G770" s="176"/>
      <c r="H770" s="176"/>
      <c r="I770" s="210"/>
      <c r="J770" s="176"/>
      <c r="K770" s="211"/>
      <c r="L770" s="211"/>
      <c r="M770" s="211"/>
      <c r="N770" s="211"/>
      <c r="O770" s="211"/>
      <c r="P770" s="211"/>
      <c r="Q770" s="210"/>
      <c r="R770" s="176"/>
      <c r="S770" s="176"/>
      <c r="T770" s="212"/>
      <c r="U770" s="176"/>
      <c r="V770" s="176"/>
      <c r="W770" s="176"/>
      <c r="X770" s="176"/>
      <c r="Y770" s="176"/>
      <c r="Z770" s="176"/>
      <c r="AA770" s="176"/>
    </row>
    <row r="771" spans="1:27" ht="15.75" customHeight="1">
      <c r="A771" s="176"/>
      <c r="B771" s="209"/>
      <c r="C771" s="176"/>
      <c r="D771" s="176"/>
      <c r="E771" s="176"/>
      <c r="F771" s="210"/>
      <c r="G771" s="176"/>
      <c r="H771" s="176"/>
      <c r="I771" s="210"/>
      <c r="J771" s="176"/>
      <c r="K771" s="211"/>
      <c r="L771" s="211"/>
      <c r="M771" s="211"/>
      <c r="N771" s="211"/>
      <c r="O771" s="211"/>
      <c r="P771" s="211"/>
      <c r="Q771" s="210"/>
      <c r="R771" s="176"/>
      <c r="S771" s="176"/>
      <c r="T771" s="212"/>
      <c r="U771" s="176"/>
      <c r="V771" s="176"/>
      <c r="W771" s="176"/>
      <c r="X771" s="176"/>
      <c r="Y771" s="176"/>
      <c r="Z771" s="176"/>
      <c r="AA771" s="176"/>
    </row>
    <row r="772" spans="1:27" ht="15.75" customHeight="1">
      <c r="A772" s="176"/>
      <c r="B772" s="209"/>
      <c r="C772" s="176"/>
      <c r="D772" s="176"/>
      <c r="E772" s="176"/>
      <c r="F772" s="210"/>
      <c r="G772" s="176"/>
      <c r="H772" s="176"/>
      <c r="I772" s="210"/>
      <c r="J772" s="176"/>
      <c r="K772" s="211"/>
      <c r="L772" s="211"/>
      <c r="M772" s="211"/>
      <c r="N772" s="211"/>
      <c r="O772" s="211"/>
      <c r="P772" s="211"/>
      <c r="Q772" s="210"/>
      <c r="R772" s="176"/>
      <c r="S772" s="176"/>
      <c r="T772" s="212"/>
      <c r="U772" s="176"/>
      <c r="V772" s="176"/>
      <c r="W772" s="176"/>
      <c r="X772" s="176"/>
      <c r="Y772" s="176"/>
      <c r="Z772" s="176"/>
      <c r="AA772" s="176"/>
    </row>
    <row r="773" spans="1:27" ht="15.75" customHeight="1">
      <c r="A773" s="176"/>
      <c r="B773" s="209"/>
      <c r="C773" s="176"/>
      <c r="D773" s="176"/>
      <c r="E773" s="176"/>
      <c r="F773" s="210"/>
      <c r="G773" s="176"/>
      <c r="H773" s="176"/>
      <c r="I773" s="210"/>
      <c r="J773" s="176"/>
      <c r="K773" s="211"/>
      <c r="L773" s="211"/>
      <c r="M773" s="211"/>
      <c r="N773" s="211"/>
      <c r="O773" s="211"/>
      <c r="P773" s="211"/>
      <c r="Q773" s="210"/>
      <c r="R773" s="176"/>
      <c r="S773" s="176"/>
      <c r="T773" s="212"/>
      <c r="U773" s="176"/>
      <c r="V773" s="176"/>
      <c r="W773" s="176"/>
      <c r="X773" s="176"/>
      <c r="Y773" s="176"/>
      <c r="Z773" s="176"/>
      <c r="AA773" s="176"/>
    </row>
    <row r="774" spans="1:27" ht="15.75" customHeight="1">
      <c r="A774" s="176"/>
      <c r="B774" s="209"/>
      <c r="C774" s="176"/>
      <c r="D774" s="176"/>
      <c r="E774" s="176"/>
      <c r="F774" s="210"/>
      <c r="G774" s="176"/>
      <c r="H774" s="176"/>
      <c r="I774" s="210"/>
      <c r="J774" s="176"/>
      <c r="K774" s="211"/>
      <c r="L774" s="211"/>
      <c r="M774" s="211"/>
      <c r="N774" s="211"/>
      <c r="O774" s="211"/>
      <c r="P774" s="211"/>
      <c r="Q774" s="210"/>
      <c r="R774" s="176"/>
      <c r="S774" s="176"/>
      <c r="T774" s="212"/>
      <c r="U774" s="176"/>
      <c r="V774" s="176"/>
      <c r="W774" s="176"/>
      <c r="X774" s="176"/>
      <c r="Y774" s="176"/>
      <c r="Z774" s="176"/>
      <c r="AA774" s="176"/>
    </row>
    <row r="775" spans="1:27" ht="15.75" customHeight="1">
      <c r="A775" s="176"/>
      <c r="B775" s="209"/>
      <c r="C775" s="176"/>
      <c r="D775" s="176"/>
      <c r="E775" s="176"/>
      <c r="F775" s="210"/>
      <c r="G775" s="176"/>
      <c r="H775" s="176"/>
      <c r="I775" s="210"/>
      <c r="J775" s="176"/>
      <c r="K775" s="211"/>
      <c r="L775" s="211"/>
      <c r="M775" s="211"/>
      <c r="N775" s="211"/>
      <c r="O775" s="211"/>
      <c r="P775" s="211"/>
      <c r="Q775" s="210"/>
      <c r="R775" s="176"/>
      <c r="S775" s="176"/>
      <c r="T775" s="212"/>
      <c r="U775" s="176"/>
      <c r="V775" s="176"/>
      <c r="W775" s="176"/>
      <c r="X775" s="176"/>
      <c r="Y775" s="176"/>
      <c r="Z775" s="176"/>
      <c r="AA775" s="176"/>
    </row>
    <row r="776" spans="1:27" ht="15.75" customHeight="1">
      <c r="A776" s="176"/>
      <c r="B776" s="209"/>
      <c r="C776" s="176"/>
      <c r="D776" s="176"/>
      <c r="E776" s="176"/>
      <c r="F776" s="210"/>
      <c r="G776" s="176"/>
      <c r="H776" s="176"/>
      <c r="I776" s="210"/>
      <c r="J776" s="176"/>
      <c r="K776" s="211"/>
      <c r="L776" s="211"/>
      <c r="M776" s="211"/>
      <c r="N776" s="211"/>
      <c r="O776" s="211"/>
      <c r="P776" s="211"/>
      <c r="Q776" s="210"/>
      <c r="R776" s="176"/>
      <c r="S776" s="176"/>
      <c r="T776" s="212"/>
      <c r="U776" s="176"/>
      <c r="V776" s="176"/>
      <c r="W776" s="176"/>
      <c r="X776" s="176"/>
      <c r="Y776" s="176"/>
      <c r="Z776" s="176"/>
      <c r="AA776" s="176"/>
    </row>
    <row r="777" spans="1:27" ht="15.75" customHeight="1">
      <c r="A777" s="176"/>
      <c r="B777" s="209"/>
      <c r="C777" s="176"/>
      <c r="D777" s="176"/>
      <c r="E777" s="176"/>
      <c r="F777" s="210"/>
      <c r="G777" s="176"/>
      <c r="H777" s="176"/>
      <c r="I777" s="210"/>
      <c r="J777" s="176"/>
      <c r="K777" s="211"/>
      <c r="L777" s="211"/>
      <c r="M777" s="211"/>
      <c r="N777" s="211"/>
      <c r="O777" s="211"/>
      <c r="P777" s="211"/>
      <c r="Q777" s="210"/>
      <c r="R777" s="176"/>
      <c r="S777" s="176"/>
      <c r="T777" s="212"/>
      <c r="U777" s="176"/>
      <c r="V777" s="176"/>
      <c r="W777" s="176"/>
      <c r="X777" s="176"/>
      <c r="Y777" s="176"/>
      <c r="Z777" s="176"/>
      <c r="AA777" s="176"/>
    </row>
    <row r="778" spans="1:27" ht="15.75" customHeight="1">
      <c r="A778" s="176"/>
      <c r="B778" s="209"/>
      <c r="C778" s="176"/>
      <c r="D778" s="176"/>
      <c r="E778" s="176"/>
      <c r="F778" s="210"/>
      <c r="G778" s="176"/>
      <c r="H778" s="176"/>
      <c r="I778" s="210"/>
      <c r="J778" s="176"/>
      <c r="K778" s="211"/>
      <c r="L778" s="211"/>
      <c r="M778" s="211"/>
      <c r="N778" s="211"/>
      <c r="O778" s="211"/>
      <c r="P778" s="211"/>
      <c r="Q778" s="210"/>
      <c r="R778" s="176"/>
      <c r="S778" s="176"/>
      <c r="T778" s="212"/>
      <c r="U778" s="176"/>
      <c r="V778" s="176"/>
      <c r="W778" s="176"/>
      <c r="X778" s="176"/>
      <c r="Y778" s="176"/>
      <c r="Z778" s="176"/>
      <c r="AA778" s="176"/>
    </row>
    <row r="779" spans="1:27" ht="15.75" customHeight="1">
      <c r="A779" s="176"/>
      <c r="B779" s="209"/>
      <c r="C779" s="176"/>
      <c r="D779" s="176"/>
      <c r="E779" s="176"/>
      <c r="F779" s="210"/>
      <c r="G779" s="176"/>
      <c r="H779" s="176"/>
      <c r="I779" s="210"/>
      <c r="J779" s="176"/>
      <c r="K779" s="211"/>
      <c r="L779" s="211"/>
      <c r="M779" s="211"/>
      <c r="N779" s="211"/>
      <c r="O779" s="211"/>
      <c r="P779" s="211"/>
      <c r="Q779" s="210"/>
      <c r="R779" s="176"/>
      <c r="S779" s="176"/>
      <c r="T779" s="212"/>
      <c r="U779" s="176"/>
      <c r="V779" s="176"/>
      <c r="W779" s="176"/>
      <c r="X779" s="176"/>
      <c r="Y779" s="176"/>
      <c r="Z779" s="176"/>
      <c r="AA779" s="176"/>
    </row>
    <row r="780" spans="1:27" ht="15.75" customHeight="1">
      <c r="A780" s="176"/>
      <c r="B780" s="209"/>
      <c r="C780" s="176"/>
      <c r="D780" s="176"/>
      <c r="E780" s="176"/>
      <c r="F780" s="210"/>
      <c r="G780" s="176"/>
      <c r="H780" s="176"/>
      <c r="I780" s="210"/>
      <c r="J780" s="176"/>
      <c r="K780" s="211"/>
      <c r="L780" s="211"/>
      <c r="M780" s="211"/>
      <c r="N780" s="211"/>
      <c r="O780" s="211"/>
      <c r="P780" s="211"/>
      <c r="Q780" s="210"/>
      <c r="R780" s="176"/>
      <c r="S780" s="176"/>
      <c r="T780" s="212"/>
      <c r="U780" s="176"/>
      <c r="V780" s="176"/>
      <c r="W780" s="176"/>
      <c r="X780" s="176"/>
      <c r="Y780" s="176"/>
      <c r="Z780" s="176"/>
      <c r="AA780" s="176"/>
    </row>
    <row r="781" spans="1:27" ht="15.75" customHeight="1">
      <c r="A781" s="176"/>
      <c r="B781" s="209"/>
      <c r="C781" s="176"/>
      <c r="D781" s="176"/>
      <c r="E781" s="176"/>
      <c r="F781" s="210"/>
      <c r="G781" s="176"/>
      <c r="H781" s="176"/>
      <c r="I781" s="210"/>
      <c r="J781" s="176"/>
      <c r="K781" s="211"/>
      <c r="L781" s="211"/>
      <c r="M781" s="211"/>
      <c r="N781" s="211"/>
      <c r="O781" s="211"/>
      <c r="P781" s="211"/>
      <c r="Q781" s="210"/>
      <c r="R781" s="176"/>
      <c r="S781" s="176"/>
      <c r="T781" s="212"/>
      <c r="U781" s="176"/>
      <c r="V781" s="176"/>
      <c r="W781" s="176"/>
      <c r="X781" s="176"/>
      <c r="Y781" s="176"/>
      <c r="Z781" s="176"/>
      <c r="AA781" s="176"/>
    </row>
    <row r="782" spans="1:27" ht="15.75" customHeight="1">
      <c r="A782" s="176"/>
      <c r="B782" s="209"/>
      <c r="C782" s="176"/>
      <c r="D782" s="176"/>
      <c r="E782" s="176"/>
      <c r="F782" s="210"/>
      <c r="G782" s="176"/>
      <c r="H782" s="176"/>
      <c r="I782" s="210"/>
      <c r="J782" s="176"/>
      <c r="K782" s="211"/>
      <c r="L782" s="211"/>
      <c r="M782" s="211"/>
      <c r="N782" s="211"/>
      <c r="O782" s="211"/>
      <c r="P782" s="211"/>
      <c r="Q782" s="210"/>
      <c r="R782" s="176"/>
      <c r="S782" s="176"/>
      <c r="T782" s="212"/>
      <c r="U782" s="176"/>
      <c r="V782" s="176"/>
      <c r="W782" s="176"/>
      <c r="X782" s="176"/>
      <c r="Y782" s="176"/>
      <c r="Z782" s="176"/>
      <c r="AA782" s="176"/>
    </row>
    <row r="783" spans="1:27" ht="15.75" customHeight="1">
      <c r="A783" s="176"/>
      <c r="B783" s="209"/>
      <c r="C783" s="176"/>
      <c r="D783" s="176"/>
      <c r="E783" s="176"/>
      <c r="F783" s="210"/>
      <c r="G783" s="176"/>
      <c r="H783" s="176"/>
      <c r="I783" s="210"/>
      <c r="J783" s="176"/>
      <c r="K783" s="211"/>
      <c r="L783" s="211"/>
      <c r="M783" s="211"/>
      <c r="N783" s="211"/>
      <c r="O783" s="211"/>
      <c r="P783" s="211"/>
      <c r="Q783" s="210"/>
      <c r="R783" s="176"/>
      <c r="S783" s="176"/>
      <c r="T783" s="212"/>
      <c r="U783" s="176"/>
      <c r="V783" s="176"/>
      <c r="W783" s="176"/>
      <c r="X783" s="176"/>
      <c r="Y783" s="176"/>
      <c r="Z783" s="176"/>
      <c r="AA783" s="176"/>
    </row>
    <row r="784" spans="1:27" ht="15.75" customHeight="1">
      <c r="A784" s="176"/>
      <c r="B784" s="209"/>
      <c r="C784" s="176"/>
      <c r="D784" s="176"/>
      <c r="E784" s="176"/>
      <c r="F784" s="210"/>
      <c r="G784" s="176"/>
      <c r="H784" s="176"/>
      <c r="I784" s="210"/>
      <c r="J784" s="176"/>
      <c r="K784" s="211"/>
      <c r="L784" s="211"/>
      <c r="M784" s="211"/>
      <c r="N784" s="211"/>
      <c r="O784" s="211"/>
      <c r="P784" s="211"/>
      <c r="Q784" s="210"/>
      <c r="R784" s="176"/>
      <c r="S784" s="176"/>
      <c r="T784" s="212"/>
      <c r="U784" s="176"/>
      <c r="V784" s="176"/>
      <c r="W784" s="176"/>
      <c r="X784" s="176"/>
      <c r="Y784" s="176"/>
      <c r="Z784" s="176"/>
      <c r="AA784" s="176"/>
    </row>
    <row r="785" spans="1:27" ht="15.75" customHeight="1">
      <c r="A785" s="176"/>
      <c r="B785" s="209"/>
      <c r="C785" s="176"/>
      <c r="D785" s="176"/>
      <c r="E785" s="176"/>
      <c r="F785" s="210"/>
      <c r="G785" s="176"/>
      <c r="H785" s="176"/>
      <c r="I785" s="210"/>
      <c r="J785" s="176"/>
      <c r="K785" s="211"/>
      <c r="L785" s="211"/>
      <c r="M785" s="211"/>
      <c r="N785" s="211"/>
      <c r="O785" s="211"/>
      <c r="P785" s="211"/>
      <c r="Q785" s="210"/>
      <c r="R785" s="176"/>
      <c r="S785" s="176"/>
      <c r="T785" s="212"/>
      <c r="U785" s="176"/>
      <c r="V785" s="176"/>
      <c r="W785" s="176"/>
      <c r="X785" s="176"/>
      <c r="Y785" s="176"/>
      <c r="Z785" s="176"/>
      <c r="AA785" s="176"/>
    </row>
    <row r="786" spans="1:27" ht="15.75" customHeight="1">
      <c r="A786" s="176"/>
      <c r="B786" s="209"/>
      <c r="C786" s="176"/>
      <c r="D786" s="176"/>
      <c r="E786" s="176"/>
      <c r="F786" s="210"/>
      <c r="G786" s="176"/>
      <c r="H786" s="176"/>
      <c r="I786" s="210"/>
      <c r="J786" s="176"/>
      <c r="K786" s="211"/>
      <c r="L786" s="211"/>
      <c r="M786" s="211"/>
      <c r="N786" s="211"/>
      <c r="O786" s="211"/>
      <c r="P786" s="211"/>
      <c r="Q786" s="210"/>
      <c r="R786" s="176"/>
      <c r="S786" s="176"/>
      <c r="T786" s="212"/>
      <c r="U786" s="176"/>
      <c r="V786" s="176"/>
      <c r="W786" s="176"/>
      <c r="X786" s="176"/>
      <c r="Y786" s="176"/>
      <c r="Z786" s="176"/>
      <c r="AA786" s="176"/>
    </row>
    <row r="787" spans="1:27" ht="15.75" customHeight="1">
      <c r="A787" s="176"/>
      <c r="B787" s="209"/>
      <c r="C787" s="176"/>
      <c r="D787" s="176"/>
      <c r="E787" s="176"/>
      <c r="F787" s="210"/>
      <c r="G787" s="176"/>
      <c r="H787" s="176"/>
      <c r="I787" s="210"/>
      <c r="J787" s="176"/>
      <c r="K787" s="211"/>
      <c r="L787" s="211"/>
      <c r="M787" s="211"/>
      <c r="N787" s="211"/>
      <c r="O787" s="211"/>
      <c r="P787" s="211"/>
      <c r="Q787" s="210"/>
      <c r="R787" s="176"/>
      <c r="S787" s="176"/>
      <c r="T787" s="212"/>
      <c r="U787" s="176"/>
      <c r="V787" s="176"/>
      <c r="W787" s="176"/>
      <c r="X787" s="176"/>
      <c r="Y787" s="176"/>
      <c r="Z787" s="176"/>
      <c r="AA787" s="176"/>
    </row>
    <row r="788" spans="1:27" ht="15.75" customHeight="1">
      <c r="A788" s="176"/>
      <c r="B788" s="209"/>
      <c r="C788" s="176"/>
      <c r="D788" s="176"/>
      <c r="E788" s="176"/>
      <c r="F788" s="210"/>
      <c r="G788" s="176"/>
      <c r="H788" s="176"/>
      <c r="I788" s="210"/>
      <c r="J788" s="176"/>
      <c r="K788" s="211"/>
      <c r="L788" s="211"/>
      <c r="M788" s="211"/>
      <c r="N788" s="211"/>
      <c r="O788" s="211"/>
      <c r="P788" s="211"/>
      <c r="Q788" s="210"/>
      <c r="R788" s="176"/>
      <c r="S788" s="176"/>
      <c r="T788" s="212"/>
      <c r="U788" s="176"/>
      <c r="V788" s="176"/>
      <c r="W788" s="176"/>
      <c r="X788" s="176"/>
      <c r="Y788" s="176"/>
      <c r="Z788" s="176"/>
      <c r="AA788" s="176"/>
    </row>
    <row r="789" spans="1:27" ht="15.75" customHeight="1">
      <c r="A789" s="176"/>
      <c r="B789" s="209"/>
      <c r="C789" s="176"/>
      <c r="D789" s="176"/>
      <c r="E789" s="176"/>
      <c r="F789" s="210"/>
      <c r="G789" s="176"/>
      <c r="H789" s="176"/>
      <c r="I789" s="210"/>
      <c r="J789" s="176"/>
      <c r="K789" s="211"/>
      <c r="L789" s="211"/>
      <c r="M789" s="211"/>
      <c r="N789" s="211"/>
      <c r="O789" s="211"/>
      <c r="P789" s="211"/>
      <c r="Q789" s="210"/>
      <c r="R789" s="176"/>
      <c r="S789" s="176"/>
      <c r="T789" s="212"/>
      <c r="U789" s="176"/>
      <c r="V789" s="176"/>
      <c r="W789" s="176"/>
      <c r="X789" s="176"/>
      <c r="Y789" s="176"/>
      <c r="Z789" s="176"/>
      <c r="AA789" s="176"/>
    </row>
    <row r="790" spans="1:27" ht="15.75" customHeight="1">
      <c r="A790" s="176"/>
      <c r="B790" s="209"/>
      <c r="C790" s="176"/>
      <c r="D790" s="176"/>
      <c r="E790" s="176"/>
      <c r="F790" s="210"/>
      <c r="G790" s="176"/>
      <c r="H790" s="176"/>
      <c r="I790" s="210"/>
      <c r="J790" s="176"/>
      <c r="K790" s="211"/>
      <c r="L790" s="211"/>
      <c r="M790" s="211"/>
      <c r="N790" s="211"/>
      <c r="O790" s="211"/>
      <c r="P790" s="211"/>
      <c r="Q790" s="210"/>
      <c r="R790" s="176"/>
      <c r="S790" s="176"/>
      <c r="T790" s="212"/>
      <c r="U790" s="176"/>
      <c r="V790" s="176"/>
      <c r="W790" s="176"/>
      <c r="X790" s="176"/>
      <c r="Y790" s="176"/>
      <c r="Z790" s="176"/>
      <c r="AA790" s="176"/>
    </row>
    <row r="791" spans="1:27" ht="15.75" customHeight="1">
      <c r="A791" s="176"/>
      <c r="B791" s="209"/>
      <c r="C791" s="176"/>
      <c r="D791" s="176"/>
      <c r="E791" s="176"/>
      <c r="F791" s="210"/>
      <c r="G791" s="176"/>
      <c r="H791" s="176"/>
      <c r="I791" s="210"/>
      <c r="J791" s="176"/>
      <c r="K791" s="211"/>
      <c r="L791" s="211"/>
      <c r="M791" s="211"/>
      <c r="N791" s="211"/>
      <c r="O791" s="211"/>
      <c r="P791" s="211"/>
      <c r="Q791" s="210"/>
      <c r="R791" s="176"/>
      <c r="S791" s="176"/>
      <c r="T791" s="212"/>
      <c r="U791" s="176"/>
      <c r="V791" s="176"/>
      <c r="W791" s="176"/>
      <c r="X791" s="176"/>
      <c r="Y791" s="176"/>
      <c r="Z791" s="176"/>
      <c r="AA791" s="176"/>
    </row>
    <row r="792" spans="1:27" ht="15.75" customHeight="1">
      <c r="A792" s="176"/>
      <c r="B792" s="209"/>
      <c r="C792" s="176"/>
      <c r="D792" s="176"/>
      <c r="E792" s="176"/>
      <c r="F792" s="210"/>
      <c r="G792" s="176"/>
      <c r="H792" s="176"/>
      <c r="I792" s="210"/>
      <c r="J792" s="176"/>
      <c r="K792" s="211"/>
      <c r="L792" s="211"/>
      <c r="M792" s="211"/>
      <c r="N792" s="211"/>
      <c r="O792" s="211"/>
      <c r="P792" s="211"/>
      <c r="Q792" s="210"/>
      <c r="R792" s="176"/>
      <c r="S792" s="176"/>
      <c r="T792" s="212"/>
      <c r="U792" s="176"/>
      <c r="V792" s="176"/>
      <c r="W792" s="176"/>
      <c r="X792" s="176"/>
      <c r="Y792" s="176"/>
      <c r="Z792" s="176"/>
      <c r="AA792" s="176"/>
    </row>
    <row r="793" spans="1:27" ht="15.75" customHeight="1">
      <c r="A793" s="176"/>
      <c r="B793" s="209"/>
      <c r="C793" s="176"/>
      <c r="D793" s="176"/>
      <c r="E793" s="176"/>
      <c r="F793" s="210"/>
      <c r="G793" s="176"/>
      <c r="H793" s="176"/>
      <c r="I793" s="210"/>
      <c r="J793" s="176"/>
      <c r="K793" s="211"/>
      <c r="L793" s="211"/>
      <c r="M793" s="211"/>
      <c r="N793" s="211"/>
      <c r="O793" s="211"/>
      <c r="P793" s="211"/>
      <c r="Q793" s="210"/>
      <c r="R793" s="176"/>
      <c r="S793" s="176"/>
      <c r="T793" s="212"/>
      <c r="U793" s="176"/>
      <c r="V793" s="176"/>
      <c r="W793" s="176"/>
      <c r="X793" s="176"/>
      <c r="Y793" s="176"/>
      <c r="Z793" s="176"/>
      <c r="AA793" s="176"/>
    </row>
    <row r="794" spans="1:27" ht="15.75" customHeight="1">
      <c r="A794" s="176"/>
      <c r="B794" s="209"/>
      <c r="C794" s="176"/>
      <c r="D794" s="176"/>
      <c r="E794" s="176"/>
      <c r="F794" s="210"/>
      <c r="G794" s="176"/>
      <c r="H794" s="176"/>
      <c r="I794" s="210"/>
      <c r="J794" s="176"/>
      <c r="K794" s="211"/>
      <c r="L794" s="211"/>
      <c r="M794" s="211"/>
      <c r="N794" s="211"/>
      <c r="O794" s="211"/>
      <c r="P794" s="211"/>
      <c r="Q794" s="210"/>
      <c r="R794" s="176"/>
      <c r="S794" s="176"/>
      <c r="T794" s="212"/>
      <c r="U794" s="176"/>
      <c r="V794" s="176"/>
      <c r="W794" s="176"/>
      <c r="X794" s="176"/>
      <c r="Y794" s="176"/>
      <c r="Z794" s="176"/>
      <c r="AA794" s="176"/>
    </row>
    <row r="795" spans="1:27" ht="15.75" customHeight="1">
      <c r="A795" s="176"/>
      <c r="B795" s="209"/>
      <c r="C795" s="176"/>
      <c r="D795" s="176"/>
      <c r="E795" s="176"/>
      <c r="F795" s="210"/>
      <c r="G795" s="176"/>
      <c r="H795" s="176"/>
      <c r="I795" s="210"/>
      <c r="J795" s="176"/>
      <c r="K795" s="211"/>
      <c r="L795" s="211"/>
      <c r="M795" s="211"/>
      <c r="N795" s="211"/>
      <c r="O795" s="211"/>
      <c r="P795" s="211"/>
      <c r="Q795" s="210"/>
      <c r="R795" s="176"/>
      <c r="S795" s="176"/>
      <c r="T795" s="212"/>
      <c r="U795" s="176"/>
      <c r="V795" s="176"/>
      <c r="W795" s="176"/>
      <c r="X795" s="176"/>
      <c r="Y795" s="176"/>
      <c r="Z795" s="176"/>
      <c r="AA795" s="176"/>
    </row>
    <row r="796" spans="1:27" ht="15.75" customHeight="1">
      <c r="A796" s="176"/>
      <c r="B796" s="209"/>
      <c r="C796" s="176"/>
      <c r="D796" s="176"/>
      <c r="E796" s="176"/>
      <c r="F796" s="210"/>
      <c r="G796" s="176"/>
      <c r="H796" s="176"/>
      <c r="I796" s="210"/>
      <c r="J796" s="176"/>
      <c r="K796" s="211"/>
      <c r="L796" s="211"/>
      <c r="M796" s="211"/>
      <c r="N796" s="211"/>
      <c r="O796" s="211"/>
      <c r="P796" s="211"/>
      <c r="Q796" s="210"/>
      <c r="R796" s="176"/>
      <c r="S796" s="176"/>
      <c r="T796" s="212"/>
      <c r="U796" s="176"/>
      <c r="V796" s="176"/>
      <c r="W796" s="176"/>
      <c r="X796" s="176"/>
      <c r="Y796" s="176"/>
      <c r="Z796" s="176"/>
      <c r="AA796" s="176"/>
    </row>
    <row r="797" spans="1:27" ht="15.75" customHeight="1">
      <c r="A797" s="176"/>
      <c r="B797" s="209"/>
      <c r="C797" s="176"/>
      <c r="D797" s="176"/>
      <c r="E797" s="176"/>
      <c r="F797" s="210"/>
      <c r="G797" s="176"/>
      <c r="H797" s="176"/>
      <c r="I797" s="210"/>
      <c r="J797" s="176"/>
      <c r="K797" s="211"/>
      <c r="L797" s="211"/>
      <c r="M797" s="211"/>
      <c r="N797" s="211"/>
      <c r="O797" s="211"/>
      <c r="P797" s="211"/>
      <c r="Q797" s="210"/>
      <c r="R797" s="176"/>
      <c r="S797" s="176"/>
      <c r="T797" s="212"/>
      <c r="U797" s="176"/>
      <c r="V797" s="176"/>
      <c r="W797" s="176"/>
      <c r="X797" s="176"/>
      <c r="Y797" s="176"/>
      <c r="Z797" s="176"/>
      <c r="AA797" s="176"/>
    </row>
    <row r="798" spans="1:27" ht="15.75" customHeight="1">
      <c r="A798" s="176"/>
      <c r="B798" s="209"/>
      <c r="C798" s="176"/>
      <c r="D798" s="176"/>
      <c r="E798" s="176"/>
      <c r="F798" s="210"/>
      <c r="G798" s="176"/>
      <c r="H798" s="176"/>
      <c r="I798" s="210"/>
      <c r="J798" s="176"/>
      <c r="K798" s="211"/>
      <c r="L798" s="211"/>
      <c r="M798" s="211"/>
      <c r="N798" s="211"/>
      <c r="O798" s="211"/>
      <c r="P798" s="211"/>
      <c r="Q798" s="210"/>
      <c r="R798" s="176"/>
      <c r="S798" s="176"/>
      <c r="T798" s="212"/>
      <c r="U798" s="176"/>
      <c r="V798" s="176"/>
      <c r="W798" s="176"/>
      <c r="X798" s="176"/>
      <c r="Y798" s="176"/>
      <c r="Z798" s="176"/>
      <c r="AA798" s="176"/>
    </row>
    <row r="799" spans="1:27" ht="15.75" customHeight="1">
      <c r="A799" s="176"/>
      <c r="B799" s="209"/>
      <c r="C799" s="176"/>
      <c r="D799" s="176"/>
      <c r="E799" s="176"/>
      <c r="F799" s="210"/>
      <c r="G799" s="176"/>
      <c r="H799" s="176"/>
      <c r="I799" s="210"/>
      <c r="J799" s="176"/>
      <c r="K799" s="211"/>
      <c r="L799" s="211"/>
      <c r="M799" s="211"/>
      <c r="N799" s="211"/>
      <c r="O799" s="211"/>
      <c r="P799" s="211"/>
      <c r="Q799" s="210"/>
      <c r="R799" s="176"/>
      <c r="S799" s="176"/>
      <c r="T799" s="212"/>
      <c r="U799" s="176"/>
      <c r="V799" s="176"/>
      <c r="W799" s="176"/>
      <c r="X799" s="176"/>
      <c r="Y799" s="176"/>
      <c r="Z799" s="176"/>
      <c r="AA799" s="176"/>
    </row>
    <row r="800" spans="1:27" ht="15.75" customHeight="1">
      <c r="A800" s="176"/>
      <c r="B800" s="209"/>
      <c r="C800" s="176"/>
      <c r="D800" s="176"/>
      <c r="E800" s="176"/>
      <c r="F800" s="210"/>
      <c r="G800" s="176"/>
      <c r="H800" s="176"/>
      <c r="I800" s="210"/>
      <c r="J800" s="176"/>
      <c r="K800" s="211"/>
      <c r="L800" s="211"/>
      <c r="M800" s="211"/>
      <c r="N800" s="211"/>
      <c r="O800" s="211"/>
      <c r="P800" s="211"/>
      <c r="Q800" s="210"/>
      <c r="R800" s="176"/>
      <c r="S800" s="176"/>
      <c r="T800" s="212"/>
      <c r="U800" s="176"/>
      <c r="V800" s="176"/>
      <c r="W800" s="176"/>
      <c r="X800" s="176"/>
      <c r="Y800" s="176"/>
      <c r="Z800" s="176"/>
      <c r="AA800" s="176"/>
    </row>
    <row r="801" spans="1:27" ht="15.75" customHeight="1">
      <c r="A801" s="176"/>
      <c r="B801" s="209"/>
      <c r="C801" s="176"/>
      <c r="D801" s="176"/>
      <c r="E801" s="176"/>
      <c r="F801" s="210"/>
      <c r="G801" s="176"/>
      <c r="H801" s="176"/>
      <c r="I801" s="210"/>
      <c r="J801" s="176"/>
      <c r="K801" s="211"/>
      <c r="L801" s="211"/>
      <c r="M801" s="211"/>
      <c r="N801" s="211"/>
      <c r="O801" s="211"/>
      <c r="P801" s="211"/>
      <c r="Q801" s="210"/>
      <c r="R801" s="176"/>
      <c r="S801" s="176"/>
      <c r="T801" s="212"/>
      <c r="U801" s="176"/>
      <c r="V801" s="176"/>
      <c r="W801" s="176"/>
      <c r="X801" s="176"/>
      <c r="Y801" s="176"/>
      <c r="Z801" s="176"/>
      <c r="AA801" s="176"/>
    </row>
    <row r="802" spans="1:27" ht="15.75" customHeight="1">
      <c r="A802" s="176"/>
      <c r="B802" s="209"/>
      <c r="C802" s="176"/>
      <c r="D802" s="176"/>
      <c r="E802" s="176"/>
      <c r="F802" s="210"/>
      <c r="G802" s="176"/>
      <c r="H802" s="176"/>
      <c r="I802" s="210"/>
      <c r="J802" s="176"/>
      <c r="K802" s="211"/>
      <c r="L802" s="211"/>
      <c r="M802" s="211"/>
      <c r="N802" s="211"/>
      <c r="O802" s="211"/>
      <c r="P802" s="211"/>
      <c r="Q802" s="210"/>
      <c r="R802" s="176"/>
      <c r="S802" s="176"/>
      <c r="T802" s="212"/>
      <c r="U802" s="176"/>
      <c r="V802" s="176"/>
      <c r="W802" s="176"/>
      <c r="X802" s="176"/>
      <c r="Y802" s="176"/>
      <c r="Z802" s="176"/>
      <c r="AA802" s="176"/>
    </row>
    <row r="803" spans="1:27" ht="15.75" customHeight="1">
      <c r="A803" s="176"/>
      <c r="B803" s="209"/>
      <c r="C803" s="176"/>
      <c r="D803" s="176"/>
      <c r="E803" s="176"/>
      <c r="F803" s="210"/>
      <c r="G803" s="176"/>
      <c r="H803" s="176"/>
      <c r="I803" s="210"/>
      <c r="J803" s="176"/>
      <c r="K803" s="211"/>
      <c r="L803" s="211"/>
      <c r="M803" s="211"/>
      <c r="N803" s="211"/>
      <c r="O803" s="211"/>
      <c r="P803" s="211"/>
      <c r="Q803" s="210"/>
      <c r="R803" s="176"/>
      <c r="S803" s="176"/>
      <c r="T803" s="212"/>
      <c r="U803" s="176"/>
      <c r="V803" s="176"/>
      <c r="W803" s="176"/>
      <c r="X803" s="176"/>
      <c r="Y803" s="176"/>
      <c r="Z803" s="176"/>
      <c r="AA803" s="176"/>
    </row>
    <row r="804" spans="1:27" ht="15.75" customHeight="1">
      <c r="A804" s="176"/>
      <c r="B804" s="209"/>
      <c r="C804" s="176"/>
      <c r="D804" s="176"/>
      <c r="E804" s="176"/>
      <c r="F804" s="210"/>
      <c r="G804" s="176"/>
      <c r="H804" s="176"/>
      <c r="I804" s="210"/>
      <c r="J804" s="176"/>
      <c r="K804" s="211"/>
      <c r="L804" s="211"/>
      <c r="M804" s="211"/>
      <c r="N804" s="211"/>
      <c r="O804" s="211"/>
      <c r="P804" s="211"/>
      <c r="Q804" s="210"/>
      <c r="R804" s="176"/>
      <c r="S804" s="176"/>
      <c r="T804" s="212"/>
      <c r="U804" s="176"/>
      <c r="V804" s="176"/>
      <c r="W804" s="176"/>
      <c r="X804" s="176"/>
      <c r="Y804" s="176"/>
      <c r="Z804" s="176"/>
      <c r="AA804" s="176"/>
    </row>
    <row r="805" spans="1:27" ht="15.75" customHeight="1">
      <c r="A805" s="176"/>
      <c r="B805" s="209"/>
      <c r="C805" s="176"/>
      <c r="D805" s="176"/>
      <c r="E805" s="176"/>
      <c r="F805" s="210"/>
      <c r="G805" s="176"/>
      <c r="H805" s="176"/>
      <c r="I805" s="210"/>
      <c r="J805" s="176"/>
      <c r="K805" s="211"/>
      <c r="L805" s="211"/>
      <c r="M805" s="211"/>
      <c r="N805" s="211"/>
      <c r="O805" s="211"/>
      <c r="P805" s="211"/>
      <c r="Q805" s="210"/>
      <c r="R805" s="176"/>
      <c r="S805" s="176"/>
      <c r="T805" s="212"/>
      <c r="U805" s="176"/>
      <c r="V805" s="176"/>
      <c r="W805" s="176"/>
      <c r="X805" s="176"/>
      <c r="Y805" s="176"/>
      <c r="Z805" s="176"/>
      <c r="AA805" s="176"/>
    </row>
    <row r="806" spans="1:27" ht="15.75" customHeight="1">
      <c r="A806" s="176"/>
      <c r="B806" s="209"/>
      <c r="C806" s="176"/>
      <c r="D806" s="176"/>
      <c r="E806" s="176"/>
      <c r="F806" s="210"/>
      <c r="G806" s="176"/>
      <c r="H806" s="176"/>
      <c r="I806" s="210"/>
      <c r="J806" s="176"/>
      <c r="K806" s="211"/>
      <c r="L806" s="211"/>
      <c r="M806" s="211"/>
      <c r="N806" s="211"/>
      <c r="O806" s="211"/>
      <c r="P806" s="211"/>
      <c r="Q806" s="210"/>
      <c r="R806" s="176"/>
      <c r="S806" s="176"/>
      <c r="T806" s="212"/>
      <c r="U806" s="176"/>
      <c r="V806" s="176"/>
      <c r="W806" s="176"/>
      <c r="X806" s="176"/>
      <c r="Y806" s="176"/>
      <c r="Z806" s="176"/>
      <c r="AA806" s="176"/>
    </row>
    <row r="807" spans="1:27" ht="15.75" customHeight="1">
      <c r="A807" s="176"/>
      <c r="B807" s="209"/>
      <c r="C807" s="176"/>
      <c r="D807" s="176"/>
      <c r="E807" s="176"/>
      <c r="F807" s="210"/>
      <c r="G807" s="176"/>
      <c r="H807" s="176"/>
      <c r="I807" s="210"/>
      <c r="J807" s="176"/>
      <c r="K807" s="211"/>
      <c r="L807" s="211"/>
      <c r="M807" s="211"/>
      <c r="N807" s="211"/>
      <c r="O807" s="211"/>
      <c r="P807" s="211"/>
      <c r="Q807" s="210"/>
      <c r="R807" s="176"/>
      <c r="S807" s="176"/>
      <c r="T807" s="212"/>
      <c r="U807" s="176"/>
      <c r="V807" s="176"/>
      <c r="W807" s="176"/>
      <c r="X807" s="176"/>
      <c r="Y807" s="176"/>
      <c r="Z807" s="176"/>
      <c r="AA807" s="176"/>
    </row>
    <row r="808" spans="1:27" ht="15.75" customHeight="1">
      <c r="A808" s="176"/>
      <c r="B808" s="209"/>
      <c r="C808" s="176"/>
      <c r="D808" s="176"/>
      <c r="E808" s="176"/>
      <c r="F808" s="210"/>
      <c r="G808" s="176"/>
      <c r="H808" s="176"/>
      <c r="I808" s="210"/>
      <c r="J808" s="176"/>
      <c r="K808" s="211"/>
      <c r="L808" s="211"/>
      <c r="M808" s="211"/>
      <c r="N808" s="211"/>
      <c r="O808" s="211"/>
      <c r="P808" s="211"/>
      <c r="Q808" s="210"/>
      <c r="R808" s="176"/>
      <c r="S808" s="176"/>
      <c r="T808" s="212"/>
      <c r="U808" s="176"/>
      <c r="V808" s="176"/>
      <c r="W808" s="176"/>
      <c r="X808" s="176"/>
      <c r="Y808" s="176"/>
      <c r="Z808" s="176"/>
      <c r="AA808" s="176"/>
    </row>
    <row r="809" spans="1:27" ht="15.75" customHeight="1">
      <c r="A809" s="176"/>
      <c r="B809" s="209"/>
      <c r="C809" s="176"/>
      <c r="D809" s="176"/>
      <c r="E809" s="176"/>
      <c r="F809" s="210"/>
      <c r="G809" s="176"/>
      <c r="H809" s="176"/>
      <c r="I809" s="210"/>
      <c r="J809" s="176"/>
      <c r="K809" s="211"/>
      <c r="L809" s="211"/>
      <c r="M809" s="211"/>
      <c r="N809" s="211"/>
      <c r="O809" s="211"/>
      <c r="P809" s="211"/>
      <c r="Q809" s="210"/>
      <c r="R809" s="176"/>
      <c r="S809" s="176"/>
      <c r="T809" s="212"/>
      <c r="U809" s="176"/>
      <c r="V809" s="176"/>
      <c r="W809" s="176"/>
      <c r="X809" s="176"/>
      <c r="Y809" s="176"/>
      <c r="Z809" s="176"/>
      <c r="AA809" s="176"/>
    </row>
    <row r="810" spans="1:27" ht="15.75" customHeight="1">
      <c r="A810" s="176"/>
      <c r="B810" s="209"/>
      <c r="C810" s="176"/>
      <c r="D810" s="176"/>
      <c r="E810" s="176"/>
      <c r="F810" s="210"/>
      <c r="G810" s="176"/>
      <c r="H810" s="176"/>
      <c r="I810" s="210"/>
      <c r="J810" s="176"/>
      <c r="K810" s="211"/>
      <c r="L810" s="211"/>
      <c r="M810" s="211"/>
      <c r="N810" s="211"/>
      <c r="O810" s="211"/>
      <c r="P810" s="211"/>
      <c r="Q810" s="210"/>
      <c r="R810" s="176"/>
      <c r="S810" s="176"/>
      <c r="T810" s="212"/>
      <c r="U810" s="176"/>
      <c r="V810" s="176"/>
      <c r="W810" s="176"/>
      <c r="X810" s="176"/>
      <c r="Y810" s="176"/>
      <c r="Z810" s="176"/>
      <c r="AA810" s="176"/>
    </row>
    <row r="811" spans="1:27" ht="15.75" customHeight="1">
      <c r="A811" s="176"/>
      <c r="B811" s="209"/>
      <c r="C811" s="176"/>
      <c r="D811" s="176"/>
      <c r="E811" s="176"/>
      <c r="F811" s="210"/>
      <c r="G811" s="176"/>
      <c r="H811" s="176"/>
      <c r="I811" s="210"/>
      <c r="J811" s="176"/>
      <c r="K811" s="211"/>
      <c r="L811" s="211"/>
      <c r="M811" s="211"/>
      <c r="N811" s="211"/>
      <c r="O811" s="211"/>
      <c r="P811" s="211"/>
      <c r="Q811" s="210"/>
      <c r="R811" s="176"/>
      <c r="S811" s="176"/>
      <c r="T811" s="212"/>
      <c r="U811" s="176"/>
      <c r="V811" s="176"/>
      <c r="W811" s="176"/>
      <c r="X811" s="176"/>
      <c r="Y811" s="176"/>
      <c r="Z811" s="176"/>
      <c r="AA811" s="176"/>
    </row>
    <row r="812" spans="1:27" ht="15.75" customHeight="1">
      <c r="A812" s="176"/>
      <c r="B812" s="209"/>
      <c r="C812" s="176"/>
      <c r="D812" s="176"/>
      <c r="E812" s="176"/>
      <c r="F812" s="210"/>
      <c r="G812" s="176"/>
      <c r="H812" s="176"/>
      <c r="I812" s="210"/>
      <c r="J812" s="176"/>
      <c r="K812" s="211"/>
      <c r="L812" s="211"/>
      <c r="M812" s="211"/>
      <c r="N812" s="211"/>
      <c r="O812" s="211"/>
      <c r="P812" s="211"/>
      <c r="Q812" s="210"/>
      <c r="R812" s="176"/>
      <c r="S812" s="176"/>
      <c r="T812" s="212"/>
      <c r="U812" s="176"/>
      <c r="V812" s="176"/>
      <c r="W812" s="176"/>
      <c r="X812" s="176"/>
      <c r="Y812" s="176"/>
      <c r="Z812" s="176"/>
      <c r="AA812" s="176"/>
    </row>
    <row r="813" spans="1:27" ht="15.75" customHeight="1">
      <c r="A813" s="176"/>
      <c r="B813" s="209"/>
      <c r="C813" s="176"/>
      <c r="D813" s="176"/>
      <c r="E813" s="176"/>
      <c r="F813" s="210"/>
      <c r="G813" s="176"/>
      <c r="H813" s="176"/>
      <c r="I813" s="210"/>
      <c r="J813" s="176"/>
      <c r="K813" s="211"/>
      <c r="L813" s="211"/>
      <c r="M813" s="211"/>
      <c r="N813" s="211"/>
      <c r="O813" s="211"/>
      <c r="P813" s="211"/>
      <c r="Q813" s="210"/>
      <c r="R813" s="176"/>
      <c r="S813" s="176"/>
      <c r="T813" s="212"/>
      <c r="U813" s="176"/>
      <c r="V813" s="176"/>
      <c r="W813" s="176"/>
      <c r="X813" s="176"/>
      <c r="Y813" s="176"/>
      <c r="Z813" s="176"/>
      <c r="AA813" s="176"/>
    </row>
    <row r="814" spans="1:27" ht="15.75" customHeight="1">
      <c r="A814" s="176"/>
      <c r="B814" s="209"/>
      <c r="C814" s="176"/>
      <c r="D814" s="176"/>
      <c r="E814" s="176"/>
      <c r="F814" s="210"/>
      <c r="G814" s="176"/>
      <c r="H814" s="176"/>
      <c r="I814" s="210"/>
      <c r="J814" s="176"/>
      <c r="K814" s="211"/>
      <c r="L814" s="211"/>
      <c r="M814" s="211"/>
      <c r="N814" s="211"/>
      <c r="O814" s="211"/>
      <c r="P814" s="211"/>
      <c r="Q814" s="210"/>
      <c r="R814" s="176"/>
      <c r="S814" s="176"/>
      <c r="T814" s="212"/>
      <c r="U814" s="176"/>
      <c r="V814" s="176"/>
      <c r="W814" s="176"/>
      <c r="X814" s="176"/>
      <c r="Y814" s="176"/>
      <c r="Z814" s="176"/>
      <c r="AA814" s="176"/>
    </row>
    <row r="815" spans="1:27" ht="15.75" customHeight="1">
      <c r="A815" s="176"/>
      <c r="B815" s="209"/>
      <c r="C815" s="176"/>
      <c r="D815" s="176"/>
      <c r="E815" s="176"/>
      <c r="F815" s="210"/>
      <c r="G815" s="176"/>
      <c r="H815" s="176"/>
      <c r="I815" s="210"/>
      <c r="J815" s="176"/>
      <c r="K815" s="211"/>
      <c r="L815" s="211"/>
      <c r="M815" s="211"/>
      <c r="N815" s="211"/>
      <c r="O815" s="211"/>
      <c r="P815" s="211"/>
      <c r="Q815" s="210"/>
      <c r="R815" s="176"/>
      <c r="S815" s="176"/>
      <c r="T815" s="212"/>
      <c r="U815" s="176"/>
      <c r="V815" s="176"/>
      <c r="W815" s="176"/>
      <c r="X815" s="176"/>
      <c r="Y815" s="176"/>
      <c r="Z815" s="176"/>
      <c r="AA815" s="176"/>
    </row>
    <row r="816" spans="1:27" ht="15.75" customHeight="1">
      <c r="A816" s="176"/>
      <c r="B816" s="209"/>
      <c r="C816" s="176"/>
      <c r="D816" s="176"/>
      <c r="E816" s="176"/>
      <c r="F816" s="210"/>
      <c r="G816" s="176"/>
      <c r="H816" s="176"/>
      <c r="I816" s="210"/>
      <c r="J816" s="176"/>
      <c r="K816" s="211"/>
      <c r="L816" s="211"/>
      <c r="M816" s="211"/>
      <c r="N816" s="211"/>
      <c r="O816" s="211"/>
      <c r="P816" s="211"/>
      <c r="Q816" s="210"/>
      <c r="R816" s="176"/>
      <c r="S816" s="176"/>
      <c r="T816" s="212"/>
      <c r="U816" s="176"/>
      <c r="V816" s="176"/>
      <c r="W816" s="176"/>
      <c r="X816" s="176"/>
      <c r="Y816" s="176"/>
      <c r="Z816" s="176"/>
      <c r="AA816" s="176"/>
    </row>
    <row r="817" spans="1:27" ht="15.75" customHeight="1">
      <c r="A817" s="176"/>
      <c r="B817" s="209"/>
      <c r="C817" s="176"/>
      <c r="D817" s="176"/>
      <c r="E817" s="176"/>
      <c r="F817" s="210"/>
      <c r="G817" s="176"/>
      <c r="H817" s="176"/>
      <c r="I817" s="210"/>
      <c r="J817" s="176"/>
      <c r="K817" s="211"/>
      <c r="L817" s="211"/>
      <c r="M817" s="211"/>
      <c r="N817" s="211"/>
      <c r="O817" s="211"/>
      <c r="P817" s="211"/>
      <c r="Q817" s="210"/>
      <c r="R817" s="176"/>
      <c r="S817" s="176"/>
      <c r="T817" s="212"/>
      <c r="U817" s="176"/>
      <c r="V817" s="176"/>
      <c r="W817" s="176"/>
      <c r="X817" s="176"/>
      <c r="Y817" s="176"/>
      <c r="Z817" s="176"/>
      <c r="AA817" s="176"/>
    </row>
    <row r="818" spans="1:27" ht="15.75" customHeight="1">
      <c r="A818" s="176"/>
      <c r="B818" s="209"/>
      <c r="C818" s="176"/>
      <c r="D818" s="176"/>
      <c r="E818" s="176"/>
      <c r="F818" s="210"/>
      <c r="G818" s="176"/>
      <c r="H818" s="176"/>
      <c r="I818" s="210"/>
      <c r="J818" s="176"/>
      <c r="K818" s="211"/>
      <c r="L818" s="211"/>
      <c r="M818" s="211"/>
      <c r="N818" s="211"/>
      <c r="O818" s="211"/>
      <c r="P818" s="211"/>
      <c r="Q818" s="210"/>
      <c r="R818" s="176"/>
      <c r="S818" s="176"/>
      <c r="T818" s="212"/>
      <c r="U818" s="176"/>
      <c r="V818" s="176"/>
      <c r="W818" s="176"/>
      <c r="X818" s="176"/>
      <c r="Y818" s="176"/>
      <c r="Z818" s="176"/>
      <c r="AA818" s="176"/>
    </row>
    <row r="819" spans="1:27" ht="15.75" customHeight="1">
      <c r="A819" s="176"/>
      <c r="B819" s="209"/>
      <c r="C819" s="176"/>
      <c r="D819" s="176"/>
      <c r="E819" s="176"/>
      <c r="F819" s="210"/>
      <c r="G819" s="176"/>
      <c r="H819" s="176"/>
      <c r="I819" s="210"/>
      <c r="J819" s="176"/>
      <c r="K819" s="211"/>
      <c r="L819" s="211"/>
      <c r="M819" s="211"/>
      <c r="N819" s="211"/>
      <c r="O819" s="211"/>
      <c r="P819" s="211"/>
      <c r="Q819" s="210"/>
      <c r="R819" s="176"/>
      <c r="S819" s="176"/>
      <c r="T819" s="212"/>
      <c r="U819" s="176"/>
      <c r="V819" s="176"/>
      <c r="W819" s="176"/>
      <c r="X819" s="176"/>
      <c r="Y819" s="176"/>
      <c r="Z819" s="176"/>
      <c r="AA819" s="176"/>
    </row>
    <row r="820" spans="1:27" ht="15.75" customHeight="1">
      <c r="A820" s="176"/>
      <c r="B820" s="209"/>
      <c r="C820" s="176"/>
      <c r="D820" s="176"/>
      <c r="E820" s="176"/>
      <c r="F820" s="210"/>
      <c r="G820" s="176"/>
      <c r="H820" s="176"/>
      <c r="I820" s="210"/>
      <c r="J820" s="176"/>
      <c r="K820" s="211"/>
      <c r="L820" s="211"/>
      <c r="M820" s="211"/>
      <c r="N820" s="211"/>
      <c r="O820" s="211"/>
      <c r="P820" s="211"/>
      <c r="Q820" s="210"/>
      <c r="R820" s="176"/>
      <c r="S820" s="176"/>
      <c r="T820" s="212"/>
      <c r="U820" s="176"/>
      <c r="V820" s="176"/>
      <c r="W820" s="176"/>
      <c r="X820" s="176"/>
      <c r="Y820" s="176"/>
      <c r="Z820" s="176"/>
      <c r="AA820" s="176"/>
    </row>
    <row r="821" spans="1:27" ht="15.75" customHeight="1">
      <c r="A821" s="176"/>
      <c r="B821" s="209"/>
      <c r="C821" s="176"/>
      <c r="D821" s="176"/>
      <c r="E821" s="176"/>
      <c r="F821" s="210"/>
      <c r="G821" s="176"/>
      <c r="H821" s="176"/>
      <c r="I821" s="210"/>
      <c r="J821" s="176"/>
      <c r="K821" s="211"/>
      <c r="L821" s="211"/>
      <c r="M821" s="211"/>
      <c r="N821" s="211"/>
      <c r="O821" s="211"/>
      <c r="P821" s="211"/>
      <c r="Q821" s="210"/>
      <c r="R821" s="176"/>
      <c r="S821" s="176"/>
      <c r="T821" s="212"/>
      <c r="U821" s="176"/>
      <c r="V821" s="176"/>
      <c r="W821" s="176"/>
      <c r="X821" s="176"/>
      <c r="Y821" s="176"/>
      <c r="Z821" s="176"/>
      <c r="AA821" s="176"/>
    </row>
    <row r="822" spans="1:27" ht="15.75" customHeight="1">
      <c r="A822" s="176"/>
      <c r="B822" s="209"/>
      <c r="C822" s="176"/>
      <c r="D822" s="176"/>
      <c r="E822" s="176"/>
      <c r="F822" s="210"/>
      <c r="G822" s="176"/>
      <c r="H822" s="176"/>
      <c r="I822" s="210"/>
      <c r="J822" s="176"/>
      <c r="K822" s="211"/>
      <c r="L822" s="211"/>
      <c r="M822" s="211"/>
      <c r="N822" s="211"/>
      <c r="O822" s="211"/>
      <c r="P822" s="211"/>
      <c r="Q822" s="210"/>
      <c r="R822" s="176"/>
      <c r="S822" s="176"/>
      <c r="T822" s="212"/>
      <c r="U822" s="176"/>
      <c r="V822" s="176"/>
      <c r="W822" s="176"/>
      <c r="X822" s="176"/>
      <c r="Y822" s="176"/>
      <c r="Z822" s="176"/>
      <c r="AA822" s="176"/>
    </row>
    <row r="823" spans="1:27" ht="15.75" customHeight="1">
      <c r="A823" s="176"/>
      <c r="B823" s="209"/>
      <c r="C823" s="176"/>
      <c r="D823" s="176"/>
      <c r="E823" s="176"/>
      <c r="F823" s="210"/>
      <c r="G823" s="176"/>
      <c r="H823" s="176"/>
      <c r="I823" s="210"/>
      <c r="J823" s="176"/>
      <c r="K823" s="211"/>
      <c r="L823" s="211"/>
      <c r="M823" s="211"/>
      <c r="N823" s="211"/>
      <c r="O823" s="211"/>
      <c r="P823" s="211"/>
      <c r="Q823" s="210"/>
      <c r="R823" s="176"/>
      <c r="S823" s="176"/>
      <c r="T823" s="212"/>
      <c r="U823" s="176"/>
      <c r="V823" s="176"/>
      <c r="W823" s="176"/>
      <c r="X823" s="176"/>
      <c r="Y823" s="176"/>
      <c r="Z823" s="176"/>
      <c r="AA823" s="176"/>
    </row>
    <row r="824" spans="1:27" ht="15.75" customHeight="1">
      <c r="A824" s="176"/>
      <c r="B824" s="209"/>
      <c r="C824" s="176"/>
      <c r="D824" s="176"/>
      <c r="E824" s="176"/>
      <c r="F824" s="210"/>
      <c r="G824" s="176"/>
      <c r="H824" s="176"/>
      <c r="I824" s="210"/>
      <c r="J824" s="176"/>
      <c r="K824" s="211"/>
      <c r="L824" s="211"/>
      <c r="M824" s="211"/>
      <c r="N824" s="211"/>
      <c r="O824" s="211"/>
      <c r="P824" s="211"/>
      <c r="Q824" s="210"/>
      <c r="R824" s="176"/>
      <c r="S824" s="176"/>
      <c r="T824" s="212"/>
      <c r="U824" s="176"/>
      <c r="V824" s="176"/>
      <c r="W824" s="176"/>
      <c r="X824" s="176"/>
      <c r="Y824" s="176"/>
      <c r="Z824" s="176"/>
      <c r="AA824" s="176"/>
    </row>
    <row r="825" spans="1:27" ht="15.75" customHeight="1">
      <c r="A825" s="176"/>
      <c r="B825" s="209"/>
      <c r="C825" s="176"/>
      <c r="D825" s="176"/>
      <c r="E825" s="176"/>
      <c r="F825" s="210"/>
      <c r="G825" s="176"/>
      <c r="H825" s="176"/>
      <c r="I825" s="210"/>
      <c r="J825" s="176"/>
      <c r="K825" s="211"/>
      <c r="L825" s="211"/>
      <c r="M825" s="211"/>
      <c r="N825" s="211"/>
      <c r="O825" s="211"/>
      <c r="P825" s="211"/>
      <c r="Q825" s="210"/>
      <c r="R825" s="176"/>
      <c r="S825" s="176"/>
      <c r="T825" s="212"/>
      <c r="U825" s="176"/>
      <c r="V825" s="176"/>
      <c r="W825" s="176"/>
      <c r="X825" s="176"/>
      <c r="Y825" s="176"/>
      <c r="Z825" s="176"/>
      <c r="AA825" s="176"/>
    </row>
    <row r="826" spans="1:27" ht="15.75" customHeight="1">
      <c r="A826" s="176"/>
      <c r="B826" s="209"/>
      <c r="C826" s="176"/>
      <c r="D826" s="176"/>
      <c r="E826" s="176"/>
      <c r="F826" s="210"/>
      <c r="G826" s="176"/>
      <c r="H826" s="176"/>
      <c r="I826" s="210"/>
      <c r="J826" s="176"/>
      <c r="K826" s="211"/>
      <c r="L826" s="211"/>
      <c r="M826" s="211"/>
      <c r="N826" s="211"/>
      <c r="O826" s="211"/>
      <c r="P826" s="211"/>
      <c r="Q826" s="210"/>
      <c r="R826" s="176"/>
      <c r="S826" s="176"/>
      <c r="T826" s="212"/>
      <c r="U826" s="176"/>
      <c r="V826" s="176"/>
      <c r="W826" s="176"/>
      <c r="X826" s="176"/>
      <c r="Y826" s="176"/>
      <c r="Z826" s="176"/>
      <c r="AA826" s="176"/>
    </row>
    <row r="827" spans="1:27" ht="15.75" customHeight="1">
      <c r="A827" s="176"/>
      <c r="B827" s="209"/>
      <c r="C827" s="176"/>
      <c r="D827" s="176"/>
      <c r="E827" s="176"/>
      <c r="F827" s="210"/>
      <c r="G827" s="176"/>
      <c r="H827" s="176"/>
      <c r="I827" s="210"/>
      <c r="J827" s="176"/>
      <c r="K827" s="211"/>
      <c r="L827" s="211"/>
      <c r="M827" s="211"/>
      <c r="N827" s="211"/>
      <c r="O827" s="211"/>
      <c r="P827" s="211"/>
      <c r="Q827" s="210"/>
      <c r="R827" s="176"/>
      <c r="S827" s="176"/>
      <c r="T827" s="212"/>
      <c r="U827" s="176"/>
      <c r="V827" s="176"/>
      <c r="W827" s="176"/>
      <c r="X827" s="176"/>
      <c r="Y827" s="176"/>
      <c r="Z827" s="176"/>
      <c r="AA827" s="176"/>
    </row>
    <row r="828" spans="1:27" ht="15.75" customHeight="1">
      <c r="A828" s="176"/>
      <c r="B828" s="209"/>
      <c r="C828" s="176"/>
      <c r="D828" s="176"/>
      <c r="E828" s="176"/>
      <c r="F828" s="210"/>
      <c r="G828" s="176"/>
      <c r="H828" s="176"/>
      <c r="I828" s="210"/>
      <c r="J828" s="176"/>
      <c r="K828" s="211"/>
      <c r="L828" s="211"/>
      <c r="M828" s="211"/>
      <c r="N828" s="211"/>
      <c r="O828" s="211"/>
      <c r="P828" s="211"/>
      <c r="Q828" s="210"/>
      <c r="R828" s="176"/>
      <c r="S828" s="176"/>
      <c r="T828" s="212"/>
      <c r="U828" s="176"/>
      <c r="V828" s="176"/>
      <c r="W828" s="176"/>
      <c r="X828" s="176"/>
      <c r="Y828" s="176"/>
      <c r="Z828" s="176"/>
      <c r="AA828" s="176"/>
    </row>
    <row r="829" spans="1:27" ht="15.75" customHeight="1">
      <c r="A829" s="176"/>
      <c r="B829" s="209"/>
      <c r="C829" s="176"/>
      <c r="D829" s="176"/>
      <c r="E829" s="176"/>
      <c r="F829" s="210"/>
      <c r="G829" s="176"/>
      <c r="H829" s="176"/>
      <c r="I829" s="210"/>
      <c r="J829" s="176"/>
      <c r="K829" s="211"/>
      <c r="L829" s="211"/>
      <c r="M829" s="211"/>
      <c r="N829" s="211"/>
      <c r="O829" s="211"/>
      <c r="P829" s="211"/>
      <c r="Q829" s="210"/>
      <c r="R829" s="176"/>
      <c r="S829" s="176"/>
      <c r="T829" s="212"/>
      <c r="U829" s="176"/>
      <c r="V829" s="176"/>
      <c r="W829" s="176"/>
      <c r="X829" s="176"/>
      <c r="Y829" s="176"/>
      <c r="Z829" s="176"/>
      <c r="AA829" s="176"/>
    </row>
    <row r="830" spans="1:27" ht="15.75" customHeight="1">
      <c r="A830" s="176"/>
      <c r="B830" s="209"/>
      <c r="C830" s="176"/>
      <c r="D830" s="176"/>
      <c r="E830" s="176"/>
      <c r="F830" s="210"/>
      <c r="G830" s="176"/>
      <c r="H830" s="176"/>
      <c r="I830" s="210"/>
      <c r="J830" s="176"/>
      <c r="K830" s="211"/>
      <c r="L830" s="211"/>
      <c r="M830" s="211"/>
      <c r="N830" s="211"/>
      <c r="O830" s="211"/>
      <c r="P830" s="211"/>
      <c r="Q830" s="210"/>
      <c r="R830" s="176"/>
      <c r="S830" s="176"/>
      <c r="T830" s="212"/>
      <c r="U830" s="176"/>
      <c r="V830" s="176"/>
      <c r="W830" s="176"/>
      <c r="X830" s="176"/>
      <c r="Y830" s="176"/>
      <c r="Z830" s="176"/>
      <c r="AA830" s="176"/>
    </row>
    <row r="831" spans="1:27" ht="15.75" customHeight="1">
      <c r="A831" s="176"/>
      <c r="B831" s="209"/>
      <c r="C831" s="176"/>
      <c r="D831" s="176"/>
      <c r="E831" s="176"/>
      <c r="F831" s="210"/>
      <c r="G831" s="176"/>
      <c r="H831" s="176"/>
      <c r="I831" s="210"/>
      <c r="J831" s="176"/>
      <c r="K831" s="211"/>
      <c r="L831" s="211"/>
      <c r="M831" s="211"/>
      <c r="N831" s="211"/>
      <c r="O831" s="211"/>
      <c r="P831" s="211"/>
      <c r="Q831" s="210"/>
      <c r="R831" s="176"/>
      <c r="S831" s="176"/>
      <c r="T831" s="212"/>
      <c r="U831" s="176"/>
      <c r="V831" s="176"/>
      <c r="W831" s="176"/>
      <c r="X831" s="176"/>
      <c r="Y831" s="176"/>
      <c r="Z831" s="176"/>
      <c r="AA831" s="176"/>
    </row>
    <row r="832" spans="1:27" ht="15.75" customHeight="1">
      <c r="A832" s="176"/>
      <c r="B832" s="209"/>
      <c r="C832" s="176"/>
      <c r="D832" s="176"/>
      <c r="E832" s="176"/>
      <c r="F832" s="210"/>
      <c r="G832" s="176"/>
      <c r="H832" s="176"/>
      <c r="I832" s="210"/>
      <c r="J832" s="176"/>
      <c r="K832" s="211"/>
      <c r="L832" s="211"/>
      <c r="M832" s="211"/>
      <c r="N832" s="211"/>
      <c r="O832" s="211"/>
      <c r="P832" s="211"/>
      <c r="Q832" s="210"/>
      <c r="R832" s="176"/>
      <c r="S832" s="176"/>
      <c r="T832" s="212"/>
      <c r="U832" s="176"/>
      <c r="V832" s="176"/>
      <c r="W832" s="176"/>
      <c r="X832" s="176"/>
      <c r="Y832" s="176"/>
      <c r="Z832" s="176"/>
      <c r="AA832" s="176"/>
    </row>
    <row r="833" spans="1:27" ht="15.75" customHeight="1">
      <c r="A833" s="176"/>
      <c r="B833" s="209"/>
      <c r="C833" s="176"/>
      <c r="D833" s="176"/>
      <c r="E833" s="176"/>
      <c r="F833" s="210"/>
      <c r="G833" s="176"/>
      <c r="H833" s="176"/>
      <c r="I833" s="210"/>
      <c r="J833" s="176"/>
      <c r="K833" s="211"/>
      <c r="L833" s="211"/>
      <c r="M833" s="211"/>
      <c r="N833" s="211"/>
      <c r="O833" s="211"/>
      <c r="P833" s="211"/>
      <c r="Q833" s="210"/>
      <c r="R833" s="176"/>
      <c r="S833" s="176"/>
      <c r="T833" s="212"/>
      <c r="U833" s="176"/>
      <c r="V833" s="176"/>
      <c r="W833" s="176"/>
      <c r="X833" s="176"/>
      <c r="Y833" s="176"/>
      <c r="Z833" s="176"/>
      <c r="AA833" s="176"/>
    </row>
    <row r="834" spans="1:27" ht="15.75" customHeight="1">
      <c r="A834" s="176"/>
      <c r="B834" s="209"/>
      <c r="C834" s="176"/>
      <c r="D834" s="176"/>
      <c r="E834" s="176"/>
      <c r="F834" s="210"/>
      <c r="G834" s="176"/>
      <c r="H834" s="176"/>
      <c r="I834" s="210"/>
      <c r="J834" s="176"/>
      <c r="K834" s="211"/>
      <c r="L834" s="211"/>
      <c r="M834" s="211"/>
      <c r="N834" s="211"/>
      <c r="O834" s="211"/>
      <c r="P834" s="211"/>
      <c r="Q834" s="210"/>
      <c r="R834" s="176"/>
      <c r="S834" s="176"/>
      <c r="T834" s="212"/>
      <c r="U834" s="176"/>
      <c r="V834" s="176"/>
      <c r="W834" s="176"/>
      <c r="X834" s="176"/>
      <c r="Y834" s="176"/>
      <c r="Z834" s="176"/>
      <c r="AA834" s="176"/>
    </row>
    <row r="835" spans="1:27" ht="15.75" customHeight="1">
      <c r="A835" s="176"/>
      <c r="B835" s="209"/>
      <c r="C835" s="176"/>
      <c r="D835" s="176"/>
      <c r="E835" s="176"/>
      <c r="F835" s="210"/>
      <c r="G835" s="176"/>
      <c r="H835" s="176"/>
      <c r="I835" s="210"/>
      <c r="J835" s="176"/>
      <c r="K835" s="211"/>
      <c r="L835" s="211"/>
      <c r="M835" s="211"/>
      <c r="N835" s="211"/>
      <c r="O835" s="211"/>
      <c r="P835" s="211"/>
      <c r="Q835" s="210"/>
      <c r="R835" s="176"/>
      <c r="S835" s="176"/>
      <c r="T835" s="212"/>
      <c r="U835" s="176"/>
      <c r="V835" s="176"/>
      <c r="W835" s="176"/>
      <c r="X835" s="176"/>
      <c r="Y835" s="176"/>
      <c r="Z835" s="176"/>
      <c r="AA835" s="176"/>
    </row>
    <row r="836" spans="1:27" ht="15.75" customHeight="1">
      <c r="A836" s="176"/>
      <c r="B836" s="209"/>
      <c r="C836" s="176"/>
      <c r="D836" s="176"/>
      <c r="E836" s="176"/>
      <c r="F836" s="210"/>
      <c r="G836" s="176"/>
      <c r="H836" s="176"/>
      <c r="I836" s="210"/>
      <c r="J836" s="176"/>
      <c r="K836" s="211"/>
      <c r="L836" s="211"/>
      <c r="M836" s="211"/>
      <c r="N836" s="211"/>
      <c r="O836" s="211"/>
      <c r="P836" s="211"/>
      <c r="Q836" s="210"/>
      <c r="R836" s="176"/>
      <c r="S836" s="176"/>
      <c r="T836" s="212"/>
      <c r="U836" s="176"/>
      <c r="V836" s="176"/>
      <c r="W836" s="176"/>
      <c r="X836" s="176"/>
      <c r="Y836" s="176"/>
      <c r="Z836" s="176"/>
      <c r="AA836" s="176"/>
    </row>
    <row r="837" spans="1:27" ht="15.75" customHeight="1">
      <c r="A837" s="176"/>
      <c r="B837" s="209"/>
      <c r="C837" s="176"/>
      <c r="D837" s="176"/>
      <c r="E837" s="176"/>
      <c r="F837" s="210"/>
      <c r="G837" s="176"/>
      <c r="H837" s="176"/>
      <c r="I837" s="210"/>
      <c r="J837" s="176"/>
      <c r="K837" s="211"/>
      <c r="L837" s="211"/>
      <c r="M837" s="211"/>
      <c r="N837" s="211"/>
      <c r="O837" s="211"/>
      <c r="P837" s="211"/>
      <c r="Q837" s="210"/>
      <c r="R837" s="176"/>
      <c r="S837" s="176"/>
      <c r="T837" s="212"/>
      <c r="U837" s="176"/>
      <c r="V837" s="176"/>
      <c r="W837" s="176"/>
      <c r="X837" s="176"/>
      <c r="Y837" s="176"/>
      <c r="Z837" s="176"/>
      <c r="AA837" s="176"/>
    </row>
    <row r="838" spans="1:27" ht="15.75" customHeight="1">
      <c r="A838" s="176"/>
      <c r="B838" s="209"/>
      <c r="C838" s="176"/>
      <c r="D838" s="176"/>
      <c r="E838" s="176"/>
      <c r="F838" s="210"/>
      <c r="G838" s="176"/>
      <c r="H838" s="176"/>
      <c r="I838" s="210"/>
      <c r="J838" s="176"/>
      <c r="K838" s="211"/>
      <c r="L838" s="211"/>
      <c r="M838" s="211"/>
      <c r="N838" s="211"/>
      <c r="O838" s="211"/>
      <c r="P838" s="211"/>
      <c r="Q838" s="210"/>
      <c r="R838" s="176"/>
      <c r="S838" s="176"/>
      <c r="T838" s="212"/>
      <c r="U838" s="176"/>
      <c r="V838" s="176"/>
      <c r="W838" s="176"/>
      <c r="X838" s="176"/>
      <c r="Y838" s="176"/>
      <c r="Z838" s="176"/>
      <c r="AA838" s="176"/>
    </row>
    <row r="839" spans="1:27" ht="15.75" customHeight="1">
      <c r="A839" s="176"/>
      <c r="B839" s="209"/>
      <c r="C839" s="176"/>
      <c r="D839" s="176"/>
      <c r="E839" s="176"/>
      <c r="F839" s="210"/>
      <c r="G839" s="176"/>
      <c r="H839" s="176"/>
      <c r="I839" s="210"/>
      <c r="J839" s="176"/>
      <c r="K839" s="211"/>
      <c r="L839" s="211"/>
      <c r="M839" s="211"/>
      <c r="N839" s="211"/>
      <c r="O839" s="211"/>
      <c r="P839" s="211"/>
      <c r="Q839" s="210"/>
      <c r="R839" s="176"/>
      <c r="S839" s="176"/>
      <c r="T839" s="212"/>
      <c r="U839" s="176"/>
      <c r="V839" s="176"/>
      <c r="W839" s="176"/>
      <c r="X839" s="176"/>
      <c r="Y839" s="176"/>
      <c r="Z839" s="176"/>
      <c r="AA839" s="176"/>
    </row>
    <row r="840" spans="1:27" ht="15.75" customHeight="1">
      <c r="A840" s="176"/>
      <c r="B840" s="209"/>
      <c r="C840" s="176"/>
      <c r="D840" s="176"/>
      <c r="E840" s="176"/>
      <c r="F840" s="210"/>
      <c r="G840" s="176"/>
      <c r="H840" s="176"/>
      <c r="I840" s="210"/>
      <c r="J840" s="176"/>
      <c r="K840" s="211"/>
      <c r="L840" s="211"/>
      <c r="M840" s="211"/>
      <c r="N840" s="211"/>
      <c r="O840" s="211"/>
      <c r="P840" s="211"/>
      <c r="Q840" s="210"/>
      <c r="R840" s="176"/>
      <c r="S840" s="176"/>
      <c r="T840" s="212"/>
      <c r="U840" s="176"/>
      <c r="V840" s="176"/>
      <c r="W840" s="176"/>
      <c r="X840" s="176"/>
      <c r="Y840" s="176"/>
      <c r="Z840" s="176"/>
      <c r="AA840" s="176"/>
    </row>
    <row r="841" spans="1:27" ht="15.75" customHeight="1">
      <c r="A841" s="176"/>
      <c r="B841" s="209"/>
      <c r="C841" s="176"/>
      <c r="D841" s="176"/>
      <c r="E841" s="176"/>
      <c r="F841" s="210"/>
      <c r="G841" s="176"/>
      <c r="H841" s="176"/>
      <c r="I841" s="210"/>
      <c r="J841" s="176"/>
      <c r="K841" s="211"/>
      <c r="L841" s="211"/>
      <c r="M841" s="211"/>
      <c r="N841" s="211"/>
      <c r="O841" s="211"/>
      <c r="P841" s="211"/>
      <c r="Q841" s="210"/>
      <c r="R841" s="176"/>
      <c r="S841" s="176"/>
      <c r="T841" s="212"/>
      <c r="U841" s="176"/>
      <c r="V841" s="176"/>
      <c r="W841" s="176"/>
      <c r="X841" s="176"/>
      <c r="Y841" s="176"/>
      <c r="Z841" s="176"/>
      <c r="AA841" s="176"/>
    </row>
    <row r="842" spans="1:27" ht="15.75" customHeight="1">
      <c r="A842" s="176"/>
      <c r="B842" s="209"/>
      <c r="C842" s="176"/>
      <c r="D842" s="176"/>
      <c r="E842" s="176"/>
      <c r="F842" s="210"/>
      <c r="G842" s="176"/>
      <c r="H842" s="176"/>
      <c r="I842" s="210"/>
      <c r="J842" s="176"/>
      <c r="K842" s="211"/>
      <c r="L842" s="211"/>
      <c r="M842" s="211"/>
      <c r="N842" s="211"/>
      <c r="O842" s="211"/>
      <c r="P842" s="211"/>
      <c r="Q842" s="210"/>
      <c r="R842" s="176"/>
      <c r="S842" s="176"/>
      <c r="T842" s="212"/>
      <c r="U842" s="176"/>
      <c r="V842" s="176"/>
      <c r="W842" s="176"/>
      <c r="X842" s="176"/>
      <c r="Y842" s="176"/>
      <c r="Z842" s="176"/>
      <c r="AA842" s="176"/>
    </row>
    <row r="843" spans="1:27" ht="15.75" customHeight="1">
      <c r="A843" s="176"/>
      <c r="B843" s="209"/>
      <c r="C843" s="176"/>
      <c r="D843" s="176"/>
      <c r="E843" s="176"/>
      <c r="F843" s="210"/>
      <c r="G843" s="176"/>
      <c r="H843" s="176"/>
      <c r="I843" s="210"/>
      <c r="J843" s="176"/>
      <c r="K843" s="211"/>
      <c r="L843" s="211"/>
      <c r="M843" s="211"/>
      <c r="N843" s="211"/>
      <c r="O843" s="211"/>
      <c r="P843" s="211"/>
      <c r="Q843" s="210"/>
      <c r="R843" s="176"/>
      <c r="S843" s="176"/>
      <c r="T843" s="212"/>
      <c r="U843" s="176"/>
      <c r="V843" s="176"/>
      <c r="W843" s="176"/>
      <c r="X843" s="176"/>
      <c r="Y843" s="176"/>
      <c r="Z843" s="176"/>
      <c r="AA843" s="176"/>
    </row>
    <row r="844" spans="1:27" ht="15.75" customHeight="1">
      <c r="A844" s="176"/>
      <c r="B844" s="209"/>
      <c r="C844" s="176"/>
      <c r="D844" s="176"/>
      <c r="E844" s="176"/>
      <c r="F844" s="210"/>
      <c r="G844" s="176"/>
      <c r="H844" s="176"/>
      <c r="I844" s="210"/>
      <c r="J844" s="176"/>
      <c r="K844" s="211"/>
      <c r="L844" s="211"/>
      <c r="M844" s="211"/>
      <c r="N844" s="211"/>
      <c r="O844" s="211"/>
      <c r="P844" s="211"/>
      <c r="Q844" s="210"/>
      <c r="R844" s="176"/>
      <c r="S844" s="176"/>
      <c r="T844" s="212"/>
      <c r="U844" s="176"/>
      <c r="V844" s="176"/>
      <c r="W844" s="176"/>
      <c r="X844" s="176"/>
      <c r="Y844" s="176"/>
      <c r="Z844" s="176"/>
      <c r="AA844" s="176"/>
    </row>
    <row r="845" spans="1:27" ht="15.75" customHeight="1">
      <c r="A845" s="176"/>
      <c r="B845" s="209"/>
      <c r="C845" s="176"/>
      <c r="D845" s="176"/>
      <c r="E845" s="176"/>
      <c r="F845" s="210"/>
      <c r="G845" s="176"/>
      <c r="H845" s="176"/>
      <c r="I845" s="210"/>
      <c r="J845" s="176"/>
      <c r="K845" s="211"/>
      <c r="L845" s="211"/>
      <c r="M845" s="211"/>
      <c r="N845" s="211"/>
      <c r="O845" s="211"/>
      <c r="P845" s="211"/>
      <c r="Q845" s="210"/>
      <c r="R845" s="176"/>
      <c r="S845" s="176"/>
      <c r="T845" s="212"/>
      <c r="U845" s="176"/>
      <c r="V845" s="176"/>
      <c r="W845" s="176"/>
      <c r="X845" s="176"/>
      <c r="Y845" s="176"/>
      <c r="Z845" s="176"/>
      <c r="AA845" s="176"/>
    </row>
    <row r="846" spans="1:27" ht="15.75" customHeight="1">
      <c r="A846" s="176"/>
      <c r="B846" s="209"/>
      <c r="C846" s="176"/>
      <c r="D846" s="176"/>
      <c r="E846" s="176"/>
      <c r="F846" s="210"/>
      <c r="G846" s="176"/>
      <c r="H846" s="176"/>
      <c r="I846" s="210"/>
      <c r="J846" s="176"/>
      <c r="K846" s="211"/>
      <c r="L846" s="211"/>
      <c r="M846" s="211"/>
      <c r="N846" s="211"/>
      <c r="O846" s="211"/>
      <c r="P846" s="211"/>
      <c r="Q846" s="210"/>
      <c r="R846" s="176"/>
      <c r="S846" s="176"/>
      <c r="T846" s="212"/>
      <c r="U846" s="176"/>
      <c r="V846" s="176"/>
      <c r="W846" s="176"/>
      <c r="X846" s="176"/>
      <c r="Y846" s="176"/>
      <c r="Z846" s="176"/>
      <c r="AA846" s="176"/>
    </row>
    <row r="847" spans="1:27" ht="15.75" customHeight="1">
      <c r="A847" s="176"/>
      <c r="B847" s="209"/>
      <c r="C847" s="176"/>
      <c r="D847" s="176"/>
      <c r="E847" s="176"/>
      <c r="F847" s="210"/>
      <c r="G847" s="176"/>
      <c r="H847" s="176"/>
      <c r="I847" s="210"/>
      <c r="J847" s="176"/>
      <c r="K847" s="211"/>
      <c r="L847" s="211"/>
      <c r="M847" s="211"/>
      <c r="N847" s="211"/>
      <c r="O847" s="211"/>
      <c r="P847" s="211"/>
      <c r="Q847" s="210"/>
      <c r="R847" s="176"/>
      <c r="S847" s="176"/>
      <c r="T847" s="212"/>
      <c r="U847" s="176"/>
      <c r="V847" s="176"/>
      <c r="W847" s="176"/>
      <c r="X847" s="176"/>
      <c r="Y847" s="176"/>
      <c r="Z847" s="176"/>
      <c r="AA847" s="176"/>
    </row>
    <row r="848" spans="1:27" ht="15.75" customHeight="1">
      <c r="A848" s="176"/>
      <c r="B848" s="209"/>
      <c r="C848" s="176"/>
      <c r="D848" s="176"/>
      <c r="E848" s="176"/>
      <c r="F848" s="210"/>
      <c r="G848" s="176"/>
      <c r="H848" s="176"/>
      <c r="I848" s="210"/>
      <c r="J848" s="176"/>
      <c r="K848" s="211"/>
      <c r="L848" s="211"/>
      <c r="M848" s="211"/>
      <c r="N848" s="211"/>
      <c r="O848" s="211"/>
      <c r="P848" s="211"/>
      <c r="Q848" s="210"/>
      <c r="R848" s="176"/>
      <c r="S848" s="176"/>
      <c r="T848" s="212"/>
      <c r="U848" s="176"/>
      <c r="V848" s="176"/>
      <c r="W848" s="176"/>
      <c r="X848" s="176"/>
      <c r="Y848" s="176"/>
      <c r="Z848" s="176"/>
      <c r="AA848" s="176"/>
    </row>
    <row r="849" spans="1:27" ht="15.75" customHeight="1">
      <c r="A849" s="176"/>
      <c r="B849" s="209"/>
      <c r="C849" s="176"/>
      <c r="D849" s="176"/>
      <c r="E849" s="176"/>
      <c r="F849" s="210"/>
      <c r="G849" s="176"/>
      <c r="H849" s="176"/>
      <c r="I849" s="210"/>
      <c r="J849" s="176"/>
      <c r="K849" s="211"/>
      <c r="L849" s="211"/>
      <c r="M849" s="211"/>
      <c r="N849" s="211"/>
      <c r="O849" s="211"/>
      <c r="P849" s="211"/>
      <c r="Q849" s="210"/>
      <c r="R849" s="176"/>
      <c r="S849" s="176"/>
      <c r="T849" s="212"/>
      <c r="U849" s="176"/>
      <c r="V849" s="176"/>
      <c r="W849" s="176"/>
      <c r="X849" s="176"/>
      <c r="Y849" s="176"/>
      <c r="Z849" s="176"/>
      <c r="AA849" s="176"/>
    </row>
    <row r="850" spans="1:27" ht="15.75" customHeight="1">
      <c r="A850" s="176"/>
      <c r="B850" s="209"/>
      <c r="C850" s="176"/>
      <c r="D850" s="176"/>
      <c r="E850" s="176"/>
      <c r="F850" s="210"/>
      <c r="G850" s="176"/>
      <c r="H850" s="176"/>
      <c r="I850" s="210"/>
      <c r="J850" s="176"/>
      <c r="K850" s="211"/>
      <c r="L850" s="211"/>
      <c r="M850" s="211"/>
      <c r="N850" s="211"/>
      <c r="O850" s="211"/>
      <c r="P850" s="211"/>
      <c r="Q850" s="210"/>
      <c r="R850" s="176"/>
      <c r="S850" s="176"/>
      <c r="T850" s="212"/>
      <c r="U850" s="176"/>
      <c r="V850" s="176"/>
      <c r="W850" s="176"/>
      <c r="X850" s="176"/>
      <c r="Y850" s="176"/>
      <c r="Z850" s="176"/>
      <c r="AA850" s="176"/>
    </row>
    <row r="851" spans="1:27" ht="15.75" customHeight="1">
      <c r="A851" s="176"/>
      <c r="B851" s="209"/>
      <c r="C851" s="176"/>
      <c r="D851" s="176"/>
      <c r="E851" s="176"/>
      <c r="F851" s="210"/>
      <c r="G851" s="176"/>
      <c r="H851" s="176"/>
      <c r="I851" s="210"/>
      <c r="J851" s="176"/>
      <c r="K851" s="211"/>
      <c r="L851" s="211"/>
      <c r="M851" s="211"/>
      <c r="N851" s="211"/>
      <c r="O851" s="211"/>
      <c r="P851" s="211"/>
      <c r="Q851" s="210"/>
      <c r="R851" s="176"/>
      <c r="S851" s="176"/>
      <c r="T851" s="212"/>
      <c r="U851" s="176"/>
      <c r="V851" s="176"/>
      <c r="W851" s="176"/>
      <c r="X851" s="176"/>
      <c r="Y851" s="176"/>
      <c r="Z851" s="176"/>
      <c r="AA851" s="176"/>
    </row>
    <row r="852" spans="1:27" ht="15.75" customHeight="1">
      <c r="A852" s="176"/>
      <c r="B852" s="209"/>
      <c r="C852" s="176"/>
      <c r="D852" s="176"/>
      <c r="E852" s="176"/>
      <c r="F852" s="210"/>
      <c r="G852" s="176"/>
      <c r="H852" s="176"/>
      <c r="I852" s="210"/>
      <c r="J852" s="176"/>
      <c r="K852" s="211"/>
      <c r="L852" s="211"/>
      <c r="M852" s="211"/>
      <c r="N852" s="211"/>
      <c r="O852" s="211"/>
      <c r="P852" s="211"/>
      <c r="Q852" s="210"/>
      <c r="R852" s="176"/>
      <c r="S852" s="176"/>
      <c r="T852" s="212"/>
      <c r="U852" s="176"/>
      <c r="V852" s="176"/>
      <c r="W852" s="176"/>
      <c r="X852" s="176"/>
      <c r="Y852" s="176"/>
      <c r="Z852" s="176"/>
      <c r="AA852" s="176"/>
    </row>
    <row r="853" spans="1:27" ht="15.75" customHeight="1">
      <c r="A853" s="176"/>
      <c r="B853" s="209"/>
      <c r="C853" s="176"/>
      <c r="D853" s="176"/>
      <c r="E853" s="176"/>
      <c r="F853" s="210"/>
      <c r="G853" s="176"/>
      <c r="H853" s="176"/>
      <c r="I853" s="210"/>
      <c r="J853" s="176"/>
      <c r="K853" s="211"/>
      <c r="L853" s="211"/>
      <c r="M853" s="211"/>
      <c r="N853" s="211"/>
      <c r="O853" s="211"/>
      <c r="P853" s="211"/>
      <c r="Q853" s="210"/>
      <c r="R853" s="176"/>
      <c r="S853" s="176"/>
      <c r="T853" s="212"/>
      <c r="U853" s="176"/>
      <c r="V853" s="176"/>
      <c r="W853" s="176"/>
      <c r="X853" s="176"/>
      <c r="Y853" s="176"/>
      <c r="Z853" s="176"/>
      <c r="AA853" s="176"/>
    </row>
    <row r="854" spans="1:27" ht="15.75" customHeight="1">
      <c r="A854" s="176"/>
      <c r="B854" s="209"/>
      <c r="C854" s="176"/>
      <c r="D854" s="176"/>
      <c r="E854" s="176"/>
      <c r="F854" s="210"/>
      <c r="G854" s="176"/>
      <c r="H854" s="176"/>
      <c r="I854" s="210"/>
      <c r="J854" s="176"/>
      <c r="K854" s="211"/>
      <c r="L854" s="211"/>
      <c r="M854" s="211"/>
      <c r="N854" s="211"/>
      <c r="O854" s="211"/>
      <c r="P854" s="211"/>
      <c r="Q854" s="210"/>
      <c r="R854" s="176"/>
      <c r="S854" s="176"/>
      <c r="T854" s="212"/>
      <c r="U854" s="176"/>
      <c r="V854" s="176"/>
      <c r="W854" s="176"/>
      <c r="X854" s="176"/>
      <c r="Y854" s="176"/>
      <c r="Z854" s="176"/>
      <c r="AA854" s="176"/>
    </row>
    <row r="855" spans="1:27" ht="15.75" customHeight="1">
      <c r="A855" s="176"/>
      <c r="B855" s="209"/>
      <c r="C855" s="176"/>
      <c r="D855" s="176"/>
      <c r="E855" s="176"/>
      <c r="F855" s="210"/>
      <c r="G855" s="176"/>
      <c r="H855" s="176"/>
      <c r="I855" s="210"/>
      <c r="J855" s="176"/>
      <c r="K855" s="211"/>
      <c r="L855" s="211"/>
      <c r="M855" s="211"/>
      <c r="N855" s="211"/>
      <c r="O855" s="211"/>
      <c r="P855" s="211"/>
      <c r="Q855" s="210"/>
      <c r="R855" s="176"/>
      <c r="S855" s="176"/>
      <c r="T855" s="212"/>
      <c r="U855" s="176"/>
      <c r="V855" s="176"/>
      <c r="W855" s="176"/>
      <c r="X855" s="176"/>
      <c r="Y855" s="176"/>
      <c r="Z855" s="176"/>
      <c r="AA855" s="176"/>
    </row>
    <row r="856" spans="1:27" ht="15.75" customHeight="1">
      <c r="A856" s="176"/>
      <c r="B856" s="209"/>
      <c r="C856" s="176"/>
      <c r="D856" s="176"/>
      <c r="E856" s="176"/>
      <c r="F856" s="210"/>
      <c r="G856" s="176"/>
      <c r="H856" s="176"/>
      <c r="I856" s="210"/>
      <c r="J856" s="176"/>
      <c r="K856" s="211"/>
      <c r="L856" s="211"/>
      <c r="M856" s="211"/>
      <c r="N856" s="211"/>
      <c r="O856" s="211"/>
      <c r="P856" s="211"/>
      <c r="Q856" s="210"/>
      <c r="R856" s="176"/>
      <c r="S856" s="176"/>
      <c r="T856" s="212"/>
      <c r="U856" s="176"/>
      <c r="V856" s="176"/>
      <c r="W856" s="176"/>
      <c r="X856" s="176"/>
      <c r="Y856" s="176"/>
      <c r="Z856" s="176"/>
      <c r="AA856" s="176"/>
    </row>
    <row r="857" spans="1:27" ht="15.75" customHeight="1">
      <c r="A857" s="176"/>
      <c r="B857" s="209"/>
      <c r="C857" s="176"/>
      <c r="D857" s="176"/>
      <c r="E857" s="176"/>
      <c r="F857" s="210"/>
      <c r="G857" s="176"/>
      <c r="H857" s="176"/>
      <c r="I857" s="210"/>
      <c r="J857" s="176"/>
      <c r="K857" s="211"/>
      <c r="L857" s="211"/>
      <c r="M857" s="211"/>
      <c r="N857" s="211"/>
      <c r="O857" s="211"/>
      <c r="P857" s="211"/>
      <c r="Q857" s="210"/>
      <c r="R857" s="176"/>
      <c r="S857" s="176"/>
      <c r="T857" s="212"/>
      <c r="U857" s="176"/>
      <c r="V857" s="176"/>
      <c r="W857" s="176"/>
      <c r="X857" s="176"/>
      <c r="Y857" s="176"/>
      <c r="Z857" s="176"/>
      <c r="AA857" s="176"/>
    </row>
    <row r="858" spans="1:27" ht="15.75" customHeight="1">
      <c r="A858" s="176"/>
      <c r="B858" s="209"/>
      <c r="C858" s="176"/>
      <c r="D858" s="176"/>
      <c r="E858" s="176"/>
      <c r="F858" s="210"/>
      <c r="G858" s="176"/>
      <c r="H858" s="176"/>
      <c r="I858" s="210"/>
      <c r="J858" s="176"/>
      <c r="K858" s="211"/>
      <c r="L858" s="211"/>
      <c r="M858" s="211"/>
      <c r="N858" s="211"/>
      <c r="O858" s="211"/>
      <c r="P858" s="211"/>
      <c r="Q858" s="210"/>
      <c r="R858" s="176"/>
      <c r="S858" s="176"/>
      <c r="T858" s="212"/>
      <c r="U858" s="176"/>
      <c r="V858" s="176"/>
      <c r="W858" s="176"/>
      <c r="X858" s="176"/>
      <c r="Y858" s="176"/>
      <c r="Z858" s="176"/>
      <c r="AA858" s="176"/>
    </row>
    <row r="859" spans="1:27" ht="15.75" customHeight="1">
      <c r="A859" s="176"/>
      <c r="B859" s="209"/>
      <c r="C859" s="176"/>
      <c r="D859" s="176"/>
      <c r="E859" s="176"/>
      <c r="F859" s="210"/>
      <c r="G859" s="176"/>
      <c r="H859" s="176"/>
      <c r="I859" s="210"/>
      <c r="J859" s="176"/>
      <c r="K859" s="211"/>
      <c r="L859" s="211"/>
      <c r="M859" s="211"/>
      <c r="N859" s="211"/>
      <c r="O859" s="211"/>
      <c r="P859" s="211"/>
      <c r="Q859" s="210"/>
      <c r="R859" s="176"/>
      <c r="S859" s="176"/>
      <c r="T859" s="212"/>
      <c r="U859" s="176"/>
      <c r="V859" s="176"/>
      <c r="W859" s="176"/>
      <c r="X859" s="176"/>
      <c r="Y859" s="176"/>
      <c r="Z859" s="176"/>
      <c r="AA859" s="176"/>
    </row>
    <row r="860" spans="1:27" ht="15.75" customHeight="1">
      <c r="A860" s="176"/>
      <c r="B860" s="209"/>
      <c r="C860" s="176"/>
      <c r="D860" s="176"/>
      <c r="E860" s="176"/>
      <c r="F860" s="210"/>
      <c r="G860" s="176"/>
      <c r="H860" s="176"/>
      <c r="I860" s="210"/>
      <c r="J860" s="176"/>
      <c r="K860" s="211"/>
      <c r="L860" s="211"/>
      <c r="M860" s="211"/>
      <c r="N860" s="211"/>
      <c r="O860" s="211"/>
      <c r="P860" s="211"/>
      <c r="Q860" s="210"/>
      <c r="R860" s="176"/>
      <c r="S860" s="176"/>
      <c r="T860" s="212"/>
      <c r="U860" s="176"/>
      <c r="V860" s="176"/>
      <c r="W860" s="176"/>
      <c r="X860" s="176"/>
      <c r="Y860" s="176"/>
      <c r="Z860" s="176"/>
      <c r="AA860" s="176"/>
    </row>
    <row r="861" spans="1:27" ht="15.75" customHeight="1">
      <c r="A861" s="176"/>
      <c r="B861" s="209"/>
      <c r="C861" s="176"/>
      <c r="D861" s="176"/>
      <c r="E861" s="176"/>
      <c r="F861" s="210"/>
      <c r="G861" s="176"/>
      <c r="H861" s="176"/>
      <c r="I861" s="210"/>
      <c r="J861" s="176"/>
      <c r="K861" s="211"/>
      <c r="L861" s="211"/>
      <c r="M861" s="211"/>
      <c r="N861" s="211"/>
      <c r="O861" s="211"/>
      <c r="P861" s="211"/>
      <c r="Q861" s="210"/>
      <c r="R861" s="176"/>
      <c r="S861" s="176"/>
      <c r="T861" s="212"/>
      <c r="U861" s="176"/>
      <c r="V861" s="176"/>
      <c r="W861" s="176"/>
      <c r="X861" s="176"/>
      <c r="Y861" s="176"/>
      <c r="Z861" s="176"/>
      <c r="AA861" s="176"/>
    </row>
    <row r="862" spans="1:27" ht="15.75" customHeight="1">
      <c r="A862" s="176"/>
      <c r="B862" s="209"/>
      <c r="C862" s="176"/>
      <c r="D862" s="176"/>
      <c r="E862" s="176"/>
      <c r="F862" s="210"/>
      <c r="G862" s="176"/>
      <c r="H862" s="176"/>
      <c r="I862" s="210"/>
      <c r="J862" s="176"/>
      <c r="K862" s="211"/>
      <c r="L862" s="211"/>
      <c r="M862" s="211"/>
      <c r="N862" s="211"/>
      <c r="O862" s="211"/>
      <c r="P862" s="211"/>
      <c r="Q862" s="210"/>
      <c r="R862" s="176"/>
      <c r="S862" s="176"/>
      <c r="T862" s="212"/>
      <c r="U862" s="176"/>
      <c r="V862" s="176"/>
      <c r="W862" s="176"/>
      <c r="X862" s="176"/>
      <c r="Y862" s="176"/>
      <c r="Z862" s="176"/>
      <c r="AA862" s="176"/>
    </row>
    <row r="863" spans="1:27" ht="15.75" customHeight="1">
      <c r="A863" s="176"/>
      <c r="B863" s="209"/>
      <c r="C863" s="176"/>
      <c r="D863" s="176"/>
      <c r="E863" s="176"/>
      <c r="F863" s="210"/>
      <c r="G863" s="176"/>
      <c r="H863" s="176"/>
      <c r="I863" s="210"/>
      <c r="J863" s="176"/>
      <c r="K863" s="211"/>
      <c r="L863" s="211"/>
      <c r="M863" s="211"/>
      <c r="N863" s="211"/>
      <c r="O863" s="211"/>
      <c r="P863" s="211"/>
      <c r="Q863" s="210"/>
      <c r="R863" s="176"/>
      <c r="S863" s="176"/>
      <c r="T863" s="212"/>
      <c r="U863" s="176"/>
      <c r="V863" s="176"/>
      <c r="W863" s="176"/>
      <c r="X863" s="176"/>
      <c r="Y863" s="176"/>
      <c r="Z863" s="176"/>
      <c r="AA863" s="176"/>
    </row>
    <row r="864" spans="1:27" ht="15.75" customHeight="1">
      <c r="A864" s="176"/>
      <c r="B864" s="209"/>
      <c r="C864" s="176"/>
      <c r="D864" s="176"/>
      <c r="E864" s="176"/>
      <c r="F864" s="210"/>
      <c r="G864" s="176"/>
      <c r="H864" s="176"/>
      <c r="I864" s="210"/>
      <c r="J864" s="176"/>
      <c r="K864" s="211"/>
      <c r="L864" s="211"/>
      <c r="M864" s="211"/>
      <c r="N864" s="211"/>
      <c r="O864" s="211"/>
      <c r="P864" s="211"/>
      <c r="Q864" s="210"/>
      <c r="R864" s="176"/>
      <c r="S864" s="176"/>
      <c r="T864" s="212"/>
      <c r="U864" s="176"/>
      <c r="V864" s="176"/>
      <c r="W864" s="176"/>
      <c r="X864" s="176"/>
      <c r="Y864" s="176"/>
      <c r="Z864" s="176"/>
      <c r="AA864" s="176"/>
    </row>
    <row r="865" spans="1:27" ht="15.75" customHeight="1">
      <c r="A865" s="176"/>
      <c r="B865" s="209"/>
      <c r="C865" s="176"/>
      <c r="D865" s="176"/>
      <c r="E865" s="176"/>
      <c r="F865" s="210"/>
      <c r="G865" s="176"/>
      <c r="H865" s="176"/>
      <c r="I865" s="210"/>
      <c r="J865" s="176"/>
      <c r="K865" s="211"/>
      <c r="L865" s="211"/>
      <c r="M865" s="211"/>
      <c r="N865" s="211"/>
      <c r="O865" s="211"/>
      <c r="P865" s="211"/>
      <c r="Q865" s="210"/>
      <c r="R865" s="176"/>
      <c r="S865" s="176"/>
      <c r="T865" s="212"/>
      <c r="U865" s="176"/>
      <c r="V865" s="176"/>
      <c r="W865" s="176"/>
      <c r="X865" s="176"/>
      <c r="Y865" s="176"/>
      <c r="Z865" s="176"/>
      <c r="AA865" s="176"/>
    </row>
    <row r="866" spans="1:27" ht="15.75" customHeight="1">
      <c r="A866" s="176"/>
      <c r="B866" s="209"/>
      <c r="C866" s="176"/>
      <c r="D866" s="176"/>
      <c r="E866" s="176"/>
      <c r="F866" s="210"/>
      <c r="G866" s="176"/>
      <c r="H866" s="176"/>
      <c r="I866" s="210"/>
      <c r="J866" s="176"/>
      <c r="K866" s="211"/>
      <c r="L866" s="211"/>
      <c r="M866" s="211"/>
      <c r="N866" s="211"/>
      <c r="O866" s="211"/>
      <c r="P866" s="211"/>
      <c r="Q866" s="210"/>
      <c r="R866" s="176"/>
      <c r="S866" s="176"/>
      <c r="T866" s="212"/>
      <c r="U866" s="176"/>
      <c r="V866" s="176"/>
      <c r="W866" s="176"/>
      <c r="X866" s="176"/>
      <c r="Y866" s="176"/>
      <c r="Z866" s="176"/>
      <c r="AA866" s="176"/>
    </row>
    <row r="867" spans="1:27" ht="15.75" customHeight="1">
      <c r="A867" s="176"/>
      <c r="B867" s="209"/>
      <c r="C867" s="176"/>
      <c r="D867" s="176"/>
      <c r="E867" s="176"/>
      <c r="F867" s="210"/>
      <c r="G867" s="176"/>
      <c r="H867" s="176"/>
      <c r="I867" s="210"/>
      <c r="J867" s="176"/>
      <c r="K867" s="211"/>
      <c r="L867" s="211"/>
      <c r="M867" s="211"/>
      <c r="N867" s="211"/>
      <c r="O867" s="211"/>
      <c r="P867" s="211"/>
      <c r="Q867" s="210"/>
      <c r="R867" s="176"/>
      <c r="S867" s="176"/>
      <c r="T867" s="212"/>
      <c r="U867" s="176"/>
      <c r="V867" s="176"/>
      <c r="W867" s="176"/>
      <c r="X867" s="176"/>
      <c r="Y867" s="176"/>
      <c r="Z867" s="176"/>
      <c r="AA867" s="176"/>
    </row>
    <row r="868" spans="1:27" ht="15.75" customHeight="1">
      <c r="A868" s="176"/>
      <c r="B868" s="209"/>
      <c r="C868" s="176"/>
      <c r="D868" s="176"/>
      <c r="E868" s="176"/>
      <c r="F868" s="210"/>
      <c r="G868" s="176"/>
      <c r="H868" s="176"/>
      <c r="I868" s="210"/>
      <c r="J868" s="176"/>
      <c r="K868" s="211"/>
      <c r="L868" s="211"/>
      <c r="M868" s="211"/>
      <c r="N868" s="211"/>
      <c r="O868" s="211"/>
      <c r="P868" s="211"/>
      <c r="Q868" s="210"/>
      <c r="R868" s="176"/>
      <c r="S868" s="176"/>
      <c r="T868" s="212"/>
      <c r="U868" s="176"/>
      <c r="V868" s="176"/>
      <c r="W868" s="176"/>
      <c r="X868" s="176"/>
      <c r="Y868" s="176"/>
      <c r="Z868" s="176"/>
      <c r="AA868" s="176"/>
    </row>
    <row r="869" spans="1:27" ht="15.75" customHeight="1">
      <c r="A869" s="176"/>
      <c r="B869" s="209"/>
      <c r="C869" s="176"/>
      <c r="D869" s="176"/>
      <c r="E869" s="176"/>
      <c r="F869" s="210"/>
      <c r="G869" s="176"/>
      <c r="H869" s="176"/>
      <c r="I869" s="210"/>
      <c r="J869" s="176"/>
      <c r="K869" s="211"/>
      <c r="L869" s="211"/>
      <c r="M869" s="211"/>
      <c r="N869" s="211"/>
      <c r="O869" s="211"/>
      <c r="P869" s="211"/>
      <c r="Q869" s="210"/>
      <c r="R869" s="176"/>
      <c r="S869" s="176"/>
      <c r="T869" s="212"/>
      <c r="U869" s="176"/>
      <c r="V869" s="176"/>
      <c r="W869" s="176"/>
      <c r="X869" s="176"/>
      <c r="Y869" s="176"/>
      <c r="Z869" s="176"/>
      <c r="AA869" s="176"/>
    </row>
    <row r="870" spans="1:27" ht="15.75" customHeight="1">
      <c r="A870" s="176"/>
      <c r="B870" s="209"/>
      <c r="C870" s="176"/>
      <c r="D870" s="176"/>
      <c r="E870" s="176"/>
      <c r="F870" s="210"/>
      <c r="G870" s="176"/>
      <c r="H870" s="176"/>
      <c r="I870" s="210"/>
      <c r="J870" s="176"/>
      <c r="K870" s="211"/>
      <c r="L870" s="211"/>
      <c r="M870" s="211"/>
      <c r="N870" s="211"/>
      <c r="O870" s="211"/>
      <c r="P870" s="211"/>
      <c r="Q870" s="210"/>
      <c r="R870" s="176"/>
      <c r="S870" s="176"/>
      <c r="T870" s="212"/>
      <c r="U870" s="176"/>
      <c r="V870" s="176"/>
      <c r="W870" s="176"/>
      <c r="X870" s="176"/>
      <c r="Y870" s="176"/>
      <c r="Z870" s="176"/>
      <c r="AA870" s="176"/>
    </row>
    <row r="871" spans="1:27" ht="15.75" customHeight="1">
      <c r="A871" s="176"/>
      <c r="B871" s="209"/>
      <c r="C871" s="176"/>
      <c r="D871" s="176"/>
      <c r="E871" s="176"/>
      <c r="F871" s="210"/>
      <c r="G871" s="176"/>
      <c r="H871" s="176"/>
      <c r="I871" s="210"/>
      <c r="J871" s="176"/>
      <c r="K871" s="211"/>
      <c r="L871" s="211"/>
      <c r="M871" s="211"/>
      <c r="N871" s="211"/>
      <c r="O871" s="211"/>
      <c r="P871" s="211"/>
      <c r="Q871" s="210"/>
      <c r="R871" s="176"/>
      <c r="S871" s="176"/>
      <c r="T871" s="212"/>
      <c r="U871" s="176"/>
      <c r="V871" s="176"/>
      <c r="W871" s="176"/>
      <c r="X871" s="176"/>
      <c r="Y871" s="176"/>
      <c r="Z871" s="176"/>
      <c r="AA871" s="176"/>
    </row>
    <row r="872" spans="1:27" ht="15.75" customHeight="1">
      <c r="A872" s="176"/>
      <c r="B872" s="209"/>
      <c r="C872" s="176"/>
      <c r="D872" s="176"/>
      <c r="E872" s="176"/>
      <c r="F872" s="210"/>
      <c r="G872" s="176"/>
      <c r="H872" s="176"/>
      <c r="I872" s="210"/>
      <c r="J872" s="176"/>
      <c r="K872" s="211"/>
      <c r="L872" s="211"/>
      <c r="M872" s="211"/>
      <c r="N872" s="211"/>
      <c r="O872" s="211"/>
      <c r="P872" s="211"/>
      <c r="Q872" s="210"/>
      <c r="R872" s="176"/>
      <c r="S872" s="176"/>
      <c r="T872" s="212"/>
      <c r="U872" s="176"/>
      <c r="V872" s="176"/>
      <c r="W872" s="176"/>
      <c r="X872" s="176"/>
      <c r="Y872" s="176"/>
      <c r="Z872" s="176"/>
      <c r="AA872" s="176"/>
    </row>
    <row r="873" spans="1:27" ht="15.75" customHeight="1">
      <c r="A873" s="176"/>
      <c r="B873" s="209"/>
      <c r="C873" s="176"/>
      <c r="D873" s="176"/>
      <c r="E873" s="176"/>
      <c r="F873" s="210"/>
      <c r="G873" s="176"/>
      <c r="H873" s="176"/>
      <c r="I873" s="210"/>
      <c r="J873" s="176"/>
      <c r="K873" s="211"/>
      <c r="L873" s="211"/>
      <c r="M873" s="211"/>
      <c r="N873" s="211"/>
      <c r="O873" s="211"/>
      <c r="P873" s="211"/>
      <c r="Q873" s="210"/>
      <c r="R873" s="176"/>
      <c r="S873" s="176"/>
      <c r="T873" s="212"/>
      <c r="U873" s="176"/>
      <c r="V873" s="176"/>
      <c r="W873" s="176"/>
      <c r="X873" s="176"/>
      <c r="Y873" s="176"/>
      <c r="Z873" s="176"/>
      <c r="AA873" s="176"/>
    </row>
    <row r="874" spans="1:27" ht="15.75" customHeight="1">
      <c r="A874" s="176"/>
      <c r="B874" s="209"/>
      <c r="C874" s="176"/>
      <c r="D874" s="176"/>
      <c r="E874" s="176"/>
      <c r="F874" s="210"/>
      <c r="G874" s="176"/>
      <c r="H874" s="176"/>
      <c r="I874" s="210"/>
      <c r="J874" s="176"/>
      <c r="K874" s="211"/>
      <c r="L874" s="211"/>
      <c r="M874" s="211"/>
      <c r="N874" s="211"/>
      <c r="O874" s="211"/>
      <c r="P874" s="211"/>
      <c r="Q874" s="210"/>
      <c r="R874" s="176"/>
      <c r="S874" s="176"/>
      <c r="T874" s="212"/>
      <c r="U874" s="176"/>
      <c r="V874" s="176"/>
      <c r="W874" s="176"/>
      <c r="X874" s="176"/>
      <c r="Y874" s="176"/>
      <c r="Z874" s="176"/>
      <c r="AA874" s="176"/>
    </row>
    <row r="875" spans="1:27" ht="15.75" customHeight="1">
      <c r="A875" s="176"/>
      <c r="B875" s="209"/>
      <c r="C875" s="176"/>
      <c r="D875" s="176"/>
      <c r="E875" s="176"/>
      <c r="F875" s="210"/>
      <c r="G875" s="176"/>
      <c r="H875" s="176"/>
      <c r="I875" s="210"/>
      <c r="J875" s="176"/>
      <c r="K875" s="211"/>
      <c r="L875" s="211"/>
      <c r="M875" s="211"/>
      <c r="N875" s="211"/>
      <c r="O875" s="211"/>
      <c r="P875" s="211"/>
      <c r="Q875" s="210"/>
      <c r="R875" s="176"/>
      <c r="S875" s="176"/>
      <c r="T875" s="212"/>
      <c r="U875" s="176"/>
      <c r="V875" s="176"/>
      <c r="W875" s="176"/>
      <c r="X875" s="176"/>
      <c r="Y875" s="176"/>
      <c r="Z875" s="176"/>
      <c r="AA875" s="176"/>
    </row>
    <row r="876" spans="1:27" ht="15.75" customHeight="1">
      <c r="A876" s="176"/>
      <c r="B876" s="209"/>
      <c r="C876" s="176"/>
      <c r="D876" s="176"/>
      <c r="E876" s="176"/>
      <c r="F876" s="210"/>
      <c r="G876" s="176"/>
      <c r="H876" s="176"/>
      <c r="I876" s="210"/>
      <c r="J876" s="176"/>
      <c r="K876" s="211"/>
      <c r="L876" s="211"/>
      <c r="M876" s="211"/>
      <c r="N876" s="211"/>
      <c r="O876" s="211"/>
      <c r="P876" s="211"/>
      <c r="Q876" s="210"/>
      <c r="R876" s="176"/>
      <c r="S876" s="176"/>
      <c r="T876" s="212"/>
      <c r="U876" s="176"/>
      <c r="V876" s="176"/>
      <c r="W876" s="176"/>
      <c r="X876" s="176"/>
      <c r="Y876" s="176"/>
      <c r="Z876" s="176"/>
      <c r="AA876" s="176"/>
    </row>
    <row r="877" spans="1:27" ht="15.75" customHeight="1">
      <c r="A877" s="176"/>
      <c r="B877" s="209"/>
      <c r="C877" s="176"/>
      <c r="D877" s="176"/>
      <c r="E877" s="176"/>
      <c r="F877" s="210"/>
      <c r="G877" s="176"/>
      <c r="H877" s="176"/>
      <c r="I877" s="210"/>
      <c r="J877" s="176"/>
      <c r="K877" s="211"/>
      <c r="L877" s="211"/>
      <c r="M877" s="211"/>
      <c r="N877" s="211"/>
      <c r="O877" s="211"/>
      <c r="P877" s="211"/>
      <c r="Q877" s="210"/>
      <c r="R877" s="176"/>
      <c r="S877" s="176"/>
      <c r="T877" s="212"/>
      <c r="U877" s="176"/>
      <c r="V877" s="176"/>
      <c r="W877" s="176"/>
      <c r="X877" s="176"/>
      <c r="Y877" s="176"/>
      <c r="Z877" s="176"/>
      <c r="AA877" s="176"/>
    </row>
    <row r="878" spans="1:27" ht="15.75" customHeight="1">
      <c r="A878" s="176"/>
      <c r="B878" s="209"/>
      <c r="C878" s="176"/>
      <c r="D878" s="176"/>
      <c r="E878" s="176"/>
      <c r="F878" s="210"/>
      <c r="G878" s="176"/>
      <c r="H878" s="176"/>
      <c r="I878" s="210"/>
      <c r="J878" s="176"/>
      <c r="K878" s="211"/>
      <c r="L878" s="211"/>
      <c r="M878" s="211"/>
      <c r="N878" s="211"/>
      <c r="O878" s="211"/>
      <c r="P878" s="211"/>
      <c r="Q878" s="210"/>
      <c r="R878" s="176"/>
      <c r="S878" s="176"/>
      <c r="T878" s="212"/>
      <c r="U878" s="176"/>
      <c r="V878" s="176"/>
      <c r="W878" s="176"/>
      <c r="X878" s="176"/>
      <c r="Y878" s="176"/>
      <c r="Z878" s="176"/>
      <c r="AA878" s="176"/>
    </row>
    <row r="879" spans="1:27" ht="15.75" customHeight="1">
      <c r="A879" s="176"/>
      <c r="B879" s="209"/>
      <c r="C879" s="176"/>
      <c r="D879" s="176"/>
      <c r="E879" s="176"/>
      <c r="F879" s="210"/>
      <c r="G879" s="176"/>
      <c r="H879" s="176"/>
      <c r="I879" s="210"/>
      <c r="J879" s="176"/>
      <c r="K879" s="211"/>
      <c r="L879" s="211"/>
      <c r="M879" s="211"/>
      <c r="N879" s="211"/>
      <c r="O879" s="211"/>
      <c r="P879" s="211"/>
      <c r="Q879" s="210"/>
      <c r="R879" s="176"/>
      <c r="S879" s="176"/>
      <c r="T879" s="212"/>
      <c r="U879" s="176"/>
      <c r="V879" s="176"/>
      <c r="W879" s="176"/>
      <c r="X879" s="176"/>
      <c r="Y879" s="176"/>
      <c r="Z879" s="176"/>
      <c r="AA879" s="176"/>
    </row>
    <row r="880" spans="1:27" ht="15.75" customHeight="1">
      <c r="A880" s="176"/>
      <c r="B880" s="209"/>
      <c r="C880" s="176"/>
      <c r="D880" s="176"/>
      <c r="E880" s="176"/>
      <c r="F880" s="210"/>
      <c r="G880" s="176"/>
      <c r="H880" s="176"/>
      <c r="I880" s="210"/>
      <c r="J880" s="176"/>
      <c r="K880" s="211"/>
      <c r="L880" s="211"/>
      <c r="M880" s="211"/>
      <c r="N880" s="211"/>
      <c r="O880" s="211"/>
      <c r="P880" s="211"/>
      <c r="Q880" s="210"/>
      <c r="R880" s="176"/>
      <c r="S880" s="176"/>
      <c r="T880" s="212"/>
      <c r="U880" s="176"/>
      <c r="V880" s="176"/>
      <c r="W880" s="176"/>
      <c r="X880" s="176"/>
      <c r="Y880" s="176"/>
      <c r="Z880" s="176"/>
      <c r="AA880" s="176"/>
    </row>
    <row r="881" spans="1:27" ht="15.75" customHeight="1">
      <c r="A881" s="176"/>
      <c r="B881" s="209"/>
      <c r="C881" s="176"/>
      <c r="D881" s="176"/>
      <c r="E881" s="176"/>
      <c r="F881" s="210"/>
      <c r="G881" s="176"/>
      <c r="H881" s="176"/>
      <c r="I881" s="210"/>
      <c r="J881" s="176"/>
      <c r="K881" s="211"/>
      <c r="L881" s="211"/>
      <c r="M881" s="211"/>
      <c r="N881" s="211"/>
      <c r="O881" s="211"/>
      <c r="P881" s="211"/>
      <c r="Q881" s="210"/>
      <c r="R881" s="176"/>
      <c r="S881" s="176"/>
      <c r="T881" s="212"/>
      <c r="U881" s="176"/>
      <c r="V881" s="176"/>
      <c r="W881" s="176"/>
      <c r="X881" s="176"/>
      <c r="Y881" s="176"/>
      <c r="Z881" s="176"/>
      <c r="AA881" s="176"/>
    </row>
    <row r="882" spans="1:27" ht="15.75" customHeight="1">
      <c r="A882" s="176"/>
      <c r="B882" s="209"/>
      <c r="C882" s="176"/>
      <c r="D882" s="176"/>
      <c r="E882" s="176"/>
      <c r="F882" s="210"/>
      <c r="G882" s="176"/>
      <c r="H882" s="176"/>
      <c r="I882" s="210"/>
      <c r="J882" s="176"/>
      <c r="K882" s="211"/>
      <c r="L882" s="211"/>
      <c r="M882" s="211"/>
      <c r="N882" s="211"/>
      <c r="O882" s="211"/>
      <c r="P882" s="211"/>
      <c r="Q882" s="210"/>
      <c r="R882" s="176"/>
      <c r="S882" s="176"/>
      <c r="T882" s="212"/>
      <c r="U882" s="176"/>
      <c r="V882" s="176"/>
      <c r="W882" s="176"/>
      <c r="X882" s="176"/>
      <c r="Y882" s="176"/>
      <c r="Z882" s="176"/>
      <c r="AA882" s="176"/>
    </row>
    <row r="883" spans="1:27" ht="15.75" customHeight="1">
      <c r="A883" s="176"/>
      <c r="B883" s="209"/>
      <c r="C883" s="176"/>
      <c r="D883" s="176"/>
      <c r="E883" s="176"/>
      <c r="F883" s="210"/>
      <c r="G883" s="176"/>
      <c r="H883" s="176"/>
      <c r="I883" s="210"/>
      <c r="J883" s="176"/>
      <c r="K883" s="211"/>
      <c r="L883" s="211"/>
      <c r="M883" s="211"/>
      <c r="N883" s="211"/>
      <c r="O883" s="211"/>
      <c r="P883" s="211"/>
      <c r="Q883" s="210"/>
      <c r="R883" s="176"/>
      <c r="S883" s="176"/>
      <c r="T883" s="212"/>
      <c r="U883" s="176"/>
      <c r="V883" s="176"/>
      <c r="W883" s="176"/>
      <c r="X883" s="176"/>
      <c r="Y883" s="176"/>
      <c r="Z883" s="176"/>
      <c r="AA883" s="176"/>
    </row>
    <row r="884" spans="1:27" ht="15.75" customHeight="1">
      <c r="A884" s="176"/>
      <c r="B884" s="209"/>
      <c r="C884" s="176"/>
      <c r="D884" s="176"/>
      <c r="E884" s="176"/>
      <c r="F884" s="210"/>
      <c r="G884" s="176"/>
      <c r="H884" s="176"/>
      <c r="I884" s="210"/>
      <c r="J884" s="176"/>
      <c r="K884" s="211"/>
      <c r="L884" s="211"/>
      <c r="M884" s="211"/>
      <c r="N884" s="211"/>
      <c r="O884" s="211"/>
      <c r="P884" s="211"/>
      <c r="Q884" s="210"/>
      <c r="R884" s="176"/>
      <c r="S884" s="176"/>
      <c r="T884" s="212"/>
      <c r="U884" s="176"/>
      <c r="V884" s="176"/>
      <c r="W884" s="176"/>
      <c r="X884" s="176"/>
      <c r="Y884" s="176"/>
      <c r="Z884" s="176"/>
      <c r="AA884" s="176"/>
    </row>
    <row r="885" spans="1:27" ht="15.75" customHeight="1">
      <c r="A885" s="176"/>
      <c r="B885" s="209"/>
      <c r="C885" s="176"/>
      <c r="D885" s="176"/>
      <c r="E885" s="176"/>
      <c r="F885" s="210"/>
      <c r="G885" s="176"/>
      <c r="H885" s="176"/>
      <c r="I885" s="210"/>
      <c r="J885" s="176"/>
      <c r="K885" s="211"/>
      <c r="L885" s="211"/>
      <c r="M885" s="211"/>
      <c r="N885" s="211"/>
      <c r="O885" s="211"/>
      <c r="P885" s="211"/>
      <c r="Q885" s="210"/>
      <c r="R885" s="176"/>
      <c r="S885" s="176"/>
      <c r="T885" s="212"/>
      <c r="U885" s="176"/>
      <c r="V885" s="176"/>
      <c r="W885" s="176"/>
      <c r="X885" s="176"/>
      <c r="Y885" s="176"/>
      <c r="Z885" s="176"/>
      <c r="AA885" s="176"/>
    </row>
    <row r="886" spans="1:27" ht="15.75" customHeight="1">
      <c r="A886" s="176"/>
      <c r="B886" s="209"/>
      <c r="C886" s="176"/>
      <c r="D886" s="176"/>
      <c r="E886" s="176"/>
      <c r="F886" s="210"/>
      <c r="G886" s="176"/>
      <c r="H886" s="176"/>
      <c r="I886" s="210"/>
      <c r="J886" s="176"/>
      <c r="K886" s="211"/>
      <c r="L886" s="211"/>
      <c r="M886" s="211"/>
      <c r="N886" s="211"/>
      <c r="O886" s="211"/>
      <c r="P886" s="211"/>
      <c r="Q886" s="210"/>
      <c r="R886" s="176"/>
      <c r="S886" s="176"/>
      <c r="T886" s="212"/>
      <c r="U886" s="176"/>
      <c r="V886" s="176"/>
      <c r="W886" s="176"/>
      <c r="X886" s="176"/>
      <c r="Y886" s="176"/>
      <c r="Z886" s="176"/>
      <c r="AA886" s="176"/>
    </row>
    <row r="887" spans="1:27" ht="15.75" customHeight="1">
      <c r="A887" s="176"/>
      <c r="B887" s="209"/>
      <c r="C887" s="176"/>
      <c r="D887" s="176"/>
      <c r="E887" s="176"/>
      <c r="F887" s="210"/>
      <c r="G887" s="176"/>
      <c r="H887" s="176"/>
      <c r="I887" s="210"/>
      <c r="J887" s="176"/>
      <c r="K887" s="211"/>
      <c r="L887" s="211"/>
      <c r="M887" s="211"/>
      <c r="N887" s="211"/>
      <c r="O887" s="211"/>
      <c r="P887" s="211"/>
      <c r="Q887" s="210"/>
      <c r="R887" s="176"/>
      <c r="S887" s="176"/>
      <c r="T887" s="212"/>
      <c r="U887" s="176"/>
      <c r="V887" s="176"/>
      <c r="W887" s="176"/>
      <c r="X887" s="176"/>
      <c r="Y887" s="176"/>
      <c r="Z887" s="176"/>
      <c r="AA887" s="176"/>
    </row>
    <row r="888" spans="1:27" ht="15.75" customHeight="1">
      <c r="A888" s="176"/>
      <c r="B888" s="209"/>
      <c r="C888" s="176"/>
      <c r="D888" s="176"/>
      <c r="E888" s="176"/>
      <c r="F888" s="210"/>
      <c r="G888" s="176"/>
      <c r="H888" s="176"/>
      <c r="I888" s="210"/>
      <c r="J888" s="176"/>
      <c r="K888" s="211"/>
      <c r="L888" s="211"/>
      <c r="M888" s="211"/>
      <c r="N888" s="211"/>
      <c r="O888" s="211"/>
      <c r="P888" s="211"/>
      <c r="Q888" s="210"/>
      <c r="R888" s="176"/>
      <c r="S888" s="176"/>
      <c r="T888" s="212"/>
      <c r="U888" s="176"/>
      <c r="V888" s="176"/>
      <c r="W888" s="176"/>
      <c r="X888" s="176"/>
      <c r="Y888" s="176"/>
      <c r="Z888" s="176"/>
      <c r="AA888" s="176"/>
    </row>
    <row r="889" spans="1:27" ht="15.75" customHeight="1">
      <c r="A889" s="176"/>
      <c r="B889" s="209"/>
      <c r="C889" s="176"/>
      <c r="D889" s="176"/>
      <c r="E889" s="176"/>
      <c r="F889" s="210"/>
      <c r="G889" s="176"/>
      <c r="H889" s="176"/>
      <c r="I889" s="210"/>
      <c r="J889" s="176"/>
      <c r="K889" s="211"/>
      <c r="L889" s="211"/>
      <c r="M889" s="211"/>
      <c r="N889" s="211"/>
      <c r="O889" s="211"/>
      <c r="P889" s="211"/>
      <c r="Q889" s="210"/>
      <c r="R889" s="176"/>
      <c r="S889" s="176"/>
      <c r="T889" s="212"/>
      <c r="U889" s="176"/>
      <c r="V889" s="176"/>
      <c r="W889" s="176"/>
      <c r="X889" s="176"/>
      <c r="Y889" s="176"/>
      <c r="Z889" s="176"/>
      <c r="AA889" s="176"/>
    </row>
    <row r="890" spans="1:27" ht="15.75" customHeight="1">
      <c r="A890" s="176"/>
      <c r="B890" s="209"/>
      <c r="C890" s="176"/>
      <c r="D890" s="176"/>
      <c r="E890" s="176"/>
      <c r="F890" s="210"/>
      <c r="G890" s="176"/>
      <c r="H890" s="176"/>
      <c r="I890" s="210"/>
      <c r="J890" s="176"/>
      <c r="K890" s="211"/>
      <c r="L890" s="211"/>
      <c r="M890" s="211"/>
      <c r="N890" s="211"/>
      <c r="O890" s="211"/>
      <c r="P890" s="211"/>
      <c r="Q890" s="210"/>
      <c r="R890" s="176"/>
      <c r="S890" s="176"/>
      <c r="T890" s="212"/>
      <c r="U890" s="176"/>
      <c r="V890" s="176"/>
      <c r="W890" s="176"/>
      <c r="X890" s="176"/>
      <c r="Y890" s="176"/>
      <c r="Z890" s="176"/>
      <c r="AA890" s="176"/>
    </row>
    <row r="891" spans="1:27" ht="15.75" customHeight="1">
      <c r="A891" s="176"/>
      <c r="B891" s="209"/>
      <c r="C891" s="176"/>
      <c r="D891" s="176"/>
      <c r="E891" s="176"/>
      <c r="F891" s="210"/>
      <c r="G891" s="176"/>
      <c r="H891" s="176"/>
      <c r="I891" s="210"/>
      <c r="J891" s="176"/>
      <c r="K891" s="211"/>
      <c r="L891" s="211"/>
      <c r="M891" s="211"/>
      <c r="N891" s="211"/>
      <c r="O891" s="211"/>
      <c r="P891" s="211"/>
      <c r="Q891" s="210"/>
      <c r="R891" s="176"/>
      <c r="S891" s="176"/>
      <c r="T891" s="212"/>
      <c r="U891" s="176"/>
      <c r="V891" s="176"/>
      <c r="W891" s="176"/>
      <c r="X891" s="176"/>
      <c r="Y891" s="176"/>
      <c r="Z891" s="176"/>
      <c r="AA891" s="176"/>
    </row>
    <row r="892" spans="1:27" ht="15.75" customHeight="1">
      <c r="A892" s="176"/>
      <c r="B892" s="209"/>
      <c r="C892" s="176"/>
      <c r="D892" s="176"/>
      <c r="E892" s="176"/>
      <c r="F892" s="210"/>
      <c r="G892" s="176"/>
      <c r="H892" s="176"/>
      <c r="I892" s="210"/>
      <c r="J892" s="176"/>
      <c r="K892" s="211"/>
      <c r="L892" s="211"/>
      <c r="M892" s="211"/>
      <c r="N892" s="211"/>
      <c r="O892" s="211"/>
      <c r="P892" s="211"/>
      <c r="Q892" s="210"/>
      <c r="R892" s="176"/>
      <c r="S892" s="176"/>
      <c r="T892" s="212"/>
      <c r="U892" s="176"/>
      <c r="V892" s="176"/>
      <c r="W892" s="176"/>
      <c r="X892" s="176"/>
      <c r="Y892" s="176"/>
      <c r="Z892" s="176"/>
      <c r="AA892" s="176"/>
    </row>
    <row r="893" spans="1:27" ht="15.75" customHeight="1">
      <c r="A893" s="176"/>
      <c r="B893" s="209"/>
      <c r="C893" s="176"/>
      <c r="D893" s="176"/>
      <c r="E893" s="176"/>
      <c r="F893" s="210"/>
      <c r="G893" s="176"/>
      <c r="H893" s="176"/>
      <c r="I893" s="210"/>
      <c r="J893" s="176"/>
      <c r="K893" s="211"/>
      <c r="L893" s="211"/>
      <c r="M893" s="211"/>
      <c r="N893" s="211"/>
      <c r="O893" s="211"/>
      <c r="P893" s="211"/>
      <c r="Q893" s="210"/>
      <c r="R893" s="176"/>
      <c r="S893" s="176"/>
      <c r="T893" s="212"/>
      <c r="U893" s="176"/>
      <c r="V893" s="176"/>
      <c r="W893" s="176"/>
      <c r="X893" s="176"/>
      <c r="Y893" s="176"/>
      <c r="Z893" s="176"/>
      <c r="AA893" s="176"/>
    </row>
    <row r="894" spans="1:27" ht="15.75" customHeight="1">
      <c r="A894" s="176"/>
      <c r="B894" s="209"/>
      <c r="C894" s="176"/>
      <c r="D894" s="176"/>
      <c r="E894" s="176"/>
      <c r="F894" s="210"/>
      <c r="G894" s="176"/>
      <c r="H894" s="176"/>
      <c r="I894" s="210"/>
      <c r="J894" s="176"/>
      <c r="K894" s="211"/>
      <c r="L894" s="211"/>
      <c r="M894" s="211"/>
      <c r="N894" s="211"/>
      <c r="O894" s="211"/>
      <c r="P894" s="211"/>
      <c r="Q894" s="210"/>
      <c r="R894" s="176"/>
      <c r="S894" s="176"/>
      <c r="T894" s="212"/>
      <c r="U894" s="176"/>
      <c r="V894" s="176"/>
      <c r="W894" s="176"/>
      <c r="X894" s="176"/>
      <c r="Y894" s="176"/>
      <c r="Z894" s="176"/>
      <c r="AA894" s="176"/>
    </row>
    <row r="895" spans="1:27" ht="15.75" customHeight="1">
      <c r="A895" s="176"/>
      <c r="B895" s="209"/>
      <c r="C895" s="176"/>
      <c r="D895" s="176"/>
      <c r="E895" s="176"/>
      <c r="F895" s="210"/>
      <c r="G895" s="176"/>
      <c r="H895" s="176"/>
      <c r="I895" s="210"/>
      <c r="J895" s="176"/>
      <c r="K895" s="211"/>
      <c r="L895" s="211"/>
      <c r="M895" s="211"/>
      <c r="N895" s="211"/>
      <c r="O895" s="211"/>
      <c r="P895" s="211"/>
      <c r="Q895" s="210"/>
      <c r="R895" s="176"/>
      <c r="S895" s="176"/>
      <c r="T895" s="212"/>
      <c r="U895" s="176"/>
      <c r="V895" s="176"/>
      <c r="W895" s="176"/>
      <c r="X895" s="176"/>
      <c r="Y895" s="176"/>
      <c r="Z895" s="176"/>
      <c r="AA895" s="176"/>
    </row>
    <row r="896" spans="1:27" ht="15.75" customHeight="1">
      <c r="A896" s="176"/>
      <c r="B896" s="209"/>
      <c r="C896" s="176"/>
      <c r="D896" s="176"/>
      <c r="E896" s="176"/>
      <c r="F896" s="210"/>
      <c r="G896" s="176"/>
      <c r="H896" s="176"/>
      <c r="I896" s="210"/>
      <c r="J896" s="176"/>
      <c r="K896" s="211"/>
      <c r="L896" s="211"/>
      <c r="M896" s="211"/>
      <c r="N896" s="211"/>
      <c r="O896" s="211"/>
      <c r="P896" s="211"/>
      <c r="Q896" s="210"/>
      <c r="R896" s="176"/>
      <c r="S896" s="176"/>
      <c r="T896" s="212"/>
      <c r="U896" s="176"/>
      <c r="V896" s="176"/>
      <c r="W896" s="176"/>
      <c r="X896" s="176"/>
      <c r="Y896" s="176"/>
      <c r="Z896" s="176"/>
      <c r="AA896" s="176"/>
    </row>
    <row r="897" spans="1:27" ht="15.75" customHeight="1">
      <c r="A897" s="176"/>
      <c r="B897" s="209"/>
      <c r="C897" s="176"/>
      <c r="D897" s="176"/>
      <c r="E897" s="176"/>
      <c r="F897" s="210"/>
      <c r="G897" s="176"/>
      <c r="H897" s="176"/>
      <c r="I897" s="210"/>
      <c r="J897" s="176"/>
      <c r="K897" s="211"/>
      <c r="L897" s="211"/>
      <c r="M897" s="211"/>
      <c r="N897" s="211"/>
      <c r="O897" s="211"/>
      <c r="P897" s="211"/>
      <c r="Q897" s="210"/>
      <c r="R897" s="176"/>
      <c r="S897" s="176"/>
      <c r="T897" s="212"/>
      <c r="U897" s="176"/>
      <c r="V897" s="176"/>
      <c r="W897" s="176"/>
      <c r="X897" s="176"/>
      <c r="Y897" s="176"/>
      <c r="Z897" s="176"/>
      <c r="AA897" s="176"/>
    </row>
    <row r="898" spans="1:27" ht="15.75" customHeight="1">
      <c r="A898" s="176"/>
      <c r="B898" s="209"/>
      <c r="C898" s="176"/>
      <c r="D898" s="176"/>
      <c r="E898" s="176"/>
      <c r="F898" s="210"/>
      <c r="G898" s="176"/>
      <c r="H898" s="176"/>
      <c r="I898" s="210"/>
      <c r="J898" s="176"/>
      <c r="K898" s="211"/>
      <c r="L898" s="211"/>
      <c r="M898" s="211"/>
      <c r="N898" s="211"/>
      <c r="O898" s="211"/>
      <c r="P898" s="211"/>
      <c r="Q898" s="210"/>
      <c r="R898" s="176"/>
      <c r="S898" s="176"/>
      <c r="T898" s="212"/>
      <c r="U898" s="176"/>
      <c r="V898" s="176"/>
      <c r="W898" s="176"/>
      <c r="X898" s="176"/>
      <c r="Y898" s="176"/>
      <c r="Z898" s="176"/>
      <c r="AA898" s="176"/>
    </row>
    <row r="899" spans="1:27" ht="15.75" customHeight="1">
      <c r="A899" s="176"/>
      <c r="B899" s="209"/>
      <c r="C899" s="176"/>
      <c r="D899" s="176"/>
      <c r="E899" s="176"/>
      <c r="F899" s="210"/>
      <c r="G899" s="176"/>
      <c r="H899" s="176"/>
      <c r="I899" s="210"/>
      <c r="J899" s="176"/>
      <c r="K899" s="211"/>
      <c r="L899" s="211"/>
      <c r="M899" s="211"/>
      <c r="N899" s="211"/>
      <c r="O899" s="211"/>
      <c r="P899" s="211"/>
      <c r="Q899" s="210"/>
      <c r="R899" s="176"/>
      <c r="S899" s="176"/>
      <c r="T899" s="212"/>
      <c r="U899" s="176"/>
      <c r="V899" s="176"/>
      <c r="W899" s="176"/>
      <c r="X899" s="176"/>
      <c r="Y899" s="176"/>
      <c r="Z899" s="176"/>
      <c r="AA899" s="176"/>
    </row>
    <row r="900" spans="1:27" ht="15.75" customHeight="1">
      <c r="A900" s="176"/>
      <c r="B900" s="209"/>
      <c r="C900" s="176"/>
      <c r="D900" s="176"/>
      <c r="E900" s="176"/>
      <c r="F900" s="210"/>
      <c r="G900" s="176"/>
      <c r="H900" s="176"/>
      <c r="I900" s="210"/>
      <c r="J900" s="176"/>
      <c r="K900" s="211"/>
      <c r="L900" s="211"/>
      <c r="M900" s="211"/>
      <c r="N900" s="211"/>
      <c r="O900" s="211"/>
      <c r="P900" s="211"/>
      <c r="Q900" s="210"/>
      <c r="R900" s="176"/>
      <c r="S900" s="176"/>
      <c r="T900" s="212"/>
      <c r="U900" s="176"/>
      <c r="V900" s="176"/>
      <c r="W900" s="176"/>
      <c r="X900" s="176"/>
      <c r="Y900" s="176"/>
      <c r="Z900" s="176"/>
      <c r="AA900" s="176"/>
    </row>
    <row r="901" spans="1:27" ht="15.75" customHeight="1">
      <c r="A901" s="176"/>
      <c r="B901" s="209"/>
      <c r="C901" s="176"/>
      <c r="D901" s="176"/>
      <c r="E901" s="176"/>
      <c r="F901" s="210"/>
      <c r="G901" s="176"/>
      <c r="H901" s="176"/>
      <c r="I901" s="210"/>
      <c r="J901" s="176"/>
      <c r="K901" s="211"/>
      <c r="L901" s="211"/>
      <c r="M901" s="211"/>
      <c r="N901" s="211"/>
      <c r="O901" s="211"/>
      <c r="P901" s="211"/>
      <c r="Q901" s="210"/>
      <c r="R901" s="176"/>
      <c r="S901" s="176"/>
      <c r="T901" s="212"/>
      <c r="U901" s="176"/>
      <c r="V901" s="176"/>
      <c r="W901" s="176"/>
      <c r="X901" s="176"/>
      <c r="Y901" s="176"/>
      <c r="Z901" s="176"/>
      <c r="AA901" s="176"/>
    </row>
    <row r="902" spans="1:27" ht="15.75" customHeight="1">
      <c r="A902" s="176"/>
      <c r="B902" s="209"/>
      <c r="C902" s="176"/>
      <c r="D902" s="176"/>
      <c r="E902" s="176"/>
      <c r="F902" s="210"/>
      <c r="G902" s="176"/>
      <c r="H902" s="176"/>
      <c r="I902" s="210"/>
      <c r="J902" s="176"/>
      <c r="K902" s="211"/>
      <c r="L902" s="211"/>
      <c r="M902" s="211"/>
      <c r="N902" s="211"/>
      <c r="O902" s="211"/>
      <c r="P902" s="211"/>
      <c r="Q902" s="210"/>
      <c r="R902" s="176"/>
      <c r="S902" s="176"/>
      <c r="T902" s="212"/>
      <c r="U902" s="176"/>
      <c r="V902" s="176"/>
      <c r="W902" s="176"/>
      <c r="X902" s="176"/>
      <c r="Y902" s="176"/>
      <c r="Z902" s="176"/>
      <c r="AA902" s="176"/>
    </row>
    <row r="903" spans="1:27" ht="15.75" customHeight="1">
      <c r="A903" s="176"/>
      <c r="B903" s="209"/>
      <c r="C903" s="176"/>
      <c r="D903" s="176"/>
      <c r="E903" s="176"/>
      <c r="F903" s="210"/>
      <c r="G903" s="176"/>
      <c r="H903" s="176"/>
      <c r="I903" s="210"/>
      <c r="J903" s="176"/>
      <c r="K903" s="211"/>
      <c r="L903" s="211"/>
      <c r="M903" s="211"/>
      <c r="N903" s="211"/>
      <c r="O903" s="211"/>
      <c r="P903" s="211"/>
      <c r="Q903" s="210"/>
      <c r="R903" s="176"/>
      <c r="S903" s="176"/>
      <c r="T903" s="212"/>
      <c r="U903" s="176"/>
      <c r="V903" s="176"/>
      <c r="W903" s="176"/>
      <c r="X903" s="176"/>
      <c r="Y903" s="176"/>
      <c r="Z903" s="176"/>
      <c r="AA903" s="176"/>
    </row>
    <row r="904" spans="1:27" ht="15.75" customHeight="1">
      <c r="A904" s="176"/>
      <c r="B904" s="209"/>
      <c r="C904" s="176"/>
      <c r="D904" s="176"/>
      <c r="E904" s="176"/>
      <c r="F904" s="210"/>
      <c r="G904" s="176"/>
      <c r="H904" s="176"/>
      <c r="I904" s="210"/>
      <c r="J904" s="176"/>
      <c r="K904" s="211"/>
      <c r="L904" s="211"/>
      <c r="M904" s="211"/>
      <c r="N904" s="211"/>
      <c r="O904" s="211"/>
      <c r="P904" s="211"/>
      <c r="Q904" s="210"/>
      <c r="R904" s="176"/>
      <c r="S904" s="176"/>
      <c r="T904" s="212"/>
      <c r="U904" s="176"/>
      <c r="V904" s="176"/>
      <c r="W904" s="176"/>
      <c r="X904" s="176"/>
      <c r="Y904" s="176"/>
      <c r="Z904" s="176"/>
      <c r="AA904" s="176"/>
    </row>
    <row r="905" spans="1:27" ht="15.75" customHeight="1">
      <c r="A905" s="176"/>
      <c r="B905" s="209"/>
      <c r="C905" s="176"/>
      <c r="D905" s="176"/>
      <c r="E905" s="176"/>
      <c r="F905" s="210"/>
      <c r="G905" s="176"/>
      <c r="H905" s="176"/>
      <c r="I905" s="210"/>
      <c r="J905" s="176"/>
      <c r="K905" s="211"/>
      <c r="L905" s="211"/>
      <c r="M905" s="211"/>
      <c r="N905" s="211"/>
      <c r="O905" s="211"/>
      <c r="P905" s="211"/>
      <c r="Q905" s="210"/>
      <c r="R905" s="176"/>
      <c r="S905" s="176"/>
      <c r="T905" s="212"/>
      <c r="U905" s="176"/>
      <c r="V905" s="176"/>
      <c r="W905" s="176"/>
      <c r="X905" s="176"/>
      <c r="Y905" s="176"/>
      <c r="Z905" s="176"/>
      <c r="AA905" s="176"/>
    </row>
    <row r="906" spans="1:27" ht="15.75" customHeight="1">
      <c r="A906" s="176"/>
      <c r="B906" s="209"/>
      <c r="C906" s="176"/>
      <c r="D906" s="176"/>
      <c r="E906" s="176"/>
      <c r="F906" s="210"/>
      <c r="G906" s="176"/>
      <c r="H906" s="176"/>
      <c r="I906" s="210"/>
      <c r="J906" s="176"/>
      <c r="K906" s="211"/>
      <c r="L906" s="211"/>
      <c r="M906" s="211"/>
      <c r="N906" s="211"/>
      <c r="O906" s="211"/>
      <c r="P906" s="211"/>
      <c r="Q906" s="210"/>
      <c r="R906" s="176"/>
      <c r="S906" s="176"/>
      <c r="T906" s="212"/>
      <c r="U906" s="176"/>
      <c r="V906" s="176"/>
      <c r="W906" s="176"/>
      <c r="X906" s="176"/>
      <c r="Y906" s="176"/>
      <c r="Z906" s="176"/>
      <c r="AA906" s="176"/>
    </row>
    <row r="907" spans="1:27" ht="15.75" customHeight="1">
      <c r="A907" s="176"/>
      <c r="B907" s="209"/>
      <c r="C907" s="176"/>
      <c r="D907" s="176"/>
      <c r="E907" s="176"/>
      <c r="F907" s="210"/>
      <c r="G907" s="176"/>
      <c r="H907" s="176"/>
      <c r="I907" s="210"/>
      <c r="J907" s="176"/>
      <c r="K907" s="211"/>
      <c r="L907" s="211"/>
      <c r="M907" s="211"/>
      <c r="N907" s="211"/>
      <c r="O907" s="211"/>
      <c r="P907" s="211"/>
      <c r="Q907" s="210"/>
      <c r="R907" s="176"/>
      <c r="S907" s="176"/>
      <c r="T907" s="212"/>
      <c r="U907" s="176"/>
      <c r="V907" s="176"/>
      <c r="W907" s="176"/>
      <c r="X907" s="176"/>
      <c r="Y907" s="176"/>
      <c r="Z907" s="176"/>
      <c r="AA907" s="176"/>
    </row>
    <row r="908" spans="1:27" ht="15.75" customHeight="1">
      <c r="A908" s="176"/>
      <c r="B908" s="209"/>
      <c r="C908" s="176"/>
      <c r="D908" s="176"/>
      <c r="E908" s="176"/>
      <c r="F908" s="210"/>
      <c r="G908" s="176"/>
      <c r="H908" s="176"/>
      <c r="I908" s="210"/>
      <c r="J908" s="176"/>
      <c r="K908" s="211"/>
      <c r="L908" s="211"/>
      <c r="M908" s="211"/>
      <c r="N908" s="211"/>
      <c r="O908" s="211"/>
      <c r="P908" s="211"/>
      <c r="Q908" s="210"/>
      <c r="R908" s="176"/>
      <c r="S908" s="176"/>
      <c r="T908" s="212"/>
      <c r="U908" s="176"/>
      <c r="V908" s="176"/>
      <c r="W908" s="176"/>
      <c r="X908" s="176"/>
      <c r="Y908" s="176"/>
      <c r="Z908" s="176"/>
      <c r="AA908" s="176"/>
    </row>
    <row r="909" spans="1:27" ht="15.75" customHeight="1">
      <c r="A909" s="176"/>
      <c r="B909" s="209"/>
      <c r="C909" s="176"/>
      <c r="D909" s="176"/>
      <c r="E909" s="176"/>
      <c r="F909" s="210"/>
      <c r="G909" s="176"/>
      <c r="H909" s="176"/>
      <c r="I909" s="210"/>
      <c r="J909" s="176"/>
      <c r="K909" s="211"/>
      <c r="L909" s="211"/>
      <c r="M909" s="211"/>
      <c r="N909" s="211"/>
      <c r="O909" s="211"/>
      <c r="P909" s="211"/>
      <c r="Q909" s="210"/>
      <c r="R909" s="176"/>
      <c r="S909" s="176"/>
      <c r="T909" s="212"/>
      <c r="U909" s="176"/>
      <c r="V909" s="176"/>
      <c r="W909" s="176"/>
      <c r="X909" s="176"/>
      <c r="Y909" s="176"/>
      <c r="Z909" s="176"/>
      <c r="AA909" s="176"/>
    </row>
    <row r="910" spans="1:27" ht="15.75" customHeight="1">
      <c r="A910" s="176"/>
      <c r="B910" s="209"/>
      <c r="C910" s="176"/>
      <c r="D910" s="176"/>
      <c r="E910" s="176"/>
      <c r="F910" s="210"/>
      <c r="G910" s="176"/>
      <c r="H910" s="176"/>
      <c r="I910" s="210"/>
      <c r="J910" s="176"/>
      <c r="K910" s="211"/>
      <c r="L910" s="211"/>
      <c r="M910" s="211"/>
      <c r="N910" s="211"/>
      <c r="O910" s="211"/>
      <c r="P910" s="211"/>
      <c r="Q910" s="210"/>
      <c r="R910" s="176"/>
      <c r="S910" s="176"/>
      <c r="T910" s="212"/>
      <c r="U910" s="176"/>
      <c r="V910" s="176"/>
      <c r="W910" s="176"/>
      <c r="X910" s="176"/>
      <c r="Y910" s="176"/>
      <c r="Z910" s="176"/>
      <c r="AA910" s="176"/>
    </row>
    <row r="911" spans="1:27" ht="15.75" customHeight="1">
      <c r="A911" s="176"/>
      <c r="B911" s="209"/>
      <c r="C911" s="176"/>
      <c r="D911" s="176"/>
      <c r="E911" s="176"/>
      <c r="F911" s="210"/>
      <c r="G911" s="176"/>
      <c r="H911" s="176"/>
      <c r="I911" s="210"/>
      <c r="J911" s="176"/>
      <c r="K911" s="211"/>
      <c r="L911" s="211"/>
      <c r="M911" s="211"/>
      <c r="N911" s="211"/>
      <c r="O911" s="211"/>
      <c r="P911" s="211"/>
      <c r="Q911" s="210"/>
      <c r="R911" s="176"/>
      <c r="S911" s="176"/>
      <c r="T911" s="212"/>
      <c r="U911" s="176"/>
      <c r="V911" s="176"/>
      <c r="W911" s="176"/>
      <c r="X911" s="176"/>
      <c r="Y911" s="176"/>
      <c r="Z911" s="176"/>
      <c r="AA911" s="176"/>
    </row>
    <row r="912" spans="1:27" ht="15.75" customHeight="1">
      <c r="A912" s="176"/>
      <c r="B912" s="209"/>
      <c r="C912" s="176"/>
      <c r="D912" s="176"/>
      <c r="E912" s="176"/>
      <c r="F912" s="210"/>
      <c r="G912" s="176"/>
      <c r="H912" s="176"/>
      <c r="I912" s="210"/>
      <c r="J912" s="176"/>
      <c r="K912" s="211"/>
      <c r="L912" s="211"/>
      <c r="M912" s="211"/>
      <c r="N912" s="211"/>
      <c r="O912" s="211"/>
      <c r="P912" s="211"/>
      <c r="Q912" s="210"/>
      <c r="R912" s="176"/>
      <c r="S912" s="176"/>
      <c r="T912" s="212"/>
      <c r="U912" s="176"/>
      <c r="V912" s="176"/>
      <c r="W912" s="176"/>
      <c r="X912" s="176"/>
      <c r="Y912" s="176"/>
      <c r="Z912" s="176"/>
      <c r="AA912" s="176"/>
    </row>
    <row r="913" spans="1:27" ht="15.75" customHeight="1">
      <c r="A913" s="176"/>
      <c r="B913" s="209"/>
      <c r="C913" s="176"/>
      <c r="D913" s="176"/>
      <c r="E913" s="176"/>
      <c r="F913" s="210"/>
      <c r="G913" s="176"/>
      <c r="H913" s="176"/>
      <c r="I913" s="210"/>
      <c r="J913" s="176"/>
      <c r="K913" s="211"/>
      <c r="L913" s="211"/>
      <c r="M913" s="211"/>
      <c r="N913" s="211"/>
      <c r="O913" s="211"/>
      <c r="P913" s="211"/>
      <c r="Q913" s="210"/>
      <c r="R913" s="176"/>
      <c r="S913" s="176"/>
      <c r="T913" s="212"/>
      <c r="U913" s="176"/>
      <c r="V913" s="176"/>
      <c r="W913" s="176"/>
      <c r="X913" s="176"/>
      <c r="Y913" s="176"/>
      <c r="Z913" s="176"/>
      <c r="AA913" s="176"/>
    </row>
    <row r="914" spans="1:27" ht="15.75" customHeight="1">
      <c r="A914" s="176"/>
      <c r="B914" s="209"/>
      <c r="C914" s="176"/>
      <c r="D914" s="176"/>
      <c r="E914" s="176"/>
      <c r="F914" s="210"/>
      <c r="G914" s="176"/>
      <c r="H914" s="176"/>
      <c r="I914" s="210"/>
      <c r="J914" s="176"/>
      <c r="K914" s="211"/>
      <c r="L914" s="211"/>
      <c r="M914" s="211"/>
      <c r="N914" s="211"/>
      <c r="O914" s="211"/>
      <c r="P914" s="211"/>
      <c r="Q914" s="210"/>
      <c r="R914" s="176"/>
      <c r="S914" s="176"/>
      <c r="T914" s="212"/>
      <c r="U914" s="176"/>
      <c r="V914" s="176"/>
      <c r="W914" s="176"/>
      <c r="X914" s="176"/>
      <c r="Y914" s="176"/>
      <c r="Z914" s="176"/>
      <c r="AA914" s="176"/>
    </row>
    <row r="915" spans="1:27" ht="15.75" customHeight="1">
      <c r="A915" s="176"/>
      <c r="B915" s="209"/>
      <c r="C915" s="176"/>
      <c r="D915" s="176"/>
      <c r="E915" s="176"/>
      <c r="F915" s="210"/>
      <c r="G915" s="176"/>
      <c r="H915" s="176"/>
      <c r="I915" s="210"/>
      <c r="J915" s="176"/>
      <c r="K915" s="211"/>
      <c r="L915" s="211"/>
      <c r="M915" s="211"/>
      <c r="N915" s="211"/>
      <c r="O915" s="211"/>
      <c r="P915" s="211"/>
      <c r="Q915" s="210"/>
      <c r="R915" s="176"/>
      <c r="S915" s="176"/>
      <c r="T915" s="212"/>
      <c r="U915" s="176"/>
      <c r="V915" s="176"/>
      <c r="W915" s="176"/>
      <c r="X915" s="176"/>
      <c r="Y915" s="176"/>
      <c r="Z915" s="176"/>
      <c r="AA915" s="176"/>
    </row>
    <row r="916" spans="1:27" ht="15.75" customHeight="1">
      <c r="A916" s="176"/>
      <c r="B916" s="209"/>
      <c r="C916" s="176"/>
      <c r="D916" s="176"/>
      <c r="E916" s="176"/>
      <c r="F916" s="210"/>
      <c r="G916" s="176"/>
      <c r="H916" s="176"/>
      <c r="I916" s="210"/>
      <c r="J916" s="176"/>
      <c r="K916" s="211"/>
      <c r="L916" s="211"/>
      <c r="M916" s="211"/>
      <c r="N916" s="211"/>
      <c r="O916" s="211"/>
      <c r="P916" s="211"/>
      <c r="Q916" s="210"/>
      <c r="R916" s="176"/>
      <c r="S916" s="176"/>
      <c r="T916" s="212"/>
      <c r="U916" s="176"/>
      <c r="V916" s="176"/>
      <c r="W916" s="176"/>
      <c r="X916" s="176"/>
      <c r="Y916" s="176"/>
      <c r="Z916" s="176"/>
      <c r="AA916" s="176"/>
    </row>
    <row r="917" spans="1:27" ht="15.75" customHeight="1">
      <c r="A917" s="176"/>
      <c r="B917" s="209"/>
      <c r="C917" s="176"/>
      <c r="D917" s="176"/>
      <c r="E917" s="176"/>
      <c r="F917" s="210"/>
      <c r="G917" s="176"/>
      <c r="H917" s="176"/>
      <c r="I917" s="210"/>
      <c r="J917" s="176"/>
      <c r="K917" s="211"/>
      <c r="L917" s="211"/>
      <c r="M917" s="211"/>
      <c r="N917" s="211"/>
      <c r="O917" s="211"/>
      <c r="P917" s="211"/>
      <c r="Q917" s="210"/>
      <c r="R917" s="176"/>
      <c r="S917" s="176"/>
      <c r="T917" s="212"/>
      <c r="U917" s="176"/>
      <c r="V917" s="176"/>
      <c r="W917" s="176"/>
      <c r="X917" s="176"/>
      <c r="Y917" s="176"/>
      <c r="Z917" s="176"/>
      <c r="AA917" s="176"/>
    </row>
    <row r="918" spans="1:27" ht="15.75" customHeight="1">
      <c r="A918" s="176"/>
      <c r="B918" s="209"/>
      <c r="C918" s="176"/>
      <c r="D918" s="176"/>
      <c r="E918" s="176"/>
      <c r="F918" s="210"/>
      <c r="G918" s="176"/>
      <c r="H918" s="176"/>
      <c r="I918" s="210"/>
      <c r="J918" s="176"/>
      <c r="K918" s="211"/>
      <c r="L918" s="211"/>
      <c r="M918" s="211"/>
      <c r="N918" s="211"/>
      <c r="O918" s="211"/>
      <c r="P918" s="211"/>
      <c r="Q918" s="210"/>
      <c r="R918" s="176"/>
      <c r="S918" s="176"/>
      <c r="T918" s="212"/>
      <c r="U918" s="176"/>
      <c r="V918" s="176"/>
      <c r="W918" s="176"/>
      <c r="X918" s="176"/>
      <c r="Y918" s="176"/>
      <c r="Z918" s="176"/>
      <c r="AA918" s="176"/>
    </row>
    <row r="919" spans="1:27" ht="15.75" customHeight="1">
      <c r="A919" s="176"/>
      <c r="B919" s="209"/>
      <c r="C919" s="176"/>
      <c r="D919" s="176"/>
      <c r="E919" s="176"/>
      <c r="F919" s="210"/>
      <c r="G919" s="176"/>
      <c r="H919" s="176"/>
      <c r="I919" s="210"/>
      <c r="J919" s="176"/>
      <c r="K919" s="211"/>
      <c r="L919" s="211"/>
      <c r="M919" s="211"/>
      <c r="N919" s="211"/>
      <c r="O919" s="211"/>
      <c r="P919" s="211"/>
      <c r="Q919" s="210"/>
      <c r="R919" s="176"/>
      <c r="S919" s="176"/>
      <c r="T919" s="212"/>
      <c r="U919" s="176"/>
      <c r="V919" s="176"/>
      <c r="W919" s="176"/>
      <c r="X919" s="176"/>
      <c r="Y919" s="176"/>
      <c r="Z919" s="176"/>
      <c r="AA919" s="176"/>
    </row>
    <row r="920" spans="1:27" ht="15.75" customHeight="1">
      <c r="A920" s="176"/>
      <c r="B920" s="209"/>
      <c r="C920" s="176"/>
      <c r="D920" s="176"/>
      <c r="E920" s="176"/>
      <c r="F920" s="210"/>
      <c r="G920" s="176"/>
      <c r="H920" s="176"/>
      <c r="I920" s="210"/>
      <c r="J920" s="176"/>
      <c r="K920" s="211"/>
      <c r="L920" s="211"/>
      <c r="M920" s="211"/>
      <c r="N920" s="211"/>
      <c r="O920" s="211"/>
      <c r="P920" s="211"/>
      <c r="Q920" s="210"/>
      <c r="R920" s="176"/>
      <c r="S920" s="176"/>
      <c r="T920" s="212"/>
      <c r="U920" s="176"/>
      <c r="V920" s="176"/>
      <c r="W920" s="176"/>
      <c r="X920" s="176"/>
      <c r="Y920" s="176"/>
      <c r="Z920" s="176"/>
      <c r="AA920" s="176"/>
    </row>
    <row r="921" spans="1:27" ht="15.75" customHeight="1">
      <c r="A921" s="176"/>
      <c r="B921" s="209"/>
      <c r="C921" s="176"/>
      <c r="D921" s="176"/>
      <c r="E921" s="176"/>
      <c r="F921" s="210"/>
      <c r="G921" s="176"/>
      <c r="H921" s="176"/>
      <c r="I921" s="210"/>
      <c r="J921" s="176"/>
      <c r="K921" s="211"/>
      <c r="L921" s="211"/>
      <c r="M921" s="211"/>
      <c r="N921" s="211"/>
      <c r="O921" s="211"/>
      <c r="P921" s="211"/>
      <c r="Q921" s="210"/>
      <c r="R921" s="176"/>
      <c r="S921" s="176"/>
      <c r="T921" s="212"/>
      <c r="U921" s="176"/>
      <c r="V921" s="176"/>
      <c r="W921" s="176"/>
      <c r="X921" s="176"/>
      <c r="Y921" s="176"/>
      <c r="Z921" s="176"/>
      <c r="AA921" s="176"/>
    </row>
    <row r="922" spans="1:27" ht="15.75" customHeight="1">
      <c r="A922" s="176"/>
      <c r="B922" s="209"/>
      <c r="C922" s="176"/>
      <c r="D922" s="176"/>
      <c r="E922" s="176"/>
      <c r="F922" s="210"/>
      <c r="G922" s="176"/>
      <c r="H922" s="176"/>
      <c r="I922" s="210"/>
      <c r="J922" s="176"/>
      <c r="K922" s="211"/>
      <c r="L922" s="211"/>
      <c r="M922" s="211"/>
      <c r="N922" s="211"/>
      <c r="O922" s="211"/>
      <c r="P922" s="211"/>
      <c r="Q922" s="210"/>
      <c r="R922" s="176"/>
      <c r="S922" s="176"/>
      <c r="T922" s="212"/>
      <c r="U922" s="176"/>
      <c r="V922" s="176"/>
      <c r="W922" s="176"/>
      <c r="X922" s="176"/>
      <c r="Y922" s="176"/>
      <c r="Z922" s="176"/>
      <c r="AA922" s="176"/>
    </row>
    <row r="923" spans="1:27" ht="15.75" customHeight="1">
      <c r="A923" s="176"/>
      <c r="B923" s="209"/>
      <c r="C923" s="176"/>
      <c r="D923" s="176"/>
      <c r="E923" s="176"/>
      <c r="F923" s="210"/>
      <c r="G923" s="176"/>
      <c r="H923" s="176"/>
      <c r="I923" s="210"/>
      <c r="J923" s="176"/>
      <c r="K923" s="211"/>
      <c r="L923" s="211"/>
      <c r="M923" s="211"/>
      <c r="N923" s="211"/>
      <c r="O923" s="211"/>
      <c r="P923" s="211"/>
      <c r="Q923" s="210"/>
      <c r="R923" s="176"/>
      <c r="S923" s="176"/>
      <c r="T923" s="212"/>
      <c r="U923" s="176"/>
      <c r="V923" s="176"/>
      <c r="W923" s="176"/>
      <c r="X923" s="176"/>
      <c r="Y923" s="176"/>
      <c r="Z923" s="176"/>
      <c r="AA923" s="176"/>
    </row>
    <row r="924" spans="1:27" ht="15.75" customHeight="1">
      <c r="A924" s="176"/>
      <c r="B924" s="209"/>
      <c r="C924" s="176"/>
      <c r="D924" s="176"/>
      <c r="E924" s="176"/>
      <c r="F924" s="210"/>
      <c r="G924" s="176"/>
      <c r="H924" s="176"/>
      <c r="I924" s="210"/>
      <c r="J924" s="176"/>
      <c r="K924" s="211"/>
      <c r="L924" s="211"/>
      <c r="M924" s="211"/>
      <c r="N924" s="211"/>
      <c r="O924" s="211"/>
      <c r="P924" s="211"/>
      <c r="Q924" s="210"/>
      <c r="R924" s="176"/>
      <c r="S924" s="176"/>
      <c r="T924" s="212"/>
      <c r="U924" s="176"/>
      <c r="V924" s="176"/>
      <c r="W924" s="176"/>
      <c r="X924" s="176"/>
      <c r="Y924" s="176"/>
      <c r="Z924" s="176"/>
      <c r="AA924" s="176"/>
    </row>
    <row r="925" spans="1:27" ht="15.75" customHeight="1">
      <c r="A925" s="176"/>
      <c r="B925" s="209"/>
      <c r="C925" s="176"/>
      <c r="D925" s="176"/>
      <c r="E925" s="176"/>
      <c r="F925" s="210"/>
      <c r="G925" s="176"/>
      <c r="H925" s="176"/>
      <c r="I925" s="210"/>
      <c r="J925" s="176"/>
      <c r="K925" s="211"/>
      <c r="L925" s="211"/>
      <c r="M925" s="211"/>
      <c r="N925" s="211"/>
      <c r="O925" s="211"/>
      <c r="P925" s="211"/>
      <c r="Q925" s="210"/>
      <c r="R925" s="176"/>
      <c r="S925" s="176"/>
      <c r="T925" s="212"/>
      <c r="U925" s="176"/>
      <c r="V925" s="176"/>
      <c r="W925" s="176"/>
      <c r="X925" s="176"/>
      <c r="Y925" s="176"/>
      <c r="Z925" s="176"/>
      <c r="AA925" s="176"/>
    </row>
    <row r="926" spans="1:27" ht="15.75" customHeight="1">
      <c r="A926" s="176"/>
      <c r="B926" s="209"/>
      <c r="C926" s="176"/>
      <c r="D926" s="176"/>
      <c r="E926" s="176"/>
      <c r="F926" s="210"/>
      <c r="G926" s="176"/>
      <c r="H926" s="176"/>
      <c r="I926" s="210"/>
      <c r="J926" s="176"/>
      <c r="K926" s="211"/>
      <c r="L926" s="211"/>
      <c r="M926" s="211"/>
      <c r="N926" s="211"/>
      <c r="O926" s="211"/>
      <c r="P926" s="211"/>
      <c r="Q926" s="210"/>
      <c r="R926" s="176"/>
      <c r="S926" s="176"/>
      <c r="T926" s="212"/>
      <c r="U926" s="176"/>
      <c r="V926" s="176"/>
      <c r="W926" s="176"/>
      <c r="X926" s="176"/>
      <c r="Y926" s="176"/>
      <c r="Z926" s="176"/>
      <c r="AA926" s="176"/>
    </row>
    <row r="927" spans="1:27" ht="15.75" customHeight="1">
      <c r="A927" s="176"/>
      <c r="B927" s="209"/>
      <c r="C927" s="176"/>
      <c r="D927" s="176"/>
      <c r="E927" s="176"/>
      <c r="F927" s="210"/>
      <c r="G927" s="176"/>
      <c r="H927" s="176"/>
      <c r="I927" s="210"/>
      <c r="J927" s="176"/>
      <c r="K927" s="211"/>
      <c r="L927" s="211"/>
      <c r="M927" s="211"/>
      <c r="N927" s="211"/>
      <c r="O927" s="211"/>
      <c r="P927" s="211"/>
      <c r="Q927" s="210"/>
      <c r="R927" s="176"/>
      <c r="S927" s="176"/>
      <c r="T927" s="212"/>
      <c r="U927" s="176"/>
      <c r="V927" s="176"/>
      <c r="W927" s="176"/>
      <c r="X927" s="176"/>
      <c r="Y927" s="176"/>
      <c r="Z927" s="176"/>
      <c r="AA927" s="176"/>
    </row>
    <row r="928" spans="1:27" ht="15.75" customHeight="1">
      <c r="A928" s="176"/>
      <c r="B928" s="209"/>
      <c r="C928" s="176"/>
      <c r="D928" s="176"/>
      <c r="E928" s="176"/>
      <c r="F928" s="210"/>
      <c r="G928" s="176"/>
      <c r="H928" s="176"/>
      <c r="I928" s="210"/>
      <c r="J928" s="176"/>
      <c r="K928" s="211"/>
      <c r="L928" s="211"/>
      <c r="M928" s="211"/>
      <c r="N928" s="211"/>
      <c r="O928" s="211"/>
      <c r="P928" s="211"/>
      <c r="Q928" s="210"/>
      <c r="R928" s="176"/>
      <c r="S928" s="176"/>
      <c r="T928" s="212"/>
      <c r="U928" s="176"/>
      <c r="V928" s="176"/>
      <c r="W928" s="176"/>
      <c r="X928" s="176"/>
      <c r="Y928" s="176"/>
      <c r="Z928" s="176"/>
      <c r="AA928" s="176"/>
    </row>
    <row r="929" spans="1:27" ht="15.75" customHeight="1">
      <c r="A929" s="176"/>
      <c r="B929" s="209"/>
      <c r="C929" s="176"/>
      <c r="D929" s="176"/>
      <c r="E929" s="176"/>
      <c r="F929" s="210"/>
      <c r="G929" s="176"/>
      <c r="H929" s="176"/>
      <c r="I929" s="210"/>
      <c r="J929" s="176"/>
      <c r="K929" s="211"/>
      <c r="L929" s="211"/>
      <c r="M929" s="211"/>
      <c r="N929" s="211"/>
      <c r="O929" s="211"/>
      <c r="P929" s="211"/>
      <c r="Q929" s="210"/>
      <c r="R929" s="176"/>
      <c r="S929" s="176"/>
      <c r="T929" s="212"/>
      <c r="U929" s="176"/>
      <c r="V929" s="176"/>
      <c r="W929" s="176"/>
      <c r="X929" s="176"/>
      <c r="Y929" s="176"/>
      <c r="Z929" s="176"/>
      <c r="AA929" s="176"/>
    </row>
    <row r="930" spans="1:27" ht="15.75" customHeight="1">
      <c r="A930" s="176"/>
      <c r="B930" s="209"/>
      <c r="C930" s="176"/>
      <c r="D930" s="176"/>
      <c r="E930" s="176"/>
      <c r="F930" s="210"/>
      <c r="G930" s="176"/>
      <c r="H930" s="176"/>
      <c r="I930" s="210"/>
      <c r="J930" s="176"/>
      <c r="K930" s="211"/>
      <c r="L930" s="211"/>
      <c r="M930" s="211"/>
      <c r="N930" s="211"/>
      <c r="O930" s="211"/>
      <c r="P930" s="211"/>
      <c r="Q930" s="210"/>
      <c r="R930" s="176"/>
      <c r="S930" s="176"/>
      <c r="T930" s="212"/>
      <c r="U930" s="176"/>
      <c r="V930" s="176"/>
      <c r="W930" s="176"/>
      <c r="X930" s="176"/>
      <c r="Y930" s="176"/>
      <c r="Z930" s="176"/>
      <c r="AA930" s="176"/>
    </row>
    <row r="931" spans="1:27" ht="15.75" customHeight="1">
      <c r="A931" s="176"/>
      <c r="B931" s="209"/>
      <c r="C931" s="176"/>
      <c r="D931" s="176"/>
      <c r="E931" s="176"/>
      <c r="F931" s="210"/>
      <c r="G931" s="176"/>
      <c r="H931" s="176"/>
      <c r="I931" s="210"/>
      <c r="J931" s="176"/>
      <c r="K931" s="211"/>
      <c r="L931" s="211"/>
      <c r="M931" s="211"/>
      <c r="N931" s="211"/>
      <c r="O931" s="211"/>
      <c r="P931" s="211"/>
      <c r="Q931" s="210"/>
      <c r="R931" s="176"/>
      <c r="S931" s="176"/>
      <c r="T931" s="212"/>
      <c r="U931" s="176"/>
      <c r="V931" s="176"/>
      <c r="W931" s="176"/>
      <c r="X931" s="176"/>
      <c r="Y931" s="176"/>
      <c r="Z931" s="176"/>
      <c r="AA931" s="176"/>
    </row>
    <row r="932" spans="1:27" ht="15.75" customHeight="1">
      <c r="A932" s="176"/>
      <c r="B932" s="209"/>
      <c r="C932" s="176"/>
      <c r="D932" s="176"/>
      <c r="E932" s="176"/>
      <c r="F932" s="210"/>
      <c r="G932" s="176"/>
      <c r="H932" s="176"/>
      <c r="I932" s="210"/>
      <c r="J932" s="176"/>
      <c r="K932" s="211"/>
      <c r="L932" s="211"/>
      <c r="M932" s="211"/>
      <c r="N932" s="211"/>
      <c r="O932" s="211"/>
      <c r="P932" s="211"/>
      <c r="Q932" s="210"/>
      <c r="R932" s="176"/>
      <c r="S932" s="176"/>
      <c r="T932" s="212"/>
      <c r="U932" s="176"/>
      <c r="V932" s="176"/>
      <c r="W932" s="176"/>
      <c r="X932" s="176"/>
      <c r="Y932" s="176"/>
      <c r="Z932" s="176"/>
      <c r="AA932" s="176"/>
    </row>
    <row r="933" spans="1:27" ht="15.75" customHeight="1">
      <c r="A933" s="176"/>
      <c r="B933" s="209"/>
      <c r="C933" s="176"/>
      <c r="D933" s="176"/>
      <c r="E933" s="176"/>
      <c r="F933" s="210"/>
      <c r="G933" s="176"/>
      <c r="H933" s="176"/>
      <c r="I933" s="210"/>
      <c r="J933" s="176"/>
      <c r="K933" s="211"/>
      <c r="L933" s="211"/>
      <c r="M933" s="211"/>
      <c r="N933" s="211"/>
      <c r="O933" s="211"/>
      <c r="P933" s="211"/>
      <c r="Q933" s="210"/>
      <c r="R933" s="176"/>
      <c r="S933" s="176"/>
      <c r="T933" s="212"/>
      <c r="U933" s="176"/>
      <c r="V933" s="176"/>
      <c r="W933" s="176"/>
      <c r="X933" s="176"/>
      <c r="Y933" s="176"/>
      <c r="Z933" s="176"/>
      <c r="AA933" s="176"/>
    </row>
    <row r="934" spans="1:27" ht="15.75" customHeight="1">
      <c r="A934" s="176"/>
      <c r="B934" s="209"/>
      <c r="C934" s="176"/>
      <c r="D934" s="176"/>
      <c r="E934" s="176"/>
      <c r="F934" s="210"/>
      <c r="G934" s="176"/>
      <c r="H934" s="176"/>
      <c r="I934" s="210"/>
      <c r="J934" s="176"/>
      <c r="K934" s="211"/>
      <c r="L934" s="211"/>
      <c r="M934" s="211"/>
      <c r="N934" s="211"/>
      <c r="O934" s="211"/>
      <c r="P934" s="211"/>
      <c r="Q934" s="210"/>
      <c r="R934" s="176"/>
      <c r="S934" s="176"/>
      <c r="T934" s="212"/>
      <c r="U934" s="176"/>
      <c r="V934" s="176"/>
      <c r="W934" s="176"/>
      <c r="X934" s="176"/>
      <c r="Y934" s="176"/>
      <c r="Z934" s="176"/>
      <c r="AA934" s="176"/>
    </row>
    <row r="935" spans="1:27" ht="15.75" customHeight="1">
      <c r="A935" s="176"/>
      <c r="B935" s="209"/>
      <c r="C935" s="176"/>
      <c r="D935" s="176"/>
      <c r="E935" s="176"/>
      <c r="F935" s="210"/>
      <c r="G935" s="176"/>
      <c r="H935" s="176"/>
      <c r="I935" s="210"/>
      <c r="J935" s="176"/>
      <c r="K935" s="211"/>
      <c r="L935" s="211"/>
      <c r="M935" s="211"/>
      <c r="N935" s="211"/>
      <c r="O935" s="211"/>
      <c r="P935" s="211"/>
      <c r="Q935" s="210"/>
      <c r="R935" s="176"/>
      <c r="S935" s="176"/>
      <c r="T935" s="212"/>
      <c r="U935" s="176"/>
      <c r="V935" s="176"/>
      <c r="W935" s="176"/>
      <c r="X935" s="176"/>
      <c r="Y935" s="176"/>
      <c r="Z935" s="176"/>
      <c r="AA935" s="176"/>
    </row>
    <row r="936" spans="1:27" ht="15.75" customHeight="1">
      <c r="A936" s="176"/>
      <c r="B936" s="209"/>
      <c r="C936" s="176"/>
      <c r="D936" s="176"/>
      <c r="E936" s="176"/>
      <c r="F936" s="210"/>
      <c r="G936" s="176"/>
      <c r="H936" s="176"/>
      <c r="I936" s="210"/>
      <c r="J936" s="176"/>
      <c r="K936" s="211"/>
      <c r="L936" s="211"/>
      <c r="M936" s="211"/>
      <c r="N936" s="211"/>
      <c r="O936" s="211"/>
      <c r="P936" s="211"/>
      <c r="Q936" s="210"/>
      <c r="R936" s="176"/>
      <c r="S936" s="176"/>
      <c r="T936" s="212"/>
      <c r="U936" s="176"/>
      <c r="V936" s="176"/>
      <c r="W936" s="176"/>
      <c r="X936" s="176"/>
      <c r="Y936" s="176"/>
      <c r="Z936" s="176"/>
      <c r="AA936" s="176"/>
    </row>
    <row r="937" spans="1:27" ht="15.75" customHeight="1">
      <c r="A937" s="176"/>
      <c r="B937" s="209"/>
      <c r="C937" s="176"/>
      <c r="D937" s="176"/>
      <c r="E937" s="176"/>
      <c r="F937" s="210"/>
      <c r="G937" s="176"/>
      <c r="H937" s="176"/>
      <c r="I937" s="210"/>
      <c r="J937" s="176"/>
      <c r="K937" s="211"/>
      <c r="L937" s="211"/>
      <c r="M937" s="211"/>
      <c r="N937" s="211"/>
      <c r="O937" s="211"/>
      <c r="P937" s="211"/>
      <c r="Q937" s="210"/>
      <c r="R937" s="176"/>
      <c r="S937" s="176"/>
      <c r="T937" s="212"/>
      <c r="U937" s="176"/>
      <c r="V937" s="176"/>
      <c r="W937" s="176"/>
      <c r="X937" s="176"/>
      <c r="Y937" s="176"/>
      <c r="Z937" s="176"/>
      <c r="AA937" s="176"/>
    </row>
    <row r="938" spans="1:27" ht="15.75" customHeight="1">
      <c r="A938" s="176"/>
      <c r="B938" s="209"/>
      <c r="C938" s="176"/>
      <c r="D938" s="176"/>
      <c r="E938" s="176"/>
      <c r="F938" s="210"/>
      <c r="G938" s="176"/>
      <c r="H938" s="176"/>
      <c r="I938" s="210"/>
      <c r="J938" s="176"/>
      <c r="K938" s="211"/>
      <c r="L938" s="211"/>
      <c r="M938" s="211"/>
      <c r="N938" s="211"/>
      <c r="O938" s="211"/>
      <c r="P938" s="211"/>
      <c r="Q938" s="210"/>
      <c r="R938" s="176"/>
      <c r="S938" s="176"/>
      <c r="T938" s="212"/>
      <c r="U938" s="176"/>
      <c r="V938" s="176"/>
      <c r="W938" s="176"/>
      <c r="X938" s="176"/>
      <c r="Y938" s="176"/>
      <c r="Z938" s="176"/>
      <c r="AA938" s="176"/>
    </row>
    <row r="939" spans="1:27" ht="15.75" customHeight="1">
      <c r="A939" s="176"/>
      <c r="B939" s="209"/>
      <c r="C939" s="176"/>
      <c r="D939" s="176"/>
      <c r="E939" s="176"/>
      <c r="F939" s="210"/>
      <c r="G939" s="176"/>
      <c r="H939" s="176"/>
      <c r="I939" s="210"/>
      <c r="J939" s="176"/>
      <c r="K939" s="211"/>
      <c r="L939" s="211"/>
      <c r="M939" s="211"/>
      <c r="N939" s="211"/>
      <c r="O939" s="211"/>
      <c r="P939" s="211"/>
      <c r="Q939" s="210"/>
      <c r="R939" s="176"/>
      <c r="S939" s="176"/>
      <c r="T939" s="212"/>
      <c r="U939" s="176"/>
      <c r="V939" s="176"/>
      <c r="W939" s="176"/>
      <c r="X939" s="176"/>
      <c r="Y939" s="176"/>
      <c r="Z939" s="176"/>
      <c r="AA939" s="176"/>
    </row>
    <row r="940" spans="1:27" ht="15.75" customHeight="1">
      <c r="A940" s="176"/>
      <c r="B940" s="209"/>
      <c r="C940" s="176"/>
      <c r="D940" s="176"/>
      <c r="E940" s="176"/>
      <c r="F940" s="210"/>
      <c r="G940" s="176"/>
      <c r="H940" s="176"/>
      <c r="I940" s="210"/>
      <c r="J940" s="176"/>
      <c r="K940" s="211"/>
      <c r="L940" s="211"/>
      <c r="M940" s="211"/>
      <c r="N940" s="211"/>
      <c r="O940" s="211"/>
      <c r="P940" s="211"/>
      <c r="Q940" s="210"/>
      <c r="R940" s="176"/>
      <c r="S940" s="176"/>
      <c r="T940" s="212"/>
      <c r="U940" s="176"/>
      <c r="V940" s="176"/>
      <c r="W940" s="176"/>
      <c r="X940" s="176"/>
      <c r="Y940" s="176"/>
      <c r="Z940" s="176"/>
      <c r="AA940" s="176"/>
    </row>
    <row r="941" spans="1:27" ht="15.75" customHeight="1">
      <c r="A941" s="176"/>
      <c r="B941" s="209"/>
      <c r="C941" s="176"/>
      <c r="D941" s="176"/>
      <c r="E941" s="176"/>
      <c r="F941" s="210"/>
      <c r="G941" s="176"/>
      <c r="H941" s="176"/>
      <c r="I941" s="210"/>
      <c r="J941" s="176"/>
      <c r="K941" s="211"/>
      <c r="L941" s="211"/>
      <c r="M941" s="211"/>
      <c r="N941" s="211"/>
      <c r="O941" s="211"/>
      <c r="P941" s="211"/>
      <c r="Q941" s="210"/>
      <c r="R941" s="176"/>
      <c r="S941" s="176"/>
      <c r="T941" s="212"/>
      <c r="U941" s="176"/>
      <c r="V941" s="176"/>
      <c r="W941" s="176"/>
      <c r="X941" s="176"/>
      <c r="Y941" s="176"/>
      <c r="Z941" s="176"/>
      <c r="AA941" s="176"/>
    </row>
    <row r="942" spans="1:27" ht="15.75" customHeight="1">
      <c r="A942" s="176"/>
      <c r="B942" s="209"/>
      <c r="C942" s="176"/>
      <c r="D942" s="176"/>
      <c r="E942" s="176"/>
      <c r="F942" s="210"/>
      <c r="G942" s="176"/>
      <c r="H942" s="176"/>
      <c r="I942" s="210"/>
      <c r="J942" s="176"/>
      <c r="K942" s="211"/>
      <c r="L942" s="211"/>
      <c r="M942" s="211"/>
      <c r="N942" s="211"/>
      <c r="O942" s="211"/>
      <c r="P942" s="211"/>
      <c r="Q942" s="210"/>
      <c r="R942" s="176"/>
      <c r="S942" s="176"/>
      <c r="T942" s="212"/>
      <c r="U942" s="176"/>
      <c r="V942" s="176"/>
      <c r="W942" s="176"/>
      <c r="X942" s="176"/>
      <c r="Y942" s="176"/>
      <c r="Z942" s="176"/>
      <c r="AA942" s="176"/>
    </row>
    <row r="943" spans="1:27" ht="15.75" customHeight="1">
      <c r="A943" s="176"/>
      <c r="B943" s="209"/>
      <c r="C943" s="176"/>
      <c r="D943" s="176"/>
      <c r="E943" s="176"/>
      <c r="F943" s="210"/>
      <c r="G943" s="176"/>
      <c r="H943" s="176"/>
      <c r="I943" s="210"/>
      <c r="J943" s="176"/>
      <c r="K943" s="211"/>
      <c r="L943" s="211"/>
      <c r="M943" s="211"/>
      <c r="N943" s="211"/>
      <c r="O943" s="211"/>
      <c r="P943" s="211"/>
      <c r="Q943" s="210"/>
      <c r="R943" s="176"/>
      <c r="S943" s="176"/>
      <c r="T943" s="212"/>
      <c r="U943" s="176"/>
      <c r="V943" s="176"/>
      <c r="W943" s="176"/>
      <c r="X943" s="176"/>
      <c r="Y943" s="176"/>
      <c r="Z943" s="176"/>
      <c r="AA943" s="176"/>
    </row>
    <row r="944" spans="1:27" ht="15.75" customHeight="1">
      <c r="A944" s="176"/>
      <c r="B944" s="209"/>
      <c r="C944" s="176"/>
      <c r="D944" s="176"/>
      <c r="E944" s="176"/>
      <c r="F944" s="210"/>
      <c r="G944" s="176"/>
      <c r="H944" s="176"/>
      <c r="I944" s="210"/>
      <c r="J944" s="176"/>
      <c r="K944" s="211"/>
      <c r="L944" s="211"/>
      <c r="M944" s="211"/>
      <c r="N944" s="211"/>
      <c r="O944" s="211"/>
      <c r="P944" s="211"/>
      <c r="Q944" s="210"/>
      <c r="R944" s="176"/>
      <c r="S944" s="176"/>
      <c r="T944" s="212"/>
      <c r="U944" s="176"/>
      <c r="V944" s="176"/>
      <c r="W944" s="176"/>
      <c r="X944" s="176"/>
      <c r="Y944" s="176"/>
      <c r="Z944" s="176"/>
      <c r="AA944" s="176"/>
    </row>
    <row r="945" spans="1:27" ht="15.75" customHeight="1">
      <c r="A945" s="176"/>
      <c r="B945" s="209"/>
      <c r="C945" s="176"/>
      <c r="D945" s="176"/>
      <c r="E945" s="176"/>
      <c r="F945" s="210"/>
      <c r="G945" s="176"/>
      <c r="H945" s="176"/>
      <c r="I945" s="210"/>
      <c r="J945" s="176"/>
      <c r="K945" s="211"/>
      <c r="L945" s="211"/>
      <c r="M945" s="211"/>
      <c r="N945" s="211"/>
      <c r="O945" s="211"/>
      <c r="P945" s="211"/>
      <c r="Q945" s="210"/>
      <c r="R945" s="176"/>
      <c r="S945" s="176"/>
      <c r="T945" s="212"/>
      <c r="U945" s="176"/>
      <c r="V945" s="176"/>
      <c r="W945" s="176"/>
      <c r="X945" s="176"/>
      <c r="Y945" s="176"/>
      <c r="Z945" s="176"/>
      <c r="AA945" s="176"/>
    </row>
    <row r="946" spans="1:27" ht="15.75" customHeight="1">
      <c r="A946" s="176"/>
      <c r="B946" s="209"/>
      <c r="C946" s="176"/>
      <c r="D946" s="176"/>
      <c r="E946" s="176"/>
      <c r="F946" s="210"/>
      <c r="G946" s="176"/>
      <c r="H946" s="176"/>
      <c r="I946" s="210"/>
      <c r="J946" s="176"/>
      <c r="K946" s="211"/>
      <c r="L946" s="211"/>
      <c r="M946" s="211"/>
      <c r="N946" s="211"/>
      <c r="O946" s="211"/>
      <c r="P946" s="211"/>
      <c r="Q946" s="210"/>
      <c r="R946" s="176"/>
      <c r="S946" s="176"/>
      <c r="T946" s="212"/>
      <c r="U946" s="176"/>
      <c r="V946" s="176"/>
      <c r="W946" s="176"/>
      <c r="X946" s="176"/>
      <c r="Y946" s="176"/>
      <c r="Z946" s="176"/>
      <c r="AA946" s="176"/>
    </row>
    <row r="947" spans="1:27" ht="15.75" customHeight="1">
      <c r="A947" s="176"/>
      <c r="B947" s="209"/>
      <c r="C947" s="176"/>
      <c r="D947" s="176"/>
      <c r="E947" s="176"/>
      <c r="F947" s="210"/>
      <c r="G947" s="176"/>
      <c r="H947" s="176"/>
      <c r="I947" s="210"/>
      <c r="J947" s="176"/>
      <c r="K947" s="211"/>
      <c r="L947" s="211"/>
      <c r="M947" s="211"/>
      <c r="N947" s="211"/>
      <c r="O947" s="211"/>
      <c r="P947" s="211"/>
      <c r="Q947" s="210"/>
      <c r="R947" s="176"/>
      <c r="S947" s="176"/>
      <c r="T947" s="212"/>
      <c r="U947" s="176"/>
      <c r="V947" s="176"/>
      <c r="W947" s="176"/>
      <c r="X947" s="176"/>
      <c r="Y947" s="176"/>
      <c r="Z947" s="176"/>
      <c r="AA947" s="176"/>
    </row>
    <row r="948" spans="1:27" ht="15.75" customHeight="1">
      <c r="A948" s="176"/>
      <c r="B948" s="209"/>
      <c r="C948" s="176"/>
      <c r="D948" s="176"/>
      <c r="E948" s="176"/>
      <c r="F948" s="210"/>
      <c r="G948" s="176"/>
      <c r="H948" s="176"/>
      <c r="I948" s="210"/>
      <c r="J948" s="176"/>
      <c r="K948" s="211"/>
      <c r="L948" s="211"/>
      <c r="M948" s="211"/>
      <c r="N948" s="211"/>
      <c r="O948" s="211"/>
      <c r="P948" s="211"/>
      <c r="Q948" s="210"/>
      <c r="R948" s="176"/>
      <c r="S948" s="176"/>
      <c r="T948" s="212"/>
      <c r="U948" s="176"/>
      <c r="V948" s="176"/>
      <c r="W948" s="176"/>
      <c r="X948" s="176"/>
      <c r="Y948" s="176"/>
      <c r="Z948" s="176"/>
      <c r="AA948" s="176"/>
    </row>
    <row r="949" spans="1:27" ht="15.75" customHeight="1">
      <c r="A949" s="176"/>
      <c r="B949" s="209"/>
      <c r="C949" s="176"/>
      <c r="D949" s="176"/>
      <c r="E949" s="176"/>
      <c r="F949" s="210"/>
      <c r="G949" s="176"/>
      <c r="H949" s="176"/>
      <c r="I949" s="210"/>
      <c r="J949" s="176"/>
      <c r="K949" s="211"/>
      <c r="L949" s="211"/>
      <c r="M949" s="211"/>
      <c r="N949" s="211"/>
      <c r="O949" s="211"/>
      <c r="P949" s="211"/>
      <c r="Q949" s="210"/>
      <c r="R949" s="176"/>
      <c r="S949" s="176"/>
      <c r="T949" s="212"/>
      <c r="U949" s="176"/>
      <c r="V949" s="176"/>
      <c r="W949" s="176"/>
      <c r="X949" s="176"/>
      <c r="Y949" s="176"/>
      <c r="Z949" s="176"/>
      <c r="AA949" s="176"/>
    </row>
    <row r="950" spans="1:27" ht="15.75" customHeight="1">
      <c r="A950" s="176"/>
      <c r="B950" s="209"/>
      <c r="C950" s="176"/>
      <c r="D950" s="176"/>
      <c r="E950" s="176"/>
      <c r="F950" s="210"/>
      <c r="G950" s="176"/>
      <c r="H950" s="176"/>
      <c r="I950" s="210"/>
      <c r="J950" s="176"/>
      <c r="K950" s="211"/>
      <c r="L950" s="211"/>
      <c r="M950" s="211"/>
      <c r="N950" s="211"/>
      <c r="O950" s="211"/>
      <c r="P950" s="211"/>
      <c r="Q950" s="210"/>
      <c r="R950" s="176"/>
      <c r="S950" s="176"/>
      <c r="T950" s="212"/>
      <c r="U950" s="176"/>
      <c r="V950" s="176"/>
      <c r="W950" s="176"/>
      <c r="X950" s="176"/>
      <c r="Y950" s="176"/>
      <c r="Z950" s="176"/>
      <c r="AA950" s="176"/>
    </row>
    <row r="951" spans="1:27" ht="15.75" customHeight="1">
      <c r="A951" s="176"/>
      <c r="B951" s="209"/>
      <c r="C951" s="176"/>
      <c r="D951" s="176"/>
      <c r="E951" s="176"/>
      <c r="F951" s="210"/>
      <c r="G951" s="176"/>
      <c r="H951" s="176"/>
      <c r="I951" s="210"/>
      <c r="J951" s="176"/>
      <c r="K951" s="211"/>
      <c r="L951" s="211"/>
      <c r="M951" s="211"/>
      <c r="N951" s="211"/>
      <c r="O951" s="211"/>
      <c r="P951" s="211"/>
      <c r="Q951" s="210"/>
      <c r="R951" s="176"/>
      <c r="S951" s="176"/>
      <c r="T951" s="212"/>
      <c r="U951" s="176"/>
      <c r="V951" s="176"/>
      <c r="W951" s="176"/>
      <c r="X951" s="176"/>
      <c r="Y951" s="176"/>
      <c r="Z951" s="176"/>
      <c r="AA951" s="176"/>
    </row>
    <row r="952" spans="1:27" ht="15.75" customHeight="1">
      <c r="A952" s="176"/>
      <c r="B952" s="209"/>
      <c r="C952" s="176"/>
      <c r="D952" s="176"/>
      <c r="E952" s="176"/>
      <c r="F952" s="210"/>
      <c r="G952" s="176"/>
      <c r="H952" s="176"/>
      <c r="I952" s="210"/>
      <c r="J952" s="176"/>
      <c r="K952" s="211"/>
      <c r="L952" s="211"/>
      <c r="M952" s="211"/>
      <c r="N952" s="211"/>
      <c r="O952" s="211"/>
      <c r="P952" s="211"/>
      <c r="Q952" s="210"/>
      <c r="R952" s="176"/>
      <c r="S952" s="176"/>
      <c r="T952" s="212"/>
      <c r="U952" s="176"/>
      <c r="V952" s="176"/>
      <c r="W952" s="176"/>
      <c r="X952" s="176"/>
      <c r="Y952" s="176"/>
      <c r="Z952" s="176"/>
      <c r="AA952" s="176"/>
    </row>
    <row r="953" spans="1:27" ht="15.75" customHeight="1">
      <c r="A953" s="176"/>
      <c r="B953" s="209"/>
      <c r="C953" s="176"/>
      <c r="D953" s="176"/>
      <c r="E953" s="176"/>
      <c r="F953" s="210"/>
      <c r="G953" s="176"/>
      <c r="H953" s="176"/>
      <c r="I953" s="210"/>
      <c r="J953" s="176"/>
      <c r="K953" s="211"/>
      <c r="L953" s="211"/>
      <c r="M953" s="211"/>
      <c r="N953" s="211"/>
      <c r="O953" s="211"/>
      <c r="P953" s="211"/>
      <c r="Q953" s="210"/>
      <c r="R953" s="176"/>
      <c r="S953" s="176"/>
      <c r="T953" s="212"/>
      <c r="U953" s="176"/>
      <c r="V953" s="176"/>
      <c r="W953" s="176"/>
      <c r="X953" s="176"/>
      <c r="Y953" s="176"/>
      <c r="Z953" s="176"/>
      <c r="AA953" s="176"/>
    </row>
    <row r="954" spans="1:27" ht="15.75" customHeight="1">
      <c r="A954" s="176"/>
      <c r="B954" s="209"/>
      <c r="C954" s="176"/>
      <c r="D954" s="176"/>
      <c r="E954" s="176"/>
      <c r="F954" s="210"/>
      <c r="G954" s="176"/>
      <c r="H954" s="176"/>
      <c r="I954" s="210"/>
      <c r="J954" s="176"/>
      <c r="K954" s="211"/>
      <c r="L954" s="211"/>
      <c r="M954" s="211"/>
      <c r="N954" s="211"/>
      <c r="O954" s="211"/>
      <c r="P954" s="211"/>
      <c r="Q954" s="210"/>
      <c r="R954" s="176"/>
      <c r="S954" s="176"/>
      <c r="T954" s="212"/>
      <c r="U954" s="176"/>
      <c r="V954" s="176"/>
      <c r="W954" s="176"/>
      <c r="X954" s="176"/>
      <c r="Y954" s="176"/>
      <c r="Z954" s="176"/>
      <c r="AA954" s="176"/>
    </row>
    <row r="955" spans="1:27" ht="15.75" customHeight="1">
      <c r="A955" s="176"/>
      <c r="B955" s="209"/>
      <c r="C955" s="176"/>
      <c r="D955" s="176"/>
      <c r="E955" s="176"/>
      <c r="F955" s="210"/>
      <c r="G955" s="176"/>
      <c r="H955" s="176"/>
      <c r="I955" s="210"/>
      <c r="J955" s="176"/>
      <c r="K955" s="211"/>
      <c r="L955" s="211"/>
      <c r="M955" s="211"/>
      <c r="N955" s="211"/>
      <c r="O955" s="211"/>
      <c r="P955" s="211"/>
      <c r="Q955" s="210"/>
      <c r="R955" s="176"/>
      <c r="S955" s="176"/>
      <c r="T955" s="212"/>
      <c r="U955" s="176"/>
      <c r="V955" s="176"/>
      <c r="W955" s="176"/>
      <c r="X955" s="176"/>
      <c r="Y955" s="176"/>
      <c r="Z955" s="176"/>
      <c r="AA955" s="176"/>
    </row>
    <row r="956" spans="1:27" ht="15.75" customHeight="1">
      <c r="A956" s="176"/>
      <c r="B956" s="209"/>
      <c r="C956" s="176"/>
      <c r="D956" s="176"/>
      <c r="E956" s="176"/>
      <c r="F956" s="210"/>
      <c r="G956" s="176"/>
      <c r="H956" s="176"/>
      <c r="I956" s="210"/>
      <c r="J956" s="176"/>
      <c r="K956" s="211"/>
      <c r="L956" s="211"/>
      <c r="M956" s="211"/>
      <c r="N956" s="211"/>
      <c r="O956" s="211"/>
      <c r="P956" s="211"/>
      <c r="Q956" s="210"/>
      <c r="R956" s="176"/>
      <c r="S956" s="176"/>
      <c r="T956" s="212"/>
      <c r="U956" s="176"/>
      <c r="V956" s="176"/>
      <c r="W956" s="176"/>
      <c r="X956" s="176"/>
      <c r="Y956" s="176"/>
      <c r="Z956" s="176"/>
      <c r="AA956" s="176"/>
    </row>
    <row r="957" spans="1:27" ht="15.75" customHeight="1">
      <c r="A957" s="176"/>
      <c r="B957" s="209"/>
      <c r="C957" s="176"/>
      <c r="D957" s="176"/>
      <c r="E957" s="176"/>
      <c r="F957" s="210"/>
      <c r="G957" s="176"/>
      <c r="H957" s="176"/>
      <c r="I957" s="210"/>
      <c r="J957" s="176"/>
      <c r="K957" s="211"/>
      <c r="L957" s="211"/>
      <c r="M957" s="211"/>
      <c r="N957" s="211"/>
      <c r="O957" s="211"/>
      <c r="P957" s="211"/>
      <c r="Q957" s="210"/>
      <c r="R957" s="176"/>
      <c r="S957" s="176"/>
      <c r="T957" s="212"/>
      <c r="U957" s="176"/>
      <c r="V957" s="176"/>
      <c r="W957" s="176"/>
      <c r="X957" s="176"/>
      <c r="Y957" s="176"/>
      <c r="Z957" s="176"/>
      <c r="AA957" s="176"/>
    </row>
    <row r="958" spans="1:27" ht="15.75" customHeight="1">
      <c r="A958" s="176"/>
      <c r="B958" s="209"/>
      <c r="C958" s="176"/>
      <c r="D958" s="176"/>
      <c r="E958" s="176"/>
      <c r="F958" s="210"/>
      <c r="G958" s="176"/>
      <c r="H958" s="176"/>
      <c r="I958" s="210"/>
      <c r="J958" s="176"/>
      <c r="K958" s="211"/>
      <c r="L958" s="211"/>
      <c r="M958" s="211"/>
      <c r="N958" s="211"/>
      <c r="O958" s="211"/>
      <c r="P958" s="211"/>
      <c r="Q958" s="210"/>
      <c r="R958" s="176"/>
      <c r="S958" s="176"/>
      <c r="T958" s="212"/>
      <c r="U958" s="176"/>
      <c r="V958" s="176"/>
      <c r="W958" s="176"/>
      <c r="X958" s="176"/>
      <c r="Y958" s="176"/>
      <c r="Z958" s="176"/>
      <c r="AA958" s="176"/>
    </row>
    <row r="959" spans="1:27" ht="15.75" customHeight="1">
      <c r="A959" s="176"/>
      <c r="B959" s="209"/>
      <c r="C959" s="176"/>
      <c r="D959" s="176"/>
      <c r="E959" s="176"/>
      <c r="F959" s="210"/>
      <c r="G959" s="176"/>
      <c r="H959" s="176"/>
      <c r="I959" s="210"/>
      <c r="J959" s="176"/>
      <c r="K959" s="211"/>
      <c r="L959" s="211"/>
      <c r="M959" s="211"/>
      <c r="N959" s="211"/>
      <c r="O959" s="211"/>
      <c r="P959" s="211"/>
      <c r="Q959" s="210"/>
      <c r="R959" s="176"/>
      <c r="S959" s="176"/>
      <c r="T959" s="212"/>
      <c r="U959" s="176"/>
      <c r="V959" s="176"/>
      <c r="W959" s="176"/>
      <c r="X959" s="176"/>
      <c r="Y959" s="176"/>
      <c r="Z959" s="176"/>
      <c r="AA959" s="176"/>
    </row>
    <row r="960" spans="1:27" ht="15.75" customHeight="1">
      <c r="A960" s="176"/>
      <c r="B960" s="209"/>
      <c r="C960" s="176"/>
      <c r="D960" s="176"/>
      <c r="E960" s="176"/>
      <c r="F960" s="210"/>
      <c r="G960" s="176"/>
      <c r="H960" s="176"/>
      <c r="I960" s="210"/>
      <c r="J960" s="176"/>
      <c r="K960" s="211"/>
      <c r="L960" s="211"/>
      <c r="M960" s="211"/>
      <c r="N960" s="211"/>
      <c r="O960" s="211"/>
      <c r="P960" s="211"/>
      <c r="Q960" s="210"/>
      <c r="R960" s="176"/>
      <c r="S960" s="176"/>
      <c r="T960" s="212"/>
      <c r="U960" s="176"/>
      <c r="V960" s="176"/>
      <c r="W960" s="176"/>
      <c r="X960" s="176"/>
      <c r="Y960" s="176"/>
      <c r="Z960" s="176"/>
      <c r="AA960" s="176"/>
    </row>
    <row r="961" spans="1:27" ht="15.75" customHeight="1">
      <c r="A961" s="176"/>
      <c r="B961" s="209"/>
      <c r="C961" s="176"/>
      <c r="D961" s="176"/>
      <c r="E961" s="176"/>
      <c r="F961" s="210"/>
      <c r="G961" s="176"/>
      <c r="H961" s="176"/>
      <c r="I961" s="210"/>
      <c r="J961" s="176"/>
      <c r="K961" s="211"/>
      <c r="L961" s="211"/>
      <c r="M961" s="211"/>
      <c r="N961" s="211"/>
      <c r="O961" s="211"/>
      <c r="P961" s="211"/>
      <c r="Q961" s="210"/>
      <c r="R961" s="176"/>
      <c r="S961" s="176"/>
      <c r="T961" s="212"/>
      <c r="U961" s="176"/>
      <c r="V961" s="176"/>
      <c r="W961" s="176"/>
      <c r="X961" s="176"/>
      <c r="Y961" s="176"/>
      <c r="Z961" s="176"/>
      <c r="AA961" s="176"/>
    </row>
    <row r="962" spans="1:27" ht="15.75" customHeight="1">
      <c r="A962" s="176"/>
      <c r="B962" s="209"/>
      <c r="C962" s="176"/>
      <c r="D962" s="176"/>
      <c r="E962" s="176"/>
      <c r="F962" s="210"/>
      <c r="G962" s="176"/>
      <c r="H962" s="176"/>
      <c r="I962" s="210"/>
      <c r="J962" s="176"/>
      <c r="K962" s="211"/>
      <c r="L962" s="211"/>
      <c r="M962" s="211"/>
      <c r="N962" s="211"/>
      <c r="O962" s="211"/>
      <c r="P962" s="211"/>
      <c r="Q962" s="210"/>
      <c r="R962" s="176"/>
      <c r="S962" s="176"/>
      <c r="T962" s="212"/>
      <c r="U962" s="176"/>
      <c r="V962" s="176"/>
      <c r="W962" s="176"/>
      <c r="X962" s="176"/>
      <c r="Y962" s="176"/>
      <c r="Z962" s="176"/>
      <c r="AA962" s="176"/>
    </row>
    <row r="963" spans="1:27" ht="15.75" customHeight="1">
      <c r="A963" s="176"/>
      <c r="B963" s="209"/>
      <c r="C963" s="176"/>
      <c r="D963" s="176"/>
      <c r="E963" s="176"/>
      <c r="F963" s="210"/>
      <c r="G963" s="176"/>
      <c r="H963" s="176"/>
      <c r="I963" s="210"/>
      <c r="J963" s="176"/>
      <c r="K963" s="211"/>
      <c r="L963" s="211"/>
      <c r="M963" s="211"/>
      <c r="N963" s="211"/>
      <c r="O963" s="211"/>
      <c r="P963" s="211"/>
      <c r="Q963" s="210"/>
      <c r="R963" s="176"/>
      <c r="S963" s="176"/>
      <c r="T963" s="212"/>
      <c r="U963" s="176"/>
      <c r="V963" s="176"/>
      <c r="W963" s="176"/>
      <c r="X963" s="176"/>
      <c r="Y963" s="176"/>
      <c r="Z963" s="176"/>
      <c r="AA963" s="176"/>
    </row>
    <row r="964" spans="1:27" ht="15.75" customHeight="1">
      <c r="A964" s="176"/>
      <c r="B964" s="209"/>
      <c r="C964" s="176"/>
      <c r="D964" s="176"/>
      <c r="E964" s="176"/>
      <c r="F964" s="210"/>
      <c r="G964" s="176"/>
      <c r="H964" s="176"/>
      <c r="I964" s="210"/>
      <c r="J964" s="176"/>
      <c r="K964" s="211"/>
      <c r="L964" s="211"/>
      <c r="M964" s="211"/>
      <c r="N964" s="211"/>
      <c r="O964" s="211"/>
      <c r="P964" s="211"/>
      <c r="Q964" s="210"/>
      <c r="R964" s="176"/>
      <c r="S964" s="176"/>
      <c r="T964" s="212"/>
      <c r="U964" s="176"/>
      <c r="V964" s="176"/>
      <c r="W964" s="176"/>
      <c r="X964" s="176"/>
      <c r="Y964" s="176"/>
      <c r="Z964" s="176"/>
      <c r="AA964" s="176"/>
    </row>
    <row r="965" spans="1:27" ht="15.75" customHeight="1">
      <c r="A965" s="176"/>
      <c r="B965" s="209"/>
      <c r="C965" s="176"/>
      <c r="D965" s="176"/>
      <c r="E965" s="176"/>
      <c r="F965" s="210"/>
      <c r="G965" s="176"/>
      <c r="H965" s="176"/>
      <c r="I965" s="210"/>
      <c r="J965" s="176"/>
      <c r="K965" s="211"/>
      <c r="L965" s="211"/>
      <c r="M965" s="211"/>
      <c r="N965" s="211"/>
      <c r="O965" s="211"/>
      <c r="P965" s="211"/>
      <c r="Q965" s="210"/>
      <c r="R965" s="176"/>
      <c r="S965" s="176"/>
      <c r="T965" s="212"/>
      <c r="U965" s="176"/>
      <c r="V965" s="176"/>
      <c r="W965" s="176"/>
      <c r="X965" s="176"/>
      <c r="Y965" s="176"/>
      <c r="Z965" s="176"/>
      <c r="AA965" s="176"/>
    </row>
    <row r="966" spans="1:27" ht="15.75" customHeight="1">
      <c r="A966" s="176"/>
      <c r="B966" s="209"/>
      <c r="C966" s="176"/>
      <c r="D966" s="176"/>
      <c r="E966" s="176"/>
      <c r="F966" s="210"/>
      <c r="G966" s="176"/>
      <c r="H966" s="176"/>
      <c r="I966" s="210"/>
      <c r="J966" s="176"/>
      <c r="K966" s="211"/>
      <c r="L966" s="211"/>
      <c r="M966" s="211"/>
      <c r="N966" s="211"/>
      <c r="O966" s="211"/>
      <c r="P966" s="211"/>
      <c r="Q966" s="210"/>
      <c r="R966" s="176"/>
      <c r="S966" s="176"/>
      <c r="T966" s="212"/>
      <c r="U966" s="176"/>
      <c r="V966" s="176"/>
      <c r="W966" s="176"/>
      <c r="X966" s="176"/>
      <c r="Y966" s="176"/>
      <c r="Z966" s="176"/>
      <c r="AA966" s="176"/>
    </row>
    <row r="967" spans="1:27" ht="15.75" customHeight="1">
      <c r="A967" s="176"/>
      <c r="B967" s="209"/>
      <c r="C967" s="176"/>
      <c r="D967" s="176"/>
      <c r="E967" s="176"/>
      <c r="F967" s="210"/>
      <c r="G967" s="176"/>
      <c r="H967" s="176"/>
      <c r="I967" s="210"/>
      <c r="J967" s="176"/>
      <c r="K967" s="211"/>
      <c r="L967" s="211"/>
      <c r="M967" s="211"/>
      <c r="N967" s="211"/>
      <c r="O967" s="211"/>
      <c r="P967" s="211"/>
      <c r="Q967" s="210"/>
      <c r="R967" s="176"/>
      <c r="S967" s="176"/>
      <c r="T967" s="212"/>
      <c r="U967" s="176"/>
      <c r="V967" s="176"/>
      <c r="W967" s="176"/>
      <c r="X967" s="176"/>
      <c r="Y967" s="176"/>
      <c r="Z967" s="176"/>
      <c r="AA967" s="176"/>
    </row>
    <row r="968" spans="1:27" ht="15.75" customHeight="1">
      <c r="A968" s="176"/>
      <c r="B968" s="209"/>
      <c r="C968" s="176"/>
      <c r="D968" s="176"/>
      <c r="E968" s="176"/>
      <c r="F968" s="210"/>
      <c r="G968" s="176"/>
      <c r="H968" s="176"/>
      <c r="I968" s="210"/>
      <c r="J968" s="176"/>
      <c r="K968" s="211"/>
      <c r="L968" s="211"/>
      <c r="M968" s="211"/>
      <c r="N968" s="211"/>
      <c r="O968" s="211"/>
      <c r="P968" s="211"/>
      <c r="Q968" s="210"/>
      <c r="R968" s="176"/>
      <c r="S968" s="176"/>
      <c r="T968" s="212"/>
      <c r="U968" s="176"/>
      <c r="V968" s="176"/>
      <c r="W968" s="176"/>
      <c r="X968" s="176"/>
      <c r="Y968" s="176"/>
      <c r="Z968" s="176"/>
      <c r="AA968" s="176"/>
    </row>
    <row r="969" spans="1:27" ht="15.75" customHeight="1">
      <c r="A969" s="176"/>
      <c r="B969" s="209"/>
      <c r="C969" s="176"/>
      <c r="D969" s="176"/>
      <c r="E969" s="176"/>
      <c r="F969" s="210"/>
      <c r="G969" s="176"/>
      <c r="H969" s="176"/>
      <c r="I969" s="210"/>
      <c r="J969" s="176"/>
      <c r="K969" s="211"/>
      <c r="L969" s="211"/>
      <c r="M969" s="211"/>
      <c r="N969" s="211"/>
      <c r="O969" s="211"/>
      <c r="P969" s="211"/>
      <c r="Q969" s="210"/>
      <c r="R969" s="176"/>
      <c r="S969" s="176"/>
      <c r="T969" s="212"/>
      <c r="U969" s="176"/>
      <c r="V969" s="176"/>
      <c r="W969" s="176"/>
      <c r="X969" s="176"/>
      <c r="Y969" s="176"/>
      <c r="Z969" s="176"/>
      <c r="AA969" s="176"/>
    </row>
    <row r="970" spans="1:27" ht="15.75" customHeight="1">
      <c r="A970" s="176"/>
      <c r="B970" s="209"/>
      <c r="C970" s="176"/>
      <c r="D970" s="176"/>
      <c r="E970" s="176"/>
      <c r="F970" s="210"/>
      <c r="G970" s="176"/>
      <c r="H970" s="176"/>
      <c r="I970" s="210"/>
      <c r="J970" s="176"/>
      <c r="K970" s="211"/>
      <c r="L970" s="211"/>
      <c r="M970" s="211"/>
      <c r="N970" s="211"/>
      <c r="O970" s="211"/>
      <c r="P970" s="211"/>
      <c r="Q970" s="210"/>
      <c r="R970" s="176"/>
      <c r="S970" s="176"/>
      <c r="T970" s="212"/>
      <c r="U970" s="176"/>
      <c r="V970" s="176"/>
      <c r="W970" s="176"/>
      <c r="X970" s="176"/>
      <c r="Y970" s="176"/>
      <c r="Z970" s="176"/>
      <c r="AA970" s="176"/>
    </row>
    <row r="971" spans="1:27" ht="15.75" customHeight="1">
      <c r="A971" s="176"/>
      <c r="B971" s="209"/>
      <c r="C971" s="176"/>
      <c r="D971" s="176"/>
      <c r="E971" s="176"/>
      <c r="F971" s="210"/>
      <c r="G971" s="176"/>
      <c r="H971" s="176"/>
      <c r="I971" s="210"/>
      <c r="J971" s="176"/>
      <c r="K971" s="211"/>
      <c r="L971" s="211"/>
      <c r="M971" s="211"/>
      <c r="N971" s="211"/>
      <c r="O971" s="211"/>
      <c r="P971" s="211"/>
      <c r="Q971" s="210"/>
      <c r="R971" s="176"/>
      <c r="S971" s="176"/>
      <c r="T971" s="212"/>
      <c r="U971" s="176"/>
      <c r="V971" s="176"/>
      <c r="W971" s="176"/>
      <c r="X971" s="176"/>
      <c r="Y971" s="176"/>
      <c r="Z971" s="176"/>
      <c r="AA971" s="176"/>
    </row>
    <row r="972" spans="1:27" ht="15.75" customHeight="1">
      <c r="A972" s="176"/>
      <c r="B972" s="209"/>
      <c r="C972" s="176"/>
      <c r="D972" s="176"/>
      <c r="E972" s="176"/>
      <c r="F972" s="210"/>
      <c r="G972" s="176"/>
      <c r="H972" s="176"/>
      <c r="I972" s="210"/>
      <c r="J972" s="176"/>
      <c r="K972" s="211"/>
      <c r="L972" s="211"/>
      <c r="M972" s="211"/>
      <c r="N972" s="211"/>
      <c r="O972" s="211"/>
      <c r="P972" s="211"/>
      <c r="Q972" s="210"/>
      <c r="R972" s="176"/>
      <c r="S972" s="176"/>
      <c r="T972" s="212"/>
      <c r="U972" s="176"/>
      <c r="V972" s="176"/>
      <c r="W972" s="176"/>
      <c r="X972" s="176"/>
      <c r="Y972" s="176"/>
      <c r="Z972" s="176"/>
      <c r="AA972" s="176"/>
    </row>
    <row r="973" spans="1:27" ht="15.75" customHeight="1">
      <c r="A973" s="176"/>
      <c r="B973" s="209"/>
      <c r="C973" s="176"/>
      <c r="D973" s="176"/>
      <c r="E973" s="176"/>
      <c r="F973" s="210"/>
      <c r="G973" s="176"/>
      <c r="H973" s="176"/>
      <c r="I973" s="210"/>
      <c r="J973" s="176"/>
      <c r="K973" s="211"/>
      <c r="L973" s="211"/>
      <c r="M973" s="211"/>
      <c r="N973" s="211"/>
      <c r="O973" s="211"/>
      <c r="P973" s="211"/>
      <c r="Q973" s="210"/>
      <c r="R973" s="176"/>
      <c r="S973" s="176"/>
      <c r="T973" s="212"/>
      <c r="U973" s="176"/>
      <c r="V973" s="176"/>
      <c r="W973" s="176"/>
      <c r="X973" s="176"/>
      <c r="Y973" s="176"/>
      <c r="Z973" s="176"/>
      <c r="AA973" s="176"/>
    </row>
    <row r="974" spans="1:27" ht="15.75" customHeight="1">
      <c r="A974" s="176"/>
      <c r="B974" s="209"/>
      <c r="C974" s="176"/>
      <c r="D974" s="176"/>
      <c r="E974" s="176"/>
      <c r="F974" s="210"/>
      <c r="G974" s="176"/>
      <c r="H974" s="176"/>
      <c r="I974" s="210"/>
      <c r="J974" s="176"/>
      <c r="K974" s="211"/>
      <c r="L974" s="211"/>
      <c r="M974" s="211"/>
      <c r="N974" s="211"/>
      <c r="O974" s="211"/>
      <c r="P974" s="211"/>
      <c r="Q974" s="210"/>
      <c r="R974" s="176"/>
      <c r="S974" s="176"/>
      <c r="T974" s="212"/>
      <c r="U974" s="176"/>
      <c r="V974" s="176"/>
      <c r="W974" s="176"/>
      <c r="X974" s="176"/>
      <c r="Y974" s="176"/>
      <c r="Z974" s="176"/>
      <c r="AA974" s="176"/>
    </row>
    <row r="975" spans="1:27" ht="15.75" customHeight="1">
      <c r="A975" s="176"/>
      <c r="B975" s="209"/>
      <c r="C975" s="176"/>
      <c r="D975" s="176"/>
      <c r="E975" s="176"/>
      <c r="F975" s="210"/>
      <c r="G975" s="176"/>
      <c r="H975" s="176"/>
      <c r="I975" s="210"/>
      <c r="J975" s="176"/>
      <c r="K975" s="211"/>
      <c r="L975" s="211"/>
      <c r="M975" s="211"/>
      <c r="N975" s="211"/>
      <c r="O975" s="211"/>
      <c r="P975" s="211"/>
      <c r="Q975" s="210"/>
      <c r="R975" s="176"/>
      <c r="S975" s="176"/>
      <c r="T975" s="212"/>
      <c r="U975" s="176"/>
      <c r="V975" s="176"/>
      <c r="W975" s="176"/>
      <c r="X975" s="176"/>
      <c r="Y975" s="176"/>
      <c r="Z975" s="176"/>
      <c r="AA975" s="176"/>
    </row>
    <row r="976" spans="1:27" ht="15.75" customHeight="1">
      <c r="A976" s="176"/>
      <c r="B976" s="209"/>
      <c r="C976" s="176"/>
      <c r="D976" s="176"/>
      <c r="E976" s="176"/>
      <c r="F976" s="210"/>
      <c r="G976" s="176"/>
      <c r="H976" s="176"/>
      <c r="I976" s="210"/>
      <c r="J976" s="176"/>
      <c r="K976" s="211"/>
      <c r="L976" s="211"/>
      <c r="M976" s="211"/>
      <c r="N976" s="211"/>
      <c r="O976" s="211"/>
      <c r="P976" s="211"/>
      <c r="Q976" s="210"/>
      <c r="R976" s="176"/>
      <c r="S976" s="176"/>
      <c r="T976" s="212"/>
      <c r="U976" s="176"/>
      <c r="V976" s="176"/>
      <c r="W976" s="176"/>
      <c r="X976" s="176"/>
      <c r="Y976" s="176"/>
      <c r="Z976" s="176"/>
      <c r="AA976" s="176"/>
    </row>
    <row r="977" spans="1:27" ht="15.75" customHeight="1">
      <c r="A977" s="176"/>
      <c r="B977" s="209"/>
      <c r="C977" s="176"/>
      <c r="D977" s="176"/>
      <c r="E977" s="176"/>
      <c r="F977" s="210"/>
      <c r="G977" s="176"/>
      <c r="H977" s="176"/>
      <c r="I977" s="210"/>
      <c r="J977" s="176"/>
      <c r="K977" s="211"/>
      <c r="L977" s="211"/>
      <c r="M977" s="211"/>
      <c r="N977" s="211"/>
      <c r="O977" s="211"/>
      <c r="P977" s="211"/>
      <c r="Q977" s="210"/>
      <c r="R977" s="176"/>
      <c r="S977" s="176"/>
      <c r="T977" s="212"/>
      <c r="U977" s="176"/>
      <c r="V977" s="176"/>
      <c r="W977" s="176"/>
      <c r="X977" s="176"/>
      <c r="Y977" s="176"/>
      <c r="Z977" s="176"/>
      <c r="AA977" s="176"/>
    </row>
    <row r="978" spans="1:27" ht="15.75" customHeight="1">
      <c r="A978" s="176"/>
      <c r="B978" s="209"/>
      <c r="C978" s="176"/>
      <c r="D978" s="176"/>
      <c r="E978" s="176"/>
      <c r="F978" s="210"/>
      <c r="G978" s="176"/>
      <c r="H978" s="176"/>
      <c r="I978" s="210"/>
      <c r="J978" s="176"/>
      <c r="K978" s="211"/>
      <c r="L978" s="211"/>
      <c r="M978" s="211"/>
      <c r="N978" s="211"/>
      <c r="O978" s="211"/>
      <c r="P978" s="211"/>
      <c r="Q978" s="210"/>
      <c r="R978" s="176"/>
      <c r="S978" s="176"/>
      <c r="T978" s="212"/>
      <c r="U978" s="176"/>
      <c r="V978" s="176"/>
      <c r="W978" s="176"/>
      <c r="X978" s="176"/>
      <c r="Y978" s="176"/>
      <c r="Z978" s="176"/>
      <c r="AA978" s="176"/>
    </row>
    <row r="979" spans="1:27" ht="15.75" customHeight="1">
      <c r="A979" s="176"/>
      <c r="B979" s="209"/>
      <c r="C979" s="176"/>
      <c r="D979" s="176"/>
      <c r="E979" s="176"/>
      <c r="F979" s="210"/>
      <c r="G979" s="176"/>
      <c r="H979" s="176"/>
      <c r="I979" s="210"/>
      <c r="J979" s="176"/>
      <c r="K979" s="211"/>
      <c r="L979" s="211"/>
      <c r="M979" s="211"/>
      <c r="N979" s="211"/>
      <c r="O979" s="211"/>
      <c r="P979" s="211"/>
      <c r="Q979" s="210"/>
      <c r="R979" s="176"/>
      <c r="S979" s="176"/>
      <c r="T979" s="212"/>
      <c r="U979" s="176"/>
      <c r="V979" s="176"/>
      <c r="W979" s="176"/>
      <c r="X979" s="176"/>
      <c r="Y979" s="176"/>
      <c r="Z979" s="176"/>
      <c r="AA979" s="176"/>
    </row>
    <row r="980" spans="1:27" ht="15.75" customHeight="1">
      <c r="A980" s="176"/>
      <c r="B980" s="209"/>
      <c r="C980" s="176"/>
      <c r="D980" s="176"/>
      <c r="E980" s="176"/>
      <c r="F980" s="210"/>
      <c r="G980" s="176"/>
      <c r="H980" s="176"/>
      <c r="I980" s="210"/>
      <c r="J980" s="176"/>
      <c r="K980" s="211"/>
      <c r="L980" s="211"/>
      <c r="M980" s="211"/>
      <c r="N980" s="211"/>
      <c r="O980" s="211"/>
      <c r="P980" s="211"/>
      <c r="Q980" s="210"/>
      <c r="R980" s="176"/>
      <c r="S980" s="176"/>
      <c r="T980" s="212"/>
      <c r="U980" s="176"/>
      <c r="V980" s="176"/>
      <c r="W980" s="176"/>
      <c r="X980" s="176"/>
      <c r="Y980" s="176"/>
      <c r="Z980" s="176"/>
      <c r="AA980" s="176"/>
    </row>
    <row r="981" spans="1:27" ht="15.75" customHeight="1">
      <c r="A981" s="176"/>
      <c r="B981" s="209"/>
      <c r="C981" s="176"/>
      <c r="D981" s="176"/>
      <c r="E981" s="176"/>
      <c r="F981" s="210"/>
      <c r="G981" s="176"/>
      <c r="H981" s="176"/>
      <c r="I981" s="210"/>
      <c r="J981" s="176"/>
      <c r="K981" s="211"/>
      <c r="L981" s="211"/>
      <c r="M981" s="211"/>
      <c r="N981" s="211"/>
      <c r="O981" s="211"/>
      <c r="P981" s="211"/>
      <c r="Q981" s="210"/>
      <c r="R981" s="176"/>
      <c r="S981" s="176"/>
      <c r="T981" s="212"/>
      <c r="U981" s="176"/>
      <c r="V981" s="176"/>
      <c r="W981" s="176"/>
      <c r="X981" s="176"/>
      <c r="Y981" s="176"/>
      <c r="Z981" s="176"/>
      <c r="AA981" s="176"/>
    </row>
    <row r="982" spans="1:27" ht="15.75" customHeight="1">
      <c r="A982" s="176"/>
      <c r="B982" s="209"/>
      <c r="C982" s="176"/>
      <c r="D982" s="176"/>
      <c r="E982" s="176"/>
      <c r="F982" s="210"/>
      <c r="G982" s="176"/>
      <c r="H982" s="176"/>
      <c r="I982" s="210"/>
      <c r="J982" s="176"/>
      <c r="K982" s="211"/>
      <c r="L982" s="211"/>
      <c r="M982" s="211"/>
      <c r="N982" s="211"/>
      <c r="O982" s="211"/>
      <c r="P982" s="211"/>
      <c r="Q982" s="210"/>
      <c r="R982" s="176"/>
      <c r="S982" s="176"/>
      <c r="T982" s="212"/>
      <c r="U982" s="176"/>
      <c r="V982" s="176"/>
      <c r="W982" s="176"/>
      <c r="X982" s="176"/>
      <c r="Y982" s="176"/>
      <c r="Z982" s="176"/>
      <c r="AA982" s="176"/>
    </row>
    <row r="983" spans="1:27" ht="15.75" customHeight="1">
      <c r="A983" s="176"/>
      <c r="B983" s="209"/>
      <c r="C983" s="176"/>
      <c r="D983" s="176"/>
      <c r="E983" s="176"/>
      <c r="F983" s="210"/>
      <c r="G983" s="176"/>
      <c r="H983" s="176"/>
      <c r="I983" s="210"/>
      <c r="J983" s="176"/>
      <c r="K983" s="211"/>
      <c r="L983" s="211"/>
      <c r="M983" s="211"/>
      <c r="N983" s="211"/>
      <c r="O983" s="211"/>
      <c r="P983" s="211"/>
      <c r="Q983" s="210"/>
      <c r="R983" s="176"/>
      <c r="S983" s="176"/>
      <c r="T983" s="212"/>
      <c r="U983" s="176"/>
      <c r="V983" s="176"/>
      <c r="W983" s="176"/>
      <c r="X983" s="176"/>
      <c r="Y983" s="176"/>
      <c r="Z983" s="176"/>
      <c r="AA983" s="176"/>
    </row>
    <row r="984" spans="1:27" ht="15.75" customHeight="1">
      <c r="A984" s="176"/>
      <c r="B984" s="209"/>
      <c r="C984" s="176"/>
      <c r="D984" s="176"/>
      <c r="E984" s="176"/>
      <c r="F984" s="210"/>
      <c r="G984" s="176"/>
      <c r="H984" s="176"/>
      <c r="I984" s="210"/>
      <c r="J984" s="176"/>
      <c r="K984" s="211"/>
      <c r="L984" s="211"/>
      <c r="M984" s="211"/>
      <c r="N984" s="211"/>
      <c r="O984" s="211"/>
      <c r="P984" s="211"/>
      <c r="Q984" s="210"/>
      <c r="R984" s="176"/>
      <c r="S984" s="176"/>
      <c r="T984" s="212"/>
      <c r="U984" s="176"/>
      <c r="V984" s="176"/>
      <c r="W984" s="176"/>
      <c r="X984" s="176"/>
      <c r="Y984" s="176"/>
      <c r="Z984" s="176"/>
      <c r="AA984" s="176"/>
    </row>
    <row r="985" spans="1:27" ht="15.75" customHeight="1">
      <c r="A985" s="176"/>
      <c r="B985" s="209"/>
      <c r="C985" s="176"/>
      <c r="D985" s="176"/>
      <c r="E985" s="176"/>
      <c r="F985" s="210"/>
      <c r="G985" s="176"/>
      <c r="H985" s="176"/>
      <c r="I985" s="210"/>
      <c r="J985" s="176"/>
      <c r="K985" s="211"/>
      <c r="L985" s="211"/>
      <c r="M985" s="211"/>
      <c r="N985" s="211"/>
      <c r="O985" s="211"/>
      <c r="P985" s="211"/>
      <c r="Q985" s="210"/>
      <c r="R985" s="176"/>
      <c r="S985" s="176"/>
      <c r="T985" s="212"/>
      <c r="U985" s="176"/>
      <c r="V985" s="176"/>
      <c r="W985" s="176"/>
      <c r="X985" s="176"/>
      <c r="Y985" s="176"/>
      <c r="Z985" s="176"/>
      <c r="AA985" s="176"/>
    </row>
    <row r="986" spans="1:27" ht="15.75" customHeight="1">
      <c r="A986" s="176"/>
      <c r="B986" s="209"/>
      <c r="C986" s="176"/>
      <c r="D986" s="176"/>
      <c r="E986" s="176"/>
      <c r="F986" s="210"/>
      <c r="G986" s="176"/>
      <c r="H986" s="176"/>
      <c r="I986" s="210"/>
      <c r="J986" s="176"/>
      <c r="K986" s="211"/>
      <c r="L986" s="211"/>
      <c r="M986" s="211"/>
      <c r="N986" s="211"/>
      <c r="O986" s="211"/>
      <c r="P986" s="211"/>
      <c r="Q986" s="210"/>
      <c r="R986" s="176"/>
      <c r="S986" s="176"/>
      <c r="T986" s="212"/>
      <c r="U986" s="176"/>
      <c r="V986" s="176"/>
      <c r="W986" s="176"/>
      <c r="X986" s="176"/>
      <c r="Y986" s="176"/>
      <c r="Z986" s="176"/>
      <c r="AA986" s="176"/>
    </row>
    <row r="987" spans="1:27" ht="15.75" customHeight="1">
      <c r="A987" s="176"/>
      <c r="B987" s="209"/>
      <c r="C987" s="176"/>
      <c r="D987" s="176"/>
      <c r="E987" s="176"/>
      <c r="F987" s="210"/>
      <c r="G987" s="176"/>
      <c r="H987" s="176"/>
      <c r="I987" s="210"/>
      <c r="J987" s="176"/>
      <c r="K987" s="211"/>
      <c r="L987" s="211"/>
      <c r="M987" s="211"/>
      <c r="N987" s="211"/>
      <c r="O987" s="211"/>
      <c r="P987" s="211"/>
      <c r="Q987" s="210"/>
      <c r="R987" s="176"/>
      <c r="S987" s="176"/>
      <c r="T987" s="212"/>
      <c r="U987" s="176"/>
      <c r="V987" s="176"/>
      <c r="W987" s="176"/>
      <c r="X987" s="176"/>
      <c r="Y987" s="176"/>
      <c r="Z987" s="176"/>
      <c r="AA987" s="176"/>
    </row>
    <row r="988" spans="1:27" ht="15.75" customHeight="1">
      <c r="A988" s="176"/>
      <c r="B988" s="209"/>
      <c r="C988" s="176"/>
      <c r="D988" s="176"/>
      <c r="E988" s="176"/>
      <c r="F988" s="210"/>
      <c r="G988" s="176"/>
      <c r="H988" s="176"/>
      <c r="I988" s="210"/>
      <c r="J988" s="176"/>
      <c r="K988" s="211"/>
      <c r="L988" s="211"/>
      <c r="M988" s="211"/>
      <c r="N988" s="211"/>
      <c r="O988" s="211"/>
      <c r="P988" s="211"/>
      <c r="Q988" s="210"/>
      <c r="R988" s="176"/>
      <c r="S988" s="176"/>
      <c r="T988" s="212"/>
      <c r="U988" s="176"/>
      <c r="V988" s="176"/>
      <c r="W988" s="176"/>
      <c r="X988" s="176"/>
      <c r="Y988" s="176"/>
      <c r="Z988" s="176"/>
      <c r="AA988" s="176"/>
    </row>
    <row r="989" spans="1:27" ht="15.75" customHeight="1">
      <c r="A989" s="176"/>
      <c r="B989" s="209"/>
      <c r="C989" s="176"/>
      <c r="D989" s="176"/>
      <c r="E989" s="176"/>
      <c r="F989" s="210"/>
      <c r="G989" s="176"/>
      <c r="H989" s="176"/>
      <c r="I989" s="210"/>
      <c r="J989" s="176"/>
      <c r="K989" s="211"/>
      <c r="L989" s="211"/>
      <c r="M989" s="211"/>
      <c r="N989" s="211"/>
      <c r="O989" s="211"/>
      <c r="P989" s="211"/>
      <c r="Q989" s="210"/>
      <c r="R989" s="176"/>
      <c r="S989" s="176"/>
      <c r="T989" s="212"/>
      <c r="U989" s="176"/>
      <c r="V989" s="176"/>
      <c r="W989" s="176"/>
      <c r="X989" s="176"/>
      <c r="Y989" s="176"/>
      <c r="Z989" s="176"/>
      <c r="AA989" s="176"/>
    </row>
    <row r="990" spans="1:27" ht="15.75" customHeight="1">
      <c r="A990" s="176"/>
      <c r="B990" s="209"/>
      <c r="C990" s="176"/>
      <c r="D990" s="176"/>
      <c r="E990" s="176"/>
      <c r="F990" s="210"/>
      <c r="G990" s="176"/>
      <c r="H990" s="176"/>
      <c r="I990" s="210"/>
      <c r="J990" s="176"/>
      <c r="K990" s="211"/>
      <c r="L990" s="211"/>
      <c r="M990" s="211"/>
      <c r="N990" s="211"/>
      <c r="O990" s="211"/>
      <c r="P990" s="211"/>
      <c r="Q990" s="210"/>
      <c r="R990" s="176"/>
      <c r="S990" s="176"/>
      <c r="T990" s="212"/>
      <c r="U990" s="176"/>
      <c r="V990" s="176"/>
      <c r="W990" s="176"/>
      <c r="X990" s="176"/>
      <c r="Y990" s="176"/>
      <c r="Z990" s="176"/>
      <c r="AA990" s="176"/>
    </row>
    <row r="991" spans="1:27" ht="15.75" customHeight="1">
      <c r="A991" s="176"/>
      <c r="B991" s="209"/>
      <c r="C991" s="176"/>
      <c r="D991" s="176"/>
      <c r="E991" s="176"/>
      <c r="F991" s="210"/>
      <c r="G991" s="176"/>
      <c r="H991" s="176"/>
      <c r="I991" s="210"/>
      <c r="J991" s="176"/>
      <c r="K991" s="211"/>
      <c r="L991" s="211"/>
      <c r="M991" s="211"/>
      <c r="N991" s="211"/>
      <c r="O991" s="211"/>
      <c r="P991" s="211"/>
      <c r="Q991" s="210"/>
      <c r="R991" s="176"/>
      <c r="S991" s="176"/>
      <c r="T991" s="212"/>
      <c r="U991" s="176"/>
      <c r="V991" s="176"/>
      <c r="W991" s="176"/>
      <c r="X991" s="176"/>
      <c r="Y991" s="176"/>
      <c r="Z991" s="176"/>
      <c r="AA991" s="176"/>
    </row>
  </sheetData>
  <mergeCells count="5">
    <mergeCell ref="T9:T11"/>
    <mergeCell ref="T12:T13"/>
    <mergeCell ref="T14:T15"/>
    <mergeCell ref="T26:T28"/>
    <mergeCell ref="T39:T40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985"/>
  <sheetViews>
    <sheetView workbookViewId="0"/>
  </sheetViews>
  <sheetFormatPr defaultColWidth="11.125" defaultRowHeight="15" customHeight="1"/>
  <cols>
    <col min="6" max="6" width="8.875" customWidth="1"/>
    <col min="7" max="8" width="7.125" customWidth="1"/>
    <col min="9" max="9" width="59" customWidth="1"/>
  </cols>
  <sheetData>
    <row r="1" spans="1:9" ht="20.25" customHeight="1">
      <c r="A1" s="213" t="s">
        <v>0</v>
      </c>
      <c r="B1" s="213" t="s">
        <v>567</v>
      </c>
      <c r="C1" s="213" t="s">
        <v>568</v>
      </c>
      <c r="D1" s="213" t="s">
        <v>569</v>
      </c>
      <c r="E1" s="213" t="s">
        <v>570</v>
      </c>
      <c r="F1" s="214" t="s">
        <v>571</v>
      </c>
      <c r="G1" s="215" t="s">
        <v>14</v>
      </c>
      <c r="H1" s="215" t="s">
        <v>12</v>
      </c>
      <c r="I1" s="216" t="s">
        <v>181</v>
      </c>
    </row>
    <row r="2" spans="1:9" ht="38.25">
      <c r="A2" s="54" t="s">
        <v>572</v>
      </c>
      <c r="B2" s="217">
        <v>45012</v>
      </c>
      <c r="C2" s="218">
        <v>0.38472222222222224</v>
      </c>
      <c r="D2" s="217">
        <v>45012</v>
      </c>
      <c r="E2" s="218">
        <v>0.61319444444444449</v>
      </c>
      <c r="F2" s="188">
        <v>0.35</v>
      </c>
      <c r="G2" s="58" t="s">
        <v>21</v>
      </c>
      <c r="H2" s="58" t="s">
        <v>20</v>
      </c>
      <c r="I2" s="219" t="s">
        <v>573</v>
      </c>
    </row>
    <row r="3" spans="1:9" ht="38.25">
      <c r="A3" s="54" t="s">
        <v>574</v>
      </c>
      <c r="B3" s="217">
        <v>45012</v>
      </c>
      <c r="C3" s="218">
        <v>0.38472222222222224</v>
      </c>
      <c r="D3" s="217">
        <v>45012</v>
      </c>
      <c r="E3" s="218">
        <v>0.62291666666666667</v>
      </c>
      <c r="F3" s="188">
        <v>0.59</v>
      </c>
      <c r="G3" s="58" t="s">
        <v>21</v>
      </c>
      <c r="H3" s="220" t="s">
        <v>20</v>
      </c>
      <c r="I3" s="219" t="s">
        <v>573</v>
      </c>
    </row>
    <row r="4" spans="1:9" ht="15.75">
      <c r="A4" s="54" t="s">
        <v>572</v>
      </c>
      <c r="B4" s="217">
        <v>45012</v>
      </c>
      <c r="C4" s="218">
        <v>0.38472222222222224</v>
      </c>
      <c r="D4" s="217">
        <v>45012</v>
      </c>
      <c r="E4" s="218">
        <v>0.71527777777777779</v>
      </c>
      <c r="F4" s="188">
        <v>0.16</v>
      </c>
      <c r="G4" s="58" t="s">
        <v>21</v>
      </c>
      <c r="H4" s="58" t="s">
        <v>20</v>
      </c>
      <c r="I4" s="219"/>
    </row>
    <row r="5" spans="1:9" ht="15.75">
      <c r="A5" s="54" t="s">
        <v>574</v>
      </c>
      <c r="B5" s="217">
        <v>45012</v>
      </c>
      <c r="C5" s="218">
        <v>0.38472222222222224</v>
      </c>
      <c r="D5" s="217">
        <v>45012</v>
      </c>
      <c r="E5" s="218">
        <v>0.59305555555555556</v>
      </c>
      <c r="F5" s="188">
        <v>0.23</v>
      </c>
      <c r="G5" s="58" t="s">
        <v>21</v>
      </c>
      <c r="H5" s="58" t="s">
        <v>20</v>
      </c>
      <c r="I5" s="219"/>
    </row>
    <row r="6" spans="1:9" ht="15.75">
      <c r="A6" s="54" t="s">
        <v>575</v>
      </c>
      <c r="B6" s="217">
        <v>45058</v>
      </c>
      <c r="C6" s="218">
        <v>0.37222222222222223</v>
      </c>
      <c r="D6" s="217">
        <v>45058</v>
      </c>
      <c r="E6" s="218">
        <v>0.60763888888888884</v>
      </c>
      <c r="F6" s="188">
        <v>0.1</v>
      </c>
      <c r="G6" s="58" t="s">
        <v>21</v>
      </c>
      <c r="H6" s="58" t="s">
        <v>20</v>
      </c>
      <c r="I6" s="219" t="s">
        <v>576</v>
      </c>
    </row>
    <row r="7" spans="1:9" ht="15.75">
      <c r="A7" s="54" t="s">
        <v>577</v>
      </c>
      <c r="B7" s="217">
        <v>45058</v>
      </c>
      <c r="C7" s="218">
        <v>0.37222222222222223</v>
      </c>
      <c r="D7" s="217">
        <v>45058</v>
      </c>
      <c r="E7" s="218">
        <v>0.625</v>
      </c>
      <c r="F7" s="188">
        <v>0.1</v>
      </c>
      <c r="G7" s="58" t="s">
        <v>21</v>
      </c>
      <c r="H7" s="58" t="s">
        <v>20</v>
      </c>
      <c r="I7" s="219" t="s">
        <v>578</v>
      </c>
    </row>
    <row r="8" spans="1:9" ht="15.75">
      <c r="A8" s="54" t="s">
        <v>579</v>
      </c>
      <c r="B8" s="217">
        <v>45064</v>
      </c>
      <c r="C8" s="218">
        <v>0.32361111111111113</v>
      </c>
      <c r="D8" s="217">
        <v>45064</v>
      </c>
      <c r="E8" s="218">
        <v>0.6743055555555556</v>
      </c>
      <c r="F8" s="188">
        <v>0.11</v>
      </c>
      <c r="G8" s="58" t="s">
        <v>21</v>
      </c>
      <c r="H8" s="58" t="s">
        <v>20</v>
      </c>
      <c r="I8" s="275" t="s">
        <v>580</v>
      </c>
    </row>
    <row r="9" spans="1:9" ht="15.75">
      <c r="A9" s="54" t="s">
        <v>581</v>
      </c>
      <c r="B9" s="217">
        <v>45064</v>
      </c>
      <c r="C9" s="218">
        <v>0.32361111111111113</v>
      </c>
      <c r="D9" s="217">
        <v>45064</v>
      </c>
      <c r="E9" s="218">
        <v>0.6743055555555556</v>
      </c>
      <c r="F9" s="188">
        <v>0.16</v>
      </c>
      <c r="G9" s="58" t="s">
        <v>21</v>
      </c>
      <c r="H9" s="58" t="s">
        <v>20</v>
      </c>
      <c r="I9" s="253"/>
    </row>
    <row r="10" spans="1:9" ht="15.75">
      <c r="A10" s="54" t="s">
        <v>582</v>
      </c>
      <c r="B10" s="217">
        <v>45064</v>
      </c>
      <c r="C10" s="218">
        <v>0.32361111111111113</v>
      </c>
      <c r="D10" s="217">
        <v>45064</v>
      </c>
      <c r="E10" s="218">
        <v>0.67500000000000004</v>
      </c>
      <c r="F10" s="188">
        <v>0.01</v>
      </c>
      <c r="G10" s="58" t="s">
        <v>21</v>
      </c>
      <c r="H10" s="58" t="s">
        <v>20</v>
      </c>
      <c r="I10" s="254"/>
    </row>
    <row r="11" spans="1:9" ht="15.75">
      <c r="A11" s="54" t="s">
        <v>583</v>
      </c>
      <c r="B11" s="217">
        <v>45065</v>
      </c>
      <c r="C11" s="218">
        <v>0.40138888888888891</v>
      </c>
      <c r="D11" s="217">
        <v>45065</v>
      </c>
      <c r="E11" s="218">
        <v>0.6</v>
      </c>
      <c r="F11" s="188">
        <v>0.19</v>
      </c>
      <c r="G11" s="58" t="s">
        <v>21</v>
      </c>
      <c r="H11" s="58" t="s">
        <v>20</v>
      </c>
      <c r="I11" s="275" t="s">
        <v>584</v>
      </c>
    </row>
    <row r="12" spans="1:9" ht="15.75">
      <c r="A12" s="54" t="s">
        <v>585</v>
      </c>
      <c r="B12" s="217">
        <v>45065</v>
      </c>
      <c r="C12" s="218">
        <v>0.35486111111111113</v>
      </c>
      <c r="D12" s="217">
        <v>45065</v>
      </c>
      <c r="E12" s="218">
        <v>0.60138888888888886</v>
      </c>
      <c r="F12" s="188">
        <v>0.09</v>
      </c>
      <c r="G12" s="58" t="s">
        <v>21</v>
      </c>
      <c r="H12" s="58" t="s">
        <v>20</v>
      </c>
      <c r="I12" s="254"/>
    </row>
    <row r="13" spans="1:9" ht="15.75">
      <c r="A13" s="54" t="s">
        <v>586</v>
      </c>
      <c r="B13" s="217">
        <v>45068</v>
      </c>
      <c r="C13" s="218">
        <v>0.3527777777777778</v>
      </c>
      <c r="D13" s="217">
        <v>45068</v>
      </c>
      <c r="E13" s="218">
        <v>0.50486111111111109</v>
      </c>
      <c r="F13" s="188">
        <v>0.12</v>
      </c>
      <c r="G13" s="58" t="s">
        <v>21</v>
      </c>
      <c r="H13" s="58" t="s">
        <v>20</v>
      </c>
      <c r="I13" s="275" t="s">
        <v>587</v>
      </c>
    </row>
    <row r="14" spans="1:9" ht="15.75">
      <c r="A14" s="54" t="s">
        <v>588</v>
      </c>
      <c r="B14" s="217">
        <v>45068</v>
      </c>
      <c r="C14" s="218">
        <v>0.38472222222222224</v>
      </c>
      <c r="D14" s="217">
        <v>45068</v>
      </c>
      <c r="E14" s="57">
        <v>0.50694444444444442</v>
      </c>
      <c r="F14" s="188">
        <v>0.33</v>
      </c>
      <c r="G14" s="58" t="s">
        <v>21</v>
      </c>
      <c r="H14" s="58" t="s">
        <v>20</v>
      </c>
      <c r="I14" s="254"/>
    </row>
    <row r="15" spans="1:9" ht="15.75">
      <c r="A15" s="54" t="s">
        <v>589</v>
      </c>
      <c r="B15" s="12">
        <v>45070</v>
      </c>
      <c r="C15" s="70">
        <v>0.31944444444444442</v>
      </c>
      <c r="D15" s="12">
        <v>45070</v>
      </c>
      <c r="E15" s="13">
        <v>0.62222222222222223</v>
      </c>
      <c r="F15" s="221">
        <v>0.05</v>
      </c>
      <c r="G15" s="58" t="s">
        <v>21</v>
      </c>
      <c r="H15" s="58" t="s">
        <v>20</v>
      </c>
      <c r="I15" s="278" t="s">
        <v>209</v>
      </c>
    </row>
    <row r="16" spans="1:9" ht="15.75">
      <c r="A16" s="54" t="s">
        <v>590</v>
      </c>
      <c r="B16" s="12">
        <v>45070</v>
      </c>
      <c r="C16" s="13">
        <v>0.35833333333333334</v>
      </c>
      <c r="D16" s="12">
        <v>45070</v>
      </c>
      <c r="E16" s="13">
        <v>0.62361111111111112</v>
      </c>
      <c r="F16" s="221">
        <v>7.0000000000000007E-2</v>
      </c>
      <c r="G16" s="58" t="s">
        <v>21</v>
      </c>
      <c r="H16" s="58" t="s">
        <v>20</v>
      </c>
      <c r="I16" s="253"/>
    </row>
    <row r="17" spans="1:9" ht="15.75">
      <c r="A17" s="54" t="s">
        <v>591</v>
      </c>
      <c r="B17" s="12">
        <v>45070</v>
      </c>
      <c r="C17" s="13">
        <v>0.39027777777777778</v>
      </c>
      <c r="D17" s="12">
        <v>45070</v>
      </c>
      <c r="E17" s="13">
        <v>0.625</v>
      </c>
      <c r="F17" s="221">
        <v>0.1</v>
      </c>
      <c r="G17" s="58" t="s">
        <v>21</v>
      </c>
      <c r="H17" s="58" t="s">
        <v>20</v>
      </c>
      <c r="I17" s="253"/>
    </row>
    <row r="18" spans="1:9" ht="15.75">
      <c r="A18" s="54" t="s">
        <v>592</v>
      </c>
      <c r="B18" s="12">
        <v>45070</v>
      </c>
      <c r="C18" s="13">
        <v>0.91666666666666663</v>
      </c>
      <c r="D18" s="12">
        <v>45070</v>
      </c>
      <c r="E18" s="13">
        <v>0.62569444444444444</v>
      </c>
      <c r="F18" s="221">
        <v>0.08</v>
      </c>
      <c r="G18" s="58" t="s">
        <v>21</v>
      </c>
      <c r="H18" s="58" t="s">
        <v>20</v>
      </c>
      <c r="I18" s="253"/>
    </row>
    <row r="19" spans="1:9" ht="15.75">
      <c r="A19" s="54" t="s">
        <v>593</v>
      </c>
      <c r="B19" s="12">
        <v>45070</v>
      </c>
      <c r="C19" s="13">
        <v>0.44930555555555557</v>
      </c>
      <c r="D19" s="12">
        <v>45070</v>
      </c>
      <c r="E19" s="13">
        <v>0.62708333333333333</v>
      </c>
      <c r="F19" s="221">
        <v>0.19</v>
      </c>
      <c r="G19" s="58" t="s">
        <v>21</v>
      </c>
      <c r="H19" s="58" t="s">
        <v>20</v>
      </c>
      <c r="I19" s="253"/>
    </row>
    <row r="20" spans="1:9" ht="15.75">
      <c r="A20" s="54" t="s">
        <v>594</v>
      </c>
      <c r="B20" s="12">
        <v>45070</v>
      </c>
      <c r="C20" s="22">
        <v>0.49166666666666664</v>
      </c>
      <c r="D20" s="12">
        <v>45070</v>
      </c>
      <c r="E20" s="13">
        <v>0.7319444444444444</v>
      </c>
      <c r="F20" s="221">
        <v>0.18</v>
      </c>
      <c r="G20" s="58" t="s">
        <v>21</v>
      </c>
      <c r="H20" s="58" t="s">
        <v>20</v>
      </c>
      <c r="I20" s="253"/>
    </row>
    <row r="21" spans="1:9" ht="15.75">
      <c r="A21" s="54" t="s">
        <v>595</v>
      </c>
      <c r="B21" s="12">
        <v>45070</v>
      </c>
      <c r="C21" s="22">
        <v>0.5180555555555556</v>
      </c>
      <c r="D21" s="12">
        <v>45070</v>
      </c>
      <c r="E21" s="13">
        <v>0.73333333333333328</v>
      </c>
      <c r="F21" s="221">
        <v>0.1</v>
      </c>
      <c r="G21" s="58" t="s">
        <v>21</v>
      </c>
      <c r="H21" s="58" t="s">
        <v>20</v>
      </c>
      <c r="I21" s="253"/>
    </row>
    <row r="22" spans="1:9" ht="15.75">
      <c r="A22" s="54" t="s">
        <v>596</v>
      </c>
      <c r="B22" s="12">
        <v>45070</v>
      </c>
      <c r="C22" s="22">
        <v>0.55833333333333335</v>
      </c>
      <c r="D22" s="12">
        <v>45070</v>
      </c>
      <c r="E22" s="13">
        <v>0.73402777777777772</v>
      </c>
      <c r="F22" s="221">
        <v>0.1</v>
      </c>
      <c r="G22" s="58" t="s">
        <v>21</v>
      </c>
      <c r="H22" s="58" t="s">
        <v>20</v>
      </c>
      <c r="I22" s="253"/>
    </row>
    <row r="23" spans="1:9" ht="15.75">
      <c r="A23" s="54" t="s">
        <v>597</v>
      </c>
      <c r="B23" s="12">
        <v>45071</v>
      </c>
      <c r="C23" s="22">
        <v>0.57916666666666672</v>
      </c>
      <c r="D23" s="12">
        <v>45071</v>
      </c>
      <c r="E23" s="13">
        <v>0.73472222222222228</v>
      </c>
      <c r="F23" s="221">
        <v>0.11</v>
      </c>
      <c r="G23" s="58" t="s">
        <v>21</v>
      </c>
      <c r="H23" s="58" t="s">
        <v>20</v>
      </c>
      <c r="I23" s="254"/>
    </row>
    <row r="24" spans="1:9" ht="15.75">
      <c r="A24" s="54" t="s">
        <v>598</v>
      </c>
      <c r="B24" s="12">
        <v>45071</v>
      </c>
      <c r="C24" s="22">
        <v>0.36319444444444443</v>
      </c>
      <c r="D24" s="12">
        <v>45071</v>
      </c>
      <c r="E24" s="13">
        <v>0.59861111111111109</v>
      </c>
      <c r="F24" s="221">
        <v>0.13</v>
      </c>
      <c r="G24" s="58" t="s">
        <v>21</v>
      </c>
      <c r="H24" s="58" t="s">
        <v>20</v>
      </c>
      <c r="I24" s="270" t="s">
        <v>219</v>
      </c>
    </row>
    <row r="25" spans="1:9" ht="15.75">
      <c r="A25" s="54" t="s">
        <v>599</v>
      </c>
      <c r="B25" s="12">
        <v>45071</v>
      </c>
      <c r="C25" s="22">
        <v>0.40208333333333335</v>
      </c>
      <c r="D25" s="12">
        <v>45071</v>
      </c>
      <c r="E25" s="13">
        <v>0.59930555555555554</v>
      </c>
      <c r="F25" s="221">
        <v>0.16</v>
      </c>
      <c r="G25" s="58" t="s">
        <v>21</v>
      </c>
      <c r="H25" s="58" t="s">
        <v>20</v>
      </c>
      <c r="I25" s="253"/>
    </row>
    <row r="26" spans="1:9" ht="15.75">
      <c r="A26" s="54" t="s">
        <v>600</v>
      </c>
      <c r="B26" s="12">
        <v>45071</v>
      </c>
      <c r="C26" s="22">
        <v>0.42638888888888887</v>
      </c>
      <c r="D26" s="12">
        <v>45071</v>
      </c>
      <c r="E26" s="13">
        <v>0.6</v>
      </c>
      <c r="F26" s="221">
        <v>0.06</v>
      </c>
      <c r="G26" s="58" t="s">
        <v>21</v>
      </c>
      <c r="H26" s="58" t="s">
        <v>20</v>
      </c>
      <c r="I26" s="254"/>
    </row>
    <row r="27" spans="1:9" ht="15.75">
      <c r="A27" s="196" t="s">
        <v>601</v>
      </c>
      <c r="B27" s="46">
        <v>45089</v>
      </c>
      <c r="C27" s="47">
        <v>0.42083333333333334</v>
      </c>
      <c r="D27" s="46">
        <v>45090</v>
      </c>
      <c r="E27" s="222">
        <v>0.48819444444444443</v>
      </c>
      <c r="F27" s="223">
        <v>0.28999999999999998</v>
      </c>
      <c r="G27" s="58" t="s">
        <v>21</v>
      </c>
      <c r="H27" s="224" t="s">
        <v>20</v>
      </c>
      <c r="I27" s="279" t="s">
        <v>223</v>
      </c>
    </row>
    <row r="28" spans="1:9" ht="15.75">
      <c r="A28" s="196" t="s">
        <v>602</v>
      </c>
      <c r="B28" s="46">
        <v>45089</v>
      </c>
      <c r="C28" s="47">
        <v>0.47222222222222221</v>
      </c>
      <c r="D28" s="46">
        <v>45090</v>
      </c>
      <c r="E28" s="222">
        <v>0.48888888888888887</v>
      </c>
      <c r="F28" s="223">
        <v>0.18</v>
      </c>
      <c r="G28" s="58" t="s">
        <v>21</v>
      </c>
      <c r="H28" s="224" t="s">
        <v>20</v>
      </c>
      <c r="I28" s="253"/>
    </row>
    <row r="29" spans="1:9" ht="15.75">
      <c r="A29" s="196" t="s">
        <v>603</v>
      </c>
      <c r="B29" s="46">
        <v>45089</v>
      </c>
      <c r="C29" s="47">
        <v>0.4548611111111111</v>
      </c>
      <c r="D29" s="46">
        <v>45090</v>
      </c>
      <c r="E29" s="222">
        <v>0.48472222222222222</v>
      </c>
      <c r="F29" s="223">
        <v>0.2</v>
      </c>
      <c r="G29" s="58" t="s">
        <v>21</v>
      </c>
      <c r="H29" s="224" t="s">
        <v>20</v>
      </c>
      <c r="I29" s="253"/>
    </row>
    <row r="30" spans="1:9" ht="15.75">
      <c r="A30" s="196" t="s">
        <v>604</v>
      </c>
      <c r="B30" s="46">
        <v>45089</v>
      </c>
      <c r="C30" s="47">
        <v>0.52013888888888893</v>
      </c>
      <c r="D30" s="46">
        <v>45090</v>
      </c>
      <c r="E30" s="222">
        <v>0.48749999999999999</v>
      </c>
      <c r="F30" s="223">
        <v>0.08</v>
      </c>
      <c r="G30" s="58" t="s">
        <v>21</v>
      </c>
      <c r="H30" s="224" t="s">
        <v>20</v>
      </c>
      <c r="I30" s="253"/>
    </row>
    <row r="31" spans="1:9" ht="15.75">
      <c r="A31" s="196" t="s">
        <v>605</v>
      </c>
      <c r="B31" s="46">
        <v>45089</v>
      </c>
      <c r="C31" s="47">
        <v>0.11041666666666666</v>
      </c>
      <c r="D31" s="46">
        <v>45090</v>
      </c>
      <c r="E31" s="222">
        <v>0.4826388888888889</v>
      </c>
      <c r="F31" s="223">
        <v>7.0000000000000007E-2</v>
      </c>
      <c r="G31" s="58" t="s">
        <v>21</v>
      </c>
      <c r="H31" s="224" t="s">
        <v>20</v>
      </c>
      <c r="I31" s="253"/>
    </row>
    <row r="32" spans="1:9" ht="15.75">
      <c r="A32" s="196" t="s">
        <v>606</v>
      </c>
      <c r="B32" s="46">
        <v>45089</v>
      </c>
      <c r="C32" s="47">
        <v>0.59236111111111112</v>
      </c>
      <c r="D32" s="46">
        <v>45090</v>
      </c>
      <c r="E32" s="222">
        <v>0.49027777777777776</v>
      </c>
      <c r="F32" s="223">
        <v>0.05</v>
      </c>
      <c r="G32" s="58" t="s">
        <v>21</v>
      </c>
      <c r="H32" s="224" t="s">
        <v>20</v>
      </c>
      <c r="I32" s="254"/>
    </row>
    <row r="33" spans="1:9" ht="15.75">
      <c r="A33" s="196" t="s">
        <v>607</v>
      </c>
      <c r="B33" s="46">
        <v>45091</v>
      </c>
      <c r="C33" s="47">
        <v>0.38055555555555554</v>
      </c>
      <c r="D33" s="46">
        <v>45091</v>
      </c>
      <c r="E33" s="222">
        <v>0.62222222222222223</v>
      </c>
      <c r="F33" s="223">
        <v>0.01</v>
      </c>
      <c r="G33" s="58" t="s">
        <v>21</v>
      </c>
      <c r="H33" s="224" t="s">
        <v>20</v>
      </c>
      <c r="I33" s="280" t="s">
        <v>230</v>
      </c>
    </row>
    <row r="34" spans="1:9" ht="15.75">
      <c r="A34" s="196" t="s">
        <v>608</v>
      </c>
      <c r="B34" s="46">
        <v>45091</v>
      </c>
      <c r="C34" s="47">
        <v>0.3611111111111111</v>
      </c>
      <c r="D34" s="46">
        <v>45091</v>
      </c>
      <c r="E34" s="222">
        <v>0.62361111111111112</v>
      </c>
      <c r="F34" s="223">
        <v>0.06</v>
      </c>
      <c r="G34" s="58" t="s">
        <v>21</v>
      </c>
      <c r="H34" s="224" t="s">
        <v>20</v>
      </c>
      <c r="I34" s="253"/>
    </row>
    <row r="35" spans="1:9" ht="15.75">
      <c r="A35" s="196" t="s">
        <v>609</v>
      </c>
      <c r="B35" s="46">
        <v>45091</v>
      </c>
      <c r="C35" s="47">
        <v>0.41666666666666669</v>
      </c>
      <c r="D35" s="46">
        <v>45091</v>
      </c>
      <c r="E35" s="222">
        <v>0.625</v>
      </c>
      <c r="F35" s="223">
        <v>0.05</v>
      </c>
      <c r="G35" s="58" t="s">
        <v>21</v>
      </c>
      <c r="H35" s="224" t="s">
        <v>20</v>
      </c>
      <c r="I35" s="254"/>
    </row>
    <row r="36" spans="1:9" ht="15.75">
      <c r="A36" s="61" t="s">
        <v>610</v>
      </c>
      <c r="B36" s="46">
        <v>45092</v>
      </c>
      <c r="C36" s="104">
        <v>0.42083333333333334</v>
      </c>
      <c r="D36" s="46">
        <v>45092</v>
      </c>
      <c r="E36" s="222">
        <v>0.69305555555555554</v>
      </c>
      <c r="F36" s="223">
        <v>0.16</v>
      </c>
      <c r="G36" s="58" t="s">
        <v>21</v>
      </c>
      <c r="H36" s="224" t="s">
        <v>20</v>
      </c>
      <c r="I36" s="265" t="s">
        <v>308</v>
      </c>
    </row>
    <row r="37" spans="1:9" ht="15.75">
      <c r="A37" s="61" t="s">
        <v>611</v>
      </c>
      <c r="B37" s="46">
        <v>45092</v>
      </c>
      <c r="C37" s="104">
        <v>0.44305555555555554</v>
      </c>
      <c r="D37" s="46">
        <v>45092</v>
      </c>
      <c r="E37" s="222">
        <v>0.69166666666666665</v>
      </c>
      <c r="F37" s="223">
        <v>0.03</v>
      </c>
      <c r="G37" s="58" t="s">
        <v>21</v>
      </c>
      <c r="H37" s="224" t="s">
        <v>20</v>
      </c>
      <c r="I37" s="253"/>
    </row>
    <row r="38" spans="1:9" ht="15.75">
      <c r="A38" s="61" t="s">
        <v>612</v>
      </c>
      <c r="B38" s="199">
        <v>45092</v>
      </c>
      <c r="C38" s="104">
        <v>0.46944444444444444</v>
      </c>
      <c r="D38" s="199">
        <v>45092</v>
      </c>
      <c r="E38" s="222">
        <v>0.69027777777777777</v>
      </c>
      <c r="F38" s="223">
        <v>0.09</v>
      </c>
      <c r="G38" s="58" t="s">
        <v>21</v>
      </c>
      <c r="H38" s="224" t="s">
        <v>20</v>
      </c>
      <c r="I38" s="254"/>
    </row>
    <row r="39" spans="1:9" ht="15.75">
      <c r="A39" s="61" t="s">
        <v>613</v>
      </c>
      <c r="B39" s="225">
        <v>45098</v>
      </c>
      <c r="C39" s="47">
        <v>0.5083333333333333</v>
      </c>
      <c r="D39" s="225">
        <v>45098</v>
      </c>
      <c r="E39" s="222">
        <v>0.63472222222222219</v>
      </c>
      <c r="F39" s="223">
        <v>0.06</v>
      </c>
      <c r="G39" s="58" t="s">
        <v>21</v>
      </c>
      <c r="H39" s="224" t="s">
        <v>20</v>
      </c>
      <c r="I39" s="265" t="s">
        <v>312</v>
      </c>
    </row>
    <row r="40" spans="1:9" ht="15.75">
      <c r="A40" s="61" t="s">
        <v>614</v>
      </c>
      <c r="B40" s="225">
        <v>45098</v>
      </c>
      <c r="C40" s="47">
        <v>0.55555555555555558</v>
      </c>
      <c r="D40" s="225">
        <v>45098</v>
      </c>
      <c r="E40" s="222">
        <v>0.63611111111111107</v>
      </c>
      <c r="F40" s="223">
        <v>0</v>
      </c>
      <c r="G40" s="58" t="s">
        <v>21</v>
      </c>
      <c r="H40" s="224" t="s">
        <v>20</v>
      </c>
      <c r="I40" s="253"/>
    </row>
    <row r="41" spans="1:9" ht="15.75">
      <c r="A41" s="61" t="s">
        <v>615</v>
      </c>
      <c r="B41" s="225">
        <v>45098</v>
      </c>
      <c r="C41" s="104">
        <v>0.58680555555555558</v>
      </c>
      <c r="D41" s="225">
        <v>45098</v>
      </c>
      <c r="E41" s="222">
        <v>0.63749999999999996</v>
      </c>
      <c r="F41" s="223">
        <v>0.27</v>
      </c>
      <c r="G41" s="58" t="s">
        <v>21</v>
      </c>
      <c r="H41" s="224" t="s">
        <v>20</v>
      </c>
      <c r="I41" s="253"/>
    </row>
    <row r="42" spans="1:9" ht="15.75">
      <c r="A42" s="61" t="s">
        <v>616</v>
      </c>
      <c r="B42" s="225">
        <v>45098</v>
      </c>
      <c r="C42" s="47">
        <v>0.62847222222222221</v>
      </c>
      <c r="D42" s="225">
        <v>45098</v>
      </c>
      <c r="E42" s="222">
        <v>0.6381944444444444</v>
      </c>
      <c r="F42" s="223">
        <v>0.04</v>
      </c>
      <c r="G42" s="58" t="s">
        <v>21</v>
      </c>
      <c r="H42" s="224" t="s">
        <v>20</v>
      </c>
      <c r="I42" s="254"/>
    </row>
    <row r="43" spans="1:9" ht="15.75">
      <c r="A43" s="61" t="s">
        <v>617</v>
      </c>
      <c r="B43" s="226">
        <v>45103</v>
      </c>
      <c r="C43" s="104">
        <v>0.32847222222222222</v>
      </c>
      <c r="D43" s="226">
        <v>45103</v>
      </c>
      <c r="E43" s="222">
        <v>0.51041666666666663</v>
      </c>
      <c r="F43" s="223">
        <v>0.05</v>
      </c>
      <c r="G43" s="58" t="s">
        <v>21</v>
      </c>
      <c r="H43" s="224" t="s">
        <v>20</v>
      </c>
      <c r="I43" s="265" t="s">
        <v>317</v>
      </c>
    </row>
    <row r="44" spans="1:9" ht="15.75">
      <c r="A44" s="61" t="s">
        <v>618</v>
      </c>
      <c r="B44" s="226">
        <v>45103</v>
      </c>
      <c r="C44" s="104">
        <v>0.40277777777777779</v>
      </c>
      <c r="D44" s="226">
        <v>45103</v>
      </c>
      <c r="E44" s="222">
        <v>0.51388888888888884</v>
      </c>
      <c r="F44" s="223">
        <v>0.05</v>
      </c>
      <c r="G44" s="58" t="s">
        <v>21</v>
      </c>
      <c r="H44" s="224" t="s">
        <v>20</v>
      </c>
      <c r="I44" s="253"/>
    </row>
    <row r="45" spans="1:9" ht="15.75">
      <c r="A45" s="61" t="s">
        <v>619</v>
      </c>
      <c r="B45" s="226">
        <v>45103</v>
      </c>
      <c r="C45" s="104">
        <v>0.44513888888888886</v>
      </c>
      <c r="D45" s="226">
        <v>45103</v>
      </c>
      <c r="E45" s="222">
        <v>0.51527777777777772</v>
      </c>
      <c r="F45" s="223">
        <v>0.03</v>
      </c>
      <c r="G45" s="58" t="s">
        <v>21</v>
      </c>
      <c r="H45" s="224" t="s">
        <v>20</v>
      </c>
      <c r="I45" s="253"/>
    </row>
    <row r="46" spans="1:9" ht="15.75">
      <c r="A46" s="61" t="s">
        <v>620</v>
      </c>
      <c r="B46" s="226">
        <v>45103</v>
      </c>
      <c r="C46" s="104">
        <v>0.46666666666666667</v>
      </c>
      <c r="D46" s="226">
        <v>45103</v>
      </c>
      <c r="E46" s="222">
        <v>0.51597222222222228</v>
      </c>
      <c r="F46" s="223">
        <v>0.05</v>
      </c>
      <c r="G46" s="58" t="s">
        <v>21</v>
      </c>
      <c r="H46" s="224" t="s">
        <v>20</v>
      </c>
      <c r="I46" s="254"/>
    </row>
    <row r="47" spans="1:9" ht="15.75">
      <c r="A47" s="61" t="s">
        <v>621</v>
      </c>
      <c r="B47" s="226">
        <v>45104</v>
      </c>
      <c r="C47" s="47">
        <v>0.30902777777777779</v>
      </c>
      <c r="D47" s="226">
        <v>45104</v>
      </c>
      <c r="E47" s="222">
        <v>0.99583333333333335</v>
      </c>
      <c r="F47" s="223">
        <v>0.01</v>
      </c>
      <c r="G47" s="58" t="s">
        <v>21</v>
      </c>
      <c r="H47" s="224" t="s">
        <v>20</v>
      </c>
      <c r="I47" s="265" t="s">
        <v>323</v>
      </c>
    </row>
    <row r="48" spans="1:9" ht="15.75">
      <c r="A48" s="61" t="s">
        <v>622</v>
      </c>
      <c r="B48" s="226">
        <v>45104</v>
      </c>
      <c r="C48" s="47">
        <v>0.35416666666666669</v>
      </c>
      <c r="D48" s="226">
        <v>45104</v>
      </c>
      <c r="E48" s="222">
        <v>0.99861111111111112</v>
      </c>
      <c r="F48" s="223">
        <v>0.11</v>
      </c>
      <c r="G48" s="58" t="s">
        <v>21</v>
      </c>
      <c r="H48" s="224" t="s">
        <v>20</v>
      </c>
      <c r="I48" s="253"/>
    </row>
    <row r="49" spans="1:9" ht="15.75">
      <c r="A49" s="61" t="s">
        <v>623</v>
      </c>
      <c r="B49" s="226">
        <v>45104</v>
      </c>
      <c r="C49" s="64">
        <v>0.42638888888888887</v>
      </c>
      <c r="D49" s="226">
        <v>45104</v>
      </c>
      <c r="E49" s="222">
        <v>0.50069444444444444</v>
      </c>
      <c r="F49" s="223">
        <v>0.02</v>
      </c>
      <c r="G49" s="58" t="s">
        <v>21</v>
      </c>
      <c r="H49" s="224" t="s">
        <v>20</v>
      </c>
      <c r="I49" s="254"/>
    </row>
    <row r="50" spans="1:9" ht="15.75">
      <c r="A50" s="61" t="s">
        <v>624</v>
      </c>
      <c r="B50" s="226">
        <v>45105</v>
      </c>
      <c r="C50" s="64">
        <v>0.33263888888888887</v>
      </c>
      <c r="D50" s="226">
        <v>45105</v>
      </c>
      <c r="E50" s="222">
        <v>0.75624999999999998</v>
      </c>
      <c r="F50" s="223">
        <v>0.03</v>
      </c>
      <c r="G50" s="58" t="s">
        <v>21</v>
      </c>
      <c r="H50" s="224" t="s">
        <v>20</v>
      </c>
      <c r="I50" s="265" t="s">
        <v>327</v>
      </c>
    </row>
    <row r="51" spans="1:9" ht="15.75">
      <c r="A51" s="61" t="s">
        <v>625</v>
      </c>
      <c r="B51" s="226">
        <v>45105</v>
      </c>
      <c r="C51" s="64">
        <v>0.35416666666666669</v>
      </c>
      <c r="D51" s="226">
        <v>45105</v>
      </c>
      <c r="E51" s="222">
        <v>0.75694444444444442</v>
      </c>
      <c r="F51" s="223">
        <v>0.02</v>
      </c>
      <c r="G51" s="58" t="s">
        <v>21</v>
      </c>
      <c r="H51" s="224" t="s">
        <v>20</v>
      </c>
      <c r="I51" s="254"/>
    </row>
    <row r="52" spans="1:9" ht="15.75">
      <c r="A52" s="61" t="s">
        <v>626</v>
      </c>
      <c r="B52" s="226">
        <v>45106</v>
      </c>
      <c r="C52" s="64">
        <v>0.29166666666666669</v>
      </c>
      <c r="D52" s="226">
        <v>45106</v>
      </c>
      <c r="E52" s="222">
        <v>0.7583333333333333</v>
      </c>
      <c r="F52" s="223">
        <v>0.03</v>
      </c>
      <c r="G52" s="58" t="s">
        <v>21</v>
      </c>
      <c r="H52" s="224" t="s">
        <v>20</v>
      </c>
      <c r="I52" s="265" t="s">
        <v>330</v>
      </c>
    </row>
    <row r="53" spans="1:9" ht="15.75">
      <c r="A53" s="61" t="s">
        <v>627</v>
      </c>
      <c r="B53" s="226">
        <v>45106</v>
      </c>
      <c r="C53" s="64">
        <v>0.32569444444444445</v>
      </c>
      <c r="D53" s="226">
        <v>45106</v>
      </c>
      <c r="E53" s="222">
        <v>0.75763888888888886</v>
      </c>
      <c r="F53" s="223">
        <v>0.03</v>
      </c>
      <c r="G53" s="58" t="s">
        <v>21</v>
      </c>
      <c r="H53" s="224" t="s">
        <v>20</v>
      </c>
      <c r="I53" s="254"/>
    </row>
    <row r="54" spans="1:9" ht="15.75">
      <c r="B54" s="227"/>
      <c r="F54" s="228"/>
      <c r="I54" s="229"/>
    </row>
    <row r="55" spans="1:9" ht="15.75">
      <c r="B55" s="227"/>
      <c r="F55" s="228"/>
      <c r="I55" s="229"/>
    </row>
    <row r="56" spans="1:9" ht="15.75">
      <c r="B56" s="227"/>
      <c r="F56" s="228"/>
      <c r="I56" s="229"/>
    </row>
    <row r="57" spans="1:9" ht="15.75">
      <c r="B57" s="227"/>
      <c r="F57" s="228"/>
      <c r="I57" s="229"/>
    </row>
    <row r="58" spans="1:9" ht="15.75">
      <c r="B58" s="227"/>
      <c r="F58" s="228"/>
      <c r="I58" s="229"/>
    </row>
    <row r="59" spans="1:9" ht="15.75">
      <c r="B59" s="227"/>
      <c r="F59" s="228"/>
      <c r="I59" s="229"/>
    </row>
    <row r="60" spans="1:9" ht="15.75">
      <c r="B60" s="227"/>
      <c r="F60" s="228"/>
      <c r="I60" s="229"/>
    </row>
    <row r="61" spans="1:9" ht="15.75">
      <c r="B61" s="227"/>
      <c r="F61" s="228"/>
      <c r="I61" s="229"/>
    </row>
    <row r="62" spans="1:9" ht="15.75">
      <c r="B62" s="227"/>
      <c r="F62" s="228"/>
      <c r="I62" s="229"/>
    </row>
    <row r="63" spans="1:9" ht="15.75">
      <c r="B63" s="227"/>
      <c r="F63" s="228"/>
      <c r="I63" s="229"/>
    </row>
    <row r="64" spans="1:9" ht="15.75">
      <c r="B64" s="227"/>
      <c r="F64" s="228"/>
      <c r="I64" s="229"/>
    </row>
    <row r="65" spans="2:9" ht="15.75">
      <c r="B65" s="227"/>
      <c r="F65" s="228"/>
      <c r="I65" s="229"/>
    </row>
    <row r="66" spans="2:9" ht="15.75">
      <c r="B66" s="227"/>
      <c r="F66" s="228"/>
      <c r="I66" s="229"/>
    </row>
    <row r="67" spans="2:9" ht="15.75">
      <c r="B67" s="227"/>
      <c r="F67" s="228"/>
      <c r="I67" s="229"/>
    </row>
    <row r="68" spans="2:9" ht="15.75">
      <c r="B68" s="227"/>
      <c r="F68" s="228"/>
      <c r="I68" s="229"/>
    </row>
    <row r="69" spans="2:9" ht="15.75">
      <c r="B69" s="227"/>
      <c r="F69" s="228"/>
      <c r="I69" s="229"/>
    </row>
    <row r="70" spans="2:9" ht="15.75">
      <c r="B70" s="227"/>
      <c r="F70" s="228"/>
      <c r="I70" s="229"/>
    </row>
    <row r="71" spans="2:9" ht="15.75">
      <c r="B71" s="227"/>
      <c r="F71" s="228"/>
      <c r="I71" s="229"/>
    </row>
    <row r="72" spans="2:9" ht="15.75">
      <c r="B72" s="227"/>
      <c r="F72" s="228"/>
      <c r="I72" s="229"/>
    </row>
    <row r="73" spans="2:9" ht="15.75">
      <c r="B73" s="227"/>
      <c r="F73" s="228"/>
      <c r="I73" s="229"/>
    </row>
    <row r="74" spans="2:9" ht="15.75">
      <c r="B74" s="227"/>
      <c r="F74" s="228"/>
      <c r="I74" s="229"/>
    </row>
    <row r="75" spans="2:9" ht="15.75">
      <c r="B75" s="227"/>
      <c r="F75" s="228"/>
      <c r="I75" s="229"/>
    </row>
    <row r="76" spans="2:9" ht="15.75">
      <c r="B76" s="227"/>
      <c r="F76" s="228"/>
      <c r="I76" s="229"/>
    </row>
    <row r="77" spans="2:9" ht="15.75">
      <c r="B77" s="227"/>
      <c r="F77" s="228"/>
      <c r="I77" s="229"/>
    </row>
    <row r="78" spans="2:9" ht="15.75">
      <c r="B78" s="227"/>
      <c r="F78" s="228"/>
      <c r="I78" s="229"/>
    </row>
    <row r="79" spans="2:9" ht="15.75">
      <c r="B79" s="227"/>
      <c r="F79" s="228"/>
      <c r="I79" s="229"/>
    </row>
    <row r="80" spans="2:9" ht="15.75">
      <c r="B80" s="227"/>
      <c r="F80" s="228"/>
      <c r="I80" s="229"/>
    </row>
    <row r="81" spans="2:9" ht="15.75">
      <c r="B81" s="227"/>
      <c r="F81" s="228"/>
      <c r="I81" s="229"/>
    </row>
    <row r="82" spans="2:9" ht="15.75">
      <c r="B82" s="227"/>
      <c r="F82" s="228"/>
      <c r="I82" s="229"/>
    </row>
    <row r="83" spans="2:9" ht="15.75">
      <c r="B83" s="227"/>
      <c r="F83" s="228"/>
      <c r="I83" s="229"/>
    </row>
    <row r="84" spans="2:9" ht="15.75">
      <c r="B84" s="227"/>
      <c r="F84" s="228"/>
      <c r="I84" s="229"/>
    </row>
    <row r="85" spans="2:9" ht="15.75">
      <c r="B85" s="227"/>
      <c r="F85" s="228"/>
      <c r="I85" s="229"/>
    </row>
    <row r="86" spans="2:9" ht="15.75">
      <c r="B86" s="227"/>
      <c r="F86" s="228"/>
      <c r="I86" s="229"/>
    </row>
    <row r="87" spans="2:9" ht="15.75">
      <c r="B87" s="227"/>
      <c r="F87" s="228"/>
      <c r="I87" s="229"/>
    </row>
    <row r="88" spans="2:9" ht="15.75">
      <c r="B88" s="227"/>
      <c r="F88" s="228"/>
      <c r="I88" s="229"/>
    </row>
    <row r="89" spans="2:9" ht="15.75">
      <c r="B89" s="227"/>
      <c r="F89" s="228"/>
      <c r="I89" s="229"/>
    </row>
    <row r="90" spans="2:9" ht="15.75">
      <c r="B90" s="227"/>
      <c r="F90" s="228"/>
      <c r="I90" s="229"/>
    </row>
    <row r="91" spans="2:9" ht="15.75">
      <c r="B91" s="227"/>
      <c r="F91" s="228"/>
      <c r="I91" s="229"/>
    </row>
    <row r="92" spans="2:9" ht="15.75">
      <c r="B92" s="227"/>
      <c r="F92" s="228"/>
      <c r="I92" s="229"/>
    </row>
    <row r="93" spans="2:9" ht="15.75">
      <c r="B93" s="227"/>
      <c r="F93" s="228"/>
      <c r="I93" s="229"/>
    </row>
    <row r="94" spans="2:9" ht="15.75">
      <c r="B94" s="227"/>
      <c r="F94" s="228"/>
      <c r="I94" s="229"/>
    </row>
    <row r="95" spans="2:9" ht="15.75">
      <c r="B95" s="227"/>
      <c r="F95" s="228"/>
      <c r="I95" s="229"/>
    </row>
    <row r="96" spans="2:9" ht="15.75">
      <c r="B96" s="227"/>
      <c r="F96" s="228"/>
      <c r="I96" s="229"/>
    </row>
    <row r="97" spans="2:9" ht="15.75">
      <c r="B97" s="227"/>
      <c r="F97" s="228"/>
      <c r="I97" s="229"/>
    </row>
    <row r="98" spans="2:9" ht="15.75">
      <c r="B98" s="227"/>
      <c r="F98" s="228"/>
      <c r="I98" s="229"/>
    </row>
    <row r="99" spans="2:9" ht="15.75">
      <c r="B99" s="227"/>
      <c r="F99" s="228"/>
      <c r="I99" s="229"/>
    </row>
    <row r="100" spans="2:9" ht="15.75">
      <c r="B100" s="227"/>
      <c r="F100" s="228"/>
      <c r="I100" s="229"/>
    </row>
    <row r="101" spans="2:9" ht="15.75">
      <c r="B101" s="227"/>
      <c r="F101" s="228"/>
      <c r="I101" s="229"/>
    </row>
    <row r="102" spans="2:9" ht="15.75">
      <c r="B102" s="227"/>
      <c r="F102" s="228"/>
      <c r="I102" s="229"/>
    </row>
    <row r="103" spans="2:9" ht="15.75">
      <c r="B103" s="227"/>
      <c r="F103" s="228"/>
      <c r="I103" s="229"/>
    </row>
    <row r="104" spans="2:9" ht="15.75">
      <c r="B104" s="227"/>
      <c r="F104" s="228"/>
      <c r="I104" s="229"/>
    </row>
    <row r="105" spans="2:9" ht="15.75">
      <c r="B105" s="227"/>
      <c r="F105" s="228"/>
      <c r="I105" s="229"/>
    </row>
    <row r="106" spans="2:9" ht="15.75">
      <c r="B106" s="227"/>
      <c r="F106" s="228"/>
      <c r="I106" s="229"/>
    </row>
    <row r="107" spans="2:9" ht="15.75">
      <c r="B107" s="227"/>
      <c r="F107" s="228"/>
      <c r="I107" s="229"/>
    </row>
    <row r="108" spans="2:9" ht="15.75">
      <c r="B108" s="227"/>
      <c r="F108" s="228"/>
      <c r="I108" s="229"/>
    </row>
    <row r="109" spans="2:9" ht="15.75">
      <c r="B109" s="227"/>
      <c r="F109" s="228"/>
      <c r="I109" s="229"/>
    </row>
    <row r="110" spans="2:9" ht="15.75">
      <c r="B110" s="227"/>
      <c r="F110" s="228"/>
      <c r="I110" s="229"/>
    </row>
    <row r="111" spans="2:9" ht="15.75">
      <c r="B111" s="227"/>
      <c r="F111" s="228"/>
      <c r="I111" s="229"/>
    </row>
    <row r="112" spans="2:9" ht="15.75">
      <c r="B112" s="227"/>
      <c r="F112" s="228"/>
      <c r="I112" s="229"/>
    </row>
    <row r="113" spans="2:9" ht="15.75">
      <c r="B113" s="227"/>
      <c r="F113" s="228"/>
      <c r="I113" s="229"/>
    </row>
    <row r="114" spans="2:9" ht="15.75">
      <c r="B114" s="227"/>
      <c r="F114" s="228"/>
      <c r="I114" s="229"/>
    </row>
    <row r="115" spans="2:9" ht="15.75">
      <c r="B115" s="227"/>
      <c r="F115" s="228"/>
      <c r="I115" s="229"/>
    </row>
    <row r="116" spans="2:9" ht="15.75">
      <c r="B116" s="227"/>
      <c r="F116" s="228"/>
      <c r="I116" s="229"/>
    </row>
    <row r="117" spans="2:9" ht="15.75">
      <c r="B117" s="227"/>
      <c r="F117" s="228"/>
      <c r="I117" s="229"/>
    </row>
    <row r="118" spans="2:9" ht="15.75">
      <c r="B118" s="227"/>
      <c r="F118" s="228"/>
      <c r="I118" s="229"/>
    </row>
    <row r="119" spans="2:9" ht="15.75">
      <c r="B119" s="227"/>
      <c r="F119" s="228"/>
      <c r="I119" s="229"/>
    </row>
    <row r="120" spans="2:9" ht="15.75">
      <c r="B120" s="227"/>
      <c r="F120" s="228"/>
      <c r="I120" s="229"/>
    </row>
    <row r="121" spans="2:9" ht="15.75">
      <c r="B121" s="227"/>
      <c r="F121" s="228"/>
      <c r="I121" s="229"/>
    </row>
    <row r="122" spans="2:9" ht="15.75">
      <c r="B122" s="227"/>
      <c r="F122" s="228"/>
      <c r="I122" s="229"/>
    </row>
    <row r="123" spans="2:9" ht="15.75">
      <c r="B123" s="227"/>
      <c r="F123" s="228"/>
      <c r="I123" s="229"/>
    </row>
    <row r="124" spans="2:9" ht="15.75">
      <c r="B124" s="227"/>
      <c r="F124" s="228"/>
      <c r="I124" s="229"/>
    </row>
    <row r="125" spans="2:9" ht="15.75">
      <c r="B125" s="227"/>
      <c r="F125" s="228"/>
      <c r="I125" s="229"/>
    </row>
    <row r="126" spans="2:9" ht="15.75">
      <c r="B126" s="227"/>
      <c r="F126" s="228"/>
      <c r="I126" s="229"/>
    </row>
    <row r="127" spans="2:9" ht="15.75">
      <c r="B127" s="227"/>
      <c r="F127" s="228"/>
      <c r="I127" s="229"/>
    </row>
    <row r="128" spans="2:9" ht="15.75">
      <c r="B128" s="227"/>
      <c r="F128" s="228"/>
      <c r="I128" s="229"/>
    </row>
    <row r="129" spans="2:9" ht="15.75">
      <c r="B129" s="227"/>
      <c r="F129" s="228"/>
      <c r="I129" s="229"/>
    </row>
    <row r="130" spans="2:9" ht="15.75">
      <c r="B130" s="227"/>
      <c r="F130" s="228"/>
      <c r="I130" s="229"/>
    </row>
    <row r="131" spans="2:9" ht="15.75">
      <c r="B131" s="227"/>
      <c r="F131" s="228"/>
      <c r="I131" s="229"/>
    </row>
    <row r="132" spans="2:9" ht="15.75">
      <c r="B132" s="227"/>
      <c r="F132" s="228"/>
      <c r="I132" s="229"/>
    </row>
    <row r="133" spans="2:9" ht="15.75">
      <c r="B133" s="227"/>
      <c r="F133" s="228"/>
      <c r="I133" s="229"/>
    </row>
    <row r="134" spans="2:9" ht="15.75">
      <c r="B134" s="227"/>
      <c r="F134" s="228"/>
      <c r="I134" s="229"/>
    </row>
    <row r="135" spans="2:9" ht="15.75">
      <c r="B135" s="227"/>
      <c r="F135" s="228"/>
      <c r="I135" s="229"/>
    </row>
    <row r="136" spans="2:9" ht="15.75">
      <c r="B136" s="227"/>
      <c r="F136" s="228"/>
      <c r="I136" s="229"/>
    </row>
    <row r="137" spans="2:9" ht="15.75">
      <c r="B137" s="227"/>
      <c r="F137" s="228"/>
      <c r="I137" s="229"/>
    </row>
    <row r="138" spans="2:9" ht="15.75">
      <c r="B138" s="227"/>
      <c r="F138" s="228"/>
      <c r="I138" s="229"/>
    </row>
    <row r="139" spans="2:9" ht="15.75">
      <c r="B139" s="227"/>
      <c r="F139" s="228"/>
      <c r="I139" s="229"/>
    </row>
    <row r="140" spans="2:9" ht="15.75">
      <c r="B140" s="227"/>
      <c r="F140" s="228"/>
      <c r="I140" s="229"/>
    </row>
    <row r="141" spans="2:9" ht="15.75">
      <c r="B141" s="227"/>
      <c r="F141" s="228"/>
      <c r="I141" s="229"/>
    </row>
    <row r="142" spans="2:9" ht="15.75">
      <c r="B142" s="227"/>
      <c r="F142" s="228"/>
      <c r="I142" s="229"/>
    </row>
    <row r="143" spans="2:9" ht="15.75">
      <c r="B143" s="227"/>
      <c r="F143" s="228"/>
      <c r="I143" s="229"/>
    </row>
    <row r="144" spans="2:9" ht="15.75">
      <c r="B144" s="227"/>
      <c r="F144" s="228"/>
      <c r="I144" s="229"/>
    </row>
    <row r="145" spans="2:9" ht="15.75">
      <c r="B145" s="227"/>
      <c r="F145" s="228"/>
      <c r="I145" s="229"/>
    </row>
    <row r="146" spans="2:9" ht="15.75">
      <c r="B146" s="227"/>
      <c r="F146" s="228"/>
      <c r="I146" s="229"/>
    </row>
    <row r="147" spans="2:9" ht="15.75">
      <c r="B147" s="227"/>
      <c r="F147" s="228"/>
      <c r="I147" s="229"/>
    </row>
    <row r="148" spans="2:9" ht="15.75">
      <c r="B148" s="227"/>
      <c r="F148" s="228"/>
      <c r="I148" s="229"/>
    </row>
    <row r="149" spans="2:9" ht="15.75">
      <c r="B149" s="227"/>
      <c r="F149" s="228"/>
      <c r="I149" s="229"/>
    </row>
    <row r="150" spans="2:9" ht="15.75">
      <c r="B150" s="227"/>
      <c r="F150" s="228"/>
      <c r="I150" s="229"/>
    </row>
    <row r="151" spans="2:9" ht="15.75">
      <c r="B151" s="227"/>
      <c r="F151" s="228"/>
      <c r="I151" s="229"/>
    </row>
    <row r="152" spans="2:9" ht="15.75">
      <c r="B152" s="227"/>
      <c r="F152" s="228"/>
      <c r="I152" s="229"/>
    </row>
    <row r="153" spans="2:9" ht="15.75">
      <c r="B153" s="227"/>
      <c r="F153" s="228"/>
      <c r="I153" s="229"/>
    </row>
    <row r="154" spans="2:9" ht="15.75">
      <c r="B154" s="227"/>
      <c r="F154" s="228"/>
      <c r="I154" s="229"/>
    </row>
    <row r="155" spans="2:9" ht="15.75">
      <c r="B155" s="227"/>
      <c r="F155" s="228"/>
      <c r="I155" s="229"/>
    </row>
    <row r="156" spans="2:9" ht="15.75">
      <c r="B156" s="227"/>
      <c r="F156" s="228"/>
      <c r="I156" s="229"/>
    </row>
    <row r="157" spans="2:9" ht="15.75">
      <c r="B157" s="227"/>
      <c r="F157" s="228"/>
      <c r="I157" s="229"/>
    </row>
    <row r="158" spans="2:9" ht="15.75">
      <c r="B158" s="227"/>
      <c r="F158" s="228"/>
      <c r="I158" s="229"/>
    </row>
    <row r="159" spans="2:9" ht="15.75">
      <c r="B159" s="227"/>
      <c r="F159" s="228"/>
      <c r="I159" s="229"/>
    </row>
    <row r="160" spans="2:9" ht="15.75">
      <c r="B160" s="227"/>
      <c r="F160" s="228"/>
      <c r="I160" s="229"/>
    </row>
    <row r="161" spans="2:9" ht="15.75">
      <c r="B161" s="227"/>
      <c r="F161" s="228"/>
      <c r="I161" s="229"/>
    </row>
    <row r="162" spans="2:9" ht="15.75">
      <c r="B162" s="227"/>
      <c r="F162" s="228"/>
      <c r="I162" s="229"/>
    </row>
    <row r="163" spans="2:9" ht="15.75">
      <c r="B163" s="227"/>
      <c r="F163" s="228"/>
      <c r="I163" s="229"/>
    </row>
    <row r="164" spans="2:9" ht="15.75">
      <c r="B164" s="227"/>
      <c r="F164" s="228"/>
      <c r="I164" s="229"/>
    </row>
    <row r="165" spans="2:9" ht="15.75">
      <c r="B165" s="227"/>
      <c r="F165" s="228"/>
      <c r="I165" s="229"/>
    </row>
    <row r="166" spans="2:9" ht="15.75">
      <c r="B166" s="227"/>
      <c r="F166" s="228"/>
      <c r="I166" s="229"/>
    </row>
    <row r="167" spans="2:9" ht="15.75">
      <c r="B167" s="227"/>
      <c r="F167" s="228"/>
      <c r="I167" s="229"/>
    </row>
    <row r="168" spans="2:9" ht="15.75">
      <c r="B168" s="227"/>
      <c r="F168" s="228"/>
      <c r="I168" s="229"/>
    </row>
    <row r="169" spans="2:9" ht="15.75">
      <c r="B169" s="227"/>
      <c r="F169" s="228"/>
      <c r="I169" s="229"/>
    </row>
    <row r="170" spans="2:9" ht="15.75">
      <c r="B170" s="227"/>
      <c r="F170" s="228"/>
      <c r="I170" s="229"/>
    </row>
    <row r="171" spans="2:9" ht="15.75">
      <c r="B171" s="227"/>
      <c r="F171" s="228"/>
      <c r="I171" s="229"/>
    </row>
    <row r="172" spans="2:9" ht="15.75">
      <c r="B172" s="227"/>
      <c r="F172" s="228"/>
      <c r="I172" s="229"/>
    </row>
    <row r="173" spans="2:9" ht="15.75">
      <c r="B173" s="227"/>
      <c r="F173" s="228"/>
      <c r="I173" s="229"/>
    </row>
    <row r="174" spans="2:9" ht="15.75">
      <c r="B174" s="227"/>
      <c r="F174" s="228"/>
      <c r="I174" s="229"/>
    </row>
    <row r="175" spans="2:9" ht="15.75">
      <c r="B175" s="227"/>
      <c r="F175" s="228"/>
      <c r="I175" s="229"/>
    </row>
    <row r="176" spans="2:9" ht="15.75">
      <c r="B176" s="227"/>
      <c r="F176" s="228"/>
      <c r="I176" s="229"/>
    </row>
    <row r="177" spans="2:9" ht="15.75">
      <c r="B177" s="227"/>
      <c r="F177" s="228"/>
      <c r="I177" s="229"/>
    </row>
    <row r="178" spans="2:9" ht="15.75">
      <c r="B178" s="227"/>
      <c r="F178" s="228"/>
      <c r="I178" s="229"/>
    </row>
    <row r="179" spans="2:9" ht="15.75">
      <c r="B179" s="227"/>
      <c r="F179" s="228"/>
      <c r="I179" s="229"/>
    </row>
    <row r="180" spans="2:9" ht="15.75">
      <c r="B180" s="227"/>
      <c r="F180" s="228"/>
      <c r="I180" s="229"/>
    </row>
    <row r="181" spans="2:9" ht="15.75">
      <c r="B181" s="227"/>
      <c r="F181" s="228"/>
      <c r="I181" s="229"/>
    </row>
    <row r="182" spans="2:9" ht="15.75">
      <c r="B182" s="227"/>
      <c r="F182" s="228"/>
      <c r="I182" s="229"/>
    </row>
    <row r="183" spans="2:9" ht="15.75">
      <c r="B183" s="227"/>
      <c r="F183" s="228"/>
      <c r="I183" s="229"/>
    </row>
    <row r="184" spans="2:9" ht="15.75">
      <c r="B184" s="227"/>
      <c r="F184" s="228"/>
      <c r="I184" s="229"/>
    </row>
    <row r="185" spans="2:9" ht="15.75">
      <c r="B185" s="227"/>
      <c r="F185" s="228"/>
      <c r="I185" s="229"/>
    </row>
    <row r="186" spans="2:9" ht="15.75">
      <c r="B186" s="227"/>
      <c r="F186" s="228"/>
      <c r="I186" s="229"/>
    </row>
    <row r="187" spans="2:9" ht="15.75">
      <c r="B187" s="227"/>
      <c r="F187" s="228"/>
      <c r="I187" s="229"/>
    </row>
    <row r="188" spans="2:9" ht="15.75">
      <c r="B188" s="227"/>
      <c r="F188" s="228"/>
      <c r="I188" s="229"/>
    </row>
    <row r="189" spans="2:9" ht="15.75">
      <c r="B189" s="227"/>
      <c r="F189" s="228"/>
      <c r="I189" s="229"/>
    </row>
    <row r="190" spans="2:9" ht="15.75">
      <c r="B190" s="227"/>
      <c r="F190" s="228"/>
      <c r="I190" s="229"/>
    </row>
    <row r="191" spans="2:9" ht="15.75">
      <c r="B191" s="227"/>
      <c r="F191" s="228"/>
      <c r="I191" s="229"/>
    </row>
    <row r="192" spans="2:9" ht="15.75">
      <c r="B192" s="227"/>
      <c r="F192" s="228"/>
      <c r="I192" s="229"/>
    </row>
    <row r="193" spans="2:9" ht="15.75">
      <c r="B193" s="227"/>
      <c r="F193" s="228"/>
      <c r="I193" s="229"/>
    </row>
    <row r="194" spans="2:9" ht="15.75">
      <c r="B194" s="227"/>
      <c r="F194" s="228"/>
      <c r="I194" s="229"/>
    </row>
    <row r="195" spans="2:9" ht="15.75">
      <c r="B195" s="227"/>
      <c r="F195" s="228"/>
      <c r="I195" s="229"/>
    </row>
    <row r="196" spans="2:9" ht="15.75">
      <c r="B196" s="227"/>
      <c r="F196" s="228"/>
      <c r="I196" s="229"/>
    </row>
    <row r="197" spans="2:9" ht="15.75">
      <c r="B197" s="227"/>
      <c r="F197" s="228"/>
      <c r="I197" s="229"/>
    </row>
    <row r="198" spans="2:9" ht="15.75">
      <c r="B198" s="227"/>
      <c r="F198" s="228"/>
      <c r="I198" s="229"/>
    </row>
    <row r="199" spans="2:9" ht="15.75">
      <c r="B199" s="227"/>
      <c r="F199" s="228"/>
      <c r="I199" s="229"/>
    </row>
    <row r="200" spans="2:9" ht="15.75">
      <c r="B200" s="227"/>
      <c r="F200" s="228"/>
      <c r="I200" s="229"/>
    </row>
    <row r="201" spans="2:9" ht="15.75">
      <c r="B201" s="227"/>
      <c r="F201" s="228"/>
      <c r="I201" s="229"/>
    </row>
    <row r="202" spans="2:9" ht="15.75">
      <c r="B202" s="227"/>
      <c r="F202" s="228"/>
      <c r="I202" s="229"/>
    </row>
    <row r="203" spans="2:9" ht="15.75">
      <c r="B203" s="227"/>
      <c r="F203" s="228"/>
      <c r="I203" s="229"/>
    </row>
    <row r="204" spans="2:9" ht="15.75">
      <c r="B204" s="227"/>
      <c r="F204" s="228"/>
      <c r="I204" s="229"/>
    </row>
    <row r="205" spans="2:9" ht="15.75">
      <c r="B205" s="227"/>
      <c r="F205" s="228"/>
      <c r="I205" s="229"/>
    </row>
    <row r="206" spans="2:9" ht="15.75">
      <c r="B206" s="227"/>
      <c r="F206" s="228"/>
      <c r="I206" s="229"/>
    </row>
    <row r="207" spans="2:9" ht="15.75">
      <c r="B207" s="227"/>
      <c r="F207" s="228"/>
      <c r="I207" s="229"/>
    </row>
    <row r="208" spans="2:9" ht="15.75">
      <c r="B208" s="227"/>
      <c r="F208" s="228"/>
      <c r="I208" s="229"/>
    </row>
    <row r="209" spans="2:9" ht="15.75">
      <c r="B209" s="227"/>
      <c r="F209" s="228"/>
      <c r="I209" s="229"/>
    </row>
    <row r="210" spans="2:9" ht="15.75">
      <c r="B210" s="227"/>
      <c r="F210" s="228"/>
      <c r="I210" s="229"/>
    </row>
    <row r="211" spans="2:9" ht="15.75">
      <c r="B211" s="227"/>
      <c r="F211" s="228"/>
      <c r="I211" s="229"/>
    </row>
    <row r="212" spans="2:9" ht="15.75">
      <c r="B212" s="227"/>
      <c r="F212" s="228"/>
      <c r="I212" s="229"/>
    </row>
    <row r="213" spans="2:9" ht="15.75">
      <c r="B213" s="227"/>
      <c r="F213" s="228"/>
      <c r="I213" s="229"/>
    </row>
    <row r="214" spans="2:9" ht="15.75">
      <c r="B214" s="227"/>
      <c r="F214" s="228"/>
      <c r="I214" s="229"/>
    </row>
    <row r="215" spans="2:9" ht="15.75">
      <c r="B215" s="227"/>
      <c r="F215" s="228"/>
      <c r="I215" s="229"/>
    </row>
    <row r="216" spans="2:9" ht="15.75">
      <c r="B216" s="227"/>
      <c r="F216" s="228"/>
      <c r="I216" s="229"/>
    </row>
    <row r="217" spans="2:9" ht="15.75">
      <c r="B217" s="227"/>
      <c r="F217" s="228"/>
      <c r="I217" s="229"/>
    </row>
    <row r="218" spans="2:9" ht="15.75">
      <c r="B218" s="227"/>
      <c r="F218" s="228"/>
      <c r="I218" s="229"/>
    </row>
    <row r="219" spans="2:9" ht="15.75">
      <c r="B219" s="227"/>
      <c r="F219" s="228"/>
      <c r="I219" s="229"/>
    </row>
    <row r="220" spans="2:9" ht="15.75">
      <c r="B220" s="227"/>
      <c r="F220" s="228"/>
      <c r="I220" s="229"/>
    </row>
    <row r="221" spans="2:9" ht="15.75">
      <c r="B221" s="227"/>
      <c r="F221" s="228"/>
      <c r="I221" s="229"/>
    </row>
    <row r="222" spans="2:9" ht="15.75">
      <c r="B222" s="227"/>
      <c r="F222" s="228"/>
      <c r="I222" s="229"/>
    </row>
    <row r="223" spans="2:9" ht="15.75">
      <c r="B223" s="227"/>
      <c r="F223" s="228"/>
      <c r="I223" s="229"/>
    </row>
    <row r="224" spans="2:9" ht="15.75">
      <c r="B224" s="227"/>
      <c r="F224" s="228"/>
      <c r="I224" s="229"/>
    </row>
    <row r="225" spans="2:9" ht="15.75">
      <c r="B225" s="227"/>
      <c r="F225" s="228"/>
      <c r="I225" s="229"/>
    </row>
    <row r="226" spans="2:9" ht="15.75">
      <c r="B226" s="227"/>
      <c r="F226" s="228"/>
      <c r="I226" s="229"/>
    </row>
    <row r="227" spans="2:9" ht="15.75">
      <c r="B227" s="227"/>
      <c r="F227" s="228"/>
      <c r="I227" s="229"/>
    </row>
    <row r="228" spans="2:9" ht="15.75">
      <c r="B228" s="227"/>
      <c r="F228" s="228"/>
      <c r="I228" s="229"/>
    </row>
    <row r="229" spans="2:9" ht="15.75">
      <c r="B229" s="227"/>
      <c r="F229" s="228"/>
      <c r="I229" s="229"/>
    </row>
    <row r="230" spans="2:9" ht="15.75">
      <c r="B230" s="227"/>
      <c r="F230" s="228"/>
      <c r="I230" s="229"/>
    </row>
    <row r="231" spans="2:9" ht="15.75">
      <c r="B231" s="227"/>
      <c r="F231" s="228"/>
      <c r="I231" s="229"/>
    </row>
    <row r="232" spans="2:9" ht="15.75">
      <c r="B232" s="227"/>
      <c r="F232" s="228"/>
      <c r="I232" s="229"/>
    </row>
    <row r="233" spans="2:9" ht="15.75">
      <c r="B233" s="227"/>
      <c r="F233" s="228"/>
      <c r="I233" s="229"/>
    </row>
    <row r="234" spans="2:9" ht="15.75">
      <c r="B234" s="227"/>
      <c r="F234" s="228"/>
      <c r="I234" s="229"/>
    </row>
    <row r="235" spans="2:9" ht="15.75">
      <c r="B235" s="227"/>
      <c r="F235" s="228"/>
      <c r="I235" s="229"/>
    </row>
    <row r="236" spans="2:9" ht="15.75">
      <c r="B236" s="227"/>
      <c r="F236" s="228"/>
      <c r="I236" s="229"/>
    </row>
    <row r="237" spans="2:9" ht="15.75">
      <c r="B237" s="227"/>
      <c r="F237" s="228"/>
      <c r="I237" s="229"/>
    </row>
    <row r="238" spans="2:9" ht="15.75">
      <c r="B238" s="227"/>
      <c r="F238" s="228"/>
      <c r="I238" s="229"/>
    </row>
    <row r="239" spans="2:9" ht="15.75">
      <c r="B239" s="227"/>
      <c r="F239" s="228"/>
      <c r="I239" s="229"/>
    </row>
    <row r="240" spans="2:9" ht="15.75">
      <c r="B240" s="227"/>
      <c r="F240" s="228"/>
      <c r="I240" s="229"/>
    </row>
    <row r="241" spans="2:9" ht="15.75">
      <c r="B241" s="227"/>
      <c r="F241" s="228"/>
      <c r="I241" s="229"/>
    </row>
    <row r="242" spans="2:9" ht="15.75">
      <c r="B242" s="227"/>
      <c r="F242" s="228"/>
      <c r="I242" s="229"/>
    </row>
    <row r="243" spans="2:9" ht="15.75">
      <c r="B243" s="227"/>
      <c r="F243" s="228"/>
      <c r="I243" s="229"/>
    </row>
    <row r="244" spans="2:9" ht="15.75">
      <c r="B244" s="227"/>
      <c r="F244" s="228"/>
      <c r="I244" s="229"/>
    </row>
    <row r="245" spans="2:9" ht="15.75">
      <c r="B245" s="227"/>
      <c r="F245" s="228"/>
      <c r="I245" s="229"/>
    </row>
    <row r="246" spans="2:9" ht="15.75">
      <c r="B246" s="227"/>
      <c r="F246" s="228"/>
      <c r="I246" s="229"/>
    </row>
    <row r="247" spans="2:9" ht="15.75">
      <c r="B247" s="227"/>
      <c r="F247" s="228"/>
      <c r="I247" s="229"/>
    </row>
    <row r="248" spans="2:9" ht="15.75">
      <c r="B248" s="227"/>
      <c r="F248" s="228"/>
      <c r="I248" s="229"/>
    </row>
    <row r="249" spans="2:9" ht="15.75">
      <c r="B249" s="227"/>
      <c r="F249" s="228"/>
      <c r="I249" s="229"/>
    </row>
    <row r="250" spans="2:9" ht="15.75">
      <c r="B250" s="227"/>
      <c r="F250" s="228"/>
      <c r="I250" s="229"/>
    </row>
    <row r="251" spans="2:9" ht="15.75">
      <c r="B251" s="227"/>
      <c r="F251" s="228"/>
      <c r="I251" s="229"/>
    </row>
    <row r="252" spans="2:9" ht="15.75">
      <c r="B252" s="227"/>
      <c r="F252" s="228"/>
      <c r="I252" s="229"/>
    </row>
    <row r="253" spans="2:9" ht="15.75">
      <c r="B253" s="227"/>
      <c r="F253" s="228"/>
      <c r="I253" s="229"/>
    </row>
    <row r="254" spans="2:9" ht="15.75">
      <c r="B254" s="227"/>
      <c r="F254" s="228"/>
      <c r="I254" s="229"/>
    </row>
    <row r="255" spans="2:9" ht="15.75">
      <c r="B255" s="227"/>
      <c r="F255" s="228"/>
      <c r="I255" s="229"/>
    </row>
    <row r="256" spans="2:9" ht="15.75">
      <c r="B256" s="227"/>
      <c r="F256" s="228"/>
      <c r="I256" s="229"/>
    </row>
    <row r="257" spans="2:9" ht="15.75">
      <c r="B257" s="227"/>
      <c r="F257" s="228"/>
      <c r="I257" s="229"/>
    </row>
    <row r="258" spans="2:9" ht="15.75">
      <c r="B258" s="227"/>
      <c r="F258" s="228"/>
      <c r="I258" s="229"/>
    </row>
    <row r="259" spans="2:9" ht="15.75">
      <c r="B259" s="227"/>
      <c r="F259" s="228"/>
      <c r="I259" s="229"/>
    </row>
    <row r="260" spans="2:9" ht="15.75">
      <c r="B260" s="227"/>
      <c r="F260" s="228"/>
      <c r="I260" s="229"/>
    </row>
    <row r="261" spans="2:9" ht="15.75">
      <c r="B261" s="227"/>
      <c r="F261" s="228"/>
      <c r="I261" s="229"/>
    </row>
    <row r="262" spans="2:9" ht="15.75">
      <c r="B262" s="227"/>
      <c r="F262" s="228"/>
      <c r="I262" s="229"/>
    </row>
    <row r="263" spans="2:9" ht="15.75">
      <c r="B263" s="227"/>
      <c r="F263" s="228"/>
      <c r="I263" s="229"/>
    </row>
    <row r="264" spans="2:9" ht="15.75">
      <c r="B264" s="227"/>
      <c r="F264" s="228"/>
      <c r="I264" s="229"/>
    </row>
    <row r="265" spans="2:9" ht="15.75">
      <c r="B265" s="227"/>
      <c r="F265" s="228"/>
      <c r="I265" s="229"/>
    </row>
    <row r="266" spans="2:9" ht="15.75">
      <c r="B266" s="227"/>
      <c r="F266" s="228"/>
      <c r="I266" s="229"/>
    </row>
    <row r="267" spans="2:9" ht="15.75">
      <c r="B267" s="227"/>
      <c r="F267" s="228"/>
      <c r="I267" s="229"/>
    </row>
    <row r="268" spans="2:9" ht="15.75">
      <c r="B268" s="227"/>
      <c r="F268" s="228"/>
      <c r="I268" s="229"/>
    </row>
    <row r="269" spans="2:9" ht="15.75">
      <c r="B269" s="227"/>
      <c r="F269" s="228"/>
      <c r="I269" s="229"/>
    </row>
    <row r="270" spans="2:9" ht="15.75">
      <c r="B270" s="227"/>
      <c r="F270" s="228"/>
      <c r="I270" s="229"/>
    </row>
    <row r="271" spans="2:9" ht="15.75">
      <c r="B271" s="227"/>
      <c r="F271" s="228"/>
      <c r="I271" s="229"/>
    </row>
    <row r="272" spans="2:9" ht="15.75">
      <c r="B272" s="227"/>
      <c r="F272" s="228"/>
      <c r="I272" s="229"/>
    </row>
    <row r="273" spans="2:9" ht="15.75">
      <c r="B273" s="227"/>
      <c r="F273" s="228"/>
      <c r="I273" s="229"/>
    </row>
    <row r="274" spans="2:9" ht="15.75">
      <c r="B274" s="227"/>
      <c r="F274" s="228"/>
      <c r="I274" s="229"/>
    </row>
    <row r="275" spans="2:9" ht="15.75">
      <c r="B275" s="227"/>
      <c r="F275" s="228"/>
      <c r="I275" s="229"/>
    </row>
    <row r="276" spans="2:9" ht="15.75">
      <c r="B276" s="227"/>
      <c r="F276" s="228"/>
      <c r="I276" s="229"/>
    </row>
    <row r="277" spans="2:9" ht="15.75">
      <c r="B277" s="227"/>
      <c r="F277" s="228"/>
      <c r="I277" s="229"/>
    </row>
    <row r="278" spans="2:9" ht="15.75">
      <c r="B278" s="227"/>
      <c r="F278" s="228"/>
      <c r="I278" s="229"/>
    </row>
    <row r="279" spans="2:9" ht="15.75">
      <c r="B279" s="227"/>
      <c r="F279" s="228"/>
      <c r="I279" s="229"/>
    </row>
    <row r="280" spans="2:9" ht="15.75">
      <c r="B280" s="227"/>
      <c r="F280" s="228"/>
      <c r="I280" s="229"/>
    </row>
    <row r="281" spans="2:9" ht="15.75">
      <c r="B281" s="227"/>
      <c r="F281" s="228"/>
      <c r="I281" s="229"/>
    </row>
    <row r="282" spans="2:9" ht="15.75">
      <c r="B282" s="227"/>
      <c r="F282" s="228"/>
      <c r="I282" s="229"/>
    </row>
    <row r="283" spans="2:9" ht="15.75">
      <c r="B283" s="227"/>
      <c r="F283" s="228"/>
      <c r="I283" s="229"/>
    </row>
    <row r="284" spans="2:9" ht="15.75">
      <c r="B284" s="227"/>
      <c r="F284" s="228"/>
      <c r="I284" s="229"/>
    </row>
    <row r="285" spans="2:9" ht="15.75">
      <c r="B285" s="227"/>
      <c r="F285" s="228"/>
      <c r="I285" s="229"/>
    </row>
    <row r="286" spans="2:9" ht="15.75">
      <c r="B286" s="227"/>
      <c r="F286" s="228"/>
      <c r="I286" s="229"/>
    </row>
    <row r="287" spans="2:9" ht="15.75">
      <c r="B287" s="227"/>
      <c r="F287" s="228"/>
      <c r="I287" s="229"/>
    </row>
    <row r="288" spans="2:9" ht="15.75">
      <c r="B288" s="227"/>
      <c r="F288" s="228"/>
      <c r="I288" s="229"/>
    </row>
    <row r="289" spans="2:9" ht="15.75">
      <c r="B289" s="227"/>
      <c r="F289" s="228"/>
      <c r="I289" s="229"/>
    </row>
    <row r="290" spans="2:9" ht="15.75">
      <c r="B290" s="227"/>
      <c r="F290" s="228"/>
      <c r="I290" s="229"/>
    </row>
    <row r="291" spans="2:9" ht="15.75">
      <c r="B291" s="227"/>
      <c r="F291" s="228"/>
      <c r="I291" s="229"/>
    </row>
    <row r="292" spans="2:9" ht="15.75">
      <c r="B292" s="227"/>
      <c r="F292" s="228"/>
      <c r="I292" s="229"/>
    </row>
    <row r="293" spans="2:9" ht="15.75">
      <c r="B293" s="227"/>
      <c r="F293" s="228"/>
      <c r="I293" s="229"/>
    </row>
    <row r="294" spans="2:9" ht="15.75">
      <c r="B294" s="227"/>
      <c r="F294" s="228"/>
      <c r="I294" s="229"/>
    </row>
    <row r="295" spans="2:9" ht="15.75">
      <c r="B295" s="227"/>
      <c r="F295" s="228"/>
      <c r="I295" s="229"/>
    </row>
    <row r="296" spans="2:9" ht="15.75">
      <c r="B296" s="227"/>
      <c r="F296" s="228"/>
      <c r="I296" s="229"/>
    </row>
    <row r="297" spans="2:9" ht="15.75">
      <c r="B297" s="227"/>
      <c r="F297" s="228"/>
      <c r="I297" s="229"/>
    </row>
    <row r="298" spans="2:9" ht="15.75">
      <c r="B298" s="227"/>
      <c r="F298" s="228"/>
      <c r="I298" s="229"/>
    </row>
    <row r="299" spans="2:9" ht="15.75">
      <c r="B299" s="227"/>
      <c r="F299" s="228"/>
      <c r="I299" s="229"/>
    </row>
    <row r="300" spans="2:9" ht="15.75">
      <c r="B300" s="227"/>
      <c r="F300" s="228"/>
      <c r="I300" s="229"/>
    </row>
    <row r="301" spans="2:9" ht="15.75">
      <c r="B301" s="227"/>
      <c r="F301" s="228"/>
      <c r="I301" s="229"/>
    </row>
    <row r="302" spans="2:9" ht="15.75">
      <c r="B302" s="227"/>
      <c r="F302" s="228"/>
      <c r="I302" s="229"/>
    </row>
    <row r="303" spans="2:9" ht="15.75">
      <c r="B303" s="227"/>
      <c r="F303" s="228"/>
      <c r="I303" s="229"/>
    </row>
    <row r="304" spans="2:9" ht="15.75">
      <c r="B304" s="227"/>
      <c r="F304" s="228"/>
      <c r="I304" s="229"/>
    </row>
    <row r="305" spans="2:9" ht="15.75">
      <c r="B305" s="227"/>
      <c r="F305" s="228"/>
      <c r="I305" s="229"/>
    </row>
    <row r="306" spans="2:9" ht="15.75">
      <c r="B306" s="227"/>
      <c r="F306" s="228"/>
      <c r="I306" s="229"/>
    </row>
    <row r="307" spans="2:9" ht="15.75">
      <c r="B307" s="227"/>
      <c r="F307" s="228"/>
      <c r="I307" s="229"/>
    </row>
    <row r="308" spans="2:9" ht="15.75">
      <c r="B308" s="227"/>
      <c r="F308" s="228"/>
      <c r="I308" s="229"/>
    </row>
    <row r="309" spans="2:9" ht="15.75">
      <c r="B309" s="227"/>
      <c r="F309" s="228"/>
      <c r="I309" s="229"/>
    </row>
    <row r="310" spans="2:9" ht="15.75">
      <c r="B310" s="227"/>
      <c r="F310" s="228"/>
      <c r="I310" s="229"/>
    </row>
    <row r="311" spans="2:9" ht="15.75">
      <c r="B311" s="227"/>
      <c r="F311" s="228"/>
      <c r="I311" s="229"/>
    </row>
    <row r="312" spans="2:9" ht="15.75">
      <c r="B312" s="227"/>
      <c r="F312" s="228"/>
      <c r="I312" s="229"/>
    </row>
    <row r="313" spans="2:9" ht="15.75">
      <c r="B313" s="227"/>
      <c r="F313" s="228"/>
      <c r="I313" s="229"/>
    </row>
    <row r="314" spans="2:9" ht="15.75">
      <c r="B314" s="227"/>
      <c r="F314" s="228"/>
      <c r="I314" s="229"/>
    </row>
    <row r="315" spans="2:9" ht="15.75">
      <c r="B315" s="227"/>
      <c r="F315" s="228"/>
      <c r="I315" s="229"/>
    </row>
    <row r="316" spans="2:9" ht="15.75">
      <c r="B316" s="227"/>
      <c r="F316" s="228"/>
      <c r="I316" s="229"/>
    </row>
    <row r="317" spans="2:9" ht="15.75">
      <c r="B317" s="227"/>
      <c r="F317" s="228"/>
      <c r="I317" s="229"/>
    </row>
    <row r="318" spans="2:9" ht="15.75">
      <c r="B318" s="227"/>
      <c r="F318" s="228"/>
      <c r="I318" s="229"/>
    </row>
    <row r="319" spans="2:9" ht="15.75">
      <c r="B319" s="227"/>
      <c r="F319" s="228"/>
      <c r="I319" s="229"/>
    </row>
    <row r="320" spans="2:9" ht="15.75">
      <c r="B320" s="227"/>
      <c r="F320" s="228"/>
      <c r="I320" s="229"/>
    </row>
    <row r="321" spans="2:9" ht="15.75">
      <c r="B321" s="227"/>
      <c r="F321" s="228"/>
      <c r="I321" s="229"/>
    </row>
    <row r="322" spans="2:9" ht="15.75">
      <c r="B322" s="227"/>
      <c r="F322" s="228"/>
      <c r="I322" s="229"/>
    </row>
    <row r="323" spans="2:9" ht="15.75">
      <c r="B323" s="227"/>
      <c r="F323" s="228"/>
      <c r="I323" s="229"/>
    </row>
    <row r="324" spans="2:9" ht="15.75">
      <c r="B324" s="227"/>
      <c r="F324" s="228"/>
      <c r="I324" s="229"/>
    </row>
    <row r="325" spans="2:9" ht="15.75">
      <c r="B325" s="227"/>
      <c r="F325" s="228"/>
      <c r="I325" s="229"/>
    </row>
    <row r="326" spans="2:9" ht="15.75">
      <c r="B326" s="227"/>
      <c r="F326" s="228"/>
      <c r="I326" s="229"/>
    </row>
    <row r="327" spans="2:9" ht="15.75">
      <c r="B327" s="227"/>
      <c r="F327" s="228"/>
      <c r="I327" s="229"/>
    </row>
    <row r="328" spans="2:9" ht="15.75">
      <c r="B328" s="227"/>
      <c r="F328" s="228"/>
      <c r="I328" s="229"/>
    </row>
    <row r="329" spans="2:9" ht="15.75">
      <c r="B329" s="227"/>
      <c r="F329" s="228"/>
      <c r="I329" s="229"/>
    </row>
    <row r="330" spans="2:9" ht="15.75">
      <c r="B330" s="227"/>
      <c r="F330" s="228"/>
      <c r="I330" s="229"/>
    </row>
    <row r="331" spans="2:9" ht="15.75">
      <c r="B331" s="227"/>
      <c r="F331" s="228"/>
      <c r="I331" s="229"/>
    </row>
    <row r="332" spans="2:9" ht="15.75">
      <c r="B332" s="227"/>
      <c r="F332" s="228"/>
      <c r="I332" s="229"/>
    </row>
    <row r="333" spans="2:9" ht="15.75">
      <c r="B333" s="227"/>
      <c r="F333" s="228"/>
      <c r="I333" s="229"/>
    </row>
    <row r="334" spans="2:9" ht="15.75">
      <c r="B334" s="227"/>
      <c r="F334" s="228"/>
      <c r="I334" s="229"/>
    </row>
    <row r="335" spans="2:9" ht="15.75">
      <c r="B335" s="227"/>
      <c r="F335" s="228"/>
      <c r="I335" s="229"/>
    </row>
    <row r="336" spans="2:9" ht="15.75">
      <c r="B336" s="227"/>
      <c r="F336" s="228"/>
      <c r="I336" s="229"/>
    </row>
    <row r="337" spans="2:9" ht="15.75">
      <c r="B337" s="227"/>
      <c r="F337" s="228"/>
      <c r="I337" s="229"/>
    </row>
    <row r="338" spans="2:9" ht="15.75">
      <c r="B338" s="227"/>
      <c r="F338" s="228"/>
      <c r="I338" s="229"/>
    </row>
    <row r="339" spans="2:9" ht="15.75">
      <c r="B339" s="227"/>
      <c r="F339" s="228"/>
      <c r="I339" s="229"/>
    </row>
    <row r="340" spans="2:9" ht="15.75">
      <c r="B340" s="227"/>
      <c r="F340" s="228"/>
      <c r="I340" s="229"/>
    </row>
    <row r="341" spans="2:9" ht="15.75">
      <c r="B341" s="227"/>
      <c r="F341" s="228"/>
      <c r="I341" s="229"/>
    </row>
    <row r="342" spans="2:9" ht="15.75">
      <c r="B342" s="227"/>
      <c r="F342" s="228"/>
      <c r="I342" s="229"/>
    </row>
    <row r="343" spans="2:9" ht="15.75">
      <c r="B343" s="227"/>
      <c r="F343" s="228"/>
      <c r="I343" s="229"/>
    </row>
    <row r="344" spans="2:9" ht="15.75">
      <c r="B344" s="227"/>
      <c r="F344" s="228"/>
      <c r="I344" s="229"/>
    </row>
    <row r="345" spans="2:9" ht="15.75">
      <c r="B345" s="227"/>
      <c r="F345" s="228"/>
      <c r="I345" s="229"/>
    </row>
    <row r="346" spans="2:9" ht="15.75">
      <c r="B346" s="227"/>
      <c r="F346" s="228"/>
      <c r="I346" s="229"/>
    </row>
    <row r="347" spans="2:9" ht="15.75">
      <c r="B347" s="227"/>
      <c r="F347" s="228"/>
      <c r="I347" s="229"/>
    </row>
    <row r="348" spans="2:9" ht="15.75">
      <c r="B348" s="227"/>
      <c r="F348" s="228"/>
      <c r="I348" s="229"/>
    </row>
    <row r="349" spans="2:9" ht="15.75">
      <c r="B349" s="227"/>
      <c r="F349" s="228"/>
      <c r="I349" s="229"/>
    </row>
    <row r="350" spans="2:9" ht="15.75">
      <c r="B350" s="227"/>
      <c r="F350" s="228"/>
      <c r="I350" s="229"/>
    </row>
    <row r="351" spans="2:9" ht="15.75">
      <c r="B351" s="227"/>
      <c r="F351" s="228"/>
      <c r="I351" s="229"/>
    </row>
    <row r="352" spans="2:9" ht="15.75">
      <c r="B352" s="227"/>
      <c r="F352" s="228"/>
      <c r="I352" s="229"/>
    </row>
    <row r="353" spans="2:9" ht="15.75">
      <c r="B353" s="227"/>
      <c r="F353" s="228"/>
      <c r="I353" s="229"/>
    </row>
    <row r="354" spans="2:9" ht="15.75">
      <c r="B354" s="227"/>
      <c r="F354" s="228"/>
      <c r="I354" s="229"/>
    </row>
    <row r="355" spans="2:9" ht="15.75">
      <c r="B355" s="227"/>
      <c r="F355" s="228"/>
      <c r="I355" s="229"/>
    </row>
    <row r="356" spans="2:9" ht="15.75">
      <c r="B356" s="227"/>
      <c r="F356" s="228"/>
      <c r="I356" s="229"/>
    </row>
    <row r="357" spans="2:9" ht="15.75">
      <c r="B357" s="227"/>
      <c r="F357" s="228"/>
      <c r="I357" s="229"/>
    </row>
    <row r="358" spans="2:9" ht="15.75">
      <c r="B358" s="227"/>
      <c r="F358" s="228"/>
      <c r="I358" s="229"/>
    </row>
    <row r="359" spans="2:9" ht="15.75">
      <c r="B359" s="227"/>
      <c r="F359" s="228"/>
      <c r="I359" s="229"/>
    </row>
    <row r="360" spans="2:9" ht="15.75">
      <c r="B360" s="227"/>
      <c r="F360" s="228"/>
      <c r="I360" s="229"/>
    </row>
    <row r="361" spans="2:9" ht="15.75">
      <c r="B361" s="227"/>
      <c r="F361" s="228"/>
      <c r="I361" s="229"/>
    </row>
    <row r="362" spans="2:9" ht="15.75">
      <c r="B362" s="227"/>
      <c r="F362" s="228"/>
      <c r="I362" s="229"/>
    </row>
    <row r="363" spans="2:9" ht="15.75">
      <c r="B363" s="227"/>
      <c r="F363" s="228"/>
      <c r="I363" s="229"/>
    </row>
    <row r="364" spans="2:9" ht="15.75">
      <c r="B364" s="227"/>
      <c r="F364" s="228"/>
      <c r="I364" s="229"/>
    </row>
    <row r="365" spans="2:9" ht="15.75">
      <c r="B365" s="227"/>
      <c r="F365" s="228"/>
      <c r="I365" s="229"/>
    </row>
    <row r="366" spans="2:9" ht="15.75">
      <c r="B366" s="227"/>
      <c r="F366" s="228"/>
      <c r="I366" s="229"/>
    </row>
    <row r="367" spans="2:9" ht="15.75">
      <c r="B367" s="227"/>
      <c r="F367" s="228"/>
      <c r="I367" s="229"/>
    </row>
    <row r="368" spans="2:9" ht="15.75">
      <c r="B368" s="227"/>
      <c r="F368" s="228"/>
      <c r="I368" s="229"/>
    </row>
    <row r="369" spans="2:9" ht="15.75">
      <c r="B369" s="227"/>
      <c r="F369" s="228"/>
      <c r="I369" s="229"/>
    </row>
    <row r="370" spans="2:9" ht="15.75">
      <c r="B370" s="227"/>
      <c r="F370" s="228"/>
      <c r="I370" s="229"/>
    </row>
    <row r="371" spans="2:9" ht="15.75">
      <c r="B371" s="227"/>
      <c r="F371" s="228"/>
      <c r="I371" s="229"/>
    </row>
    <row r="372" spans="2:9" ht="15.75">
      <c r="B372" s="227"/>
      <c r="F372" s="228"/>
      <c r="I372" s="229"/>
    </row>
    <row r="373" spans="2:9" ht="15.75">
      <c r="B373" s="227"/>
      <c r="F373" s="228"/>
      <c r="I373" s="229"/>
    </row>
    <row r="374" spans="2:9" ht="15.75">
      <c r="B374" s="227"/>
      <c r="F374" s="228"/>
      <c r="I374" s="229"/>
    </row>
    <row r="375" spans="2:9" ht="15.75">
      <c r="B375" s="227"/>
      <c r="F375" s="228"/>
      <c r="I375" s="229"/>
    </row>
    <row r="376" spans="2:9" ht="15.75">
      <c r="B376" s="227"/>
      <c r="F376" s="228"/>
      <c r="I376" s="229"/>
    </row>
    <row r="377" spans="2:9" ht="15.75">
      <c r="B377" s="227"/>
      <c r="F377" s="228"/>
      <c r="I377" s="229"/>
    </row>
    <row r="378" spans="2:9" ht="15.75">
      <c r="B378" s="227"/>
      <c r="F378" s="228"/>
      <c r="I378" s="229"/>
    </row>
    <row r="379" spans="2:9" ht="15.75">
      <c r="B379" s="227"/>
      <c r="F379" s="228"/>
      <c r="I379" s="229"/>
    </row>
    <row r="380" spans="2:9" ht="15.75">
      <c r="B380" s="227"/>
      <c r="F380" s="228"/>
      <c r="I380" s="229"/>
    </row>
    <row r="381" spans="2:9" ht="15.75">
      <c r="B381" s="227"/>
      <c r="F381" s="228"/>
      <c r="I381" s="229"/>
    </row>
    <row r="382" spans="2:9" ht="15.75">
      <c r="B382" s="227"/>
      <c r="F382" s="228"/>
      <c r="I382" s="229"/>
    </row>
    <row r="383" spans="2:9" ht="15.75">
      <c r="B383" s="227"/>
      <c r="F383" s="228"/>
      <c r="I383" s="229"/>
    </row>
    <row r="384" spans="2:9" ht="15.75">
      <c r="B384" s="227"/>
      <c r="F384" s="228"/>
      <c r="I384" s="229"/>
    </row>
    <row r="385" spans="2:9" ht="15.75">
      <c r="B385" s="227"/>
      <c r="F385" s="228"/>
      <c r="I385" s="229"/>
    </row>
    <row r="386" spans="2:9" ht="15.75">
      <c r="B386" s="227"/>
      <c r="F386" s="228"/>
      <c r="I386" s="229"/>
    </row>
    <row r="387" spans="2:9" ht="15.75">
      <c r="B387" s="227"/>
      <c r="F387" s="228"/>
      <c r="I387" s="229"/>
    </row>
    <row r="388" spans="2:9" ht="15.75">
      <c r="B388" s="227"/>
      <c r="F388" s="228"/>
      <c r="I388" s="229"/>
    </row>
    <row r="389" spans="2:9" ht="15.75">
      <c r="B389" s="227"/>
      <c r="F389" s="228"/>
      <c r="I389" s="229"/>
    </row>
    <row r="390" spans="2:9" ht="15.75">
      <c r="B390" s="227"/>
      <c r="F390" s="228"/>
      <c r="I390" s="229"/>
    </row>
    <row r="391" spans="2:9" ht="15.75">
      <c r="B391" s="227"/>
      <c r="F391" s="228"/>
      <c r="I391" s="229"/>
    </row>
    <row r="392" spans="2:9" ht="15.75">
      <c r="B392" s="227"/>
      <c r="F392" s="228"/>
      <c r="I392" s="229"/>
    </row>
    <row r="393" spans="2:9" ht="15.75">
      <c r="B393" s="227"/>
      <c r="F393" s="228"/>
      <c r="I393" s="229"/>
    </row>
    <row r="394" spans="2:9" ht="15.75">
      <c r="B394" s="227"/>
      <c r="F394" s="228"/>
      <c r="I394" s="229"/>
    </row>
    <row r="395" spans="2:9" ht="15.75">
      <c r="B395" s="227"/>
      <c r="F395" s="228"/>
      <c r="I395" s="229"/>
    </row>
    <row r="396" spans="2:9" ht="15.75">
      <c r="B396" s="227"/>
      <c r="F396" s="228"/>
      <c r="I396" s="229"/>
    </row>
    <row r="397" spans="2:9" ht="15.75">
      <c r="B397" s="227"/>
      <c r="F397" s="228"/>
      <c r="I397" s="229"/>
    </row>
    <row r="398" spans="2:9" ht="15.75">
      <c r="B398" s="227"/>
      <c r="F398" s="228"/>
      <c r="I398" s="229"/>
    </row>
    <row r="399" spans="2:9" ht="15.75">
      <c r="B399" s="227"/>
      <c r="F399" s="228"/>
      <c r="I399" s="229"/>
    </row>
    <row r="400" spans="2:9" ht="15.75">
      <c r="B400" s="227"/>
      <c r="F400" s="228"/>
      <c r="I400" s="229"/>
    </row>
    <row r="401" spans="2:9" ht="15.75">
      <c r="B401" s="227"/>
      <c r="F401" s="228"/>
      <c r="I401" s="229"/>
    </row>
    <row r="402" spans="2:9" ht="15.75">
      <c r="B402" s="227"/>
      <c r="F402" s="228"/>
      <c r="I402" s="229"/>
    </row>
    <row r="403" spans="2:9" ht="15.75">
      <c r="B403" s="227"/>
      <c r="F403" s="228"/>
      <c r="I403" s="229"/>
    </row>
    <row r="404" spans="2:9" ht="15.75">
      <c r="B404" s="227"/>
      <c r="F404" s="228"/>
      <c r="I404" s="229"/>
    </row>
    <row r="405" spans="2:9" ht="15.75">
      <c r="B405" s="227"/>
      <c r="F405" s="228"/>
      <c r="I405" s="229"/>
    </row>
    <row r="406" spans="2:9" ht="15.75">
      <c r="B406" s="227"/>
      <c r="F406" s="228"/>
      <c r="I406" s="229"/>
    </row>
    <row r="407" spans="2:9" ht="15.75">
      <c r="B407" s="227"/>
      <c r="F407" s="228"/>
      <c r="I407" s="229"/>
    </row>
    <row r="408" spans="2:9" ht="15.75">
      <c r="B408" s="227"/>
      <c r="F408" s="228"/>
      <c r="I408" s="229"/>
    </row>
    <row r="409" spans="2:9" ht="15.75">
      <c r="B409" s="227"/>
      <c r="F409" s="228"/>
      <c r="I409" s="229"/>
    </row>
    <row r="410" spans="2:9" ht="15.75">
      <c r="B410" s="227"/>
      <c r="F410" s="228"/>
      <c r="I410" s="229"/>
    </row>
    <row r="411" spans="2:9" ht="15.75">
      <c r="B411" s="227"/>
      <c r="F411" s="228"/>
      <c r="I411" s="229"/>
    </row>
    <row r="412" spans="2:9" ht="15.75">
      <c r="B412" s="227"/>
      <c r="F412" s="228"/>
      <c r="I412" s="229"/>
    </row>
    <row r="413" spans="2:9" ht="15.75">
      <c r="B413" s="227"/>
      <c r="F413" s="228"/>
      <c r="I413" s="229"/>
    </row>
    <row r="414" spans="2:9" ht="15.75">
      <c r="B414" s="227"/>
      <c r="F414" s="228"/>
      <c r="I414" s="229"/>
    </row>
    <row r="415" spans="2:9" ht="15.75">
      <c r="B415" s="227"/>
      <c r="F415" s="228"/>
      <c r="I415" s="229"/>
    </row>
    <row r="416" spans="2:9" ht="15.75">
      <c r="B416" s="227"/>
      <c r="F416" s="228"/>
      <c r="I416" s="229"/>
    </row>
    <row r="417" spans="2:9" ht="15.75">
      <c r="B417" s="227"/>
      <c r="F417" s="228"/>
      <c r="I417" s="229"/>
    </row>
    <row r="418" spans="2:9" ht="15.75">
      <c r="B418" s="227"/>
      <c r="F418" s="228"/>
      <c r="I418" s="229"/>
    </row>
    <row r="419" spans="2:9" ht="15.75">
      <c r="B419" s="227"/>
      <c r="F419" s="228"/>
      <c r="I419" s="229"/>
    </row>
    <row r="420" spans="2:9" ht="15.75">
      <c r="B420" s="227"/>
      <c r="F420" s="228"/>
      <c r="I420" s="229"/>
    </row>
    <row r="421" spans="2:9" ht="15.75">
      <c r="B421" s="227"/>
      <c r="F421" s="228"/>
      <c r="I421" s="229"/>
    </row>
    <row r="422" spans="2:9" ht="15.75">
      <c r="B422" s="227"/>
      <c r="F422" s="228"/>
      <c r="I422" s="229"/>
    </row>
    <row r="423" spans="2:9" ht="15.75">
      <c r="B423" s="227"/>
      <c r="F423" s="228"/>
      <c r="I423" s="229"/>
    </row>
    <row r="424" spans="2:9" ht="15.75">
      <c r="B424" s="227"/>
      <c r="F424" s="228"/>
      <c r="I424" s="229"/>
    </row>
    <row r="425" spans="2:9" ht="15.75">
      <c r="B425" s="227"/>
      <c r="F425" s="228"/>
      <c r="I425" s="229"/>
    </row>
    <row r="426" spans="2:9" ht="15.75">
      <c r="B426" s="227"/>
      <c r="F426" s="228"/>
      <c r="I426" s="229"/>
    </row>
    <row r="427" spans="2:9" ht="15.75">
      <c r="B427" s="227"/>
      <c r="F427" s="228"/>
      <c r="I427" s="229"/>
    </row>
    <row r="428" spans="2:9" ht="15.75">
      <c r="B428" s="227"/>
      <c r="F428" s="228"/>
      <c r="I428" s="229"/>
    </row>
    <row r="429" spans="2:9" ht="15.75">
      <c r="B429" s="227"/>
      <c r="F429" s="228"/>
      <c r="I429" s="229"/>
    </row>
    <row r="430" spans="2:9" ht="15.75">
      <c r="B430" s="227"/>
      <c r="F430" s="228"/>
      <c r="I430" s="229"/>
    </row>
    <row r="431" spans="2:9" ht="15.75">
      <c r="B431" s="227"/>
      <c r="F431" s="228"/>
      <c r="I431" s="229"/>
    </row>
    <row r="432" spans="2:9" ht="15.75">
      <c r="B432" s="227"/>
      <c r="F432" s="228"/>
      <c r="I432" s="229"/>
    </row>
    <row r="433" spans="2:9" ht="15.75">
      <c r="B433" s="227"/>
      <c r="F433" s="228"/>
      <c r="I433" s="229"/>
    </row>
    <row r="434" spans="2:9" ht="15.75">
      <c r="B434" s="227"/>
      <c r="F434" s="228"/>
      <c r="I434" s="229"/>
    </row>
    <row r="435" spans="2:9" ht="15.75">
      <c r="B435" s="227"/>
      <c r="F435" s="228"/>
      <c r="I435" s="229"/>
    </row>
    <row r="436" spans="2:9" ht="15.75">
      <c r="B436" s="227"/>
      <c r="F436" s="228"/>
      <c r="I436" s="229"/>
    </row>
    <row r="437" spans="2:9" ht="15.75">
      <c r="B437" s="227"/>
      <c r="F437" s="228"/>
      <c r="I437" s="229"/>
    </row>
    <row r="438" spans="2:9" ht="15.75">
      <c r="B438" s="227"/>
      <c r="F438" s="228"/>
      <c r="I438" s="229"/>
    </row>
    <row r="439" spans="2:9" ht="15.75">
      <c r="B439" s="227"/>
      <c r="F439" s="228"/>
      <c r="I439" s="229"/>
    </row>
    <row r="440" spans="2:9" ht="15.75">
      <c r="B440" s="227"/>
      <c r="F440" s="228"/>
      <c r="I440" s="229"/>
    </row>
    <row r="441" spans="2:9" ht="15.75">
      <c r="B441" s="227"/>
      <c r="F441" s="228"/>
      <c r="I441" s="229"/>
    </row>
    <row r="442" spans="2:9" ht="15.75">
      <c r="B442" s="227"/>
      <c r="F442" s="228"/>
      <c r="I442" s="229"/>
    </row>
    <row r="443" spans="2:9" ht="15.75">
      <c r="B443" s="227"/>
      <c r="F443" s="228"/>
      <c r="I443" s="229"/>
    </row>
    <row r="444" spans="2:9" ht="15.75">
      <c r="B444" s="227"/>
      <c r="F444" s="228"/>
      <c r="I444" s="229"/>
    </row>
    <row r="445" spans="2:9" ht="15.75">
      <c r="B445" s="227"/>
      <c r="F445" s="228"/>
      <c r="I445" s="229"/>
    </row>
    <row r="446" spans="2:9" ht="15.75">
      <c r="B446" s="227"/>
      <c r="F446" s="228"/>
      <c r="I446" s="229"/>
    </row>
    <row r="447" spans="2:9" ht="15.75">
      <c r="B447" s="227"/>
      <c r="F447" s="228"/>
      <c r="I447" s="229"/>
    </row>
    <row r="448" spans="2:9" ht="15.75">
      <c r="B448" s="227"/>
      <c r="F448" s="228"/>
      <c r="I448" s="229"/>
    </row>
    <row r="449" spans="2:9" ht="15.75">
      <c r="B449" s="227"/>
      <c r="F449" s="228"/>
      <c r="I449" s="229"/>
    </row>
    <row r="450" spans="2:9" ht="15.75">
      <c r="B450" s="227"/>
      <c r="F450" s="228"/>
      <c r="I450" s="229"/>
    </row>
    <row r="451" spans="2:9" ht="15.75">
      <c r="B451" s="227"/>
      <c r="F451" s="228"/>
      <c r="I451" s="229"/>
    </row>
    <row r="452" spans="2:9" ht="15.75">
      <c r="B452" s="227"/>
      <c r="F452" s="228"/>
      <c r="I452" s="229"/>
    </row>
    <row r="453" spans="2:9" ht="15.75">
      <c r="B453" s="227"/>
      <c r="F453" s="228"/>
      <c r="I453" s="229"/>
    </row>
    <row r="454" spans="2:9" ht="15.75">
      <c r="B454" s="227"/>
      <c r="F454" s="228"/>
      <c r="I454" s="229"/>
    </row>
    <row r="455" spans="2:9" ht="15.75">
      <c r="B455" s="227"/>
      <c r="F455" s="228"/>
      <c r="I455" s="229"/>
    </row>
    <row r="456" spans="2:9" ht="15.75">
      <c r="B456" s="227"/>
      <c r="F456" s="228"/>
      <c r="I456" s="229"/>
    </row>
    <row r="457" spans="2:9" ht="15.75">
      <c r="B457" s="227"/>
      <c r="F457" s="228"/>
      <c r="I457" s="229"/>
    </row>
    <row r="458" spans="2:9" ht="15.75">
      <c r="B458" s="227"/>
      <c r="F458" s="228"/>
      <c r="I458" s="229"/>
    </row>
    <row r="459" spans="2:9" ht="15.75">
      <c r="B459" s="227"/>
      <c r="F459" s="228"/>
      <c r="I459" s="229"/>
    </row>
    <row r="460" spans="2:9" ht="15.75">
      <c r="B460" s="227"/>
      <c r="F460" s="228"/>
      <c r="I460" s="229"/>
    </row>
    <row r="461" spans="2:9" ht="15.75">
      <c r="B461" s="227"/>
      <c r="F461" s="228"/>
      <c r="I461" s="229"/>
    </row>
    <row r="462" spans="2:9" ht="15.75">
      <c r="B462" s="227"/>
      <c r="F462" s="228"/>
      <c r="I462" s="229"/>
    </row>
    <row r="463" spans="2:9" ht="15.75">
      <c r="B463" s="227"/>
      <c r="F463" s="228"/>
      <c r="I463" s="229"/>
    </row>
    <row r="464" spans="2:9" ht="15.75">
      <c r="B464" s="227"/>
      <c r="F464" s="228"/>
      <c r="I464" s="229"/>
    </row>
    <row r="465" spans="2:9" ht="15.75">
      <c r="B465" s="227"/>
      <c r="F465" s="228"/>
      <c r="I465" s="229"/>
    </row>
    <row r="466" spans="2:9" ht="15.75">
      <c r="B466" s="227"/>
      <c r="F466" s="228"/>
      <c r="I466" s="229"/>
    </row>
    <row r="467" spans="2:9" ht="15.75">
      <c r="B467" s="227"/>
      <c r="F467" s="228"/>
      <c r="I467" s="229"/>
    </row>
    <row r="468" spans="2:9" ht="15.75">
      <c r="B468" s="227"/>
      <c r="F468" s="228"/>
      <c r="I468" s="229"/>
    </row>
    <row r="469" spans="2:9" ht="15.75">
      <c r="B469" s="227"/>
      <c r="F469" s="228"/>
      <c r="I469" s="229"/>
    </row>
    <row r="470" spans="2:9" ht="15.75">
      <c r="B470" s="227"/>
      <c r="F470" s="228"/>
      <c r="I470" s="229"/>
    </row>
    <row r="471" spans="2:9" ht="15.75">
      <c r="B471" s="227"/>
      <c r="F471" s="228"/>
      <c r="I471" s="229"/>
    </row>
    <row r="472" spans="2:9" ht="15.75">
      <c r="B472" s="227"/>
      <c r="F472" s="228"/>
      <c r="I472" s="229"/>
    </row>
    <row r="473" spans="2:9" ht="15.75">
      <c r="B473" s="227"/>
      <c r="F473" s="228"/>
      <c r="I473" s="229"/>
    </row>
    <row r="474" spans="2:9" ht="15.75">
      <c r="B474" s="227"/>
      <c r="F474" s="228"/>
      <c r="I474" s="229"/>
    </row>
    <row r="475" spans="2:9" ht="15.75">
      <c r="B475" s="227"/>
      <c r="F475" s="228"/>
      <c r="I475" s="229"/>
    </row>
    <row r="476" spans="2:9" ht="15.75">
      <c r="B476" s="227"/>
      <c r="F476" s="228"/>
      <c r="I476" s="229"/>
    </row>
    <row r="477" spans="2:9" ht="15.75">
      <c r="B477" s="227"/>
      <c r="F477" s="228"/>
      <c r="I477" s="229"/>
    </row>
    <row r="478" spans="2:9" ht="15.75">
      <c r="B478" s="227"/>
      <c r="F478" s="228"/>
      <c r="I478" s="229"/>
    </row>
    <row r="479" spans="2:9" ht="15.75">
      <c r="B479" s="227"/>
      <c r="F479" s="228"/>
      <c r="I479" s="229"/>
    </row>
    <row r="480" spans="2:9" ht="15.75">
      <c r="B480" s="227"/>
      <c r="F480" s="228"/>
      <c r="I480" s="229"/>
    </row>
    <row r="481" spans="2:9" ht="15.75">
      <c r="B481" s="227"/>
      <c r="F481" s="228"/>
      <c r="I481" s="229"/>
    </row>
    <row r="482" spans="2:9" ht="15.75">
      <c r="B482" s="227"/>
      <c r="F482" s="228"/>
      <c r="I482" s="229"/>
    </row>
    <row r="483" spans="2:9" ht="15.75">
      <c r="B483" s="227"/>
      <c r="F483" s="228"/>
      <c r="I483" s="229"/>
    </row>
    <row r="484" spans="2:9" ht="15.75">
      <c r="B484" s="227"/>
      <c r="F484" s="228"/>
      <c r="I484" s="229"/>
    </row>
    <row r="485" spans="2:9" ht="15.75">
      <c r="B485" s="227"/>
      <c r="F485" s="228"/>
      <c r="I485" s="229"/>
    </row>
    <row r="486" spans="2:9" ht="15.75">
      <c r="B486" s="227"/>
      <c r="F486" s="228"/>
      <c r="I486" s="229"/>
    </row>
    <row r="487" spans="2:9" ht="15.75">
      <c r="B487" s="227"/>
      <c r="F487" s="228"/>
      <c r="I487" s="229"/>
    </row>
    <row r="488" spans="2:9" ht="15.75">
      <c r="B488" s="227"/>
      <c r="F488" s="228"/>
      <c r="I488" s="229"/>
    </row>
    <row r="489" spans="2:9" ht="15.75">
      <c r="B489" s="227"/>
      <c r="F489" s="228"/>
      <c r="I489" s="229"/>
    </row>
    <row r="490" spans="2:9" ht="15.75">
      <c r="B490" s="227"/>
      <c r="F490" s="228"/>
      <c r="I490" s="229"/>
    </row>
    <row r="491" spans="2:9" ht="15.75">
      <c r="B491" s="227"/>
      <c r="F491" s="228"/>
      <c r="I491" s="229"/>
    </row>
    <row r="492" spans="2:9" ht="15.75">
      <c r="B492" s="227"/>
      <c r="F492" s="228"/>
      <c r="I492" s="229"/>
    </row>
    <row r="493" spans="2:9" ht="15.75">
      <c r="B493" s="227"/>
      <c r="F493" s="228"/>
      <c r="I493" s="229"/>
    </row>
    <row r="494" spans="2:9" ht="15.75">
      <c r="B494" s="227"/>
      <c r="F494" s="228"/>
      <c r="I494" s="229"/>
    </row>
    <row r="495" spans="2:9" ht="15.75">
      <c r="B495" s="227"/>
      <c r="F495" s="228"/>
      <c r="I495" s="229"/>
    </row>
    <row r="496" spans="2:9" ht="15.75">
      <c r="B496" s="227"/>
      <c r="F496" s="228"/>
      <c r="I496" s="229"/>
    </row>
    <row r="497" spans="2:9" ht="15.75">
      <c r="B497" s="227"/>
      <c r="F497" s="228"/>
      <c r="I497" s="229"/>
    </row>
    <row r="498" spans="2:9" ht="15.75">
      <c r="B498" s="227"/>
      <c r="F498" s="228"/>
      <c r="I498" s="229"/>
    </row>
    <row r="499" spans="2:9" ht="15.75">
      <c r="B499" s="227"/>
      <c r="F499" s="228"/>
      <c r="I499" s="229"/>
    </row>
    <row r="500" spans="2:9" ht="15.75">
      <c r="B500" s="227"/>
      <c r="F500" s="228"/>
      <c r="I500" s="229"/>
    </row>
    <row r="501" spans="2:9" ht="15.75">
      <c r="B501" s="227"/>
      <c r="F501" s="228"/>
      <c r="I501" s="229"/>
    </row>
    <row r="502" spans="2:9" ht="15.75">
      <c r="B502" s="227"/>
      <c r="F502" s="228"/>
      <c r="I502" s="229"/>
    </row>
    <row r="503" spans="2:9" ht="15.75">
      <c r="B503" s="227"/>
      <c r="F503" s="228"/>
      <c r="I503" s="229"/>
    </row>
    <row r="504" spans="2:9" ht="15.75">
      <c r="B504" s="227"/>
      <c r="F504" s="228"/>
      <c r="I504" s="229"/>
    </row>
    <row r="505" spans="2:9" ht="15.75">
      <c r="B505" s="227"/>
      <c r="F505" s="228"/>
      <c r="I505" s="229"/>
    </row>
    <row r="506" spans="2:9" ht="15.75">
      <c r="B506" s="227"/>
      <c r="F506" s="228"/>
      <c r="I506" s="229"/>
    </row>
    <row r="507" spans="2:9" ht="15.75">
      <c r="B507" s="227"/>
      <c r="F507" s="228"/>
      <c r="I507" s="229"/>
    </row>
    <row r="508" spans="2:9" ht="15.75">
      <c r="B508" s="227"/>
      <c r="F508" s="228"/>
      <c r="I508" s="229"/>
    </row>
    <row r="509" spans="2:9" ht="15.75">
      <c r="B509" s="227"/>
      <c r="F509" s="228"/>
      <c r="I509" s="229"/>
    </row>
    <row r="510" spans="2:9" ht="15.75">
      <c r="B510" s="227"/>
      <c r="F510" s="228"/>
      <c r="I510" s="229"/>
    </row>
    <row r="511" spans="2:9" ht="15.75">
      <c r="B511" s="227"/>
      <c r="F511" s="228"/>
      <c r="I511" s="229"/>
    </row>
    <row r="512" spans="2:9" ht="15.75">
      <c r="B512" s="227"/>
      <c r="F512" s="228"/>
      <c r="I512" s="229"/>
    </row>
    <row r="513" spans="2:9" ht="15.75">
      <c r="B513" s="227"/>
      <c r="F513" s="228"/>
      <c r="I513" s="229"/>
    </row>
    <row r="514" spans="2:9" ht="15.75">
      <c r="B514" s="227"/>
      <c r="F514" s="228"/>
      <c r="I514" s="229"/>
    </row>
    <row r="515" spans="2:9" ht="15.75">
      <c r="B515" s="227"/>
      <c r="F515" s="228"/>
      <c r="I515" s="229"/>
    </row>
    <row r="516" spans="2:9" ht="15.75">
      <c r="B516" s="227"/>
      <c r="F516" s="228"/>
      <c r="I516" s="229"/>
    </row>
    <row r="517" spans="2:9" ht="15.75">
      <c r="B517" s="227"/>
      <c r="F517" s="228"/>
      <c r="I517" s="229"/>
    </row>
    <row r="518" spans="2:9" ht="15.75">
      <c r="B518" s="227"/>
      <c r="F518" s="228"/>
      <c r="I518" s="229"/>
    </row>
    <row r="519" spans="2:9" ht="15.75">
      <c r="B519" s="227"/>
      <c r="F519" s="228"/>
      <c r="I519" s="229"/>
    </row>
    <row r="520" spans="2:9" ht="15.75">
      <c r="B520" s="227"/>
      <c r="F520" s="228"/>
      <c r="I520" s="229"/>
    </row>
    <row r="521" spans="2:9" ht="15.75">
      <c r="B521" s="227"/>
      <c r="F521" s="228"/>
      <c r="I521" s="229"/>
    </row>
    <row r="522" spans="2:9" ht="15.75">
      <c r="B522" s="227"/>
      <c r="F522" s="228"/>
      <c r="I522" s="229"/>
    </row>
    <row r="523" spans="2:9" ht="15.75">
      <c r="B523" s="227"/>
      <c r="F523" s="228"/>
      <c r="I523" s="229"/>
    </row>
    <row r="524" spans="2:9" ht="15.75">
      <c r="B524" s="227"/>
      <c r="F524" s="228"/>
      <c r="I524" s="229"/>
    </row>
    <row r="525" spans="2:9" ht="15.75">
      <c r="B525" s="227"/>
      <c r="F525" s="228"/>
      <c r="I525" s="229"/>
    </row>
    <row r="526" spans="2:9" ht="15.75">
      <c r="B526" s="227"/>
      <c r="F526" s="228"/>
      <c r="I526" s="229"/>
    </row>
    <row r="527" spans="2:9" ht="15.75">
      <c r="B527" s="227"/>
      <c r="F527" s="228"/>
      <c r="I527" s="229"/>
    </row>
    <row r="528" spans="2:9" ht="15.75">
      <c r="B528" s="227"/>
      <c r="F528" s="228"/>
      <c r="I528" s="229"/>
    </row>
    <row r="529" spans="2:9" ht="15.75">
      <c r="B529" s="227"/>
      <c r="F529" s="228"/>
      <c r="I529" s="229"/>
    </row>
    <row r="530" spans="2:9" ht="15.75">
      <c r="B530" s="227"/>
      <c r="F530" s="228"/>
      <c r="I530" s="229"/>
    </row>
    <row r="531" spans="2:9" ht="15.75">
      <c r="B531" s="227"/>
      <c r="F531" s="228"/>
      <c r="I531" s="229"/>
    </row>
    <row r="532" spans="2:9" ht="15.75">
      <c r="B532" s="227"/>
      <c r="F532" s="228"/>
      <c r="I532" s="229"/>
    </row>
    <row r="533" spans="2:9" ht="15.75">
      <c r="B533" s="227"/>
      <c r="F533" s="228"/>
      <c r="I533" s="229"/>
    </row>
    <row r="534" spans="2:9" ht="15.75">
      <c r="B534" s="227"/>
      <c r="F534" s="228"/>
      <c r="I534" s="229"/>
    </row>
    <row r="535" spans="2:9" ht="15.75">
      <c r="B535" s="227"/>
      <c r="F535" s="228"/>
      <c r="I535" s="229"/>
    </row>
    <row r="536" spans="2:9" ht="15.75">
      <c r="B536" s="227"/>
      <c r="F536" s="228"/>
      <c r="I536" s="229"/>
    </row>
    <row r="537" spans="2:9" ht="15.75">
      <c r="B537" s="227"/>
      <c r="F537" s="228"/>
      <c r="I537" s="229"/>
    </row>
    <row r="538" spans="2:9" ht="15.75">
      <c r="B538" s="227"/>
      <c r="F538" s="228"/>
      <c r="I538" s="229"/>
    </row>
    <row r="539" spans="2:9" ht="15.75">
      <c r="B539" s="227"/>
      <c r="F539" s="228"/>
      <c r="I539" s="229"/>
    </row>
    <row r="540" spans="2:9" ht="15.75">
      <c r="B540" s="227"/>
      <c r="F540" s="228"/>
      <c r="I540" s="229"/>
    </row>
    <row r="541" spans="2:9" ht="15.75">
      <c r="B541" s="227"/>
      <c r="F541" s="228"/>
      <c r="I541" s="229"/>
    </row>
    <row r="542" spans="2:9" ht="15.75">
      <c r="B542" s="227"/>
      <c r="F542" s="228"/>
      <c r="I542" s="229"/>
    </row>
    <row r="543" spans="2:9" ht="15.75">
      <c r="B543" s="227"/>
      <c r="F543" s="228"/>
      <c r="I543" s="229"/>
    </row>
    <row r="544" spans="2:9" ht="15.75">
      <c r="B544" s="227"/>
      <c r="F544" s="228"/>
      <c r="I544" s="229"/>
    </row>
    <row r="545" spans="2:9" ht="15.75">
      <c r="B545" s="227"/>
      <c r="F545" s="228"/>
      <c r="I545" s="229"/>
    </row>
    <row r="546" spans="2:9" ht="15.75">
      <c r="B546" s="227"/>
      <c r="F546" s="228"/>
      <c r="I546" s="229"/>
    </row>
    <row r="547" spans="2:9" ht="15.75">
      <c r="B547" s="227"/>
      <c r="F547" s="228"/>
      <c r="I547" s="229"/>
    </row>
    <row r="548" spans="2:9" ht="15.75">
      <c r="B548" s="227"/>
      <c r="F548" s="228"/>
      <c r="I548" s="229"/>
    </row>
    <row r="549" spans="2:9" ht="15.75">
      <c r="B549" s="227"/>
      <c r="F549" s="228"/>
      <c r="I549" s="229"/>
    </row>
    <row r="550" spans="2:9" ht="15.75">
      <c r="B550" s="227"/>
      <c r="F550" s="228"/>
      <c r="I550" s="229"/>
    </row>
    <row r="551" spans="2:9" ht="15.75">
      <c r="B551" s="227"/>
      <c r="F551" s="228"/>
      <c r="I551" s="229"/>
    </row>
    <row r="552" spans="2:9" ht="15.75">
      <c r="B552" s="227"/>
      <c r="F552" s="228"/>
      <c r="I552" s="229"/>
    </row>
    <row r="553" spans="2:9" ht="15.75">
      <c r="B553" s="227"/>
      <c r="F553" s="228"/>
      <c r="I553" s="229"/>
    </row>
    <row r="554" spans="2:9" ht="15.75">
      <c r="B554" s="227"/>
      <c r="F554" s="228"/>
      <c r="I554" s="229"/>
    </row>
    <row r="555" spans="2:9" ht="15.75">
      <c r="B555" s="227"/>
      <c r="F555" s="228"/>
      <c r="I555" s="229"/>
    </row>
    <row r="556" spans="2:9" ht="15.75">
      <c r="B556" s="227"/>
      <c r="F556" s="228"/>
      <c r="I556" s="229"/>
    </row>
    <row r="557" spans="2:9" ht="15.75">
      <c r="B557" s="227"/>
      <c r="F557" s="228"/>
      <c r="I557" s="229"/>
    </row>
    <row r="558" spans="2:9" ht="15.75">
      <c r="B558" s="227"/>
      <c r="F558" s="228"/>
      <c r="I558" s="229"/>
    </row>
    <row r="559" spans="2:9" ht="15.75">
      <c r="B559" s="227"/>
      <c r="F559" s="228"/>
      <c r="I559" s="229"/>
    </row>
    <row r="560" spans="2:9" ht="15.75">
      <c r="B560" s="227"/>
      <c r="F560" s="228"/>
      <c r="I560" s="229"/>
    </row>
    <row r="561" spans="2:9" ht="15.75">
      <c r="B561" s="227"/>
      <c r="F561" s="228"/>
      <c r="I561" s="229"/>
    </row>
    <row r="562" spans="2:9" ht="15.75">
      <c r="B562" s="227"/>
      <c r="F562" s="228"/>
      <c r="I562" s="229"/>
    </row>
    <row r="563" spans="2:9" ht="15.75">
      <c r="B563" s="227"/>
      <c r="F563" s="228"/>
      <c r="I563" s="229"/>
    </row>
    <row r="564" spans="2:9" ht="15.75">
      <c r="B564" s="227"/>
      <c r="F564" s="228"/>
      <c r="I564" s="229"/>
    </row>
    <row r="565" spans="2:9" ht="15.75">
      <c r="B565" s="227"/>
      <c r="F565" s="228"/>
      <c r="I565" s="229"/>
    </row>
    <row r="566" spans="2:9" ht="15.75">
      <c r="B566" s="227"/>
      <c r="F566" s="228"/>
      <c r="I566" s="229"/>
    </row>
    <row r="567" spans="2:9" ht="15.75">
      <c r="B567" s="227"/>
      <c r="F567" s="228"/>
      <c r="I567" s="229"/>
    </row>
    <row r="568" spans="2:9" ht="15.75">
      <c r="B568" s="227"/>
      <c r="F568" s="228"/>
      <c r="I568" s="229"/>
    </row>
    <row r="569" spans="2:9" ht="15.75">
      <c r="B569" s="227"/>
      <c r="F569" s="228"/>
      <c r="I569" s="229"/>
    </row>
    <row r="570" spans="2:9" ht="15.75">
      <c r="B570" s="227"/>
      <c r="F570" s="228"/>
      <c r="I570" s="229"/>
    </row>
    <row r="571" spans="2:9" ht="15.75">
      <c r="B571" s="227"/>
      <c r="F571" s="228"/>
      <c r="I571" s="229"/>
    </row>
    <row r="572" spans="2:9" ht="15.75">
      <c r="B572" s="227"/>
      <c r="F572" s="228"/>
      <c r="I572" s="229"/>
    </row>
    <row r="573" spans="2:9" ht="15.75">
      <c r="B573" s="227"/>
      <c r="F573" s="228"/>
      <c r="I573" s="229"/>
    </row>
    <row r="574" spans="2:9" ht="15.75">
      <c r="B574" s="227"/>
      <c r="F574" s="228"/>
      <c r="I574" s="229"/>
    </row>
    <row r="575" spans="2:9" ht="15.75">
      <c r="B575" s="227"/>
      <c r="F575" s="228"/>
      <c r="I575" s="229"/>
    </row>
    <row r="576" spans="2:9" ht="15.75">
      <c r="B576" s="227"/>
      <c r="F576" s="228"/>
      <c r="I576" s="229"/>
    </row>
    <row r="577" spans="2:9" ht="15.75">
      <c r="B577" s="227"/>
      <c r="F577" s="228"/>
      <c r="I577" s="229"/>
    </row>
    <row r="578" spans="2:9" ht="15.75">
      <c r="B578" s="227"/>
      <c r="F578" s="228"/>
      <c r="I578" s="229"/>
    </row>
    <row r="579" spans="2:9" ht="15.75">
      <c r="B579" s="227"/>
      <c r="F579" s="228"/>
      <c r="I579" s="229"/>
    </row>
    <row r="580" spans="2:9" ht="15.75">
      <c r="B580" s="227"/>
      <c r="F580" s="228"/>
      <c r="I580" s="229"/>
    </row>
    <row r="581" spans="2:9" ht="15.75">
      <c r="B581" s="227"/>
      <c r="F581" s="228"/>
      <c r="I581" s="229"/>
    </row>
    <row r="582" spans="2:9" ht="15.75">
      <c r="B582" s="227"/>
      <c r="F582" s="228"/>
      <c r="I582" s="229"/>
    </row>
    <row r="583" spans="2:9" ht="15.75">
      <c r="B583" s="227"/>
      <c r="F583" s="228"/>
      <c r="I583" s="229"/>
    </row>
    <row r="584" spans="2:9" ht="15.75">
      <c r="B584" s="227"/>
      <c r="F584" s="228"/>
      <c r="I584" s="229"/>
    </row>
    <row r="585" spans="2:9" ht="15.75">
      <c r="B585" s="227"/>
      <c r="F585" s="228"/>
      <c r="I585" s="229"/>
    </row>
    <row r="586" spans="2:9" ht="15.75">
      <c r="B586" s="227"/>
      <c r="F586" s="228"/>
      <c r="I586" s="229"/>
    </row>
    <row r="587" spans="2:9" ht="15.75">
      <c r="B587" s="227"/>
      <c r="F587" s="228"/>
      <c r="I587" s="229"/>
    </row>
    <row r="588" spans="2:9" ht="15.75">
      <c r="B588" s="227"/>
      <c r="F588" s="228"/>
      <c r="I588" s="229"/>
    </row>
    <row r="589" spans="2:9" ht="15.75">
      <c r="B589" s="227"/>
      <c r="F589" s="228"/>
      <c r="I589" s="229"/>
    </row>
    <row r="590" spans="2:9" ht="15.75">
      <c r="B590" s="227"/>
      <c r="F590" s="228"/>
      <c r="I590" s="229"/>
    </row>
    <row r="591" spans="2:9" ht="15.75">
      <c r="B591" s="227"/>
      <c r="F591" s="228"/>
      <c r="I591" s="229"/>
    </row>
    <row r="592" spans="2:9" ht="15.75">
      <c r="B592" s="227"/>
      <c r="F592" s="228"/>
      <c r="I592" s="229"/>
    </row>
    <row r="593" spans="2:9" ht="15.75">
      <c r="B593" s="227"/>
      <c r="F593" s="228"/>
      <c r="I593" s="229"/>
    </row>
    <row r="594" spans="2:9" ht="15.75">
      <c r="B594" s="227"/>
      <c r="F594" s="228"/>
      <c r="I594" s="229"/>
    </row>
    <row r="595" spans="2:9" ht="15.75">
      <c r="B595" s="227"/>
      <c r="F595" s="228"/>
      <c r="I595" s="229"/>
    </row>
    <row r="596" spans="2:9" ht="15.75">
      <c r="B596" s="227"/>
      <c r="F596" s="228"/>
      <c r="I596" s="229"/>
    </row>
    <row r="597" spans="2:9" ht="15.75">
      <c r="B597" s="227"/>
      <c r="F597" s="228"/>
      <c r="I597" s="229"/>
    </row>
    <row r="598" spans="2:9" ht="15.75">
      <c r="B598" s="227"/>
      <c r="F598" s="228"/>
      <c r="I598" s="229"/>
    </row>
    <row r="599" spans="2:9" ht="15.75">
      <c r="B599" s="227"/>
      <c r="F599" s="228"/>
      <c r="I599" s="229"/>
    </row>
    <row r="600" spans="2:9" ht="15.75">
      <c r="B600" s="227"/>
      <c r="F600" s="228"/>
      <c r="I600" s="229"/>
    </row>
    <row r="601" spans="2:9" ht="15.75">
      <c r="B601" s="227"/>
      <c r="F601" s="228"/>
      <c r="I601" s="229"/>
    </row>
    <row r="602" spans="2:9" ht="15.75">
      <c r="B602" s="227"/>
      <c r="F602" s="228"/>
      <c r="I602" s="229"/>
    </row>
    <row r="603" spans="2:9" ht="15.75">
      <c r="B603" s="227"/>
      <c r="F603" s="228"/>
      <c r="I603" s="229"/>
    </row>
    <row r="604" spans="2:9" ht="15.75">
      <c r="B604" s="227"/>
      <c r="F604" s="228"/>
      <c r="I604" s="229"/>
    </row>
    <row r="605" spans="2:9" ht="15.75">
      <c r="B605" s="227"/>
      <c r="F605" s="228"/>
      <c r="I605" s="229"/>
    </row>
    <row r="606" spans="2:9" ht="15.75">
      <c r="B606" s="227"/>
      <c r="F606" s="228"/>
      <c r="I606" s="229"/>
    </row>
    <row r="607" spans="2:9" ht="15.75">
      <c r="B607" s="227"/>
      <c r="F607" s="228"/>
      <c r="I607" s="229"/>
    </row>
    <row r="608" spans="2:9" ht="15.75">
      <c r="B608" s="227"/>
      <c r="F608" s="228"/>
      <c r="I608" s="229"/>
    </row>
    <row r="609" spans="2:9" ht="15.75">
      <c r="B609" s="227"/>
      <c r="F609" s="228"/>
      <c r="I609" s="229"/>
    </row>
    <row r="610" spans="2:9" ht="15.75">
      <c r="B610" s="227"/>
      <c r="F610" s="228"/>
      <c r="I610" s="229"/>
    </row>
    <row r="611" spans="2:9" ht="15.75">
      <c r="B611" s="227"/>
      <c r="F611" s="228"/>
      <c r="I611" s="229"/>
    </row>
    <row r="612" spans="2:9" ht="15.75">
      <c r="B612" s="227"/>
      <c r="F612" s="228"/>
      <c r="I612" s="229"/>
    </row>
    <row r="613" spans="2:9" ht="15.75">
      <c r="B613" s="227"/>
      <c r="F613" s="228"/>
      <c r="I613" s="229"/>
    </row>
    <row r="614" spans="2:9" ht="15.75">
      <c r="B614" s="227"/>
      <c r="F614" s="228"/>
      <c r="I614" s="229"/>
    </row>
    <row r="615" spans="2:9" ht="15.75">
      <c r="B615" s="227"/>
      <c r="F615" s="228"/>
      <c r="I615" s="229"/>
    </row>
    <row r="616" spans="2:9" ht="15.75">
      <c r="B616" s="227"/>
      <c r="F616" s="228"/>
      <c r="I616" s="229"/>
    </row>
    <row r="617" spans="2:9" ht="15.75">
      <c r="B617" s="227"/>
      <c r="F617" s="228"/>
      <c r="I617" s="229"/>
    </row>
    <row r="618" spans="2:9" ht="15.75">
      <c r="B618" s="227"/>
      <c r="F618" s="228"/>
      <c r="I618" s="229"/>
    </row>
    <row r="619" spans="2:9" ht="15.75">
      <c r="B619" s="227"/>
      <c r="F619" s="228"/>
      <c r="I619" s="229"/>
    </row>
    <row r="620" spans="2:9" ht="15.75">
      <c r="B620" s="227"/>
      <c r="F620" s="228"/>
      <c r="I620" s="229"/>
    </row>
    <row r="621" spans="2:9" ht="15.75">
      <c r="B621" s="227"/>
      <c r="F621" s="228"/>
      <c r="I621" s="229"/>
    </row>
    <row r="622" spans="2:9" ht="15.75">
      <c r="B622" s="227"/>
      <c r="F622" s="228"/>
      <c r="I622" s="229"/>
    </row>
    <row r="623" spans="2:9" ht="15.75">
      <c r="B623" s="227"/>
      <c r="F623" s="228"/>
      <c r="I623" s="229"/>
    </row>
    <row r="624" spans="2:9" ht="15.75">
      <c r="B624" s="227"/>
      <c r="F624" s="228"/>
      <c r="I624" s="229"/>
    </row>
    <row r="625" spans="2:9" ht="15.75">
      <c r="B625" s="227"/>
      <c r="F625" s="228"/>
      <c r="I625" s="229"/>
    </row>
    <row r="626" spans="2:9" ht="15.75">
      <c r="B626" s="227"/>
      <c r="F626" s="228"/>
      <c r="I626" s="229"/>
    </row>
    <row r="627" spans="2:9" ht="15.75">
      <c r="B627" s="227"/>
      <c r="F627" s="228"/>
      <c r="I627" s="229"/>
    </row>
    <row r="628" spans="2:9" ht="15.75">
      <c r="B628" s="227"/>
      <c r="F628" s="228"/>
      <c r="I628" s="229"/>
    </row>
    <row r="629" spans="2:9" ht="15.75">
      <c r="B629" s="227"/>
      <c r="F629" s="228"/>
      <c r="I629" s="229"/>
    </row>
    <row r="630" spans="2:9" ht="15.75">
      <c r="B630" s="227"/>
      <c r="F630" s="228"/>
      <c r="I630" s="229"/>
    </row>
    <row r="631" spans="2:9" ht="15.75">
      <c r="B631" s="227"/>
      <c r="F631" s="228"/>
      <c r="I631" s="229"/>
    </row>
    <row r="632" spans="2:9" ht="15.75">
      <c r="B632" s="227"/>
      <c r="F632" s="228"/>
      <c r="I632" s="229"/>
    </row>
    <row r="633" spans="2:9" ht="15.75">
      <c r="B633" s="227"/>
      <c r="F633" s="228"/>
      <c r="I633" s="229"/>
    </row>
    <row r="634" spans="2:9" ht="15.75">
      <c r="B634" s="227"/>
      <c r="F634" s="228"/>
      <c r="I634" s="229"/>
    </row>
    <row r="635" spans="2:9" ht="15.75">
      <c r="B635" s="227"/>
      <c r="F635" s="228"/>
      <c r="I635" s="229"/>
    </row>
    <row r="636" spans="2:9" ht="15.75">
      <c r="B636" s="227"/>
      <c r="F636" s="228"/>
      <c r="I636" s="229"/>
    </row>
    <row r="637" spans="2:9" ht="15.75">
      <c r="B637" s="227"/>
      <c r="F637" s="228"/>
      <c r="I637" s="229"/>
    </row>
    <row r="638" spans="2:9" ht="15.75">
      <c r="B638" s="227"/>
      <c r="F638" s="228"/>
      <c r="I638" s="229"/>
    </row>
    <row r="639" spans="2:9" ht="15.75">
      <c r="B639" s="227"/>
      <c r="F639" s="228"/>
      <c r="I639" s="229"/>
    </row>
    <row r="640" spans="2:9" ht="15.75">
      <c r="B640" s="227"/>
      <c r="F640" s="228"/>
      <c r="I640" s="229"/>
    </row>
    <row r="641" spans="2:9" ht="15.75">
      <c r="B641" s="227"/>
      <c r="F641" s="228"/>
      <c r="I641" s="229"/>
    </row>
    <row r="642" spans="2:9" ht="15.75">
      <c r="B642" s="227"/>
      <c r="F642" s="228"/>
      <c r="I642" s="229"/>
    </row>
    <row r="643" spans="2:9" ht="15.75">
      <c r="B643" s="227"/>
      <c r="F643" s="228"/>
      <c r="I643" s="229"/>
    </row>
    <row r="644" spans="2:9" ht="15.75">
      <c r="B644" s="227"/>
      <c r="F644" s="228"/>
      <c r="I644" s="229"/>
    </row>
    <row r="645" spans="2:9" ht="15.75">
      <c r="B645" s="227"/>
      <c r="F645" s="228"/>
      <c r="I645" s="229"/>
    </row>
    <row r="646" spans="2:9" ht="15.75">
      <c r="B646" s="227"/>
      <c r="F646" s="228"/>
      <c r="I646" s="229"/>
    </row>
    <row r="647" spans="2:9" ht="15.75">
      <c r="B647" s="227"/>
      <c r="F647" s="228"/>
      <c r="I647" s="229"/>
    </row>
    <row r="648" spans="2:9" ht="15.75">
      <c r="B648" s="227"/>
      <c r="F648" s="228"/>
      <c r="I648" s="229"/>
    </row>
    <row r="649" spans="2:9" ht="15.75">
      <c r="B649" s="227"/>
      <c r="F649" s="228"/>
      <c r="I649" s="229"/>
    </row>
    <row r="650" spans="2:9" ht="15.75">
      <c r="B650" s="227"/>
      <c r="F650" s="228"/>
      <c r="I650" s="229"/>
    </row>
    <row r="651" spans="2:9" ht="15.75">
      <c r="B651" s="227"/>
      <c r="F651" s="228"/>
      <c r="I651" s="229"/>
    </row>
    <row r="652" spans="2:9" ht="15.75">
      <c r="B652" s="227"/>
      <c r="F652" s="228"/>
      <c r="I652" s="229"/>
    </row>
    <row r="653" spans="2:9" ht="15.75">
      <c r="B653" s="227"/>
      <c r="F653" s="228"/>
      <c r="I653" s="229"/>
    </row>
    <row r="654" spans="2:9" ht="15.75">
      <c r="B654" s="227"/>
      <c r="F654" s="228"/>
      <c r="I654" s="229"/>
    </row>
    <row r="655" spans="2:9" ht="15.75">
      <c r="B655" s="227"/>
      <c r="F655" s="228"/>
      <c r="I655" s="229"/>
    </row>
    <row r="656" spans="2:9" ht="15.75">
      <c r="B656" s="227"/>
      <c r="F656" s="228"/>
      <c r="I656" s="229"/>
    </row>
    <row r="657" spans="2:9" ht="15.75">
      <c r="B657" s="227"/>
      <c r="F657" s="228"/>
      <c r="I657" s="229"/>
    </row>
    <row r="658" spans="2:9" ht="15.75">
      <c r="B658" s="227"/>
      <c r="F658" s="228"/>
      <c r="I658" s="229"/>
    </row>
    <row r="659" spans="2:9" ht="15.75">
      <c r="B659" s="227"/>
      <c r="F659" s="228"/>
      <c r="I659" s="229"/>
    </row>
    <row r="660" spans="2:9" ht="15.75">
      <c r="B660" s="227"/>
      <c r="F660" s="228"/>
      <c r="I660" s="229"/>
    </row>
    <row r="661" spans="2:9" ht="15.75">
      <c r="B661" s="227"/>
      <c r="F661" s="228"/>
      <c r="I661" s="229"/>
    </row>
    <row r="662" spans="2:9" ht="15.75">
      <c r="B662" s="227"/>
      <c r="F662" s="228"/>
      <c r="I662" s="229"/>
    </row>
    <row r="663" spans="2:9" ht="15.75">
      <c r="B663" s="227"/>
      <c r="F663" s="228"/>
      <c r="I663" s="229"/>
    </row>
    <row r="664" spans="2:9" ht="15.75">
      <c r="B664" s="227"/>
      <c r="F664" s="228"/>
      <c r="I664" s="229"/>
    </row>
    <row r="665" spans="2:9" ht="15.75">
      <c r="B665" s="227"/>
      <c r="F665" s="228"/>
      <c r="I665" s="229"/>
    </row>
    <row r="666" spans="2:9" ht="15.75">
      <c r="B666" s="227"/>
      <c r="F666" s="228"/>
      <c r="I666" s="229"/>
    </row>
    <row r="667" spans="2:9" ht="15.75">
      <c r="B667" s="227"/>
      <c r="F667" s="228"/>
      <c r="I667" s="229"/>
    </row>
    <row r="668" spans="2:9" ht="15.75">
      <c r="B668" s="227"/>
      <c r="F668" s="228"/>
      <c r="I668" s="229"/>
    </row>
    <row r="669" spans="2:9" ht="15.75">
      <c r="B669" s="227"/>
      <c r="F669" s="228"/>
      <c r="I669" s="229"/>
    </row>
    <row r="670" spans="2:9" ht="15.75">
      <c r="B670" s="227"/>
      <c r="F670" s="228"/>
      <c r="I670" s="229"/>
    </row>
    <row r="671" spans="2:9" ht="15.75">
      <c r="B671" s="227"/>
      <c r="F671" s="228"/>
      <c r="I671" s="229"/>
    </row>
    <row r="672" spans="2:9" ht="15.75">
      <c r="B672" s="227"/>
      <c r="F672" s="228"/>
      <c r="I672" s="229"/>
    </row>
    <row r="673" spans="2:9" ht="15.75">
      <c r="B673" s="227"/>
      <c r="F673" s="228"/>
      <c r="I673" s="229"/>
    </row>
    <row r="674" spans="2:9" ht="15.75">
      <c r="B674" s="227"/>
      <c r="F674" s="228"/>
      <c r="I674" s="229"/>
    </row>
    <row r="675" spans="2:9" ht="15.75">
      <c r="B675" s="227"/>
      <c r="F675" s="228"/>
      <c r="I675" s="229"/>
    </row>
    <row r="676" spans="2:9" ht="15.75">
      <c r="B676" s="227"/>
      <c r="F676" s="228"/>
      <c r="I676" s="229"/>
    </row>
    <row r="677" spans="2:9" ht="15.75">
      <c r="B677" s="227"/>
      <c r="F677" s="228"/>
      <c r="I677" s="229"/>
    </row>
    <row r="678" spans="2:9" ht="15.75">
      <c r="B678" s="227"/>
      <c r="F678" s="228"/>
      <c r="I678" s="229"/>
    </row>
    <row r="679" spans="2:9" ht="15.75">
      <c r="B679" s="227"/>
      <c r="F679" s="228"/>
      <c r="I679" s="229"/>
    </row>
    <row r="680" spans="2:9" ht="15.75">
      <c r="B680" s="227"/>
      <c r="F680" s="228"/>
      <c r="I680" s="229"/>
    </row>
    <row r="681" spans="2:9" ht="15.75">
      <c r="B681" s="227"/>
      <c r="F681" s="228"/>
      <c r="I681" s="229"/>
    </row>
    <row r="682" spans="2:9" ht="15.75">
      <c r="B682" s="227"/>
      <c r="F682" s="228"/>
      <c r="I682" s="229"/>
    </row>
    <row r="683" spans="2:9" ht="15.75">
      <c r="B683" s="227"/>
      <c r="F683" s="228"/>
      <c r="I683" s="229"/>
    </row>
    <row r="684" spans="2:9" ht="15.75">
      <c r="B684" s="227"/>
      <c r="F684" s="228"/>
      <c r="I684" s="229"/>
    </row>
    <row r="685" spans="2:9" ht="15.75">
      <c r="B685" s="227"/>
      <c r="F685" s="228"/>
      <c r="I685" s="229"/>
    </row>
    <row r="686" spans="2:9" ht="15.75">
      <c r="B686" s="227"/>
      <c r="F686" s="228"/>
      <c r="I686" s="229"/>
    </row>
    <row r="687" spans="2:9" ht="15.75">
      <c r="B687" s="227"/>
      <c r="F687" s="228"/>
      <c r="I687" s="229"/>
    </row>
    <row r="688" spans="2:9" ht="15.75">
      <c r="B688" s="227"/>
      <c r="F688" s="228"/>
      <c r="I688" s="229"/>
    </row>
    <row r="689" spans="2:9" ht="15.75">
      <c r="B689" s="227"/>
      <c r="F689" s="228"/>
      <c r="I689" s="229"/>
    </row>
    <row r="690" spans="2:9" ht="15.75">
      <c r="B690" s="227"/>
      <c r="F690" s="228"/>
      <c r="I690" s="229"/>
    </row>
    <row r="691" spans="2:9" ht="15.75">
      <c r="B691" s="227"/>
      <c r="F691" s="228"/>
      <c r="I691" s="229"/>
    </row>
    <row r="692" spans="2:9" ht="15.75">
      <c r="B692" s="227"/>
      <c r="F692" s="228"/>
      <c r="I692" s="229"/>
    </row>
    <row r="693" spans="2:9" ht="15.75">
      <c r="B693" s="227"/>
      <c r="F693" s="228"/>
      <c r="I693" s="229"/>
    </row>
    <row r="694" spans="2:9" ht="15.75">
      <c r="B694" s="227"/>
      <c r="F694" s="228"/>
      <c r="I694" s="229"/>
    </row>
    <row r="695" spans="2:9" ht="15.75">
      <c r="B695" s="227"/>
      <c r="F695" s="228"/>
      <c r="I695" s="229"/>
    </row>
    <row r="696" spans="2:9" ht="15.75">
      <c r="B696" s="227"/>
      <c r="F696" s="228"/>
      <c r="I696" s="229"/>
    </row>
    <row r="697" spans="2:9" ht="15.75">
      <c r="B697" s="227"/>
      <c r="F697" s="228"/>
      <c r="I697" s="229"/>
    </row>
    <row r="698" spans="2:9" ht="15.75">
      <c r="B698" s="227"/>
      <c r="F698" s="228"/>
      <c r="I698" s="229"/>
    </row>
    <row r="699" spans="2:9" ht="15.75">
      <c r="B699" s="227"/>
      <c r="F699" s="228"/>
      <c r="I699" s="229"/>
    </row>
    <row r="700" spans="2:9" ht="15.75">
      <c r="B700" s="227"/>
      <c r="F700" s="228"/>
      <c r="I700" s="229"/>
    </row>
    <row r="701" spans="2:9" ht="15.75">
      <c r="B701" s="227"/>
      <c r="F701" s="228"/>
      <c r="I701" s="229"/>
    </row>
    <row r="702" spans="2:9" ht="15.75">
      <c r="B702" s="227"/>
      <c r="F702" s="228"/>
      <c r="I702" s="229"/>
    </row>
    <row r="703" spans="2:9" ht="15.75">
      <c r="B703" s="227"/>
      <c r="F703" s="228"/>
      <c r="I703" s="229"/>
    </row>
    <row r="704" spans="2:9" ht="15.75">
      <c r="B704" s="227"/>
      <c r="F704" s="228"/>
      <c r="I704" s="229"/>
    </row>
    <row r="705" spans="2:9" ht="15.75">
      <c r="B705" s="227"/>
      <c r="F705" s="228"/>
      <c r="I705" s="229"/>
    </row>
    <row r="706" spans="2:9" ht="15.75">
      <c r="B706" s="227"/>
      <c r="F706" s="228"/>
      <c r="I706" s="229"/>
    </row>
    <row r="707" spans="2:9" ht="15.75">
      <c r="B707" s="227"/>
      <c r="F707" s="228"/>
      <c r="I707" s="229"/>
    </row>
    <row r="708" spans="2:9" ht="15.75">
      <c r="B708" s="227"/>
      <c r="F708" s="228"/>
      <c r="I708" s="229"/>
    </row>
    <row r="709" spans="2:9" ht="15.75">
      <c r="B709" s="227"/>
      <c r="F709" s="228"/>
      <c r="I709" s="229"/>
    </row>
    <row r="710" spans="2:9" ht="15.75">
      <c r="B710" s="227"/>
      <c r="F710" s="228"/>
      <c r="I710" s="229"/>
    </row>
    <row r="711" spans="2:9" ht="15.75">
      <c r="B711" s="227"/>
      <c r="F711" s="228"/>
      <c r="I711" s="229"/>
    </row>
    <row r="712" spans="2:9" ht="15.75">
      <c r="B712" s="227"/>
      <c r="F712" s="228"/>
      <c r="I712" s="229"/>
    </row>
    <row r="713" spans="2:9" ht="15.75">
      <c r="B713" s="227"/>
      <c r="F713" s="228"/>
      <c r="I713" s="229"/>
    </row>
    <row r="714" spans="2:9" ht="15.75">
      <c r="B714" s="227"/>
      <c r="F714" s="228"/>
      <c r="I714" s="229"/>
    </row>
    <row r="715" spans="2:9" ht="15.75">
      <c r="B715" s="227"/>
      <c r="F715" s="228"/>
      <c r="I715" s="229"/>
    </row>
    <row r="716" spans="2:9" ht="15.75">
      <c r="B716" s="227"/>
      <c r="F716" s="228"/>
      <c r="I716" s="229"/>
    </row>
    <row r="717" spans="2:9" ht="15.75">
      <c r="B717" s="227"/>
      <c r="F717" s="228"/>
      <c r="I717" s="229"/>
    </row>
    <row r="718" spans="2:9" ht="15.75">
      <c r="B718" s="227"/>
      <c r="F718" s="228"/>
      <c r="I718" s="229"/>
    </row>
    <row r="719" spans="2:9" ht="15.75">
      <c r="B719" s="227"/>
      <c r="F719" s="228"/>
      <c r="I719" s="229"/>
    </row>
    <row r="720" spans="2:9" ht="15.75">
      <c r="B720" s="227"/>
      <c r="F720" s="228"/>
      <c r="I720" s="229"/>
    </row>
    <row r="721" spans="2:9" ht="15.75">
      <c r="B721" s="227"/>
      <c r="F721" s="228"/>
      <c r="I721" s="229"/>
    </row>
    <row r="722" spans="2:9" ht="15.75">
      <c r="B722" s="227"/>
      <c r="F722" s="228"/>
      <c r="I722" s="229"/>
    </row>
    <row r="723" spans="2:9" ht="15.75">
      <c r="B723" s="227"/>
      <c r="F723" s="228"/>
      <c r="I723" s="229"/>
    </row>
    <row r="724" spans="2:9" ht="15.75">
      <c r="B724" s="227"/>
      <c r="F724" s="228"/>
      <c r="I724" s="229"/>
    </row>
    <row r="725" spans="2:9" ht="15.75">
      <c r="B725" s="227"/>
      <c r="F725" s="228"/>
      <c r="I725" s="229"/>
    </row>
    <row r="726" spans="2:9" ht="15.75">
      <c r="B726" s="227"/>
      <c r="F726" s="228"/>
      <c r="I726" s="229"/>
    </row>
    <row r="727" spans="2:9" ht="15.75">
      <c r="B727" s="227"/>
      <c r="F727" s="228"/>
      <c r="I727" s="229"/>
    </row>
    <row r="728" spans="2:9" ht="15.75">
      <c r="B728" s="227"/>
      <c r="F728" s="228"/>
      <c r="I728" s="229"/>
    </row>
    <row r="729" spans="2:9" ht="15.75">
      <c r="B729" s="227"/>
      <c r="F729" s="228"/>
      <c r="I729" s="229"/>
    </row>
    <row r="730" spans="2:9" ht="15.75">
      <c r="B730" s="227"/>
      <c r="F730" s="228"/>
      <c r="I730" s="229"/>
    </row>
    <row r="731" spans="2:9" ht="15.75">
      <c r="B731" s="227"/>
      <c r="F731" s="228"/>
      <c r="I731" s="229"/>
    </row>
    <row r="732" spans="2:9" ht="15.75">
      <c r="B732" s="227"/>
      <c r="F732" s="228"/>
      <c r="I732" s="229"/>
    </row>
    <row r="733" spans="2:9" ht="15.75">
      <c r="B733" s="227"/>
      <c r="F733" s="228"/>
      <c r="I733" s="229"/>
    </row>
    <row r="734" spans="2:9" ht="15.75">
      <c r="B734" s="227"/>
      <c r="F734" s="228"/>
      <c r="I734" s="229"/>
    </row>
    <row r="735" spans="2:9" ht="15.75">
      <c r="B735" s="227"/>
      <c r="F735" s="228"/>
      <c r="I735" s="229"/>
    </row>
    <row r="736" spans="2:9" ht="15.75">
      <c r="B736" s="227"/>
      <c r="F736" s="228"/>
      <c r="I736" s="229"/>
    </row>
    <row r="737" spans="2:9" ht="15.75">
      <c r="B737" s="227"/>
      <c r="F737" s="228"/>
      <c r="I737" s="229"/>
    </row>
    <row r="738" spans="2:9" ht="15.75">
      <c r="B738" s="227"/>
      <c r="F738" s="228"/>
      <c r="I738" s="229"/>
    </row>
    <row r="739" spans="2:9" ht="15.75">
      <c r="B739" s="227"/>
      <c r="F739" s="228"/>
      <c r="I739" s="229"/>
    </row>
    <row r="740" spans="2:9" ht="15.75">
      <c r="B740" s="227"/>
      <c r="F740" s="228"/>
      <c r="I740" s="229"/>
    </row>
    <row r="741" spans="2:9" ht="15.75">
      <c r="B741" s="227"/>
      <c r="F741" s="228"/>
      <c r="I741" s="229"/>
    </row>
    <row r="742" spans="2:9" ht="15.75">
      <c r="B742" s="227"/>
      <c r="F742" s="228"/>
      <c r="I742" s="229"/>
    </row>
    <row r="743" spans="2:9" ht="15.75">
      <c r="B743" s="227"/>
      <c r="F743" s="228"/>
      <c r="I743" s="229"/>
    </row>
    <row r="744" spans="2:9" ht="15.75">
      <c r="B744" s="227"/>
      <c r="F744" s="228"/>
      <c r="I744" s="229"/>
    </row>
    <row r="745" spans="2:9" ht="15.75">
      <c r="B745" s="227"/>
      <c r="F745" s="228"/>
      <c r="I745" s="229"/>
    </row>
    <row r="746" spans="2:9" ht="15.75">
      <c r="B746" s="227"/>
      <c r="F746" s="228"/>
      <c r="I746" s="229"/>
    </row>
    <row r="747" spans="2:9" ht="15.75">
      <c r="B747" s="227"/>
      <c r="F747" s="228"/>
      <c r="I747" s="229"/>
    </row>
    <row r="748" spans="2:9" ht="15.75">
      <c r="B748" s="227"/>
      <c r="F748" s="228"/>
      <c r="I748" s="229"/>
    </row>
    <row r="749" spans="2:9" ht="15.75">
      <c r="B749" s="227"/>
      <c r="F749" s="228"/>
      <c r="I749" s="229"/>
    </row>
    <row r="750" spans="2:9" ht="15.75">
      <c r="B750" s="227"/>
      <c r="F750" s="228"/>
      <c r="I750" s="229"/>
    </row>
    <row r="751" spans="2:9" ht="15.75">
      <c r="B751" s="227"/>
      <c r="F751" s="228"/>
      <c r="I751" s="229"/>
    </row>
    <row r="752" spans="2:9" ht="15.75">
      <c r="B752" s="227"/>
      <c r="F752" s="228"/>
      <c r="I752" s="229"/>
    </row>
    <row r="753" spans="2:9" ht="15.75">
      <c r="B753" s="227"/>
      <c r="F753" s="228"/>
      <c r="I753" s="229"/>
    </row>
    <row r="754" spans="2:9" ht="15.75">
      <c r="B754" s="227"/>
      <c r="F754" s="228"/>
      <c r="I754" s="229"/>
    </row>
    <row r="755" spans="2:9" ht="15.75">
      <c r="B755" s="227"/>
      <c r="F755" s="228"/>
      <c r="I755" s="229"/>
    </row>
    <row r="756" spans="2:9" ht="15.75">
      <c r="B756" s="227"/>
      <c r="F756" s="228"/>
      <c r="I756" s="229"/>
    </row>
    <row r="757" spans="2:9" ht="15.75">
      <c r="B757" s="227"/>
      <c r="F757" s="228"/>
      <c r="I757" s="229"/>
    </row>
    <row r="758" spans="2:9" ht="15.75">
      <c r="B758" s="227"/>
      <c r="F758" s="228"/>
      <c r="I758" s="229"/>
    </row>
    <row r="759" spans="2:9" ht="15.75">
      <c r="B759" s="227"/>
      <c r="F759" s="228"/>
      <c r="I759" s="229"/>
    </row>
    <row r="760" spans="2:9" ht="15.75">
      <c r="B760" s="227"/>
      <c r="F760" s="228"/>
      <c r="I760" s="229"/>
    </row>
    <row r="761" spans="2:9" ht="15.75">
      <c r="B761" s="227"/>
      <c r="F761" s="228"/>
      <c r="I761" s="229"/>
    </row>
    <row r="762" spans="2:9" ht="15.75">
      <c r="B762" s="227"/>
      <c r="F762" s="228"/>
      <c r="I762" s="229"/>
    </row>
    <row r="763" spans="2:9" ht="15.75">
      <c r="B763" s="227"/>
      <c r="F763" s="228"/>
      <c r="I763" s="229"/>
    </row>
    <row r="764" spans="2:9" ht="15.75">
      <c r="B764" s="227"/>
      <c r="F764" s="228"/>
      <c r="I764" s="229"/>
    </row>
    <row r="765" spans="2:9" ht="15.75">
      <c r="B765" s="227"/>
      <c r="F765" s="228"/>
      <c r="I765" s="229"/>
    </row>
    <row r="766" spans="2:9" ht="15.75">
      <c r="B766" s="227"/>
      <c r="F766" s="228"/>
      <c r="I766" s="229"/>
    </row>
    <row r="767" spans="2:9" ht="15.75">
      <c r="B767" s="227"/>
      <c r="F767" s="228"/>
      <c r="I767" s="229"/>
    </row>
    <row r="768" spans="2:9" ht="15.75">
      <c r="B768" s="227"/>
      <c r="F768" s="228"/>
      <c r="I768" s="229"/>
    </row>
    <row r="769" spans="2:9" ht="15.75">
      <c r="B769" s="227"/>
      <c r="F769" s="228"/>
      <c r="I769" s="229"/>
    </row>
    <row r="770" spans="2:9" ht="15.75">
      <c r="B770" s="227"/>
      <c r="F770" s="228"/>
      <c r="I770" s="229"/>
    </row>
    <row r="771" spans="2:9" ht="15.75">
      <c r="B771" s="227"/>
      <c r="F771" s="228"/>
      <c r="I771" s="229"/>
    </row>
    <row r="772" spans="2:9" ht="15.75">
      <c r="B772" s="227"/>
      <c r="F772" s="228"/>
      <c r="I772" s="229"/>
    </row>
    <row r="773" spans="2:9" ht="15.75">
      <c r="B773" s="227"/>
      <c r="F773" s="228"/>
      <c r="I773" s="229"/>
    </row>
    <row r="774" spans="2:9" ht="15.75">
      <c r="B774" s="227"/>
      <c r="F774" s="228"/>
      <c r="I774" s="229"/>
    </row>
    <row r="775" spans="2:9" ht="15.75">
      <c r="B775" s="227"/>
      <c r="F775" s="228"/>
      <c r="I775" s="229"/>
    </row>
    <row r="776" spans="2:9" ht="15.75">
      <c r="B776" s="227"/>
      <c r="F776" s="228"/>
      <c r="I776" s="229"/>
    </row>
    <row r="777" spans="2:9" ht="15.75">
      <c r="B777" s="227"/>
      <c r="F777" s="228"/>
      <c r="I777" s="229"/>
    </row>
    <row r="778" spans="2:9" ht="15.75">
      <c r="B778" s="227"/>
      <c r="F778" s="228"/>
      <c r="I778" s="229"/>
    </row>
    <row r="779" spans="2:9" ht="15.75">
      <c r="B779" s="227"/>
      <c r="F779" s="228"/>
      <c r="I779" s="229"/>
    </row>
    <row r="780" spans="2:9" ht="15.75">
      <c r="B780" s="227"/>
      <c r="F780" s="228"/>
      <c r="I780" s="229"/>
    </row>
    <row r="781" spans="2:9" ht="15.75">
      <c r="B781" s="227"/>
      <c r="F781" s="228"/>
      <c r="I781" s="229"/>
    </row>
    <row r="782" spans="2:9" ht="15.75">
      <c r="B782" s="227"/>
      <c r="F782" s="228"/>
      <c r="I782" s="229"/>
    </row>
    <row r="783" spans="2:9" ht="15.75">
      <c r="B783" s="227"/>
      <c r="F783" s="228"/>
      <c r="I783" s="229"/>
    </row>
    <row r="784" spans="2:9" ht="15.75">
      <c r="B784" s="227"/>
      <c r="F784" s="228"/>
      <c r="I784" s="229"/>
    </row>
    <row r="785" spans="2:9" ht="15.75">
      <c r="B785" s="227"/>
      <c r="F785" s="228"/>
      <c r="I785" s="229"/>
    </row>
    <row r="786" spans="2:9" ht="15.75">
      <c r="B786" s="227"/>
      <c r="F786" s="228"/>
      <c r="I786" s="229"/>
    </row>
    <row r="787" spans="2:9" ht="15.75">
      <c r="B787" s="227"/>
      <c r="F787" s="228"/>
      <c r="I787" s="229"/>
    </row>
    <row r="788" spans="2:9" ht="15.75">
      <c r="B788" s="227"/>
      <c r="F788" s="228"/>
      <c r="I788" s="229"/>
    </row>
    <row r="789" spans="2:9" ht="15.75">
      <c r="B789" s="227"/>
      <c r="F789" s="228"/>
      <c r="I789" s="229"/>
    </row>
    <row r="790" spans="2:9" ht="15.75">
      <c r="B790" s="227"/>
      <c r="F790" s="228"/>
      <c r="I790" s="229"/>
    </row>
    <row r="791" spans="2:9" ht="15.75">
      <c r="B791" s="227"/>
      <c r="F791" s="228"/>
      <c r="I791" s="229"/>
    </row>
    <row r="792" spans="2:9" ht="15.75">
      <c r="B792" s="227"/>
      <c r="F792" s="228"/>
      <c r="I792" s="229"/>
    </row>
    <row r="793" spans="2:9" ht="15.75">
      <c r="B793" s="227"/>
      <c r="F793" s="228"/>
      <c r="I793" s="229"/>
    </row>
    <row r="794" spans="2:9" ht="15.75">
      <c r="B794" s="227"/>
      <c r="F794" s="228"/>
      <c r="I794" s="229"/>
    </row>
    <row r="795" spans="2:9" ht="15.75">
      <c r="B795" s="227"/>
      <c r="F795" s="228"/>
      <c r="I795" s="229"/>
    </row>
    <row r="796" spans="2:9" ht="15.75">
      <c r="B796" s="227"/>
      <c r="F796" s="228"/>
      <c r="I796" s="229"/>
    </row>
    <row r="797" spans="2:9" ht="15.75">
      <c r="B797" s="227"/>
      <c r="F797" s="228"/>
      <c r="I797" s="229"/>
    </row>
    <row r="798" spans="2:9" ht="15.75">
      <c r="B798" s="227"/>
      <c r="F798" s="228"/>
      <c r="I798" s="229"/>
    </row>
    <row r="799" spans="2:9" ht="15.75">
      <c r="B799" s="227"/>
      <c r="F799" s="228"/>
      <c r="I799" s="229"/>
    </row>
    <row r="800" spans="2:9" ht="15.75">
      <c r="B800" s="227"/>
      <c r="F800" s="228"/>
      <c r="I800" s="229"/>
    </row>
    <row r="801" spans="2:9" ht="15.75">
      <c r="B801" s="227"/>
      <c r="F801" s="228"/>
      <c r="I801" s="229"/>
    </row>
    <row r="802" spans="2:9" ht="15.75">
      <c r="B802" s="227"/>
      <c r="F802" s="228"/>
      <c r="I802" s="229"/>
    </row>
    <row r="803" spans="2:9" ht="15.75">
      <c r="B803" s="227"/>
      <c r="F803" s="228"/>
      <c r="I803" s="229"/>
    </row>
    <row r="804" spans="2:9" ht="15.75">
      <c r="B804" s="227"/>
      <c r="F804" s="228"/>
      <c r="I804" s="229"/>
    </row>
    <row r="805" spans="2:9" ht="15.75">
      <c r="B805" s="227"/>
      <c r="F805" s="228"/>
      <c r="I805" s="229"/>
    </row>
    <row r="806" spans="2:9" ht="15.75">
      <c r="B806" s="227"/>
      <c r="F806" s="228"/>
      <c r="I806" s="229"/>
    </row>
    <row r="807" spans="2:9" ht="15.75">
      <c r="B807" s="227"/>
      <c r="F807" s="228"/>
      <c r="I807" s="229"/>
    </row>
    <row r="808" spans="2:9" ht="15.75">
      <c r="B808" s="227"/>
      <c r="F808" s="228"/>
      <c r="I808" s="229"/>
    </row>
    <row r="809" spans="2:9" ht="15.75">
      <c r="B809" s="227"/>
      <c r="F809" s="228"/>
      <c r="I809" s="229"/>
    </row>
    <row r="810" spans="2:9" ht="15.75">
      <c r="B810" s="227"/>
      <c r="F810" s="228"/>
      <c r="I810" s="229"/>
    </row>
    <row r="811" spans="2:9" ht="15.75">
      <c r="B811" s="227"/>
      <c r="F811" s="228"/>
      <c r="I811" s="229"/>
    </row>
    <row r="812" spans="2:9" ht="15.75">
      <c r="B812" s="227"/>
      <c r="F812" s="228"/>
      <c r="I812" s="229"/>
    </row>
    <row r="813" spans="2:9" ht="15.75">
      <c r="B813" s="227"/>
      <c r="F813" s="228"/>
      <c r="I813" s="229"/>
    </row>
    <row r="814" spans="2:9" ht="15.75">
      <c r="B814" s="227"/>
      <c r="F814" s="228"/>
      <c r="I814" s="229"/>
    </row>
    <row r="815" spans="2:9" ht="15.75">
      <c r="B815" s="227"/>
      <c r="F815" s="228"/>
      <c r="I815" s="229"/>
    </row>
    <row r="816" spans="2:9" ht="15.75">
      <c r="B816" s="227"/>
      <c r="F816" s="228"/>
      <c r="I816" s="229"/>
    </row>
    <row r="817" spans="2:9" ht="15.75">
      <c r="B817" s="227"/>
      <c r="F817" s="228"/>
      <c r="I817" s="229"/>
    </row>
    <row r="818" spans="2:9" ht="15.75">
      <c r="B818" s="227"/>
      <c r="F818" s="228"/>
      <c r="I818" s="229"/>
    </row>
    <row r="819" spans="2:9" ht="15.75">
      <c r="B819" s="227"/>
      <c r="F819" s="228"/>
      <c r="I819" s="229"/>
    </row>
    <row r="820" spans="2:9" ht="15.75">
      <c r="B820" s="227"/>
      <c r="F820" s="228"/>
      <c r="I820" s="229"/>
    </row>
    <row r="821" spans="2:9" ht="15.75">
      <c r="B821" s="227"/>
      <c r="F821" s="228"/>
      <c r="I821" s="229"/>
    </row>
    <row r="822" spans="2:9" ht="15.75">
      <c r="B822" s="227"/>
      <c r="F822" s="228"/>
      <c r="I822" s="229"/>
    </row>
    <row r="823" spans="2:9" ht="15.75">
      <c r="B823" s="227"/>
      <c r="F823" s="228"/>
      <c r="I823" s="229"/>
    </row>
    <row r="824" spans="2:9" ht="15.75">
      <c r="B824" s="227"/>
      <c r="F824" s="228"/>
      <c r="I824" s="229"/>
    </row>
    <row r="825" spans="2:9" ht="15.75">
      <c r="B825" s="227"/>
      <c r="F825" s="228"/>
      <c r="I825" s="229"/>
    </row>
    <row r="826" spans="2:9" ht="15.75">
      <c r="B826" s="227"/>
      <c r="F826" s="228"/>
      <c r="I826" s="229"/>
    </row>
    <row r="827" spans="2:9" ht="15.75">
      <c r="B827" s="227"/>
      <c r="F827" s="228"/>
      <c r="I827" s="229"/>
    </row>
    <row r="828" spans="2:9" ht="15.75">
      <c r="B828" s="227"/>
      <c r="F828" s="228"/>
      <c r="I828" s="229"/>
    </row>
    <row r="829" spans="2:9" ht="15.75">
      <c r="B829" s="227"/>
      <c r="F829" s="228"/>
      <c r="I829" s="229"/>
    </row>
    <row r="830" spans="2:9" ht="15.75">
      <c r="B830" s="227"/>
      <c r="F830" s="228"/>
      <c r="I830" s="229"/>
    </row>
    <row r="831" spans="2:9" ht="15.75">
      <c r="B831" s="227"/>
      <c r="F831" s="228"/>
      <c r="I831" s="229"/>
    </row>
    <row r="832" spans="2:9" ht="15.75">
      <c r="B832" s="227"/>
      <c r="F832" s="228"/>
      <c r="I832" s="229"/>
    </row>
    <row r="833" spans="2:9" ht="15.75">
      <c r="B833" s="227"/>
      <c r="F833" s="228"/>
      <c r="I833" s="229"/>
    </row>
    <row r="834" spans="2:9" ht="15.75">
      <c r="B834" s="227"/>
      <c r="F834" s="228"/>
      <c r="I834" s="229"/>
    </row>
    <row r="835" spans="2:9" ht="15.75">
      <c r="B835" s="227"/>
      <c r="F835" s="228"/>
      <c r="I835" s="229"/>
    </row>
    <row r="836" spans="2:9" ht="15.75">
      <c r="B836" s="227"/>
      <c r="F836" s="228"/>
      <c r="I836" s="229"/>
    </row>
    <row r="837" spans="2:9" ht="15.75">
      <c r="B837" s="227"/>
      <c r="F837" s="228"/>
      <c r="I837" s="229"/>
    </row>
    <row r="838" spans="2:9" ht="15.75">
      <c r="B838" s="227"/>
      <c r="F838" s="228"/>
      <c r="I838" s="229"/>
    </row>
    <row r="839" spans="2:9" ht="15.75">
      <c r="B839" s="227"/>
      <c r="F839" s="228"/>
      <c r="I839" s="229"/>
    </row>
    <row r="840" spans="2:9" ht="15.75">
      <c r="B840" s="227"/>
      <c r="F840" s="228"/>
      <c r="I840" s="229"/>
    </row>
    <row r="841" spans="2:9" ht="15.75">
      <c r="B841" s="227"/>
      <c r="F841" s="228"/>
      <c r="I841" s="229"/>
    </row>
    <row r="842" spans="2:9" ht="15.75">
      <c r="B842" s="227"/>
      <c r="F842" s="228"/>
      <c r="I842" s="229"/>
    </row>
    <row r="843" spans="2:9" ht="15.75">
      <c r="B843" s="227"/>
      <c r="F843" s="228"/>
      <c r="I843" s="229"/>
    </row>
    <row r="844" spans="2:9" ht="15.75">
      <c r="B844" s="227"/>
      <c r="F844" s="228"/>
      <c r="I844" s="229"/>
    </row>
    <row r="845" spans="2:9" ht="15.75">
      <c r="B845" s="227"/>
      <c r="F845" s="228"/>
      <c r="I845" s="229"/>
    </row>
    <row r="846" spans="2:9" ht="15.75">
      <c r="B846" s="227"/>
      <c r="F846" s="228"/>
      <c r="I846" s="229"/>
    </row>
    <row r="847" spans="2:9" ht="15.75">
      <c r="B847" s="227"/>
      <c r="F847" s="228"/>
      <c r="I847" s="229"/>
    </row>
    <row r="848" spans="2:9" ht="15.75">
      <c r="B848" s="227"/>
      <c r="F848" s="228"/>
      <c r="I848" s="229"/>
    </row>
    <row r="849" spans="2:9" ht="15.75">
      <c r="B849" s="227"/>
      <c r="F849" s="228"/>
      <c r="I849" s="229"/>
    </row>
    <row r="850" spans="2:9" ht="15.75">
      <c r="B850" s="227"/>
      <c r="F850" s="228"/>
      <c r="I850" s="229"/>
    </row>
    <row r="851" spans="2:9" ht="15.75">
      <c r="B851" s="227"/>
      <c r="F851" s="228"/>
      <c r="I851" s="229"/>
    </row>
    <row r="852" spans="2:9" ht="15.75">
      <c r="B852" s="227"/>
      <c r="F852" s="228"/>
      <c r="I852" s="229"/>
    </row>
    <row r="853" spans="2:9" ht="15.75">
      <c r="B853" s="227"/>
      <c r="F853" s="228"/>
      <c r="I853" s="229"/>
    </row>
    <row r="854" spans="2:9" ht="15.75">
      <c r="B854" s="227"/>
      <c r="F854" s="228"/>
      <c r="I854" s="229"/>
    </row>
    <row r="855" spans="2:9" ht="15.75">
      <c r="B855" s="227"/>
      <c r="F855" s="228"/>
      <c r="I855" s="229"/>
    </row>
    <row r="856" spans="2:9" ht="15.75">
      <c r="B856" s="227"/>
      <c r="F856" s="228"/>
      <c r="I856" s="229"/>
    </row>
    <row r="857" spans="2:9" ht="15.75">
      <c r="B857" s="227"/>
      <c r="F857" s="228"/>
      <c r="I857" s="229"/>
    </row>
    <row r="858" spans="2:9" ht="15.75">
      <c r="B858" s="227"/>
      <c r="F858" s="228"/>
      <c r="I858" s="229"/>
    </row>
    <row r="859" spans="2:9" ht="15.75">
      <c r="B859" s="227"/>
      <c r="F859" s="228"/>
      <c r="I859" s="229"/>
    </row>
    <row r="860" spans="2:9" ht="15.75">
      <c r="B860" s="227"/>
      <c r="F860" s="228"/>
      <c r="I860" s="229"/>
    </row>
    <row r="861" spans="2:9" ht="15.75">
      <c r="B861" s="227"/>
      <c r="F861" s="228"/>
      <c r="I861" s="229"/>
    </row>
    <row r="862" spans="2:9" ht="15.75">
      <c r="B862" s="227"/>
      <c r="F862" s="228"/>
      <c r="I862" s="229"/>
    </row>
    <row r="863" spans="2:9" ht="15.75">
      <c r="B863" s="227"/>
      <c r="F863" s="228"/>
      <c r="I863" s="229"/>
    </row>
    <row r="864" spans="2:9" ht="15.75">
      <c r="B864" s="227"/>
      <c r="F864" s="228"/>
      <c r="I864" s="229"/>
    </row>
    <row r="865" spans="2:9" ht="15.75">
      <c r="B865" s="227"/>
      <c r="F865" s="228"/>
      <c r="I865" s="229"/>
    </row>
    <row r="866" spans="2:9" ht="15.75">
      <c r="B866" s="227"/>
      <c r="F866" s="228"/>
      <c r="I866" s="229"/>
    </row>
    <row r="867" spans="2:9" ht="15.75">
      <c r="B867" s="227"/>
      <c r="F867" s="228"/>
      <c r="I867" s="229"/>
    </row>
    <row r="868" spans="2:9" ht="15.75">
      <c r="B868" s="227"/>
      <c r="F868" s="228"/>
      <c r="I868" s="229"/>
    </row>
    <row r="869" spans="2:9" ht="15.75">
      <c r="B869" s="227"/>
      <c r="F869" s="228"/>
      <c r="I869" s="229"/>
    </row>
    <row r="870" spans="2:9" ht="15.75">
      <c r="B870" s="227"/>
      <c r="F870" s="228"/>
      <c r="I870" s="229"/>
    </row>
    <row r="871" spans="2:9" ht="15.75">
      <c r="B871" s="227"/>
      <c r="F871" s="228"/>
      <c r="I871" s="229"/>
    </row>
    <row r="872" spans="2:9" ht="15.75">
      <c r="B872" s="227"/>
      <c r="F872" s="228"/>
      <c r="I872" s="229"/>
    </row>
    <row r="873" spans="2:9" ht="15.75">
      <c r="B873" s="227"/>
      <c r="F873" s="228"/>
      <c r="I873" s="229"/>
    </row>
    <row r="874" spans="2:9" ht="15.75">
      <c r="B874" s="227"/>
      <c r="F874" s="228"/>
      <c r="I874" s="229"/>
    </row>
    <row r="875" spans="2:9" ht="15.75">
      <c r="B875" s="227"/>
      <c r="F875" s="228"/>
      <c r="I875" s="229"/>
    </row>
    <row r="876" spans="2:9" ht="15.75">
      <c r="B876" s="227"/>
      <c r="F876" s="228"/>
      <c r="I876" s="229"/>
    </row>
    <row r="877" spans="2:9" ht="15.75">
      <c r="B877" s="227"/>
      <c r="F877" s="228"/>
      <c r="I877" s="229"/>
    </row>
    <row r="878" spans="2:9" ht="15.75">
      <c r="B878" s="227"/>
      <c r="F878" s="228"/>
      <c r="I878" s="229"/>
    </row>
    <row r="879" spans="2:9" ht="15.75">
      <c r="B879" s="227"/>
      <c r="F879" s="228"/>
      <c r="I879" s="229"/>
    </row>
    <row r="880" spans="2:9" ht="15.75">
      <c r="B880" s="227"/>
      <c r="F880" s="228"/>
      <c r="I880" s="229"/>
    </row>
    <row r="881" spans="2:9" ht="15.75">
      <c r="B881" s="227"/>
      <c r="F881" s="228"/>
      <c r="I881" s="229"/>
    </row>
    <row r="882" spans="2:9" ht="15.75">
      <c r="B882" s="227"/>
      <c r="F882" s="228"/>
      <c r="I882" s="229"/>
    </row>
    <row r="883" spans="2:9" ht="15.75">
      <c r="B883" s="227"/>
      <c r="F883" s="228"/>
      <c r="I883" s="229"/>
    </row>
    <row r="884" spans="2:9" ht="15.75">
      <c r="B884" s="227"/>
      <c r="F884" s="228"/>
      <c r="I884" s="229"/>
    </row>
    <row r="885" spans="2:9" ht="15.75">
      <c r="B885" s="227"/>
      <c r="F885" s="228"/>
      <c r="I885" s="229"/>
    </row>
    <row r="886" spans="2:9" ht="15.75">
      <c r="B886" s="227"/>
      <c r="F886" s="228"/>
      <c r="I886" s="229"/>
    </row>
    <row r="887" spans="2:9" ht="15.75">
      <c r="B887" s="227"/>
      <c r="F887" s="228"/>
      <c r="I887" s="229"/>
    </row>
    <row r="888" spans="2:9" ht="15.75">
      <c r="B888" s="227"/>
      <c r="F888" s="228"/>
      <c r="I888" s="229"/>
    </row>
    <row r="889" spans="2:9" ht="15.75">
      <c r="B889" s="227"/>
      <c r="F889" s="228"/>
      <c r="I889" s="229"/>
    </row>
    <row r="890" spans="2:9" ht="15.75">
      <c r="B890" s="227"/>
      <c r="F890" s="228"/>
      <c r="I890" s="229"/>
    </row>
    <row r="891" spans="2:9" ht="15.75">
      <c r="B891" s="227"/>
      <c r="F891" s="228"/>
      <c r="I891" s="229"/>
    </row>
    <row r="892" spans="2:9" ht="15.75">
      <c r="B892" s="227"/>
      <c r="F892" s="228"/>
      <c r="I892" s="229"/>
    </row>
    <row r="893" spans="2:9" ht="15.75">
      <c r="B893" s="227"/>
      <c r="F893" s="228"/>
      <c r="I893" s="229"/>
    </row>
    <row r="894" spans="2:9" ht="15.75">
      <c r="B894" s="227"/>
      <c r="F894" s="228"/>
      <c r="I894" s="229"/>
    </row>
    <row r="895" spans="2:9" ht="15.75">
      <c r="B895" s="227"/>
      <c r="F895" s="228"/>
      <c r="I895" s="229"/>
    </row>
    <row r="896" spans="2:9" ht="15.75">
      <c r="B896" s="227"/>
      <c r="F896" s="228"/>
      <c r="I896" s="229"/>
    </row>
    <row r="897" spans="2:9" ht="15.75">
      <c r="B897" s="227"/>
      <c r="F897" s="228"/>
      <c r="I897" s="229"/>
    </row>
    <row r="898" spans="2:9" ht="15.75">
      <c r="B898" s="227"/>
      <c r="F898" s="228"/>
      <c r="I898" s="229"/>
    </row>
    <row r="899" spans="2:9" ht="15.75">
      <c r="B899" s="227"/>
      <c r="F899" s="228"/>
      <c r="I899" s="229"/>
    </row>
    <row r="900" spans="2:9" ht="15.75">
      <c r="B900" s="227"/>
      <c r="F900" s="228"/>
      <c r="I900" s="229"/>
    </row>
    <row r="901" spans="2:9" ht="15.75">
      <c r="B901" s="227"/>
      <c r="F901" s="228"/>
      <c r="I901" s="229"/>
    </row>
    <row r="902" spans="2:9" ht="15.75">
      <c r="B902" s="227"/>
      <c r="F902" s="228"/>
      <c r="I902" s="229"/>
    </row>
    <row r="903" spans="2:9" ht="15.75">
      <c r="B903" s="227"/>
      <c r="F903" s="228"/>
      <c r="I903" s="229"/>
    </row>
    <row r="904" spans="2:9" ht="15.75">
      <c r="B904" s="227"/>
      <c r="F904" s="228"/>
      <c r="I904" s="229"/>
    </row>
    <row r="905" spans="2:9" ht="15.75">
      <c r="B905" s="227"/>
      <c r="F905" s="228"/>
      <c r="I905" s="229"/>
    </row>
    <row r="906" spans="2:9" ht="15.75">
      <c r="B906" s="227"/>
      <c r="F906" s="228"/>
      <c r="I906" s="229"/>
    </row>
    <row r="907" spans="2:9" ht="15.75">
      <c r="B907" s="227"/>
      <c r="F907" s="228"/>
      <c r="I907" s="229"/>
    </row>
    <row r="908" spans="2:9" ht="15.75">
      <c r="B908" s="227"/>
      <c r="F908" s="228"/>
      <c r="I908" s="229"/>
    </row>
    <row r="909" spans="2:9" ht="15.75">
      <c r="B909" s="227"/>
      <c r="F909" s="228"/>
      <c r="I909" s="229"/>
    </row>
    <row r="910" spans="2:9" ht="15.75">
      <c r="B910" s="227"/>
      <c r="F910" s="228"/>
      <c r="I910" s="229"/>
    </row>
    <row r="911" spans="2:9" ht="15.75">
      <c r="B911" s="227"/>
      <c r="F911" s="228"/>
      <c r="I911" s="229"/>
    </row>
    <row r="912" spans="2:9" ht="15.75">
      <c r="B912" s="227"/>
      <c r="F912" s="228"/>
      <c r="I912" s="229"/>
    </row>
    <row r="913" spans="2:9" ht="15.75">
      <c r="B913" s="227"/>
      <c r="F913" s="228"/>
      <c r="I913" s="229"/>
    </row>
    <row r="914" spans="2:9" ht="15.75">
      <c r="B914" s="227"/>
      <c r="F914" s="228"/>
      <c r="I914" s="229"/>
    </row>
    <row r="915" spans="2:9" ht="15.75">
      <c r="B915" s="227"/>
      <c r="F915" s="228"/>
      <c r="I915" s="229"/>
    </row>
    <row r="916" spans="2:9" ht="15.75">
      <c r="B916" s="227"/>
      <c r="F916" s="228"/>
      <c r="I916" s="229"/>
    </row>
    <row r="917" spans="2:9" ht="15.75">
      <c r="B917" s="227"/>
      <c r="F917" s="228"/>
      <c r="I917" s="229"/>
    </row>
    <row r="918" spans="2:9" ht="15.75">
      <c r="B918" s="227"/>
      <c r="F918" s="228"/>
      <c r="I918" s="229"/>
    </row>
    <row r="919" spans="2:9" ht="15.75">
      <c r="B919" s="227"/>
      <c r="F919" s="228"/>
      <c r="I919" s="229"/>
    </row>
    <row r="920" spans="2:9" ht="15.75">
      <c r="B920" s="227"/>
      <c r="F920" s="228"/>
      <c r="I920" s="229"/>
    </row>
    <row r="921" spans="2:9" ht="15.75">
      <c r="B921" s="227"/>
      <c r="F921" s="228"/>
      <c r="I921" s="229"/>
    </row>
    <row r="922" spans="2:9" ht="15.75">
      <c r="B922" s="227"/>
      <c r="F922" s="228"/>
      <c r="I922" s="229"/>
    </row>
    <row r="923" spans="2:9" ht="15.75">
      <c r="B923" s="227"/>
      <c r="F923" s="228"/>
      <c r="I923" s="229"/>
    </row>
    <row r="924" spans="2:9" ht="15.75">
      <c r="B924" s="227"/>
      <c r="F924" s="228"/>
      <c r="I924" s="229"/>
    </row>
    <row r="925" spans="2:9" ht="15.75">
      <c r="B925" s="227"/>
      <c r="F925" s="228"/>
      <c r="I925" s="229"/>
    </row>
    <row r="926" spans="2:9" ht="15.75">
      <c r="B926" s="227"/>
      <c r="F926" s="228"/>
      <c r="I926" s="229"/>
    </row>
    <row r="927" spans="2:9" ht="15.75">
      <c r="B927" s="227"/>
      <c r="F927" s="228"/>
      <c r="I927" s="229"/>
    </row>
    <row r="928" spans="2:9" ht="15.75">
      <c r="B928" s="227"/>
      <c r="F928" s="228"/>
      <c r="I928" s="229"/>
    </row>
    <row r="929" spans="2:9" ht="15.75">
      <c r="B929" s="227"/>
      <c r="F929" s="228"/>
      <c r="I929" s="229"/>
    </row>
    <row r="930" spans="2:9" ht="15.75">
      <c r="B930" s="227"/>
      <c r="F930" s="228"/>
      <c r="I930" s="229"/>
    </row>
    <row r="931" spans="2:9" ht="15.75">
      <c r="B931" s="227"/>
      <c r="F931" s="228"/>
      <c r="I931" s="229"/>
    </row>
    <row r="932" spans="2:9" ht="15.75">
      <c r="B932" s="227"/>
      <c r="F932" s="228"/>
      <c r="I932" s="229"/>
    </row>
    <row r="933" spans="2:9" ht="15.75">
      <c r="B933" s="227"/>
      <c r="F933" s="228"/>
      <c r="I933" s="229"/>
    </row>
    <row r="934" spans="2:9" ht="15.75">
      <c r="B934" s="227"/>
      <c r="F934" s="228"/>
      <c r="I934" s="229"/>
    </row>
    <row r="935" spans="2:9" ht="15.75">
      <c r="B935" s="227"/>
      <c r="F935" s="228"/>
      <c r="I935" s="229"/>
    </row>
    <row r="936" spans="2:9" ht="15.75">
      <c r="B936" s="227"/>
      <c r="F936" s="228"/>
      <c r="I936" s="229"/>
    </row>
    <row r="937" spans="2:9" ht="15.75">
      <c r="B937" s="227"/>
      <c r="F937" s="228"/>
      <c r="I937" s="229"/>
    </row>
    <row r="938" spans="2:9" ht="15.75">
      <c r="B938" s="227"/>
      <c r="F938" s="228"/>
      <c r="I938" s="229"/>
    </row>
    <row r="939" spans="2:9" ht="15.75">
      <c r="B939" s="227"/>
      <c r="F939" s="228"/>
      <c r="I939" s="229"/>
    </row>
    <row r="940" spans="2:9" ht="15.75">
      <c r="B940" s="227"/>
      <c r="F940" s="228"/>
      <c r="I940" s="229"/>
    </row>
    <row r="941" spans="2:9" ht="15.75">
      <c r="B941" s="227"/>
      <c r="F941" s="228"/>
      <c r="I941" s="229"/>
    </row>
    <row r="942" spans="2:9" ht="15.75">
      <c r="B942" s="227"/>
      <c r="F942" s="228"/>
      <c r="I942" s="229"/>
    </row>
    <row r="943" spans="2:9" ht="15.75">
      <c r="B943" s="227"/>
      <c r="F943" s="228"/>
      <c r="I943" s="229"/>
    </row>
    <row r="944" spans="2:9" ht="15.75">
      <c r="B944" s="227"/>
      <c r="F944" s="228"/>
      <c r="I944" s="229"/>
    </row>
    <row r="945" spans="2:9" ht="15.75">
      <c r="B945" s="227"/>
      <c r="F945" s="228"/>
      <c r="I945" s="229"/>
    </row>
    <row r="946" spans="2:9" ht="15.75">
      <c r="B946" s="227"/>
      <c r="F946" s="228"/>
      <c r="I946" s="229"/>
    </row>
    <row r="947" spans="2:9" ht="15.75">
      <c r="B947" s="227"/>
      <c r="F947" s="228"/>
      <c r="I947" s="229"/>
    </row>
    <row r="948" spans="2:9" ht="15.75">
      <c r="B948" s="227"/>
      <c r="F948" s="228"/>
      <c r="I948" s="229"/>
    </row>
    <row r="949" spans="2:9" ht="15.75">
      <c r="B949" s="227"/>
      <c r="F949" s="228"/>
      <c r="I949" s="229"/>
    </row>
    <row r="950" spans="2:9" ht="15.75">
      <c r="B950" s="227"/>
      <c r="F950" s="228"/>
      <c r="I950" s="229"/>
    </row>
    <row r="951" spans="2:9" ht="15.75">
      <c r="B951" s="227"/>
      <c r="F951" s="228"/>
      <c r="I951" s="229"/>
    </row>
    <row r="952" spans="2:9" ht="15.75">
      <c r="B952" s="227"/>
      <c r="F952" s="228"/>
      <c r="I952" s="229"/>
    </row>
    <row r="953" spans="2:9" ht="15.75">
      <c r="B953" s="227"/>
      <c r="F953" s="228"/>
      <c r="I953" s="229"/>
    </row>
    <row r="954" spans="2:9" ht="15.75">
      <c r="B954" s="227"/>
      <c r="F954" s="228"/>
      <c r="I954" s="229"/>
    </row>
    <row r="955" spans="2:9" ht="15.75">
      <c r="B955" s="227"/>
      <c r="F955" s="228"/>
      <c r="I955" s="229"/>
    </row>
    <row r="956" spans="2:9" ht="15.75">
      <c r="B956" s="227"/>
      <c r="F956" s="228"/>
      <c r="I956" s="229"/>
    </row>
    <row r="957" spans="2:9" ht="15.75">
      <c r="B957" s="227"/>
      <c r="F957" s="228"/>
      <c r="I957" s="229"/>
    </row>
    <row r="958" spans="2:9" ht="15.75">
      <c r="B958" s="227"/>
      <c r="F958" s="228"/>
      <c r="I958" s="229"/>
    </row>
    <row r="959" spans="2:9" ht="15.75">
      <c r="B959" s="227"/>
      <c r="F959" s="228"/>
      <c r="I959" s="229"/>
    </row>
    <row r="960" spans="2:9" ht="15.75">
      <c r="B960" s="227"/>
      <c r="F960" s="228"/>
      <c r="I960" s="229"/>
    </row>
    <row r="961" spans="2:9" ht="15.75">
      <c r="B961" s="227"/>
      <c r="F961" s="228"/>
      <c r="I961" s="229"/>
    </row>
    <row r="962" spans="2:9" ht="15.75">
      <c r="B962" s="227"/>
      <c r="F962" s="228"/>
      <c r="I962" s="229"/>
    </row>
    <row r="963" spans="2:9" ht="15.75">
      <c r="B963" s="227"/>
      <c r="F963" s="228"/>
      <c r="I963" s="229"/>
    </row>
    <row r="964" spans="2:9" ht="15.75">
      <c r="B964" s="227"/>
      <c r="F964" s="228"/>
      <c r="I964" s="229"/>
    </row>
    <row r="965" spans="2:9" ht="15.75">
      <c r="B965" s="227"/>
      <c r="F965" s="228"/>
      <c r="I965" s="229"/>
    </row>
    <row r="966" spans="2:9" ht="15.75">
      <c r="B966" s="227"/>
      <c r="F966" s="228"/>
      <c r="I966" s="229"/>
    </row>
    <row r="967" spans="2:9" ht="15.75">
      <c r="B967" s="227"/>
      <c r="F967" s="228"/>
      <c r="I967" s="229"/>
    </row>
    <row r="968" spans="2:9" ht="15.75">
      <c r="B968" s="227"/>
      <c r="F968" s="228"/>
      <c r="I968" s="229"/>
    </row>
    <row r="969" spans="2:9" ht="15.75">
      <c r="B969" s="227"/>
      <c r="F969" s="228"/>
      <c r="I969" s="229"/>
    </row>
    <row r="970" spans="2:9" ht="15.75">
      <c r="B970" s="227"/>
      <c r="F970" s="228"/>
      <c r="I970" s="229"/>
    </row>
    <row r="971" spans="2:9" ht="15.75">
      <c r="B971" s="227"/>
      <c r="F971" s="228"/>
      <c r="I971" s="229"/>
    </row>
    <row r="972" spans="2:9" ht="15.75">
      <c r="B972" s="227"/>
      <c r="F972" s="228"/>
      <c r="I972" s="229"/>
    </row>
    <row r="973" spans="2:9" ht="15.75">
      <c r="B973" s="227"/>
      <c r="F973" s="228"/>
      <c r="I973" s="229"/>
    </row>
    <row r="974" spans="2:9" ht="15.75">
      <c r="B974" s="227"/>
      <c r="F974" s="228"/>
      <c r="I974" s="229"/>
    </row>
    <row r="975" spans="2:9" ht="15.75">
      <c r="B975" s="227"/>
      <c r="F975" s="228"/>
      <c r="I975" s="229"/>
    </row>
    <row r="976" spans="2:9" ht="15.75">
      <c r="B976" s="227"/>
      <c r="F976" s="228"/>
      <c r="I976" s="229"/>
    </row>
    <row r="977" spans="2:9" ht="15.75">
      <c r="B977" s="227"/>
      <c r="F977" s="228"/>
      <c r="I977" s="229"/>
    </row>
    <row r="978" spans="2:9" ht="15.75">
      <c r="B978" s="227"/>
      <c r="F978" s="228"/>
      <c r="I978" s="229"/>
    </row>
    <row r="979" spans="2:9" ht="15.75">
      <c r="B979" s="227"/>
      <c r="F979" s="228"/>
      <c r="I979" s="229"/>
    </row>
    <row r="980" spans="2:9" ht="15.75">
      <c r="B980" s="227"/>
      <c r="F980" s="228"/>
      <c r="I980" s="229"/>
    </row>
    <row r="981" spans="2:9" ht="15.75">
      <c r="B981" s="227"/>
      <c r="F981" s="228"/>
      <c r="I981" s="229"/>
    </row>
    <row r="982" spans="2:9" ht="15.75">
      <c r="B982" s="227"/>
      <c r="F982" s="228"/>
      <c r="I982" s="229"/>
    </row>
    <row r="983" spans="2:9" ht="15.75">
      <c r="B983" s="227"/>
      <c r="F983" s="228"/>
      <c r="I983" s="229"/>
    </row>
    <row r="984" spans="2:9" ht="15.75">
      <c r="B984" s="227"/>
      <c r="F984" s="228"/>
      <c r="I984" s="229"/>
    </row>
    <row r="985" spans="2:9" ht="15.75">
      <c r="B985" s="227"/>
      <c r="F985" s="228"/>
      <c r="I985" s="229"/>
    </row>
  </sheetData>
  <mergeCells count="13">
    <mergeCell ref="I52:I53"/>
    <mergeCell ref="I8:I10"/>
    <mergeCell ref="I11:I12"/>
    <mergeCell ref="I13:I14"/>
    <mergeCell ref="I15:I23"/>
    <mergeCell ref="I24:I26"/>
    <mergeCell ref="I27:I32"/>
    <mergeCell ref="I33:I35"/>
    <mergeCell ref="I36:I38"/>
    <mergeCell ref="I39:I42"/>
    <mergeCell ref="I43:I46"/>
    <mergeCell ref="I47:I49"/>
    <mergeCell ref="I50:I5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Q990"/>
  <sheetViews>
    <sheetView workbookViewId="0"/>
  </sheetViews>
  <sheetFormatPr defaultColWidth="11.125" defaultRowHeight="15" customHeight="1"/>
  <cols>
    <col min="17" max="17" width="17.125" customWidth="1"/>
  </cols>
  <sheetData>
    <row r="1" spans="1:17">
      <c r="A1" s="230" t="s">
        <v>0</v>
      </c>
      <c r="B1" s="231" t="s">
        <v>628</v>
      </c>
      <c r="C1" s="231" t="s">
        <v>629</v>
      </c>
      <c r="D1" s="232" t="s">
        <v>630</v>
      </c>
      <c r="E1" s="232" t="s">
        <v>631</v>
      </c>
      <c r="F1" s="232" t="s">
        <v>632</v>
      </c>
      <c r="G1" s="232" t="s">
        <v>633</v>
      </c>
      <c r="H1" s="232" t="s">
        <v>634</v>
      </c>
      <c r="I1" s="232" t="s">
        <v>635</v>
      </c>
      <c r="J1" s="232" t="s">
        <v>636</v>
      </c>
      <c r="K1" s="232" t="s">
        <v>637</v>
      </c>
      <c r="L1" s="232" t="s">
        <v>638</v>
      </c>
      <c r="M1" s="232" t="s">
        <v>639</v>
      </c>
      <c r="N1" s="232" t="s">
        <v>640</v>
      </c>
      <c r="O1" s="232" t="s">
        <v>14</v>
      </c>
      <c r="P1" s="232" t="s">
        <v>15</v>
      </c>
      <c r="Q1" s="231"/>
    </row>
    <row r="2" spans="1:17">
      <c r="A2" s="230" t="s">
        <v>641</v>
      </c>
      <c r="B2" s="231" t="s">
        <v>642</v>
      </c>
      <c r="C2" s="233">
        <v>45079.135416666664</v>
      </c>
      <c r="D2" s="232">
        <v>20</v>
      </c>
      <c r="E2" s="232">
        <v>0.11503579999999999</v>
      </c>
      <c r="F2" s="232">
        <v>35</v>
      </c>
      <c r="G2" s="232">
        <v>22</v>
      </c>
      <c r="H2" s="232">
        <v>4459.1854300000005</v>
      </c>
      <c r="I2" s="232">
        <v>0.99985999999999997</v>
      </c>
      <c r="J2" s="232">
        <v>0.42607</v>
      </c>
      <c r="K2" s="232">
        <v>2450.6999999999998</v>
      </c>
      <c r="L2" s="232">
        <v>3.7008000000000001</v>
      </c>
      <c r="M2" s="232" t="s">
        <v>18</v>
      </c>
      <c r="N2" s="232" t="s">
        <v>20</v>
      </c>
      <c r="O2" s="232" t="s">
        <v>28</v>
      </c>
      <c r="P2" s="232"/>
      <c r="Q2" s="231"/>
    </row>
    <row r="3" spans="1:17">
      <c r="A3" s="230" t="s">
        <v>643</v>
      </c>
      <c r="B3" s="231" t="s">
        <v>642</v>
      </c>
      <c r="C3" s="233">
        <v>45079.146527777775</v>
      </c>
      <c r="D3" s="232">
        <v>20</v>
      </c>
      <c r="E3" s="232">
        <v>0.11503579999999999</v>
      </c>
      <c r="F3" s="232">
        <v>35</v>
      </c>
      <c r="G3" s="232">
        <v>22</v>
      </c>
      <c r="H3" s="232">
        <v>4446.1920399999999</v>
      </c>
      <c r="I3" s="232">
        <v>0.99988600000000005</v>
      </c>
      <c r="J3" s="232">
        <v>0.42468800000000001</v>
      </c>
      <c r="K3" s="232">
        <v>2442.6999999999998</v>
      </c>
      <c r="L3" s="232">
        <v>5.6218000000000004</v>
      </c>
      <c r="M3" s="232" t="s">
        <v>18</v>
      </c>
      <c r="N3" s="232" t="s">
        <v>20</v>
      </c>
      <c r="O3" s="232" t="s">
        <v>28</v>
      </c>
      <c r="P3" s="232"/>
      <c r="Q3" s="231"/>
    </row>
    <row r="4" spans="1:17">
      <c r="A4" s="230" t="s">
        <v>644</v>
      </c>
      <c r="B4" s="231" t="s">
        <v>642</v>
      </c>
      <c r="C4" s="233">
        <v>45079.168055555558</v>
      </c>
      <c r="D4" s="232">
        <v>20</v>
      </c>
      <c r="E4" s="232">
        <v>0.11503579999999999</v>
      </c>
      <c r="F4" s="232">
        <v>35</v>
      </c>
      <c r="G4" s="232">
        <v>22</v>
      </c>
      <c r="H4" s="232">
        <v>4492.6865299999999</v>
      </c>
      <c r="I4" s="232">
        <v>0.99988100000000002</v>
      </c>
      <c r="J4" s="232">
        <v>0.42551899999999998</v>
      </c>
      <c r="K4" s="232">
        <v>2447.5</v>
      </c>
      <c r="L4" s="232">
        <v>3.3803000000000001</v>
      </c>
      <c r="M4" s="232" t="s">
        <v>18</v>
      </c>
      <c r="N4" s="232" t="s">
        <v>20</v>
      </c>
      <c r="O4" s="232" t="s">
        <v>28</v>
      </c>
      <c r="P4" s="232"/>
      <c r="Q4" s="231"/>
    </row>
    <row r="5" spans="1:17">
      <c r="A5" s="230" t="s">
        <v>645</v>
      </c>
      <c r="B5" s="231" t="s">
        <v>646</v>
      </c>
      <c r="C5" s="233">
        <v>45079.188888888886</v>
      </c>
      <c r="D5" s="232">
        <v>20</v>
      </c>
      <c r="E5" s="232">
        <v>8.5689799999999997E-2</v>
      </c>
      <c r="F5" s="232">
        <v>35</v>
      </c>
      <c r="G5" s="232">
        <v>22</v>
      </c>
      <c r="H5" s="232">
        <v>3899.8878800000002</v>
      </c>
      <c r="I5" s="232">
        <v>0.99966900000000003</v>
      </c>
      <c r="J5" s="232">
        <v>0.47340500000000002</v>
      </c>
      <c r="K5" s="232">
        <v>2028.3</v>
      </c>
      <c r="L5" s="232" t="s">
        <v>647</v>
      </c>
      <c r="M5" s="232" t="s">
        <v>18</v>
      </c>
      <c r="N5" s="232" t="s">
        <v>20</v>
      </c>
      <c r="O5" s="232" t="s">
        <v>28</v>
      </c>
      <c r="P5" s="232" t="s">
        <v>648</v>
      </c>
      <c r="Q5" s="231"/>
    </row>
    <row r="6" spans="1:17">
      <c r="A6" s="230" t="s">
        <v>649</v>
      </c>
      <c r="B6" s="231" t="s">
        <v>646</v>
      </c>
      <c r="C6" s="233">
        <v>45079.197222222225</v>
      </c>
      <c r="D6" s="232">
        <v>20</v>
      </c>
      <c r="E6" s="232">
        <v>8.5523699999999994E-2</v>
      </c>
      <c r="F6" s="232">
        <v>35</v>
      </c>
      <c r="G6" s="232">
        <v>22</v>
      </c>
      <c r="H6" s="232">
        <v>3930.7943700000001</v>
      </c>
      <c r="I6" s="232">
        <v>0.99961699999999998</v>
      </c>
      <c r="J6" s="232">
        <v>0.474325</v>
      </c>
      <c r="K6" s="232">
        <v>2028.3</v>
      </c>
      <c r="L6" s="232" t="s">
        <v>647</v>
      </c>
      <c r="M6" s="232" t="s">
        <v>18</v>
      </c>
      <c r="N6" s="232" t="s">
        <v>20</v>
      </c>
      <c r="O6" s="232" t="s">
        <v>28</v>
      </c>
      <c r="P6" s="232" t="s">
        <v>648</v>
      </c>
      <c r="Q6" s="231"/>
    </row>
    <row r="7" spans="1:17">
      <c r="A7" s="230" t="s">
        <v>650</v>
      </c>
      <c r="B7" s="231" t="s">
        <v>646</v>
      </c>
      <c r="C7" s="233">
        <v>45079.205555555556</v>
      </c>
      <c r="D7" s="232">
        <v>20</v>
      </c>
      <c r="E7" s="232">
        <v>8.5858500000000004E-2</v>
      </c>
      <c r="F7" s="232">
        <v>35</v>
      </c>
      <c r="G7" s="232">
        <v>22</v>
      </c>
      <c r="H7" s="232">
        <v>3916.7946299999999</v>
      </c>
      <c r="I7" s="232">
        <v>0.99963999999999997</v>
      </c>
      <c r="J7" s="232">
        <v>0.47247499999999998</v>
      </c>
      <c r="K7" s="232">
        <v>2028.3</v>
      </c>
      <c r="L7" s="234">
        <v>5.0000000000000001E-4</v>
      </c>
      <c r="M7" s="232" t="s">
        <v>18</v>
      </c>
      <c r="N7" s="232" t="s">
        <v>20</v>
      </c>
      <c r="O7" s="232" t="s">
        <v>28</v>
      </c>
      <c r="P7" s="232" t="s">
        <v>648</v>
      </c>
      <c r="Q7" s="231"/>
    </row>
    <row r="8" spans="1:17">
      <c r="A8" s="230" t="s">
        <v>651</v>
      </c>
      <c r="B8" s="231" t="s">
        <v>646</v>
      </c>
      <c r="C8" s="233">
        <v>45079.216666666667</v>
      </c>
      <c r="D8" s="232">
        <v>20</v>
      </c>
      <c r="E8" s="232">
        <v>8.5799799999999996E-2</v>
      </c>
      <c r="F8" s="232">
        <v>35</v>
      </c>
      <c r="G8" s="232">
        <v>22</v>
      </c>
      <c r="H8" s="232">
        <v>3934.0135700000001</v>
      </c>
      <c r="I8" s="232">
        <v>0.99959900000000002</v>
      </c>
      <c r="J8" s="232">
        <v>0.472798</v>
      </c>
      <c r="K8" s="232">
        <v>2028.3</v>
      </c>
      <c r="L8" s="234">
        <v>5.0000000000000001E-4</v>
      </c>
      <c r="M8" s="232" t="s">
        <v>18</v>
      </c>
      <c r="N8" s="232" t="s">
        <v>20</v>
      </c>
      <c r="O8" s="232" t="s">
        <v>28</v>
      </c>
      <c r="P8" s="232" t="s">
        <v>648</v>
      </c>
      <c r="Q8" s="231"/>
    </row>
    <row r="9" spans="1:17">
      <c r="A9" s="230" t="s">
        <v>652</v>
      </c>
      <c r="B9" s="231" t="s">
        <v>646</v>
      </c>
      <c r="C9" s="233">
        <v>45079.229861111111</v>
      </c>
      <c r="D9" s="232">
        <v>20</v>
      </c>
      <c r="E9" s="232">
        <v>8.5829199999999994E-2</v>
      </c>
      <c r="F9" s="232">
        <v>35</v>
      </c>
      <c r="G9" s="232">
        <v>22</v>
      </c>
      <c r="H9" s="232">
        <v>3920.2421199999999</v>
      </c>
      <c r="I9" s="232">
        <v>0.99962899999999999</v>
      </c>
      <c r="J9" s="232">
        <v>0.472493</v>
      </c>
      <c r="K9" s="232">
        <v>2027.7</v>
      </c>
      <c r="L9" s="232"/>
      <c r="M9" s="232" t="s">
        <v>18</v>
      </c>
      <c r="N9" s="232" t="s">
        <v>20</v>
      </c>
      <c r="O9" s="232" t="s">
        <v>28</v>
      </c>
      <c r="P9" s="232"/>
      <c r="Q9" s="231"/>
    </row>
    <row r="10" spans="1:17">
      <c r="A10" s="230" t="s">
        <v>653</v>
      </c>
      <c r="B10" s="231" t="s">
        <v>654</v>
      </c>
      <c r="C10" s="233">
        <v>45079.240972222222</v>
      </c>
      <c r="D10" s="232">
        <v>20</v>
      </c>
      <c r="E10" s="232">
        <v>8.5829199999999994E-2</v>
      </c>
      <c r="F10" s="232">
        <v>35</v>
      </c>
      <c r="G10" s="232">
        <v>22</v>
      </c>
      <c r="H10" s="232">
        <v>3820.5399600000001</v>
      </c>
      <c r="I10" s="232">
        <v>0.99853000000000003</v>
      </c>
      <c r="J10" s="232">
        <v>0.69807600000000003</v>
      </c>
      <c r="K10" s="232">
        <v>2995.8</v>
      </c>
      <c r="L10" s="232"/>
      <c r="M10" s="232" t="s">
        <v>18</v>
      </c>
      <c r="N10" s="232" t="s">
        <v>20</v>
      </c>
      <c r="O10" s="232" t="s">
        <v>28</v>
      </c>
      <c r="P10" s="232">
        <v>3</v>
      </c>
      <c r="Q10" s="231" t="s">
        <v>655</v>
      </c>
    </row>
    <row r="11" spans="1:17">
      <c r="A11" s="230" t="s">
        <v>656</v>
      </c>
      <c r="B11" s="231" t="s">
        <v>654</v>
      </c>
      <c r="C11" s="233">
        <v>45079.253472222219</v>
      </c>
      <c r="D11" s="232">
        <v>20</v>
      </c>
      <c r="E11" s="232">
        <v>8.5829199999999994E-2</v>
      </c>
      <c r="F11" s="232">
        <v>35</v>
      </c>
      <c r="G11" s="232">
        <v>22</v>
      </c>
      <c r="H11" s="232">
        <v>3856.8755799999999</v>
      </c>
      <c r="I11" s="232">
        <v>0.99854100000000001</v>
      </c>
      <c r="J11" s="232">
        <v>0.69699</v>
      </c>
      <c r="K11" s="232">
        <v>2991.1</v>
      </c>
      <c r="L11" s="232">
        <v>3.2972000000000001</v>
      </c>
      <c r="M11" s="232" t="s">
        <v>18</v>
      </c>
      <c r="N11" s="232" t="s">
        <v>20</v>
      </c>
      <c r="O11" s="232" t="s">
        <v>28</v>
      </c>
      <c r="P11" s="232"/>
      <c r="Q11" s="231"/>
    </row>
    <row r="12" spans="1:17">
      <c r="A12" s="230" t="s">
        <v>657</v>
      </c>
      <c r="B12" s="231" t="s">
        <v>658</v>
      </c>
      <c r="C12" s="233">
        <v>45079.267361111109</v>
      </c>
      <c r="D12" s="232">
        <v>20</v>
      </c>
      <c r="E12" s="232">
        <v>8.5829199999999994E-2</v>
      </c>
      <c r="F12" s="232">
        <v>35</v>
      </c>
      <c r="G12" s="232">
        <v>22</v>
      </c>
      <c r="H12" s="232">
        <v>3828.0870599999998</v>
      </c>
      <c r="I12" s="232">
        <v>0.99855300000000002</v>
      </c>
      <c r="J12" s="232">
        <v>0.70555000000000001</v>
      </c>
      <c r="K12" s="232">
        <v>3027.8</v>
      </c>
      <c r="L12" s="232">
        <v>25.975200000000001</v>
      </c>
      <c r="M12" s="232" t="s">
        <v>18</v>
      </c>
      <c r="N12" s="232" t="s">
        <v>20</v>
      </c>
      <c r="O12" s="232" t="s">
        <v>28</v>
      </c>
      <c r="P12" s="232"/>
      <c r="Q12" s="231"/>
    </row>
    <row r="13" spans="1:17">
      <c r="A13" s="230" t="s">
        <v>659</v>
      </c>
      <c r="B13" s="231" t="s">
        <v>658</v>
      </c>
      <c r="C13" s="233">
        <v>45079.277777777781</v>
      </c>
      <c r="D13" s="232">
        <v>20</v>
      </c>
      <c r="E13" s="232">
        <v>8.5829199999999994E-2</v>
      </c>
      <c r="F13" s="232">
        <v>35</v>
      </c>
      <c r="G13" s="232">
        <v>22</v>
      </c>
      <c r="H13" s="232">
        <v>3819.2491599999998</v>
      </c>
      <c r="I13" s="232">
        <v>0.99850300000000003</v>
      </c>
      <c r="J13" s="232">
        <v>0.70670900000000003</v>
      </c>
      <c r="K13" s="232">
        <v>3032.8</v>
      </c>
      <c r="L13" s="232">
        <v>3.5167000000000002</v>
      </c>
      <c r="M13" s="232" t="s">
        <v>18</v>
      </c>
      <c r="N13" s="232" t="s">
        <v>20</v>
      </c>
      <c r="O13" s="232" t="s">
        <v>28</v>
      </c>
      <c r="P13" s="232"/>
      <c r="Q13" s="231"/>
    </row>
    <row r="14" spans="1:17">
      <c r="A14" s="230" t="s">
        <v>660</v>
      </c>
      <c r="B14" s="231" t="s">
        <v>661</v>
      </c>
      <c r="C14" s="233">
        <v>45079.290277777778</v>
      </c>
      <c r="D14" s="232">
        <v>20</v>
      </c>
      <c r="E14" s="232">
        <v>8.5829199999999994E-2</v>
      </c>
      <c r="F14" s="232">
        <v>35</v>
      </c>
      <c r="G14" s="232">
        <v>22</v>
      </c>
      <c r="H14" s="232">
        <v>0</v>
      </c>
      <c r="I14" s="232">
        <v>0</v>
      </c>
      <c r="J14" s="232">
        <v>0</v>
      </c>
      <c r="K14" s="232">
        <v>0</v>
      </c>
      <c r="L14" s="232" t="s">
        <v>662</v>
      </c>
      <c r="M14" s="232" t="s">
        <v>18</v>
      </c>
      <c r="N14" s="232" t="s">
        <v>20</v>
      </c>
      <c r="O14" s="232" t="s">
        <v>28</v>
      </c>
      <c r="P14" s="232"/>
      <c r="Q14" s="231"/>
    </row>
    <row r="15" spans="1:17">
      <c r="A15" s="230" t="s">
        <v>663</v>
      </c>
      <c r="B15" s="231" t="s">
        <v>661</v>
      </c>
      <c r="C15" s="233">
        <v>45079.295138888891</v>
      </c>
      <c r="D15" s="232">
        <v>20</v>
      </c>
      <c r="E15" s="232">
        <v>8.5829199999999994E-2</v>
      </c>
      <c r="F15" s="232">
        <v>35</v>
      </c>
      <c r="G15" s="232">
        <v>22</v>
      </c>
      <c r="H15" s="232">
        <v>3924.3226199999999</v>
      </c>
      <c r="I15" s="232">
        <v>0.99915399999999999</v>
      </c>
      <c r="J15" s="232">
        <v>0.59957400000000005</v>
      </c>
      <c r="K15" s="232">
        <v>2573</v>
      </c>
      <c r="L15" s="232"/>
      <c r="M15" s="232" t="s">
        <v>18</v>
      </c>
      <c r="N15" s="232" t="s">
        <v>20</v>
      </c>
      <c r="O15" s="232" t="s">
        <v>28</v>
      </c>
      <c r="P15" s="232"/>
      <c r="Q15" s="231"/>
    </row>
    <row r="16" spans="1:17">
      <c r="A16" s="230" t="s">
        <v>664</v>
      </c>
      <c r="B16" s="231" t="s">
        <v>642</v>
      </c>
      <c r="C16" s="235">
        <v>45079.961712962962</v>
      </c>
      <c r="D16" s="232">
        <v>20</v>
      </c>
      <c r="E16" s="232">
        <v>8.5829199999999994E-2</v>
      </c>
      <c r="F16" s="232">
        <v>35</v>
      </c>
      <c r="G16" s="232">
        <v>22</v>
      </c>
      <c r="H16" s="232">
        <v>4502.7358800000002</v>
      </c>
      <c r="I16" s="232">
        <v>0.99994700000000003</v>
      </c>
      <c r="J16" s="232">
        <v>0.42766399999999999</v>
      </c>
      <c r="K16" s="232">
        <v>1835.3</v>
      </c>
      <c r="L16" s="232">
        <v>2.1438999999999999</v>
      </c>
      <c r="M16" s="232" t="s">
        <v>18</v>
      </c>
      <c r="N16" s="232" t="s">
        <v>20</v>
      </c>
      <c r="O16" s="232" t="s">
        <v>28</v>
      </c>
      <c r="P16" s="232"/>
      <c r="Q16" s="231"/>
    </row>
    <row r="17" spans="1:17">
      <c r="A17" s="230" t="s">
        <v>665</v>
      </c>
      <c r="B17" s="231" t="s">
        <v>642</v>
      </c>
      <c r="C17" s="235">
        <v>45079.969293981485</v>
      </c>
      <c r="D17" s="232">
        <v>20</v>
      </c>
      <c r="E17" s="232">
        <v>8.5829199999999994E-2</v>
      </c>
      <c r="F17" s="232">
        <v>35</v>
      </c>
      <c r="G17" s="232">
        <v>22</v>
      </c>
      <c r="H17" s="232">
        <v>4509.7068200000003</v>
      </c>
      <c r="I17" s="232">
        <v>0.99996600000000002</v>
      </c>
      <c r="J17" s="232">
        <v>0.42819499999999999</v>
      </c>
      <c r="K17" s="232">
        <v>1837.6</v>
      </c>
      <c r="L17" s="232">
        <v>1.611</v>
      </c>
      <c r="M17" s="232" t="s">
        <v>18</v>
      </c>
      <c r="N17" s="232" t="s">
        <v>20</v>
      </c>
      <c r="O17" s="232" t="s">
        <v>28</v>
      </c>
      <c r="P17" s="232"/>
      <c r="Q17" s="231"/>
    </row>
    <row r="18" spans="1:17">
      <c r="A18" s="230" t="s">
        <v>666</v>
      </c>
      <c r="B18" s="231" t="s">
        <v>642</v>
      </c>
      <c r="C18" s="235">
        <v>45079.97755787037</v>
      </c>
      <c r="D18" s="232">
        <v>20</v>
      </c>
      <c r="E18" s="232">
        <v>8.5829199999999994E-2</v>
      </c>
      <c r="F18" s="232">
        <v>35</v>
      </c>
      <c r="G18" s="232">
        <v>22</v>
      </c>
      <c r="H18" s="232">
        <v>4540.4297500000002</v>
      </c>
      <c r="I18" s="232">
        <v>0.99994700000000003</v>
      </c>
      <c r="J18" s="232">
        <v>0.42766399999999999</v>
      </c>
      <c r="K18" s="232">
        <v>1835.3</v>
      </c>
      <c r="L18" s="232">
        <v>1.611</v>
      </c>
      <c r="M18" s="232" t="s">
        <v>18</v>
      </c>
      <c r="N18" s="232" t="s">
        <v>20</v>
      </c>
      <c r="O18" s="232" t="s">
        <v>28</v>
      </c>
      <c r="P18" s="232"/>
      <c r="Q18" s="231"/>
    </row>
    <row r="19" spans="1:17">
      <c r="A19" s="230" t="s">
        <v>657</v>
      </c>
      <c r="B19" s="231" t="s">
        <v>667</v>
      </c>
      <c r="C19" s="235">
        <v>45080.090196759258</v>
      </c>
      <c r="D19" s="232">
        <v>20</v>
      </c>
      <c r="E19" s="232">
        <v>9.3166200000000005E-2</v>
      </c>
      <c r="F19" s="232">
        <v>33.5</v>
      </c>
      <c r="G19" s="232">
        <v>22</v>
      </c>
      <c r="H19" s="232">
        <v>3923.7447200000001</v>
      </c>
      <c r="I19" s="232">
        <v>0.99958899999999995</v>
      </c>
      <c r="J19" s="232">
        <v>0.47182800000000003</v>
      </c>
      <c r="K19" s="232">
        <v>2197.9</v>
      </c>
      <c r="L19" s="232">
        <v>0.435</v>
      </c>
      <c r="M19" s="232" t="s">
        <v>18</v>
      </c>
      <c r="N19" s="232" t="s">
        <v>20</v>
      </c>
      <c r="O19" s="232" t="s">
        <v>28</v>
      </c>
      <c r="P19" s="232"/>
      <c r="Q19" s="231"/>
    </row>
    <row r="20" spans="1:17">
      <c r="A20" s="230" t="s">
        <v>659</v>
      </c>
      <c r="B20" s="231" t="s">
        <v>667</v>
      </c>
      <c r="C20" s="235">
        <v>45080.102673611109</v>
      </c>
      <c r="D20" s="232">
        <v>20</v>
      </c>
      <c r="E20" s="232">
        <v>9.3166200000000005E-2</v>
      </c>
      <c r="F20" s="232">
        <v>33.5</v>
      </c>
      <c r="G20" s="232">
        <v>22</v>
      </c>
      <c r="H20" s="232">
        <v>3890.2857600000002</v>
      </c>
      <c r="I20" s="232">
        <v>0.99958499999999995</v>
      </c>
      <c r="J20" s="232">
        <v>0.47289900000000001</v>
      </c>
      <c r="K20" s="232">
        <v>2202.9</v>
      </c>
      <c r="L20" s="232">
        <v>3.528</v>
      </c>
      <c r="M20" s="232" t="s">
        <v>18</v>
      </c>
      <c r="N20" s="232" t="s">
        <v>20</v>
      </c>
      <c r="O20" s="232" t="s">
        <v>28</v>
      </c>
      <c r="P20" s="232"/>
      <c r="Q20" s="231"/>
    </row>
    <row r="21" spans="1:17">
      <c r="A21" s="230" t="s">
        <v>660</v>
      </c>
      <c r="B21" s="231" t="s">
        <v>667</v>
      </c>
      <c r="C21" s="235">
        <v>45080.114618055559</v>
      </c>
      <c r="D21" s="232">
        <v>20</v>
      </c>
      <c r="E21" s="232">
        <v>9.3166200000000005E-2</v>
      </c>
      <c r="F21" s="232">
        <v>33.5</v>
      </c>
      <c r="G21" s="232">
        <v>22</v>
      </c>
      <c r="H21" s="232">
        <v>3929.3465500000002</v>
      </c>
      <c r="I21" s="232">
        <v>0.99960899999999997</v>
      </c>
      <c r="J21" s="232">
        <v>0.47237200000000001</v>
      </c>
      <c r="K21" s="232">
        <v>2200.5</v>
      </c>
      <c r="L21" s="232">
        <v>1.7351000000000001</v>
      </c>
      <c r="M21" s="232" t="s">
        <v>18</v>
      </c>
      <c r="N21" s="232" t="s">
        <v>20</v>
      </c>
      <c r="O21" s="232" t="s">
        <v>28</v>
      </c>
      <c r="P21" s="232"/>
      <c r="Q21" s="231"/>
    </row>
    <row r="22" spans="1:17">
      <c r="A22" s="230" t="s">
        <v>668</v>
      </c>
      <c r="B22" s="231" t="s">
        <v>669</v>
      </c>
      <c r="C22" s="235">
        <v>45080.194988425923</v>
      </c>
      <c r="D22" s="232">
        <v>20</v>
      </c>
      <c r="E22" s="232">
        <v>9.3166200000000005E-2</v>
      </c>
      <c r="F22" s="232">
        <v>37.200000000000003</v>
      </c>
      <c r="G22" s="232">
        <v>22</v>
      </c>
      <c r="H22" s="232">
        <v>3793.29421</v>
      </c>
      <c r="I22" s="232">
        <v>0.99946400000000002</v>
      </c>
      <c r="J22" s="232">
        <v>0.57091999999999998</v>
      </c>
      <c r="K22" s="232">
        <v>2659.5</v>
      </c>
      <c r="L22" s="232"/>
      <c r="M22" s="232" t="s">
        <v>18</v>
      </c>
      <c r="N22" s="232" t="s">
        <v>20</v>
      </c>
      <c r="O22" s="232" t="s">
        <v>28</v>
      </c>
      <c r="P22" s="232"/>
      <c r="Q22" s="231"/>
    </row>
    <row r="23" spans="1:17">
      <c r="A23" s="230" t="s">
        <v>670</v>
      </c>
      <c r="B23" s="231" t="s">
        <v>671</v>
      </c>
      <c r="C23" s="235">
        <v>45080.211655092593</v>
      </c>
      <c r="D23" s="232">
        <v>20</v>
      </c>
      <c r="E23" s="232">
        <v>9.3166200000000005E-2</v>
      </c>
      <c r="F23" s="232">
        <v>37.299999999999997</v>
      </c>
      <c r="G23" s="232">
        <v>22</v>
      </c>
      <c r="H23" s="232">
        <v>4023.3948599999999</v>
      </c>
      <c r="I23" s="232">
        <v>0.99930699999999995</v>
      </c>
      <c r="J23" s="232">
        <v>0.56111699999999998</v>
      </c>
      <c r="K23" s="232">
        <v>2613.9</v>
      </c>
      <c r="L23" s="232"/>
      <c r="M23" s="232" t="s">
        <v>18</v>
      </c>
      <c r="N23" s="232" t="s">
        <v>20</v>
      </c>
      <c r="O23" s="232" t="s">
        <v>28</v>
      </c>
      <c r="P23" s="232">
        <v>8</v>
      </c>
      <c r="Q23" s="231" t="s">
        <v>655</v>
      </c>
    </row>
    <row r="24" spans="1:17">
      <c r="A24" s="230" t="s">
        <v>672</v>
      </c>
      <c r="B24" s="231" t="s">
        <v>673</v>
      </c>
      <c r="C24" s="235">
        <v>45080.224386574075</v>
      </c>
      <c r="D24" s="232">
        <v>20</v>
      </c>
      <c r="E24" s="232">
        <v>9.3166200000000005E-2</v>
      </c>
      <c r="F24" s="232">
        <v>37.5</v>
      </c>
      <c r="G24" s="232">
        <v>22</v>
      </c>
      <c r="H24" s="232">
        <v>3843.2759099999998</v>
      </c>
      <c r="I24" s="232">
        <v>0.99922900000000003</v>
      </c>
      <c r="J24" s="232">
        <v>0.61022699999999996</v>
      </c>
      <c r="K24" s="232">
        <v>2842.6</v>
      </c>
      <c r="L24" s="232"/>
      <c r="M24" s="232" t="s">
        <v>18</v>
      </c>
      <c r="N24" s="232" t="s">
        <v>20</v>
      </c>
      <c r="O24" s="232" t="s">
        <v>28</v>
      </c>
      <c r="P24" s="232"/>
      <c r="Q24" s="231"/>
    </row>
    <row r="25" spans="1:17">
      <c r="A25" s="230" t="s">
        <v>674</v>
      </c>
      <c r="B25" s="231" t="s">
        <v>675</v>
      </c>
      <c r="C25" s="235">
        <v>45080.233807870369</v>
      </c>
      <c r="D25" s="232">
        <v>20</v>
      </c>
      <c r="E25" s="232">
        <v>9.3166200000000005E-2</v>
      </c>
      <c r="F25" s="232">
        <v>37</v>
      </c>
      <c r="G25" s="232">
        <v>22</v>
      </c>
      <c r="H25" s="232">
        <v>3826.2665099999999</v>
      </c>
      <c r="I25" s="232">
        <v>0.99914599999999998</v>
      </c>
      <c r="J25" s="232">
        <v>0.61757600000000001</v>
      </c>
      <c r="K25" s="232">
        <v>2876.9</v>
      </c>
      <c r="L25" s="232"/>
      <c r="M25" s="232" t="s">
        <v>18</v>
      </c>
      <c r="N25" s="232" t="s">
        <v>20</v>
      </c>
      <c r="O25" s="232" t="s">
        <v>28</v>
      </c>
      <c r="P25" s="232"/>
      <c r="Q25" s="231"/>
    </row>
    <row r="26" spans="1:17">
      <c r="A26" s="230" t="s">
        <v>676</v>
      </c>
      <c r="B26" s="231" t="s">
        <v>677</v>
      </c>
      <c r="C26" s="235">
        <v>45080.247094907405</v>
      </c>
      <c r="D26" s="232">
        <v>20</v>
      </c>
      <c r="E26" s="232">
        <v>9.3166200000000005E-2</v>
      </c>
      <c r="F26" s="232">
        <v>37.200000000000003</v>
      </c>
      <c r="G26" s="232">
        <v>22</v>
      </c>
      <c r="H26" s="232">
        <v>3906.1640699999998</v>
      </c>
      <c r="I26" s="232">
        <v>0.99925200000000003</v>
      </c>
      <c r="J26" s="232">
        <v>0.60065400000000002</v>
      </c>
      <c r="K26" s="232">
        <v>2798</v>
      </c>
      <c r="L26" s="232"/>
      <c r="M26" s="232" t="s">
        <v>18</v>
      </c>
      <c r="N26" s="232" t="s">
        <v>20</v>
      </c>
      <c r="O26" s="232" t="s">
        <v>28</v>
      </c>
      <c r="P26" s="232"/>
      <c r="Q26" s="231"/>
    </row>
    <row r="27" spans="1:17">
      <c r="A27" s="230" t="s">
        <v>678</v>
      </c>
      <c r="B27" s="231" t="s">
        <v>679</v>
      </c>
      <c r="C27" s="235">
        <v>45080.256736111114</v>
      </c>
      <c r="D27" s="232">
        <v>20</v>
      </c>
      <c r="E27" s="232">
        <v>9.3166200000000005E-2</v>
      </c>
      <c r="F27" s="232">
        <v>37.5</v>
      </c>
      <c r="G27" s="232">
        <v>22</v>
      </c>
      <c r="H27" s="232">
        <v>3853.5762399999999</v>
      </c>
      <c r="I27" s="232">
        <v>0.99919899999999995</v>
      </c>
      <c r="J27" s="232">
        <v>0.59794400000000003</v>
      </c>
      <c r="K27" s="232">
        <v>2785.4</v>
      </c>
      <c r="L27" s="232"/>
      <c r="M27" s="232" t="s">
        <v>18</v>
      </c>
      <c r="N27" s="232" t="s">
        <v>20</v>
      </c>
      <c r="O27" s="232" t="s">
        <v>28</v>
      </c>
      <c r="P27" s="232"/>
      <c r="Q27" s="231"/>
    </row>
    <row r="28" spans="1:17">
      <c r="A28" s="230" t="s">
        <v>680</v>
      </c>
      <c r="B28" s="231" t="s">
        <v>681</v>
      </c>
      <c r="C28" s="235">
        <v>45080.27747685185</v>
      </c>
      <c r="D28" s="232">
        <v>20</v>
      </c>
      <c r="E28" s="232">
        <v>9.3166200000000005E-2</v>
      </c>
      <c r="F28" s="232">
        <v>37.5</v>
      </c>
      <c r="G28" s="232">
        <v>22</v>
      </c>
      <c r="H28" s="232">
        <v>3805.4848400000001</v>
      </c>
      <c r="I28" s="232">
        <v>0.99926000000000004</v>
      </c>
      <c r="J28" s="232">
        <v>0.60872899999999996</v>
      </c>
      <c r="K28" s="232">
        <v>2835.6</v>
      </c>
      <c r="L28" s="232"/>
      <c r="M28" s="232" t="s">
        <v>18</v>
      </c>
      <c r="N28" s="232" t="s">
        <v>20</v>
      </c>
      <c r="O28" s="232" t="s">
        <v>28</v>
      </c>
      <c r="P28" s="232"/>
      <c r="Q28" s="231"/>
    </row>
    <row r="29" spans="1:17">
      <c r="A29" s="230" t="s">
        <v>682</v>
      </c>
      <c r="B29" s="231" t="s">
        <v>683</v>
      </c>
      <c r="C29" s="235">
        <v>45080.287152777775</v>
      </c>
      <c r="D29" s="232">
        <v>20</v>
      </c>
      <c r="E29" s="232">
        <v>9.3166200000000005E-2</v>
      </c>
      <c r="F29" s="232">
        <v>37.5</v>
      </c>
      <c r="G29" s="232">
        <v>22</v>
      </c>
      <c r="H29" s="232">
        <v>3785.9783499999999</v>
      </c>
      <c r="I29" s="232">
        <v>0.99919800000000003</v>
      </c>
      <c r="J29" s="232">
        <v>0.62039</v>
      </c>
      <c r="K29" s="232">
        <v>2890</v>
      </c>
      <c r="L29" s="232"/>
      <c r="M29" s="232" t="s">
        <v>18</v>
      </c>
      <c r="N29" s="232" t="s">
        <v>20</v>
      </c>
      <c r="O29" s="232" t="s">
        <v>28</v>
      </c>
      <c r="P29" s="232"/>
      <c r="Q29" s="231"/>
    </row>
    <row r="30" spans="1:17">
      <c r="A30" s="230" t="s">
        <v>684</v>
      </c>
      <c r="B30" s="231" t="s">
        <v>667</v>
      </c>
      <c r="C30" s="235">
        <v>45080.303877314815</v>
      </c>
      <c r="D30" s="232">
        <v>20</v>
      </c>
      <c r="E30" s="232">
        <v>9.3166200000000005E-2</v>
      </c>
      <c r="F30" s="232">
        <v>33.5</v>
      </c>
      <c r="G30" s="232">
        <v>22</v>
      </c>
      <c r="H30" s="232">
        <v>3872.0866900000001</v>
      </c>
      <c r="I30" s="232">
        <v>0.99963999999999997</v>
      </c>
      <c r="J30" s="232">
        <v>0.47451500000000002</v>
      </c>
      <c r="K30" s="232">
        <v>2210.4</v>
      </c>
      <c r="L30" s="232"/>
      <c r="M30" s="232" t="s">
        <v>18</v>
      </c>
      <c r="N30" s="232" t="s">
        <v>20</v>
      </c>
      <c r="O30" s="232" t="s">
        <v>28</v>
      </c>
      <c r="P30" s="232"/>
      <c r="Q30" s="231"/>
    </row>
    <row r="31" spans="1:17">
      <c r="A31" s="230" t="s">
        <v>685</v>
      </c>
      <c r="B31" s="231" t="s">
        <v>667</v>
      </c>
      <c r="C31" s="235">
        <v>45080.311666666668</v>
      </c>
      <c r="D31" s="232">
        <v>20</v>
      </c>
      <c r="E31" s="232">
        <v>9.3166200000000005E-2</v>
      </c>
      <c r="F31" s="232">
        <v>33.5</v>
      </c>
      <c r="G31" s="232">
        <v>22</v>
      </c>
      <c r="H31" s="232">
        <v>4237.8865299999998</v>
      </c>
      <c r="I31" s="232">
        <v>0.99911899999999998</v>
      </c>
      <c r="J31" s="232">
        <v>0.51953899999999997</v>
      </c>
      <c r="K31" s="232">
        <v>2420.1999999999998</v>
      </c>
      <c r="L31" s="232">
        <v>148.3048</v>
      </c>
      <c r="M31" s="232" t="s">
        <v>18</v>
      </c>
      <c r="N31" s="232" t="s">
        <v>20</v>
      </c>
      <c r="O31" s="232" t="s">
        <v>28</v>
      </c>
      <c r="P31" s="232"/>
      <c r="Q31" s="231"/>
    </row>
    <row r="32" spans="1:17">
      <c r="A32" s="230" t="s">
        <v>686</v>
      </c>
      <c r="B32" s="231" t="s">
        <v>642</v>
      </c>
      <c r="C32" s="233">
        <v>45114.993055555555</v>
      </c>
      <c r="D32" s="232">
        <v>20</v>
      </c>
      <c r="E32" s="232">
        <v>9.3166200000000005E-2</v>
      </c>
      <c r="F32" s="232" t="s">
        <v>687</v>
      </c>
      <c r="G32" s="232">
        <v>22</v>
      </c>
      <c r="H32" s="232">
        <v>4026.73677</v>
      </c>
      <c r="I32" s="232">
        <v>0.99986799999999998</v>
      </c>
      <c r="J32" s="232">
        <v>0.56425599999999998</v>
      </c>
      <c r="K32" s="232">
        <v>2628.5</v>
      </c>
      <c r="L32" s="232">
        <v>3.2216</v>
      </c>
      <c r="M32" s="232" t="s">
        <v>18</v>
      </c>
      <c r="N32" s="232" t="s">
        <v>20</v>
      </c>
      <c r="O32" s="232" t="s">
        <v>21</v>
      </c>
      <c r="P32" s="232"/>
      <c r="Q32" s="231"/>
    </row>
    <row r="33" spans="1:17">
      <c r="A33" s="230" t="s">
        <v>688</v>
      </c>
      <c r="B33" s="231" t="s">
        <v>642</v>
      </c>
      <c r="C33" s="233">
        <v>45114.002083333333</v>
      </c>
      <c r="D33" s="232">
        <v>20</v>
      </c>
      <c r="E33" s="232">
        <v>9.3166200000000005E-2</v>
      </c>
      <c r="F33" s="232" t="s">
        <v>687</v>
      </c>
      <c r="G33" s="232">
        <v>22</v>
      </c>
      <c r="H33" s="232">
        <v>4016.8751900000002</v>
      </c>
      <c r="I33" s="232">
        <v>0.999892</v>
      </c>
      <c r="J33" s="232">
        <v>0.56493800000000005</v>
      </c>
      <c r="K33" s="232">
        <v>2631.7</v>
      </c>
      <c r="L33" s="232">
        <v>2.2450000000000001</v>
      </c>
      <c r="M33" s="232" t="s">
        <v>18</v>
      </c>
      <c r="N33" s="232" t="s">
        <v>20</v>
      </c>
      <c r="O33" s="232" t="s">
        <v>21</v>
      </c>
      <c r="P33" s="232"/>
      <c r="Q33" s="231"/>
    </row>
    <row r="34" spans="1:17">
      <c r="A34" s="230" t="s">
        <v>689</v>
      </c>
      <c r="B34" s="231" t="s">
        <v>642</v>
      </c>
      <c r="C34" s="233">
        <v>45114.012499999997</v>
      </c>
      <c r="D34" s="232">
        <v>20</v>
      </c>
      <c r="E34" s="232">
        <v>9.3166200000000005E-2</v>
      </c>
      <c r="F34" s="232" t="s">
        <v>687</v>
      </c>
      <c r="G34" s="232">
        <v>22</v>
      </c>
      <c r="H34" s="232">
        <v>3992.4089100000001</v>
      </c>
      <c r="I34" s="232">
        <v>0.99983</v>
      </c>
      <c r="J34" s="232">
        <v>0.56524300000000005</v>
      </c>
      <c r="K34" s="232">
        <v>2633.1</v>
      </c>
      <c r="L34" s="232">
        <v>1.0039</v>
      </c>
      <c r="M34" s="232" t="s">
        <v>18</v>
      </c>
      <c r="N34" s="232" t="s">
        <v>20</v>
      </c>
      <c r="O34" s="232" t="s">
        <v>21</v>
      </c>
      <c r="P34" s="232"/>
      <c r="Q34" s="231"/>
    </row>
    <row r="35" spans="1:17">
      <c r="A35" s="230" t="s">
        <v>690</v>
      </c>
      <c r="B35" s="231" t="s">
        <v>691</v>
      </c>
      <c r="C35" s="233">
        <v>45114.15625</v>
      </c>
      <c r="D35" s="232">
        <v>20</v>
      </c>
      <c r="E35" s="232">
        <v>9.3166200000000005E-2</v>
      </c>
      <c r="F35" s="232">
        <v>33.5</v>
      </c>
      <c r="G35" s="232">
        <v>22</v>
      </c>
      <c r="H35" s="232">
        <v>3473.3629999999998</v>
      </c>
      <c r="I35" s="232">
        <v>0.99963500000000005</v>
      </c>
      <c r="J35" s="232">
        <v>0.47455700000000001</v>
      </c>
      <c r="K35" s="232">
        <v>2210.6</v>
      </c>
      <c r="L35" s="232">
        <v>1.5999000000000001</v>
      </c>
      <c r="M35" s="232" t="s">
        <v>18</v>
      </c>
      <c r="N35" s="232" t="s">
        <v>20</v>
      </c>
      <c r="O35" s="232" t="s">
        <v>28</v>
      </c>
      <c r="P35" s="232"/>
      <c r="Q35" s="231"/>
    </row>
    <row r="36" spans="1:17">
      <c r="A36" s="230" t="s">
        <v>692</v>
      </c>
      <c r="B36" s="231" t="s">
        <v>691</v>
      </c>
      <c r="C36" s="233">
        <v>45114.165277777778</v>
      </c>
      <c r="D36" s="232">
        <v>20</v>
      </c>
      <c r="E36" s="232">
        <v>9.3166200000000005E-2</v>
      </c>
      <c r="F36" s="232">
        <v>33.5</v>
      </c>
      <c r="G36" s="232">
        <v>22</v>
      </c>
      <c r="H36" s="232">
        <v>3491.3778600000001</v>
      </c>
      <c r="I36" s="232">
        <v>0.999641</v>
      </c>
      <c r="J36" s="232">
        <v>0.47357700000000003</v>
      </c>
      <c r="K36" s="232">
        <v>2206.1</v>
      </c>
      <c r="L36" s="232">
        <v>3.2263999999999999</v>
      </c>
      <c r="M36" s="232" t="s">
        <v>18</v>
      </c>
      <c r="N36" s="232" t="s">
        <v>20</v>
      </c>
      <c r="O36" s="232" t="s">
        <v>28</v>
      </c>
      <c r="P36" s="232"/>
      <c r="Q36" s="231"/>
    </row>
    <row r="37" spans="1:17">
      <c r="A37" s="230" t="s">
        <v>693</v>
      </c>
      <c r="B37" s="231" t="s">
        <v>691</v>
      </c>
      <c r="C37" s="233">
        <v>45114.175000000003</v>
      </c>
      <c r="D37" s="232">
        <v>20</v>
      </c>
      <c r="E37" s="232">
        <v>9.3166200000000005E-2</v>
      </c>
      <c r="F37" s="232">
        <v>33.5</v>
      </c>
      <c r="G37" s="232">
        <v>22</v>
      </c>
      <c r="H37" s="232">
        <v>3498.66743</v>
      </c>
      <c r="I37" s="232">
        <v>0.99966900000000003</v>
      </c>
      <c r="J37" s="232">
        <v>0.474329</v>
      </c>
      <c r="K37" s="232">
        <v>2209.6</v>
      </c>
      <c r="L37" s="232">
        <v>2.4758</v>
      </c>
      <c r="M37" s="232" t="s">
        <v>18</v>
      </c>
      <c r="N37" s="232" t="s">
        <v>20</v>
      </c>
      <c r="O37" s="232" t="s">
        <v>28</v>
      </c>
      <c r="P37" s="232"/>
      <c r="Q37" s="231"/>
    </row>
    <row r="38" spans="1:17">
      <c r="A38" s="230" t="s">
        <v>694</v>
      </c>
      <c r="B38" s="231" t="s">
        <v>691</v>
      </c>
      <c r="C38" s="233">
        <v>45114.184027777781</v>
      </c>
      <c r="D38" s="232">
        <v>20</v>
      </c>
      <c r="E38" s="232">
        <v>9.3166200000000005E-2</v>
      </c>
      <c r="F38" s="232">
        <v>33.5</v>
      </c>
      <c r="G38" s="232">
        <v>22</v>
      </c>
      <c r="H38" s="232">
        <v>3515.8422099999998</v>
      </c>
      <c r="I38" s="232">
        <v>0.99965899999999996</v>
      </c>
      <c r="J38" s="232">
        <v>0.47445999999999999</v>
      </c>
      <c r="K38" s="232">
        <v>2210.1999999999998</v>
      </c>
      <c r="L38" s="232">
        <v>0.43169999999999997</v>
      </c>
      <c r="M38" s="232" t="s">
        <v>18</v>
      </c>
      <c r="N38" s="232" t="s">
        <v>20</v>
      </c>
      <c r="O38" s="232" t="s">
        <v>28</v>
      </c>
      <c r="P38" s="232"/>
      <c r="Q38" s="231"/>
    </row>
    <row r="39" spans="1:17">
      <c r="A39" s="230" t="s">
        <v>695</v>
      </c>
      <c r="B39" s="231" t="s">
        <v>691</v>
      </c>
      <c r="C39" s="233">
        <v>45114.195833333331</v>
      </c>
      <c r="D39" s="232">
        <v>20</v>
      </c>
      <c r="E39" s="232">
        <v>9.3166200000000005E-2</v>
      </c>
      <c r="F39" s="232">
        <v>33.5</v>
      </c>
      <c r="G39" s="232">
        <v>22</v>
      </c>
      <c r="H39" s="232">
        <v>3519.0131299999998</v>
      </c>
      <c r="I39" s="232">
        <v>0.99959799999999999</v>
      </c>
      <c r="J39" s="232">
        <v>0.47307300000000002</v>
      </c>
      <c r="K39" s="232">
        <v>2203.6999999999998</v>
      </c>
      <c r="L39" s="232">
        <v>4.5693000000000001</v>
      </c>
      <c r="M39" s="232" t="s">
        <v>18</v>
      </c>
      <c r="N39" s="232" t="s">
        <v>20</v>
      </c>
      <c r="O39" s="232" t="s">
        <v>21</v>
      </c>
      <c r="P39" s="232"/>
      <c r="Q39" s="231"/>
    </row>
    <row r="40" spans="1:17">
      <c r="A40" s="230" t="s">
        <v>696</v>
      </c>
      <c r="B40" s="231" t="s">
        <v>697</v>
      </c>
      <c r="C40" s="233">
        <v>45114.209722222222</v>
      </c>
      <c r="D40" s="232">
        <v>20</v>
      </c>
      <c r="E40" s="232">
        <v>9.28287E-2</v>
      </c>
      <c r="F40" s="232" t="s">
        <v>687</v>
      </c>
      <c r="G40" s="232">
        <v>22</v>
      </c>
      <c r="H40" s="232">
        <v>3510.6216800000002</v>
      </c>
      <c r="I40" s="232">
        <v>0.99960400000000005</v>
      </c>
      <c r="J40" s="232">
        <v>0.50416899999999998</v>
      </c>
      <c r="K40" s="232">
        <v>2340.1</v>
      </c>
      <c r="L40" s="232"/>
      <c r="M40" s="232" t="s">
        <v>18</v>
      </c>
      <c r="N40" s="232" t="s">
        <v>20</v>
      </c>
      <c r="O40" s="232" t="s">
        <v>21</v>
      </c>
      <c r="P40" s="232">
        <v>8</v>
      </c>
      <c r="Q40" s="231" t="s">
        <v>655</v>
      </c>
    </row>
    <row r="41" spans="1:17">
      <c r="A41" s="230" t="s">
        <v>698</v>
      </c>
      <c r="B41" s="231" t="s">
        <v>699</v>
      </c>
      <c r="C41" s="233">
        <v>45114.220138888886</v>
      </c>
      <c r="D41" s="232">
        <v>20</v>
      </c>
      <c r="E41" s="232">
        <v>9.28287E-2</v>
      </c>
      <c r="F41" s="232" t="s">
        <v>687</v>
      </c>
      <c r="G41" s="232">
        <v>22</v>
      </c>
      <c r="H41" s="232">
        <v>3553.79261</v>
      </c>
      <c r="I41" s="232">
        <v>0.99970800000000004</v>
      </c>
      <c r="J41" s="232">
        <v>0.501363</v>
      </c>
      <c r="K41" s="232">
        <v>2327</v>
      </c>
      <c r="L41" s="232"/>
      <c r="M41" s="232" t="s">
        <v>18</v>
      </c>
      <c r="N41" s="232" t="s">
        <v>20</v>
      </c>
      <c r="O41" s="232" t="s">
        <v>21</v>
      </c>
      <c r="P41" s="232"/>
      <c r="Q41" s="231"/>
    </row>
    <row r="42" spans="1:17">
      <c r="A42" s="230" t="s">
        <v>700</v>
      </c>
      <c r="B42" s="231" t="s">
        <v>701</v>
      </c>
      <c r="C42" s="233">
        <v>45114.230555555558</v>
      </c>
      <c r="D42" s="232">
        <v>20</v>
      </c>
      <c r="E42" s="232">
        <v>9.28287E-2</v>
      </c>
      <c r="F42" s="232" t="s">
        <v>687</v>
      </c>
      <c r="G42" s="232">
        <v>22</v>
      </c>
      <c r="H42" s="232">
        <v>3535.5895</v>
      </c>
      <c r="I42" s="232">
        <v>0.99963500000000005</v>
      </c>
      <c r="J42" s="232">
        <v>0.50477300000000003</v>
      </c>
      <c r="K42" s="232">
        <v>2342.9</v>
      </c>
      <c r="L42" s="232"/>
      <c r="M42" s="232" t="s">
        <v>18</v>
      </c>
      <c r="N42" s="232" t="s">
        <v>20</v>
      </c>
      <c r="O42" s="232" t="s">
        <v>21</v>
      </c>
      <c r="P42" s="232"/>
      <c r="Q42" s="231"/>
    </row>
    <row r="43" spans="1:17">
      <c r="A43" s="230" t="s">
        <v>668</v>
      </c>
      <c r="B43" s="231" t="s">
        <v>702</v>
      </c>
      <c r="C43" s="233">
        <v>45114.239583333336</v>
      </c>
      <c r="D43" s="232">
        <v>20</v>
      </c>
      <c r="E43" s="232">
        <v>9.28287E-2</v>
      </c>
      <c r="F43" s="232" t="s">
        <v>687</v>
      </c>
      <c r="G43" s="232">
        <v>22</v>
      </c>
      <c r="H43" s="232">
        <v>3551.0575600000002</v>
      </c>
      <c r="I43" s="232">
        <v>0.99968100000000004</v>
      </c>
      <c r="J43" s="232">
        <v>0.50224299999999999</v>
      </c>
      <c r="K43" s="232">
        <v>2331.1</v>
      </c>
      <c r="L43" s="232"/>
      <c r="M43" s="232" t="s">
        <v>18</v>
      </c>
      <c r="N43" s="232" t="s">
        <v>20</v>
      </c>
      <c r="O43" s="232" t="s">
        <v>21</v>
      </c>
      <c r="P43" s="232"/>
      <c r="Q43" s="231"/>
    </row>
    <row r="44" spans="1:17">
      <c r="A44" s="230" t="s">
        <v>670</v>
      </c>
      <c r="B44" s="231" t="s">
        <v>703</v>
      </c>
      <c r="C44" s="233">
        <v>45114.25</v>
      </c>
      <c r="D44" s="232">
        <v>20</v>
      </c>
      <c r="E44" s="232">
        <v>9.28287E-2</v>
      </c>
      <c r="F44" s="232" t="s">
        <v>687</v>
      </c>
      <c r="G44" s="232">
        <v>22</v>
      </c>
      <c r="H44" s="232">
        <v>3536.2142699999999</v>
      </c>
      <c r="I44" s="232">
        <v>0.999587</v>
      </c>
      <c r="J44" s="232">
        <v>0.50828300000000004</v>
      </c>
      <c r="K44" s="232">
        <v>2359.1999999999998</v>
      </c>
      <c r="L44" s="232"/>
      <c r="M44" s="232" t="s">
        <v>18</v>
      </c>
      <c r="N44" s="232" t="s">
        <v>20</v>
      </c>
      <c r="O44" s="232" t="s">
        <v>21</v>
      </c>
      <c r="P44" s="232"/>
      <c r="Q44" s="231"/>
    </row>
    <row r="45" spans="1:17">
      <c r="A45" s="230" t="s">
        <v>672</v>
      </c>
      <c r="B45" s="231" t="s">
        <v>704</v>
      </c>
      <c r="C45" s="233">
        <v>45114.261111111111</v>
      </c>
      <c r="D45" s="232">
        <v>20</v>
      </c>
      <c r="E45" s="232">
        <v>9.28287E-2</v>
      </c>
      <c r="F45" s="232" t="s">
        <v>687</v>
      </c>
      <c r="G45" s="232">
        <v>22</v>
      </c>
      <c r="H45" s="232">
        <v>15593.3871</v>
      </c>
      <c r="I45" s="232">
        <v>0.97190600000000005</v>
      </c>
      <c r="J45" s="232">
        <v>1.002399</v>
      </c>
      <c r="K45" s="232">
        <v>4652.6000000000004</v>
      </c>
      <c r="L45" s="232"/>
      <c r="M45" s="232" t="s">
        <v>18</v>
      </c>
      <c r="N45" s="232" t="s">
        <v>20</v>
      </c>
      <c r="O45" s="232" t="s">
        <v>28</v>
      </c>
      <c r="P45" s="232"/>
      <c r="Q45" s="231"/>
    </row>
    <row r="46" spans="1:17">
      <c r="A46" s="230" t="s">
        <v>705</v>
      </c>
      <c r="B46" s="231" t="s">
        <v>706</v>
      </c>
      <c r="C46" s="233">
        <v>45114.275000000001</v>
      </c>
      <c r="D46" s="232">
        <v>20</v>
      </c>
      <c r="E46" s="232">
        <v>9.28287E-2</v>
      </c>
      <c r="F46" s="232" t="s">
        <v>687</v>
      </c>
      <c r="G46" s="232">
        <v>22</v>
      </c>
      <c r="H46" s="232">
        <v>3627.2011900000002</v>
      </c>
      <c r="I46" s="232">
        <v>0.99966100000000002</v>
      </c>
      <c r="J46" s="232">
        <v>0.49579400000000001</v>
      </c>
      <c r="K46" s="232">
        <v>2301.1999999999998</v>
      </c>
      <c r="L46" s="232">
        <v>1662.6722</v>
      </c>
      <c r="M46" s="232" t="s">
        <v>18</v>
      </c>
      <c r="N46" s="232" t="s">
        <v>20</v>
      </c>
      <c r="O46" s="232" t="s">
        <v>21</v>
      </c>
      <c r="P46" s="232"/>
      <c r="Q46" s="231"/>
    </row>
    <row r="47" spans="1:17">
      <c r="A47" s="230" t="s">
        <v>674</v>
      </c>
      <c r="B47" s="231" t="s">
        <v>707</v>
      </c>
      <c r="C47" s="233">
        <v>45114.284722222219</v>
      </c>
      <c r="D47" s="232">
        <v>20</v>
      </c>
      <c r="E47" s="232">
        <v>9.28287E-2</v>
      </c>
      <c r="F47" s="232" t="s">
        <v>687</v>
      </c>
      <c r="G47" s="232">
        <v>22</v>
      </c>
      <c r="H47" s="232">
        <v>3551.0299199999999</v>
      </c>
      <c r="I47" s="232">
        <v>0.99956800000000001</v>
      </c>
      <c r="J47" s="232">
        <v>0.50901799999999997</v>
      </c>
      <c r="K47" s="232">
        <v>2362.6</v>
      </c>
      <c r="L47" s="232"/>
      <c r="M47" s="232" t="s">
        <v>18</v>
      </c>
      <c r="N47" s="232" t="s">
        <v>20</v>
      </c>
      <c r="O47" s="232" t="s">
        <v>21</v>
      </c>
      <c r="P47" s="232" t="s">
        <v>708</v>
      </c>
      <c r="Q47" s="231"/>
    </row>
    <row r="48" spans="1:17">
      <c r="A48" s="230" t="s">
        <v>666</v>
      </c>
      <c r="B48" s="231" t="s">
        <v>642</v>
      </c>
      <c r="C48" s="233">
        <v>45117.981249999997</v>
      </c>
      <c r="D48" s="232">
        <v>20</v>
      </c>
      <c r="E48" s="232">
        <v>9.28287E-2</v>
      </c>
      <c r="F48" s="232" t="s">
        <v>687</v>
      </c>
      <c r="G48" s="232">
        <v>22</v>
      </c>
      <c r="H48" s="232">
        <v>3868.4250499999998</v>
      </c>
      <c r="I48" s="232">
        <v>0.99990500000000004</v>
      </c>
      <c r="J48" s="232">
        <v>0.41841099999999998</v>
      </c>
      <c r="K48" s="232">
        <v>1942</v>
      </c>
      <c r="L48" s="232">
        <v>5.0933999999999999</v>
      </c>
      <c r="M48" s="232" t="s">
        <v>18</v>
      </c>
      <c r="N48" s="232" t="s">
        <v>20</v>
      </c>
      <c r="O48" s="232" t="s">
        <v>21</v>
      </c>
      <c r="P48" s="232"/>
      <c r="Q48" s="231"/>
    </row>
    <row r="49" spans="1:17">
      <c r="A49" s="230" t="s">
        <v>709</v>
      </c>
      <c r="B49" s="231" t="s">
        <v>642</v>
      </c>
      <c r="C49" s="233">
        <v>45117.99722222222</v>
      </c>
      <c r="D49" s="232">
        <v>20</v>
      </c>
      <c r="E49" s="232">
        <v>9.28287E-2</v>
      </c>
      <c r="F49" s="232" t="s">
        <v>687</v>
      </c>
      <c r="G49" s="232">
        <v>22</v>
      </c>
      <c r="H49" s="232">
        <v>3868.6531300000001</v>
      </c>
      <c r="I49" s="232">
        <v>0.99989899999999998</v>
      </c>
      <c r="J49" s="232">
        <v>0.41847000000000001</v>
      </c>
      <c r="K49" s="232">
        <v>1942.3</v>
      </c>
      <c r="L49" s="232">
        <v>0.1956</v>
      </c>
      <c r="M49" s="232" t="s">
        <v>18</v>
      </c>
      <c r="N49" s="232" t="s">
        <v>20</v>
      </c>
      <c r="O49" s="232" t="s">
        <v>21</v>
      </c>
      <c r="P49" s="232"/>
      <c r="Q49" s="231"/>
    </row>
    <row r="50" spans="1:17">
      <c r="A50" s="230" t="s">
        <v>710</v>
      </c>
      <c r="B50" s="231" t="s">
        <v>642</v>
      </c>
      <c r="C50" s="233">
        <v>45117.006944444445</v>
      </c>
      <c r="D50" s="232">
        <v>20</v>
      </c>
      <c r="E50" s="232">
        <v>9.28287E-2</v>
      </c>
      <c r="F50" s="232" t="s">
        <v>687</v>
      </c>
      <c r="G50" s="232">
        <v>22</v>
      </c>
      <c r="H50" s="232">
        <v>3850.7902300000001</v>
      </c>
      <c r="I50" s="232">
        <v>0.999919</v>
      </c>
      <c r="J50" s="232">
        <v>0.41811799999999999</v>
      </c>
      <c r="K50" s="232">
        <v>1940.7</v>
      </c>
      <c r="L50" s="232">
        <v>1.1560999999999999</v>
      </c>
      <c r="M50" s="232" t="s">
        <v>18</v>
      </c>
      <c r="N50" s="232" t="s">
        <v>20</v>
      </c>
      <c r="O50" s="232" t="s">
        <v>21</v>
      </c>
      <c r="P50" s="232"/>
      <c r="Q50" s="231"/>
    </row>
    <row r="51" spans="1:17">
      <c r="A51" s="230" t="s">
        <v>711</v>
      </c>
      <c r="B51" s="231" t="s">
        <v>712</v>
      </c>
      <c r="C51" s="233">
        <v>45117.01666666667</v>
      </c>
      <c r="D51" s="232">
        <v>20</v>
      </c>
      <c r="E51" s="232">
        <v>9.28287E-2</v>
      </c>
      <c r="F51" s="232" t="s">
        <v>687</v>
      </c>
      <c r="G51" s="232">
        <v>22</v>
      </c>
      <c r="H51" s="232">
        <v>3397.8592100000001</v>
      </c>
      <c r="I51" s="232">
        <v>0.99959500000000001</v>
      </c>
      <c r="J51" s="232">
        <v>0.474022</v>
      </c>
      <c r="K51" s="232">
        <v>2200.1</v>
      </c>
      <c r="L51" s="232"/>
      <c r="M51" s="232" t="s">
        <v>18</v>
      </c>
      <c r="N51" s="232" t="s">
        <v>20</v>
      </c>
      <c r="O51" s="232" t="s">
        <v>21</v>
      </c>
      <c r="P51" s="232"/>
      <c r="Q51" s="231"/>
    </row>
    <row r="52" spans="1:17">
      <c r="A52" s="230" t="s">
        <v>713</v>
      </c>
      <c r="B52" s="231" t="s">
        <v>712</v>
      </c>
      <c r="C52" s="233">
        <v>45117.03125</v>
      </c>
      <c r="D52" s="232">
        <v>20</v>
      </c>
      <c r="E52" s="232">
        <v>9.28287E-2</v>
      </c>
      <c r="F52" s="232" t="s">
        <v>687</v>
      </c>
      <c r="G52" s="232">
        <v>22</v>
      </c>
      <c r="H52" s="232">
        <v>3389.76872</v>
      </c>
      <c r="I52" s="232">
        <v>0.99956699999999998</v>
      </c>
      <c r="J52" s="232">
        <v>0.47419699999999998</v>
      </c>
      <c r="K52" s="232">
        <v>2201</v>
      </c>
      <c r="L52" s="232">
        <v>0.57330000000000003</v>
      </c>
      <c r="M52" s="232" t="s">
        <v>18</v>
      </c>
      <c r="N52" s="232" t="s">
        <v>20</v>
      </c>
      <c r="O52" s="232" t="s">
        <v>21</v>
      </c>
      <c r="P52" s="232"/>
      <c r="Q52" s="231"/>
    </row>
    <row r="53" spans="1:17">
      <c r="A53" s="230" t="s">
        <v>714</v>
      </c>
      <c r="B53" s="231" t="s">
        <v>712</v>
      </c>
      <c r="C53" s="233">
        <v>45117.043749999997</v>
      </c>
      <c r="D53" s="232">
        <v>20</v>
      </c>
      <c r="E53" s="232">
        <v>9.28287E-2</v>
      </c>
      <c r="F53" s="232" t="s">
        <v>687</v>
      </c>
      <c r="G53" s="232">
        <v>22</v>
      </c>
      <c r="H53" s="232">
        <v>3386.5928699999999</v>
      </c>
      <c r="I53" s="232">
        <v>0.999637</v>
      </c>
      <c r="J53" s="232">
        <v>0.47325499999999998</v>
      </c>
      <c r="K53" s="232">
        <v>2196.6</v>
      </c>
      <c r="L53" s="232">
        <v>3.0891000000000002</v>
      </c>
      <c r="M53" s="232" t="s">
        <v>18</v>
      </c>
      <c r="N53" s="232" t="s">
        <v>20</v>
      </c>
      <c r="O53" s="232" t="s">
        <v>21</v>
      </c>
      <c r="P53" s="232"/>
      <c r="Q53" s="231"/>
    </row>
    <row r="54" spans="1:17">
      <c r="A54" s="230" t="s">
        <v>715</v>
      </c>
      <c r="B54" s="231" t="s">
        <v>712</v>
      </c>
      <c r="C54" s="233">
        <v>45117.055555555555</v>
      </c>
      <c r="D54" s="232">
        <v>20</v>
      </c>
      <c r="E54" s="232">
        <v>9.28287E-2</v>
      </c>
      <c r="F54" s="232" t="s">
        <v>687</v>
      </c>
      <c r="G54" s="232">
        <v>22</v>
      </c>
      <c r="H54" s="232">
        <v>3394.0056800000002</v>
      </c>
      <c r="I54" s="232">
        <v>0.99961599999999995</v>
      </c>
      <c r="J54" s="232">
        <v>0.47387299999999999</v>
      </c>
      <c r="K54" s="232">
        <v>2199.5</v>
      </c>
      <c r="L54" s="232">
        <v>2.0270000000000001</v>
      </c>
      <c r="M54" s="232" t="s">
        <v>18</v>
      </c>
      <c r="N54" s="232" t="s">
        <v>20</v>
      </c>
      <c r="O54" s="232" t="s">
        <v>21</v>
      </c>
      <c r="P54" s="232"/>
      <c r="Q54" s="231"/>
    </row>
    <row r="55" spans="1:17">
      <c r="A55" s="230" t="s">
        <v>653</v>
      </c>
      <c r="B55" s="231" t="s">
        <v>716</v>
      </c>
      <c r="C55" s="233">
        <v>45117.119444444441</v>
      </c>
      <c r="D55" s="232">
        <v>20</v>
      </c>
      <c r="E55" s="232">
        <v>9.28287E-2</v>
      </c>
      <c r="F55" s="232" t="s">
        <v>687</v>
      </c>
      <c r="G55" s="232">
        <v>22</v>
      </c>
      <c r="H55" s="232">
        <v>3352.3816400000001</v>
      </c>
      <c r="I55" s="232">
        <v>0.99958899999999995</v>
      </c>
      <c r="J55" s="232">
        <v>0.514096</v>
      </c>
      <c r="K55" s="232">
        <v>2386.1</v>
      </c>
      <c r="L55" s="232"/>
      <c r="M55" s="232" t="s">
        <v>18</v>
      </c>
      <c r="N55" s="232" t="s">
        <v>20</v>
      </c>
      <c r="O55" s="232" t="s">
        <v>21</v>
      </c>
      <c r="P55" s="232">
        <v>11</v>
      </c>
      <c r="Q55" s="231" t="s">
        <v>655</v>
      </c>
    </row>
    <row r="56" spans="1:17">
      <c r="A56" s="230" t="s">
        <v>696</v>
      </c>
      <c r="B56" s="231" t="s">
        <v>717</v>
      </c>
      <c r="C56" s="233">
        <v>45117.129861111112</v>
      </c>
      <c r="D56" s="232">
        <v>20</v>
      </c>
      <c r="E56" s="232">
        <v>9.28287E-2</v>
      </c>
      <c r="F56" s="232" t="s">
        <v>687</v>
      </c>
      <c r="G56" s="232">
        <v>22</v>
      </c>
      <c r="H56" s="232">
        <v>3300.8096799999998</v>
      </c>
      <c r="I56" s="232">
        <v>0.99967300000000003</v>
      </c>
      <c r="J56" s="232">
        <v>0.505521</v>
      </c>
      <c r="K56" s="232">
        <v>2346.3000000000002</v>
      </c>
      <c r="L56" s="232"/>
      <c r="M56" s="232" t="s">
        <v>18</v>
      </c>
      <c r="N56" s="232" t="s">
        <v>20</v>
      </c>
      <c r="O56" s="232" t="s">
        <v>21</v>
      </c>
      <c r="P56" s="231" t="s">
        <v>718</v>
      </c>
      <c r="Q56" s="231"/>
    </row>
    <row r="57" spans="1:17">
      <c r="A57" s="230" t="s">
        <v>698</v>
      </c>
      <c r="B57" s="231" t="s">
        <v>719</v>
      </c>
      <c r="C57" s="233">
        <v>45117.14166666667</v>
      </c>
      <c r="D57" s="232">
        <v>20</v>
      </c>
      <c r="E57" s="232">
        <v>9.28287E-2</v>
      </c>
      <c r="F57" s="232" t="s">
        <v>687</v>
      </c>
      <c r="G57" s="232">
        <v>22</v>
      </c>
      <c r="H57" s="232">
        <v>3331.3563899999999</v>
      </c>
      <c r="I57" s="232">
        <v>0.99963900000000006</v>
      </c>
      <c r="J57" s="232">
        <v>0.50779300000000005</v>
      </c>
      <c r="K57" s="232">
        <v>2356.9</v>
      </c>
      <c r="L57" s="232"/>
      <c r="M57" s="232" t="s">
        <v>18</v>
      </c>
      <c r="N57" s="232" t="s">
        <v>20</v>
      </c>
      <c r="O57" s="232" t="s">
        <v>21</v>
      </c>
      <c r="P57" s="231"/>
      <c r="Q57" s="231"/>
    </row>
    <row r="58" spans="1:17">
      <c r="A58" s="230" t="s">
        <v>700</v>
      </c>
      <c r="B58" s="231" t="s">
        <v>720</v>
      </c>
      <c r="C58" s="233">
        <v>45117.154861111114</v>
      </c>
      <c r="D58" s="232">
        <v>20</v>
      </c>
      <c r="E58" s="232">
        <v>9.28287E-2</v>
      </c>
      <c r="F58" s="232" t="s">
        <v>687</v>
      </c>
      <c r="G58" s="232">
        <v>22</v>
      </c>
      <c r="H58" s="232">
        <v>3315.7676700000002</v>
      </c>
      <c r="I58" s="232">
        <v>0.99971600000000005</v>
      </c>
      <c r="J58" s="232">
        <v>0.50610100000000002</v>
      </c>
      <c r="K58" s="232">
        <v>2349</v>
      </c>
      <c r="L58" s="232"/>
      <c r="M58" s="232" t="s">
        <v>18</v>
      </c>
      <c r="N58" s="232" t="s">
        <v>20</v>
      </c>
      <c r="O58" s="232" t="s">
        <v>21</v>
      </c>
      <c r="P58" s="232"/>
      <c r="Q58" s="231"/>
    </row>
    <row r="59" spans="1:17">
      <c r="A59" s="230" t="s">
        <v>668</v>
      </c>
      <c r="B59" s="231" t="s">
        <v>721</v>
      </c>
      <c r="C59" s="233">
        <v>45117.168055555558</v>
      </c>
      <c r="D59" s="232">
        <v>20</v>
      </c>
      <c r="E59" s="232">
        <v>9.28287E-2</v>
      </c>
      <c r="F59" s="232" t="s">
        <v>687</v>
      </c>
      <c r="G59" s="232">
        <v>22</v>
      </c>
      <c r="H59" s="232">
        <v>3368.17965</v>
      </c>
      <c r="I59" s="232">
        <v>0.99943700000000002</v>
      </c>
      <c r="J59" s="232">
        <v>0.51031400000000005</v>
      </c>
      <c r="K59" s="232">
        <v>2368.6</v>
      </c>
      <c r="L59" s="232"/>
      <c r="M59" s="232" t="s">
        <v>18</v>
      </c>
      <c r="N59" s="232" t="s">
        <v>20</v>
      </c>
      <c r="O59" s="232" t="s">
        <v>21</v>
      </c>
      <c r="P59" s="232"/>
      <c r="Q59" s="231"/>
    </row>
    <row r="60" spans="1:17">
      <c r="A60" s="230" t="s">
        <v>670</v>
      </c>
      <c r="B60" s="231" t="s">
        <v>722</v>
      </c>
      <c r="C60" s="233">
        <v>45117.181944444441</v>
      </c>
      <c r="D60" s="232">
        <v>20</v>
      </c>
      <c r="E60" s="232">
        <v>9.28287E-2</v>
      </c>
      <c r="F60" s="232" t="s">
        <v>687</v>
      </c>
      <c r="G60" s="232">
        <v>22</v>
      </c>
      <c r="H60" s="232">
        <v>0</v>
      </c>
      <c r="I60" s="232">
        <v>0</v>
      </c>
      <c r="J60" s="232">
        <v>0</v>
      </c>
      <c r="K60" s="232">
        <v>0</v>
      </c>
      <c r="L60" s="232" t="s">
        <v>662</v>
      </c>
      <c r="M60" s="232" t="s">
        <v>18</v>
      </c>
      <c r="N60" s="232" t="s">
        <v>20</v>
      </c>
      <c r="O60" s="232" t="s">
        <v>28</v>
      </c>
      <c r="P60" s="232"/>
      <c r="Q60" s="231"/>
    </row>
    <row r="61" spans="1:17">
      <c r="A61" s="230" t="s">
        <v>672</v>
      </c>
      <c r="B61" s="231" t="s">
        <v>722</v>
      </c>
      <c r="C61" s="233">
        <v>45117.193749999999</v>
      </c>
      <c r="D61" s="232">
        <v>20</v>
      </c>
      <c r="E61" s="232">
        <v>9.28287E-2</v>
      </c>
      <c r="F61" s="232" t="s">
        <v>687</v>
      </c>
      <c r="G61" s="232">
        <v>22</v>
      </c>
      <c r="H61" s="232">
        <v>3380.45118</v>
      </c>
      <c r="I61" s="232">
        <v>0.99967600000000001</v>
      </c>
      <c r="J61" s="232">
        <v>0.50551699999999999</v>
      </c>
      <c r="K61" s="232">
        <v>2346.3000000000002</v>
      </c>
      <c r="L61" s="232"/>
      <c r="M61" s="232" t="s">
        <v>18</v>
      </c>
      <c r="N61" s="232" t="s">
        <v>20</v>
      </c>
      <c r="O61" s="232" t="s">
        <v>21</v>
      </c>
      <c r="P61" s="232"/>
      <c r="Q61" s="231"/>
    </row>
    <row r="62" spans="1:17">
      <c r="A62" s="230" t="s">
        <v>674</v>
      </c>
      <c r="B62" s="231" t="s">
        <v>723</v>
      </c>
      <c r="C62" s="233">
        <v>45117.21597222222</v>
      </c>
      <c r="D62" s="232">
        <v>20</v>
      </c>
      <c r="E62" s="232">
        <v>9.28287E-2</v>
      </c>
      <c r="F62" s="232" t="s">
        <v>687</v>
      </c>
      <c r="G62" s="232">
        <v>22</v>
      </c>
      <c r="H62" s="232">
        <v>3557.7638499999998</v>
      </c>
      <c r="I62" s="232">
        <v>0.99972499999999997</v>
      </c>
      <c r="J62" s="232">
        <v>0.47883999999999999</v>
      </c>
      <c r="K62" s="232">
        <v>2222.5</v>
      </c>
      <c r="L62" s="232"/>
      <c r="M62" s="232" t="s">
        <v>18</v>
      </c>
      <c r="N62" s="232" t="s">
        <v>20</v>
      </c>
      <c r="O62" s="232" t="s">
        <v>21</v>
      </c>
      <c r="P62" s="232"/>
      <c r="Q62" s="231"/>
    </row>
    <row r="63" spans="1:17">
      <c r="A63" s="230" t="s">
        <v>676</v>
      </c>
      <c r="B63" s="231" t="s">
        <v>724</v>
      </c>
      <c r="C63" s="233">
        <v>45117.224305555559</v>
      </c>
      <c r="D63" s="232">
        <v>20</v>
      </c>
      <c r="E63" s="232">
        <v>9.28287E-2</v>
      </c>
      <c r="F63" s="232" t="s">
        <v>687</v>
      </c>
      <c r="G63" s="232">
        <v>22</v>
      </c>
      <c r="H63" s="232">
        <v>3483.7554</v>
      </c>
      <c r="I63" s="232">
        <v>0.99967200000000001</v>
      </c>
      <c r="J63" s="232">
        <v>0.57718199999999997</v>
      </c>
      <c r="K63" s="232">
        <v>2679</v>
      </c>
      <c r="L63" s="232"/>
      <c r="M63" s="232" t="s">
        <v>18</v>
      </c>
      <c r="N63" s="232" t="s">
        <v>20</v>
      </c>
      <c r="O63" s="232" t="s">
        <v>28</v>
      </c>
      <c r="P63" s="232" t="s">
        <v>725</v>
      </c>
      <c r="Q63" s="231"/>
    </row>
    <row r="64" spans="1:17">
      <c r="A64" s="230" t="s">
        <v>678</v>
      </c>
      <c r="B64" s="231" t="s">
        <v>726</v>
      </c>
      <c r="C64" s="233">
        <v>45117.236805555556</v>
      </c>
      <c r="D64" s="232">
        <v>20</v>
      </c>
      <c r="E64" s="232">
        <v>9.28287E-2</v>
      </c>
      <c r="F64" s="232" t="s">
        <v>687</v>
      </c>
      <c r="G64" s="232">
        <v>22</v>
      </c>
      <c r="H64" s="232">
        <v>3411.9677799999999</v>
      </c>
      <c r="I64" s="232">
        <v>0.99969699999999995</v>
      </c>
      <c r="J64" s="232">
        <v>0.50350700000000004</v>
      </c>
      <c r="K64" s="232">
        <v>2337</v>
      </c>
      <c r="L64" s="232"/>
      <c r="M64" s="232" t="s">
        <v>18</v>
      </c>
      <c r="N64" s="232" t="s">
        <v>20</v>
      </c>
      <c r="O64" s="232" t="s">
        <v>21</v>
      </c>
      <c r="P64" s="232"/>
      <c r="Q64" s="231"/>
    </row>
    <row r="65" spans="1:17">
      <c r="A65" s="230" t="s">
        <v>680</v>
      </c>
      <c r="B65" s="231" t="s">
        <v>727</v>
      </c>
      <c r="C65" s="233">
        <v>45117.250694444447</v>
      </c>
      <c r="D65" s="232">
        <v>20</v>
      </c>
      <c r="E65" s="232">
        <v>9.28287E-2</v>
      </c>
      <c r="F65" s="232" t="s">
        <v>687</v>
      </c>
      <c r="G65" s="232">
        <v>22</v>
      </c>
      <c r="H65" s="232">
        <v>3429.27126</v>
      </c>
      <c r="I65" s="232">
        <v>0.99965099999999996</v>
      </c>
      <c r="J65" s="232">
        <v>0.50261199999999995</v>
      </c>
      <c r="K65" s="232">
        <v>2332.8000000000002</v>
      </c>
      <c r="L65" s="232"/>
      <c r="M65" s="232" t="s">
        <v>18</v>
      </c>
      <c r="N65" s="232" t="s">
        <v>20</v>
      </c>
      <c r="O65" s="232" t="s">
        <v>21</v>
      </c>
      <c r="P65" s="232"/>
      <c r="Q65" s="231"/>
    </row>
    <row r="66" spans="1:17">
      <c r="A66" s="230" t="s">
        <v>728</v>
      </c>
      <c r="B66" s="231" t="s">
        <v>642</v>
      </c>
      <c r="C66" s="233">
        <v>45118.844444444447</v>
      </c>
      <c r="D66" s="232">
        <v>20</v>
      </c>
      <c r="E66" s="232">
        <v>9.28287E-2</v>
      </c>
      <c r="F66" s="232" t="s">
        <v>687</v>
      </c>
      <c r="G66" s="232">
        <v>22</v>
      </c>
      <c r="H66" s="232">
        <v>3839.8400099999999</v>
      </c>
      <c r="I66" s="232">
        <v>0.99989499999999998</v>
      </c>
      <c r="J66" s="232">
        <v>0.41888500000000001</v>
      </c>
      <c r="K66" s="232">
        <v>1944.2</v>
      </c>
      <c r="L66" s="232">
        <v>9.8431999999999995</v>
      </c>
      <c r="M66" s="232" t="s">
        <v>18</v>
      </c>
      <c r="N66" s="232" t="s">
        <v>20</v>
      </c>
      <c r="O66" s="232" t="s">
        <v>21</v>
      </c>
      <c r="P66" s="232" t="s">
        <v>708</v>
      </c>
      <c r="Q66" s="231"/>
    </row>
    <row r="67" spans="1:17">
      <c r="A67" s="230" t="s">
        <v>729</v>
      </c>
      <c r="B67" s="231" t="s">
        <v>642</v>
      </c>
      <c r="C67" s="233">
        <v>45118.853472222225</v>
      </c>
      <c r="D67" s="232">
        <v>20</v>
      </c>
      <c r="E67" s="232">
        <v>9.28287E-2</v>
      </c>
      <c r="F67" s="232" t="s">
        <v>687</v>
      </c>
      <c r="G67" s="232">
        <v>22</v>
      </c>
      <c r="H67" s="232">
        <v>3820.3526700000002</v>
      </c>
      <c r="I67" s="232">
        <v>0.99990500000000004</v>
      </c>
      <c r="J67" s="232">
        <v>0.41841099999999998</v>
      </c>
      <c r="K67" s="232">
        <v>1942</v>
      </c>
      <c r="L67" s="232">
        <v>1.556</v>
      </c>
      <c r="M67" s="232" t="s">
        <v>18</v>
      </c>
      <c r="N67" s="232" t="s">
        <v>20</v>
      </c>
      <c r="O67" s="232" t="s">
        <v>21</v>
      </c>
      <c r="P67" s="232"/>
      <c r="Q67" s="231"/>
    </row>
    <row r="68" spans="1:17">
      <c r="A68" s="230" t="s">
        <v>730</v>
      </c>
      <c r="B68" s="231" t="s">
        <v>642</v>
      </c>
      <c r="C68" s="233">
        <v>45118.861111111109</v>
      </c>
      <c r="D68" s="232">
        <v>20</v>
      </c>
      <c r="E68" s="232">
        <v>9.28287E-2</v>
      </c>
      <c r="F68" s="232" t="s">
        <v>687</v>
      </c>
      <c r="G68" s="232">
        <v>22</v>
      </c>
      <c r="H68" s="232">
        <v>3840.1299399999998</v>
      </c>
      <c r="I68" s="232">
        <v>0.99990400000000002</v>
      </c>
      <c r="J68" s="232">
        <v>0.418881</v>
      </c>
      <c r="K68" s="232">
        <v>1944.2</v>
      </c>
      <c r="L68" s="232">
        <v>1.5423</v>
      </c>
      <c r="M68" s="232" t="s">
        <v>18</v>
      </c>
      <c r="N68" s="232" t="s">
        <v>20</v>
      </c>
      <c r="O68" s="232" t="s">
        <v>21</v>
      </c>
      <c r="P68" s="232"/>
      <c r="Q68" s="231"/>
    </row>
    <row r="69" spans="1:17">
      <c r="A69" s="230" t="s">
        <v>711</v>
      </c>
      <c r="B69" s="231" t="s">
        <v>731</v>
      </c>
      <c r="C69" s="233">
        <v>45118.871527777781</v>
      </c>
      <c r="D69" s="232">
        <v>20</v>
      </c>
      <c r="E69" s="232">
        <v>9.28287E-2</v>
      </c>
      <c r="F69" s="232" t="s">
        <v>687</v>
      </c>
      <c r="G69" s="232">
        <v>22</v>
      </c>
      <c r="H69" s="232">
        <v>3371.2669299999998</v>
      </c>
      <c r="I69" s="232">
        <v>0.99965199999999999</v>
      </c>
      <c r="J69" s="232">
        <v>0.47426000000000001</v>
      </c>
      <c r="K69" s="232">
        <v>2201.1999999999998</v>
      </c>
      <c r="L69" s="232"/>
      <c r="M69" s="232" t="s">
        <v>18</v>
      </c>
      <c r="N69" s="232" t="s">
        <v>20</v>
      </c>
      <c r="O69" s="232" t="s">
        <v>21</v>
      </c>
      <c r="P69" s="232"/>
      <c r="Q69" s="231"/>
    </row>
    <row r="70" spans="1:17">
      <c r="A70" s="230" t="s">
        <v>713</v>
      </c>
      <c r="B70" s="231" t="s">
        <v>731</v>
      </c>
      <c r="C70" s="233">
        <v>45118.881249999999</v>
      </c>
      <c r="D70" s="232">
        <v>20</v>
      </c>
      <c r="E70" s="232">
        <v>9.28287E-2</v>
      </c>
      <c r="F70" s="232" t="s">
        <v>687</v>
      </c>
      <c r="G70" s="232">
        <v>22</v>
      </c>
      <c r="H70" s="232">
        <v>3365.8168000000001</v>
      </c>
      <c r="I70" s="232">
        <v>0.99961800000000001</v>
      </c>
      <c r="J70" s="232">
        <v>0.47467100000000001</v>
      </c>
      <c r="K70" s="232">
        <v>2203.1999999999998</v>
      </c>
      <c r="L70" s="232">
        <v>1.3489</v>
      </c>
      <c r="M70" s="232" t="s">
        <v>18</v>
      </c>
      <c r="N70" s="232" t="s">
        <v>20</v>
      </c>
      <c r="O70" s="232" t="s">
        <v>21</v>
      </c>
      <c r="P70" s="232"/>
      <c r="Q70" s="231"/>
    </row>
    <row r="71" spans="1:17">
      <c r="A71" s="230" t="s">
        <v>714</v>
      </c>
      <c r="B71" s="231" t="s">
        <v>731</v>
      </c>
      <c r="C71" s="233">
        <v>45118.893750000003</v>
      </c>
      <c r="D71" s="232">
        <v>20</v>
      </c>
      <c r="E71" s="232">
        <v>9.28287E-2</v>
      </c>
      <c r="F71" s="232" t="s">
        <v>687</v>
      </c>
      <c r="G71" s="232">
        <v>22</v>
      </c>
      <c r="H71" s="232">
        <v>3360.3717200000001</v>
      </c>
      <c r="I71" s="232">
        <v>0.99950799999999995</v>
      </c>
      <c r="J71" s="232">
        <v>0.47461999999999999</v>
      </c>
      <c r="K71" s="232">
        <v>2202.9</v>
      </c>
      <c r="L71" s="232">
        <v>0.1696</v>
      </c>
      <c r="M71" s="232" t="s">
        <v>18</v>
      </c>
      <c r="N71" s="232" t="s">
        <v>20</v>
      </c>
      <c r="O71" s="232" t="s">
        <v>21</v>
      </c>
      <c r="P71" s="232"/>
      <c r="Q71" s="231"/>
    </row>
    <row r="72" spans="1:17">
      <c r="A72" s="230" t="s">
        <v>715</v>
      </c>
      <c r="B72" s="231" t="s">
        <v>731</v>
      </c>
      <c r="C72" s="233">
        <v>45118.918055555558</v>
      </c>
      <c r="D72" s="232">
        <v>20</v>
      </c>
      <c r="E72" s="232">
        <v>9.28287E-2</v>
      </c>
      <c r="F72" s="232" t="s">
        <v>687</v>
      </c>
      <c r="G72" s="232">
        <v>22</v>
      </c>
      <c r="H72" s="232">
        <v>3350.0879799999998</v>
      </c>
      <c r="I72" s="232">
        <v>0.99964699999999995</v>
      </c>
      <c r="J72" s="232">
        <v>0.47417199999999998</v>
      </c>
      <c r="K72" s="232">
        <v>2200.8000000000002</v>
      </c>
      <c r="L72" s="232">
        <v>1.4689000000000001</v>
      </c>
      <c r="M72" s="232" t="s">
        <v>18</v>
      </c>
      <c r="N72" s="232" t="s">
        <v>20</v>
      </c>
      <c r="O72" s="232" t="s">
        <v>21</v>
      </c>
      <c r="P72" s="232"/>
      <c r="Q72" s="231"/>
    </row>
    <row r="73" spans="1:17">
      <c r="A73" s="230" t="s">
        <v>652</v>
      </c>
      <c r="B73" s="231" t="s">
        <v>732</v>
      </c>
      <c r="C73" s="233">
        <v>45118.930555555555</v>
      </c>
      <c r="D73" s="232">
        <v>20</v>
      </c>
      <c r="E73" s="232">
        <v>9.28287E-2</v>
      </c>
      <c r="F73" s="232" t="s">
        <v>687</v>
      </c>
      <c r="G73" s="232">
        <v>22</v>
      </c>
      <c r="H73" s="232">
        <v>3242.8583400000002</v>
      </c>
      <c r="I73" s="232">
        <v>0.99946699999999999</v>
      </c>
      <c r="J73" s="232">
        <v>0.509988</v>
      </c>
      <c r="K73" s="232">
        <v>2367.1</v>
      </c>
      <c r="L73" s="232"/>
      <c r="M73" s="232" t="s">
        <v>18</v>
      </c>
      <c r="N73" s="232" t="s">
        <v>20</v>
      </c>
      <c r="O73" s="232" t="s">
        <v>21</v>
      </c>
      <c r="P73" s="232">
        <v>20</v>
      </c>
      <c r="Q73" s="231" t="s">
        <v>655</v>
      </c>
    </row>
    <row r="74" spans="1:17">
      <c r="A74" s="230" t="s">
        <v>653</v>
      </c>
      <c r="B74" s="231" t="s">
        <v>733</v>
      </c>
      <c r="C74" s="233">
        <v>45118.943055555559</v>
      </c>
      <c r="D74" s="232">
        <v>20</v>
      </c>
      <c r="E74" s="232">
        <v>9.28287E-2</v>
      </c>
      <c r="F74" s="232" t="s">
        <v>687</v>
      </c>
      <c r="G74" s="232">
        <v>22</v>
      </c>
      <c r="H74" s="232">
        <v>3166.7942499999999</v>
      </c>
      <c r="I74" s="232">
        <v>0.99916000000000005</v>
      </c>
      <c r="J74" s="232">
        <v>0.65881599999999996</v>
      </c>
      <c r="K74" s="232">
        <v>3057.9</v>
      </c>
      <c r="L74" s="232"/>
      <c r="M74" s="232" t="s">
        <v>18</v>
      </c>
      <c r="N74" s="232" t="s">
        <v>20</v>
      </c>
      <c r="O74" s="232" t="s">
        <v>28</v>
      </c>
      <c r="P74" s="232"/>
      <c r="Q74" s="231"/>
    </row>
    <row r="75" spans="1:17">
      <c r="A75" s="230" t="s">
        <v>696</v>
      </c>
      <c r="B75" s="231" t="s">
        <v>734</v>
      </c>
      <c r="C75" s="233">
        <v>45118.956944444442</v>
      </c>
      <c r="D75" s="232">
        <v>20</v>
      </c>
      <c r="E75" s="232">
        <v>9.28287E-2</v>
      </c>
      <c r="F75" s="232" t="s">
        <v>687</v>
      </c>
      <c r="G75" s="232">
        <v>22</v>
      </c>
      <c r="H75" s="232">
        <v>3231.4166100000002</v>
      </c>
      <c r="I75" s="232">
        <v>0.99961</v>
      </c>
      <c r="J75" s="232">
        <v>0.50867300000000004</v>
      </c>
      <c r="K75" s="232">
        <v>2361</v>
      </c>
      <c r="L75" s="232"/>
      <c r="M75" s="232" t="s">
        <v>18</v>
      </c>
      <c r="N75" s="232" t="s">
        <v>20</v>
      </c>
      <c r="O75" s="232" t="s">
        <v>21</v>
      </c>
      <c r="P75" s="232"/>
      <c r="Q75" s="231"/>
    </row>
    <row r="76" spans="1:17">
      <c r="A76" s="230" t="s">
        <v>698</v>
      </c>
      <c r="B76" s="231" t="s">
        <v>735</v>
      </c>
      <c r="C76" s="233">
        <v>45118.96875</v>
      </c>
      <c r="D76" s="232">
        <v>20</v>
      </c>
      <c r="E76" s="232">
        <v>9.28287E-2</v>
      </c>
      <c r="F76" s="232" t="s">
        <v>687</v>
      </c>
      <c r="G76" s="232">
        <v>22</v>
      </c>
      <c r="H76" s="232">
        <v>3224.5275499999998</v>
      </c>
      <c r="I76" s="232">
        <v>0.99958599999999997</v>
      </c>
      <c r="J76" s="232">
        <v>0.50752799999999998</v>
      </c>
      <c r="K76" s="232">
        <v>2355.6999999999998</v>
      </c>
      <c r="L76" s="232"/>
      <c r="M76" s="232" t="s">
        <v>18</v>
      </c>
      <c r="N76" s="232" t="s">
        <v>20</v>
      </c>
      <c r="O76" s="232" t="s">
        <v>21</v>
      </c>
      <c r="P76" s="232"/>
      <c r="Q76" s="231"/>
    </row>
    <row r="77" spans="1:17">
      <c r="A77" s="230" t="s">
        <v>700</v>
      </c>
      <c r="B77" s="231" t="s">
        <v>736</v>
      </c>
      <c r="C77" s="233">
        <v>45118.981249999997</v>
      </c>
      <c r="D77" s="232">
        <v>20</v>
      </c>
      <c r="E77" s="232">
        <v>9.28287E-2</v>
      </c>
      <c r="F77" s="232" t="s">
        <v>687</v>
      </c>
      <c r="G77" s="232">
        <v>22</v>
      </c>
      <c r="H77" s="232">
        <v>3263.5664200000001</v>
      </c>
      <c r="I77" s="232">
        <v>0.99960099999999996</v>
      </c>
      <c r="J77" s="232">
        <v>0.49943300000000002</v>
      </c>
      <c r="K77" s="232">
        <v>2318.1</v>
      </c>
      <c r="L77" s="232"/>
      <c r="M77" s="232" t="s">
        <v>18</v>
      </c>
      <c r="N77" s="232" t="s">
        <v>20</v>
      </c>
      <c r="O77" s="232" t="s">
        <v>21</v>
      </c>
      <c r="P77" s="232"/>
      <c r="Q77" s="231"/>
    </row>
    <row r="78" spans="1:17">
      <c r="A78" s="230" t="s">
        <v>668</v>
      </c>
      <c r="B78" s="231" t="s">
        <v>737</v>
      </c>
      <c r="C78" s="233">
        <v>45118.991666666669</v>
      </c>
      <c r="D78" s="232">
        <v>20</v>
      </c>
      <c r="E78" s="232">
        <v>9.28287E-2</v>
      </c>
      <c r="F78" s="232" t="s">
        <v>687</v>
      </c>
      <c r="G78" s="232">
        <v>22</v>
      </c>
      <c r="H78" s="232">
        <v>3307.6729300000002</v>
      </c>
      <c r="I78" s="232">
        <v>0.999386</v>
      </c>
      <c r="J78" s="232">
        <v>0.50761400000000001</v>
      </c>
      <c r="K78" s="232">
        <v>2356.1</v>
      </c>
      <c r="L78" s="232"/>
      <c r="M78" s="232" t="s">
        <v>18</v>
      </c>
      <c r="N78" s="232" t="s">
        <v>20</v>
      </c>
      <c r="O78" s="232" t="s">
        <v>21</v>
      </c>
      <c r="P78" s="232"/>
      <c r="Q78" s="231"/>
    </row>
    <row r="79" spans="1:17">
      <c r="A79" s="230" t="s">
        <v>670</v>
      </c>
      <c r="B79" s="231" t="s">
        <v>738</v>
      </c>
      <c r="C79" s="233">
        <v>45118.007638888892</v>
      </c>
      <c r="D79" s="232">
        <v>20</v>
      </c>
      <c r="E79" s="232">
        <v>9.28287E-2</v>
      </c>
      <c r="F79" s="232" t="s">
        <v>687</v>
      </c>
      <c r="G79" s="232">
        <v>22</v>
      </c>
      <c r="H79" s="232">
        <v>3296.3520600000002</v>
      </c>
      <c r="I79" s="232">
        <v>0.99962499999999999</v>
      </c>
      <c r="J79" s="232">
        <v>0.50109000000000004</v>
      </c>
      <c r="K79" s="232">
        <v>2325.8000000000002</v>
      </c>
      <c r="L79" s="232"/>
      <c r="M79" s="232" t="s">
        <v>18</v>
      </c>
      <c r="N79" s="232" t="s">
        <v>20</v>
      </c>
      <c r="O79" s="232" t="s">
        <v>21</v>
      </c>
      <c r="P79" s="232"/>
      <c r="Q79" s="231"/>
    </row>
    <row r="80" spans="1:17">
      <c r="A80" s="230" t="s">
        <v>672</v>
      </c>
      <c r="B80" s="231" t="s">
        <v>739</v>
      </c>
      <c r="C80" s="233">
        <v>45118.020833333336</v>
      </c>
      <c r="D80" s="232">
        <v>20</v>
      </c>
      <c r="E80" s="232">
        <v>9.28287E-2</v>
      </c>
      <c r="F80" s="232" t="s">
        <v>687</v>
      </c>
      <c r="G80" s="232">
        <v>22</v>
      </c>
      <c r="H80" s="232">
        <v>3324.7955299999999</v>
      </c>
      <c r="I80" s="232">
        <v>0.99951699999999999</v>
      </c>
      <c r="J80" s="232">
        <v>0.50210399999999999</v>
      </c>
      <c r="K80" s="232">
        <v>2330.5</v>
      </c>
      <c r="L80" s="232"/>
      <c r="M80" s="232" t="s">
        <v>18</v>
      </c>
      <c r="N80" s="232" t="s">
        <v>20</v>
      </c>
      <c r="O80" s="232" t="s">
        <v>21</v>
      </c>
      <c r="P80" s="232"/>
      <c r="Q80" s="231"/>
    </row>
    <row r="81" spans="1:17">
      <c r="A81" s="230" t="s">
        <v>674</v>
      </c>
      <c r="B81" s="231" t="s">
        <v>740</v>
      </c>
      <c r="C81" s="233">
        <v>45118.036111111112</v>
      </c>
      <c r="D81" s="232">
        <v>20</v>
      </c>
      <c r="E81" s="232">
        <v>9.28287E-2</v>
      </c>
      <c r="F81" s="232" t="s">
        <v>687</v>
      </c>
      <c r="G81" s="232">
        <v>22</v>
      </c>
      <c r="H81" s="232">
        <v>3354.4892300000001</v>
      </c>
      <c r="I81" s="232">
        <v>0.999309</v>
      </c>
      <c r="J81" s="232">
        <v>0.601383</v>
      </c>
      <c r="K81" s="232">
        <v>2791.3</v>
      </c>
      <c r="L81" s="232"/>
      <c r="M81" s="232" t="s">
        <v>18</v>
      </c>
      <c r="N81" s="232" t="s">
        <v>20</v>
      </c>
      <c r="O81" s="232" t="s">
        <v>28</v>
      </c>
      <c r="P81" s="232"/>
      <c r="Q81" s="231"/>
    </row>
    <row r="82" spans="1:17">
      <c r="A82" s="230" t="s">
        <v>676</v>
      </c>
      <c r="B82" s="231" t="s">
        <v>741</v>
      </c>
      <c r="C82" s="233">
        <v>45118.050694444442</v>
      </c>
      <c r="D82" s="232">
        <v>20</v>
      </c>
      <c r="E82" s="232">
        <v>9.28287E-2</v>
      </c>
      <c r="F82" s="232" t="s">
        <v>687</v>
      </c>
      <c r="G82" s="232">
        <v>22</v>
      </c>
      <c r="H82" s="232">
        <v>3222.9596799999999</v>
      </c>
      <c r="I82" s="232">
        <v>0.99948700000000001</v>
      </c>
      <c r="J82" s="232">
        <v>0.50785599999999997</v>
      </c>
      <c r="K82" s="232">
        <v>2357.1999999999998</v>
      </c>
      <c r="L82" s="232"/>
      <c r="M82" s="232" t="s">
        <v>18</v>
      </c>
      <c r="N82" s="232" t="s">
        <v>20</v>
      </c>
      <c r="O82" s="232" t="s">
        <v>21</v>
      </c>
      <c r="P82" s="232"/>
      <c r="Q82" s="231"/>
    </row>
    <row r="83" spans="1:17">
      <c r="A83" s="230" t="s">
        <v>678</v>
      </c>
      <c r="B83" s="231" t="s">
        <v>742</v>
      </c>
      <c r="C83" s="233">
        <v>45118.0625</v>
      </c>
      <c r="D83" s="232">
        <v>20</v>
      </c>
      <c r="E83" s="232">
        <v>9.28287E-2</v>
      </c>
      <c r="F83" s="232" t="s">
        <v>687</v>
      </c>
      <c r="G83" s="232">
        <v>22</v>
      </c>
      <c r="H83" s="232">
        <v>3233.3715200000001</v>
      </c>
      <c r="I83" s="232">
        <v>0.99960199999999999</v>
      </c>
      <c r="J83" s="232">
        <v>0.50663999999999998</v>
      </c>
      <c r="K83" s="232">
        <v>2351.5</v>
      </c>
      <c r="L83" s="232"/>
      <c r="M83" s="232" t="s">
        <v>18</v>
      </c>
      <c r="N83" s="232" t="s">
        <v>20</v>
      </c>
      <c r="O83" s="232" t="s">
        <v>21</v>
      </c>
      <c r="P83" s="232"/>
      <c r="Q83" s="231"/>
    </row>
    <row r="84" spans="1:17">
      <c r="A84" s="230" t="s">
        <v>680</v>
      </c>
      <c r="B84" s="231" t="s">
        <v>743</v>
      </c>
      <c r="C84" s="233">
        <v>45118.074999999997</v>
      </c>
      <c r="D84" s="232">
        <v>20</v>
      </c>
      <c r="E84" s="232">
        <v>9.28287E-2</v>
      </c>
      <c r="F84" s="232" t="s">
        <v>687</v>
      </c>
      <c r="G84" s="232">
        <v>22</v>
      </c>
      <c r="H84" s="232">
        <v>3285.07008</v>
      </c>
      <c r="I84" s="232">
        <v>0.99953000000000003</v>
      </c>
      <c r="J84" s="232">
        <v>0.51006300000000004</v>
      </c>
      <c r="K84" s="232">
        <v>2367.4</v>
      </c>
      <c r="L84" s="232"/>
      <c r="M84" s="232" t="s">
        <v>18</v>
      </c>
      <c r="N84" s="232" t="s">
        <v>20</v>
      </c>
      <c r="O84" s="232" t="s">
        <v>21</v>
      </c>
      <c r="P84" s="232"/>
      <c r="Q84" s="231"/>
    </row>
    <row r="85" spans="1:17">
      <c r="A85" s="230" t="s">
        <v>682</v>
      </c>
      <c r="B85" s="231" t="s">
        <v>744</v>
      </c>
      <c r="C85" s="233">
        <v>45118.087500000001</v>
      </c>
      <c r="D85" s="232">
        <v>20</v>
      </c>
      <c r="E85" s="232">
        <v>9.28287E-2</v>
      </c>
      <c r="F85" s="232" t="s">
        <v>687</v>
      </c>
      <c r="G85" s="232">
        <v>22</v>
      </c>
      <c r="H85" s="232">
        <v>3167.4958200000001</v>
      </c>
      <c r="I85" s="232">
        <v>0.99958000000000002</v>
      </c>
      <c r="J85" s="232">
        <v>0.509552</v>
      </c>
      <c r="K85" s="232">
        <v>2365.1</v>
      </c>
      <c r="L85" s="232"/>
      <c r="M85" s="232" t="s">
        <v>18</v>
      </c>
      <c r="N85" s="232" t="s">
        <v>20</v>
      </c>
      <c r="O85" s="232" t="s">
        <v>21</v>
      </c>
      <c r="P85" s="232"/>
      <c r="Q85" s="231"/>
    </row>
    <row r="86" spans="1:17">
      <c r="A86" s="230" t="s">
        <v>684</v>
      </c>
      <c r="B86" s="231" t="s">
        <v>745</v>
      </c>
      <c r="C86" s="233">
        <v>45118.098611111112</v>
      </c>
      <c r="D86" s="232">
        <v>20</v>
      </c>
      <c r="E86" s="232">
        <v>9.28287E-2</v>
      </c>
      <c r="F86" s="232" t="s">
        <v>687</v>
      </c>
      <c r="G86" s="232">
        <v>22</v>
      </c>
      <c r="H86" s="232">
        <v>3242.2615599999999</v>
      </c>
      <c r="I86" s="232">
        <v>0.99958199999999997</v>
      </c>
      <c r="J86" s="232">
        <v>0.51073299999999999</v>
      </c>
      <c r="K86" s="232">
        <v>2370.5</v>
      </c>
      <c r="L86" s="232"/>
      <c r="M86" s="232" t="s">
        <v>18</v>
      </c>
      <c r="N86" s="232" t="s">
        <v>20</v>
      </c>
      <c r="O86" s="232" t="s">
        <v>21</v>
      </c>
      <c r="P86" s="232"/>
      <c r="Q86" s="231"/>
    </row>
    <row r="87" spans="1:17">
      <c r="A87" s="230" t="s">
        <v>746</v>
      </c>
      <c r="B87" s="231" t="s">
        <v>747</v>
      </c>
      <c r="C87" s="233">
        <v>45118.109722222223</v>
      </c>
      <c r="D87" s="232">
        <v>20</v>
      </c>
      <c r="E87" s="232">
        <v>9.28287E-2</v>
      </c>
      <c r="F87" s="232" t="s">
        <v>687</v>
      </c>
      <c r="G87" s="232">
        <v>22</v>
      </c>
      <c r="H87" s="232">
        <v>3212.70829</v>
      </c>
      <c r="I87" s="232">
        <v>0.99962200000000001</v>
      </c>
      <c r="J87" s="232">
        <v>0.508965</v>
      </c>
      <c r="K87" s="232">
        <v>2362.3000000000002</v>
      </c>
      <c r="L87" s="232"/>
      <c r="M87" s="232" t="s">
        <v>18</v>
      </c>
      <c r="N87" s="232" t="s">
        <v>20</v>
      </c>
      <c r="O87" s="232" t="s">
        <v>21</v>
      </c>
      <c r="P87" s="232"/>
      <c r="Q87" s="231"/>
    </row>
    <row r="88" spans="1:17">
      <c r="A88" s="230" t="s">
        <v>748</v>
      </c>
      <c r="B88" s="231" t="s">
        <v>749</v>
      </c>
      <c r="C88" s="233">
        <v>45118.119444444441</v>
      </c>
      <c r="D88" s="232">
        <v>20</v>
      </c>
      <c r="E88" s="232">
        <v>9.28287E-2</v>
      </c>
      <c r="F88" s="232" t="s">
        <v>687</v>
      </c>
      <c r="G88" s="232">
        <v>22</v>
      </c>
      <c r="H88" s="232">
        <v>3265.89111</v>
      </c>
      <c r="I88" s="232">
        <v>0.99951199999999996</v>
      </c>
      <c r="J88" s="232">
        <v>0.50819899999999996</v>
      </c>
      <c r="K88" s="232">
        <v>2358.8000000000002</v>
      </c>
      <c r="L88" s="232"/>
      <c r="M88" s="232" t="s">
        <v>18</v>
      </c>
      <c r="N88" s="232" t="s">
        <v>20</v>
      </c>
      <c r="O88" s="232" t="s">
        <v>21</v>
      </c>
      <c r="P88" s="232"/>
      <c r="Q88" s="231"/>
    </row>
    <row r="89" spans="1:17">
      <c r="A89" s="230" t="s">
        <v>750</v>
      </c>
      <c r="B89" s="231" t="s">
        <v>751</v>
      </c>
      <c r="C89" s="233">
        <v>45118.131249999999</v>
      </c>
      <c r="D89" s="232">
        <v>20</v>
      </c>
      <c r="E89" s="232">
        <v>9.28287E-2</v>
      </c>
      <c r="F89" s="232" t="s">
        <v>687</v>
      </c>
      <c r="G89" s="232">
        <v>22</v>
      </c>
      <c r="H89" s="232">
        <v>3296.41185</v>
      </c>
      <c r="I89" s="232">
        <v>0.99959900000000002</v>
      </c>
      <c r="J89" s="232">
        <v>0.51336499999999996</v>
      </c>
      <c r="K89" s="232">
        <v>2382.6999999999998</v>
      </c>
      <c r="L89" s="232"/>
      <c r="M89" s="232" t="s">
        <v>18</v>
      </c>
      <c r="N89" s="232" t="s">
        <v>20</v>
      </c>
      <c r="O89" s="232" t="s">
        <v>21</v>
      </c>
      <c r="P89" s="232"/>
      <c r="Q89" s="231"/>
    </row>
    <row r="90" spans="1:17">
      <c r="A90" s="230" t="s">
        <v>752</v>
      </c>
      <c r="B90" s="231" t="s">
        <v>753</v>
      </c>
      <c r="C90" s="233">
        <v>45118.146527777775</v>
      </c>
      <c r="D90" s="232">
        <v>20</v>
      </c>
      <c r="E90" s="232">
        <v>9.28287E-2</v>
      </c>
      <c r="F90" s="232" t="s">
        <v>687</v>
      </c>
      <c r="G90" s="232">
        <v>22</v>
      </c>
      <c r="H90" s="232">
        <v>3318.9196299999999</v>
      </c>
      <c r="I90" s="232">
        <v>0.99965499999999996</v>
      </c>
      <c r="J90" s="232">
        <v>0.50944400000000001</v>
      </c>
      <c r="K90" s="232">
        <v>2364.5</v>
      </c>
      <c r="L90" s="232"/>
      <c r="M90" s="232" t="s">
        <v>18</v>
      </c>
      <c r="N90" s="232" t="s">
        <v>20</v>
      </c>
      <c r="O90" s="232" t="s">
        <v>21</v>
      </c>
      <c r="P90" s="232"/>
      <c r="Q90" s="231"/>
    </row>
    <row r="91" spans="1:17">
      <c r="A91" s="230" t="s">
        <v>754</v>
      </c>
      <c r="B91" s="231" t="s">
        <v>755</v>
      </c>
      <c r="C91" s="233">
        <v>45118.157638888886</v>
      </c>
      <c r="D91" s="232">
        <v>20</v>
      </c>
      <c r="E91" s="232">
        <v>9.28287E-2</v>
      </c>
      <c r="F91" s="232" t="s">
        <v>687</v>
      </c>
      <c r="G91" s="232">
        <v>22</v>
      </c>
      <c r="H91" s="232">
        <v>3290.2818600000001</v>
      </c>
      <c r="I91" s="232">
        <v>0.99963999999999997</v>
      </c>
      <c r="J91" s="232">
        <v>0.50541999999999998</v>
      </c>
      <c r="K91" s="232">
        <v>2345.9</v>
      </c>
      <c r="L91" s="232"/>
      <c r="M91" s="232" t="s">
        <v>18</v>
      </c>
      <c r="N91" s="232" t="s">
        <v>20</v>
      </c>
      <c r="O91" s="232" t="s">
        <v>21</v>
      </c>
      <c r="P91" s="232"/>
      <c r="Q91" s="231"/>
    </row>
    <row r="92" spans="1:17">
      <c r="A92" s="230" t="s">
        <v>756</v>
      </c>
      <c r="B92" s="231" t="s">
        <v>757</v>
      </c>
      <c r="C92" s="233">
        <v>45118.168055555558</v>
      </c>
      <c r="D92" s="232">
        <v>20</v>
      </c>
      <c r="E92" s="232">
        <v>9.28287E-2</v>
      </c>
      <c r="F92" s="232" t="s">
        <v>687</v>
      </c>
      <c r="G92" s="232">
        <v>22</v>
      </c>
      <c r="H92" s="232">
        <v>3345.1471099999999</v>
      </c>
      <c r="I92" s="232">
        <v>0.99970099999999995</v>
      </c>
      <c r="J92" s="232">
        <v>0.50182400000000005</v>
      </c>
      <c r="K92" s="232">
        <v>2329.1999999999998</v>
      </c>
      <c r="L92" s="232"/>
      <c r="M92" s="232" t="s">
        <v>18</v>
      </c>
      <c r="N92" s="232" t="s">
        <v>20</v>
      </c>
      <c r="O92" s="232" t="s">
        <v>21</v>
      </c>
      <c r="P92" s="232"/>
      <c r="Q92" s="231"/>
    </row>
    <row r="93" spans="1:17">
      <c r="A93" s="230" t="s">
        <v>758</v>
      </c>
      <c r="B93" s="231" t="s">
        <v>759</v>
      </c>
      <c r="C93" s="233">
        <v>45118.179166666669</v>
      </c>
      <c r="D93" s="232">
        <v>20</v>
      </c>
      <c r="E93" s="232">
        <v>9.28287E-2</v>
      </c>
      <c r="F93" s="232" t="s">
        <v>687</v>
      </c>
      <c r="G93" s="232">
        <v>22</v>
      </c>
      <c r="H93" s="232">
        <v>3339.17652</v>
      </c>
      <c r="I93" s="232">
        <v>0.99961500000000003</v>
      </c>
      <c r="J93" s="232">
        <v>0.47475899999999999</v>
      </c>
      <c r="K93" s="232">
        <v>2203.6</v>
      </c>
      <c r="L93" s="232"/>
      <c r="M93" s="232" t="s">
        <v>18</v>
      </c>
      <c r="N93" s="232" t="s">
        <v>20</v>
      </c>
      <c r="O93" s="232" t="s">
        <v>21</v>
      </c>
      <c r="P93" s="232"/>
      <c r="Q93" s="231"/>
    </row>
    <row r="94" spans="1:17">
      <c r="A94" s="230" t="s">
        <v>760</v>
      </c>
      <c r="B94" s="231" t="s">
        <v>759</v>
      </c>
      <c r="C94" s="233">
        <v>45118.1875</v>
      </c>
      <c r="D94" s="232">
        <v>20</v>
      </c>
      <c r="E94" s="232">
        <v>9.28287E-2</v>
      </c>
      <c r="F94" s="232" t="s">
        <v>687</v>
      </c>
      <c r="G94" s="232">
        <v>22</v>
      </c>
      <c r="H94" s="232">
        <v>3344.37426</v>
      </c>
      <c r="I94" s="232">
        <v>0.99967399999999995</v>
      </c>
      <c r="J94" s="232">
        <v>0.47436800000000001</v>
      </c>
      <c r="K94" s="232">
        <v>2201.6999999999998</v>
      </c>
      <c r="L94" s="232">
        <v>1.2846</v>
      </c>
      <c r="M94" s="232" t="s">
        <v>18</v>
      </c>
      <c r="N94" s="232" t="s">
        <v>20</v>
      </c>
      <c r="O94" s="232" t="s">
        <v>21</v>
      </c>
      <c r="P94" s="232"/>
      <c r="Q94" s="231"/>
    </row>
    <row r="95" spans="1:17">
      <c r="A95" s="230" t="s">
        <v>761</v>
      </c>
      <c r="B95" s="231" t="s">
        <v>759</v>
      </c>
      <c r="C95" s="233">
        <v>45118.197222222225</v>
      </c>
      <c r="D95" s="232">
        <v>20</v>
      </c>
      <c r="E95" s="232">
        <v>9.28287E-2</v>
      </c>
      <c r="F95" s="232" t="s">
        <v>687</v>
      </c>
      <c r="G95" s="232">
        <v>22</v>
      </c>
      <c r="H95" s="232">
        <v>3350.59015</v>
      </c>
      <c r="I95" s="232">
        <v>0.99962099999999998</v>
      </c>
      <c r="J95" s="232">
        <v>0.47448499999999999</v>
      </c>
      <c r="K95" s="232">
        <v>2202.3000000000002</v>
      </c>
      <c r="L95" s="232">
        <v>0.38550000000000001</v>
      </c>
      <c r="M95" s="232" t="s">
        <v>18</v>
      </c>
      <c r="N95" s="232" t="s">
        <v>20</v>
      </c>
      <c r="O95" s="232" t="s">
        <v>21</v>
      </c>
      <c r="P95" s="232"/>
      <c r="Q95" s="231"/>
    </row>
    <row r="96" spans="1:17">
      <c r="A96" s="230" t="s">
        <v>730</v>
      </c>
      <c r="B96" s="231" t="s">
        <v>642</v>
      </c>
      <c r="C96" s="233">
        <v>45119.898611111108</v>
      </c>
      <c r="D96" s="232">
        <v>20</v>
      </c>
      <c r="E96" s="232">
        <v>9.28287E-2</v>
      </c>
      <c r="F96" s="232" t="s">
        <v>687</v>
      </c>
      <c r="G96" s="232">
        <v>22</v>
      </c>
      <c r="H96" s="232">
        <v>3741.1897600000002</v>
      </c>
      <c r="I96" s="232">
        <v>0.99990599999999996</v>
      </c>
      <c r="J96" s="232">
        <v>0.42061199999999999</v>
      </c>
      <c r="K96" s="232">
        <v>1952.2</v>
      </c>
      <c r="L96" s="232"/>
      <c r="M96" s="232" t="s">
        <v>18</v>
      </c>
      <c r="N96" s="232" t="s">
        <v>20</v>
      </c>
      <c r="O96" s="232" t="s">
        <v>21</v>
      </c>
      <c r="P96" s="232"/>
      <c r="Q96" s="231"/>
    </row>
    <row r="97" spans="1:17">
      <c r="A97" s="230" t="s">
        <v>762</v>
      </c>
      <c r="B97" s="231" t="s">
        <v>642</v>
      </c>
      <c r="C97" s="233">
        <v>45119.909722222219</v>
      </c>
      <c r="D97" s="232">
        <v>20</v>
      </c>
      <c r="E97" s="232">
        <v>9.28287E-2</v>
      </c>
      <c r="F97" s="232" t="s">
        <v>687</v>
      </c>
      <c r="G97" s="232">
        <v>22</v>
      </c>
      <c r="H97" s="232">
        <v>3812.4201400000002</v>
      </c>
      <c r="I97" s="232">
        <v>0.99990699999999999</v>
      </c>
      <c r="J97" s="232">
        <v>0.41937000000000002</v>
      </c>
      <c r="K97" s="232">
        <v>1946.5</v>
      </c>
      <c r="L97" s="232">
        <v>4.0750000000000002</v>
      </c>
      <c r="M97" s="232" t="s">
        <v>18</v>
      </c>
      <c r="N97" s="232" t="s">
        <v>20</v>
      </c>
      <c r="O97" s="232" t="s">
        <v>21</v>
      </c>
      <c r="P97" s="232"/>
      <c r="Q97" s="231"/>
    </row>
    <row r="98" spans="1:17">
      <c r="A98" s="230" t="s">
        <v>763</v>
      </c>
      <c r="B98" s="231" t="s">
        <v>642</v>
      </c>
      <c r="C98" s="233">
        <v>45119.925694444442</v>
      </c>
      <c r="D98" s="232">
        <v>20</v>
      </c>
      <c r="E98" s="232">
        <v>9.28287E-2</v>
      </c>
      <c r="F98" s="232" t="s">
        <v>687</v>
      </c>
      <c r="G98" s="232">
        <v>22</v>
      </c>
      <c r="H98" s="232">
        <v>3811.1319899999999</v>
      </c>
      <c r="I98" s="232">
        <v>0.99987599999999999</v>
      </c>
      <c r="J98" s="232">
        <v>0.41976799999999997</v>
      </c>
      <c r="K98" s="232">
        <v>1948.3</v>
      </c>
      <c r="L98" s="232">
        <v>1.3059000000000001</v>
      </c>
      <c r="M98" s="232" t="s">
        <v>18</v>
      </c>
      <c r="N98" s="232" t="s">
        <v>20</v>
      </c>
      <c r="O98" s="232" t="s">
        <v>21</v>
      </c>
      <c r="P98" s="232"/>
      <c r="Q98" s="231"/>
    </row>
    <row r="99" spans="1:17">
      <c r="A99" s="230" t="s">
        <v>764</v>
      </c>
      <c r="B99" s="231" t="s">
        <v>642</v>
      </c>
      <c r="C99" s="233">
        <v>45119.954861111109</v>
      </c>
      <c r="D99" s="232">
        <v>20</v>
      </c>
      <c r="E99" s="232">
        <v>9.28287E-2</v>
      </c>
      <c r="F99" s="232" t="s">
        <v>687</v>
      </c>
      <c r="G99" s="232">
        <v>22</v>
      </c>
      <c r="H99" s="232">
        <v>3873.6739200000002</v>
      </c>
      <c r="I99" s="232">
        <v>0.99987400000000004</v>
      </c>
      <c r="J99" s="232">
        <v>0.41952800000000001</v>
      </c>
      <c r="K99" s="232">
        <v>1947.2</v>
      </c>
      <c r="L99" s="232">
        <v>0.78700000000000003</v>
      </c>
      <c r="M99" s="232" t="s">
        <v>18</v>
      </c>
      <c r="N99" s="232" t="s">
        <v>20</v>
      </c>
      <c r="O99" s="232" t="s">
        <v>21</v>
      </c>
      <c r="P99" s="232"/>
      <c r="Q99" s="231"/>
    </row>
    <row r="100" spans="1:17">
      <c r="A100" s="230" t="s">
        <v>765</v>
      </c>
      <c r="B100" s="231" t="s">
        <v>731</v>
      </c>
      <c r="C100" s="233">
        <v>45119.101388888892</v>
      </c>
      <c r="D100" s="232">
        <v>20</v>
      </c>
      <c r="E100" s="232">
        <v>9.28287E-2</v>
      </c>
      <c r="F100" s="232" t="s">
        <v>687</v>
      </c>
      <c r="G100" s="232">
        <v>22</v>
      </c>
      <c r="H100" s="232">
        <v>3295.9175700000001</v>
      </c>
      <c r="I100" s="232">
        <v>0.99958000000000002</v>
      </c>
      <c r="J100" s="232">
        <v>0.47480299999999998</v>
      </c>
      <c r="K100" s="232">
        <v>2203.8000000000002</v>
      </c>
      <c r="L100" s="232">
        <v>0.2616</v>
      </c>
      <c r="M100" s="232" t="s">
        <v>18</v>
      </c>
      <c r="N100" s="232" t="s">
        <v>20</v>
      </c>
      <c r="O100" s="232" t="s">
        <v>21</v>
      </c>
      <c r="P100" s="232"/>
      <c r="Q100" s="231"/>
    </row>
    <row r="101" spans="1:17">
      <c r="A101" s="230" t="s">
        <v>766</v>
      </c>
      <c r="B101" s="231" t="s">
        <v>731</v>
      </c>
      <c r="C101" s="233">
        <v>45119.111805555556</v>
      </c>
      <c r="D101" s="232">
        <v>20</v>
      </c>
      <c r="E101" s="232">
        <v>9.28287E-2</v>
      </c>
      <c r="F101" s="232" t="s">
        <v>687</v>
      </c>
      <c r="G101" s="232">
        <v>22</v>
      </c>
      <c r="H101" s="232">
        <v>3340.23999</v>
      </c>
      <c r="I101" s="232">
        <v>0.99965099999999996</v>
      </c>
      <c r="J101" s="232">
        <v>0.476495</v>
      </c>
      <c r="K101" s="232">
        <v>2211.6</v>
      </c>
      <c r="L101" s="232">
        <v>5.5540000000000003</v>
      </c>
      <c r="M101" s="232" t="s">
        <v>18</v>
      </c>
      <c r="N101" s="232" t="s">
        <v>20</v>
      </c>
      <c r="O101" s="232" t="s">
        <v>28</v>
      </c>
      <c r="P101" s="232"/>
      <c r="Q101" s="231"/>
    </row>
    <row r="102" spans="1:17">
      <c r="A102" s="230" t="s">
        <v>767</v>
      </c>
      <c r="B102" s="231" t="s">
        <v>731</v>
      </c>
      <c r="C102" s="233">
        <v>45119.122916666667</v>
      </c>
      <c r="D102" s="232">
        <v>20</v>
      </c>
      <c r="E102" s="232">
        <v>9.28287E-2</v>
      </c>
      <c r="F102" s="232" t="s">
        <v>687</v>
      </c>
      <c r="G102" s="232">
        <v>22</v>
      </c>
      <c r="H102" s="232">
        <v>3334.1146399999998</v>
      </c>
      <c r="I102" s="232">
        <v>0.99958999999999998</v>
      </c>
      <c r="J102" s="232">
        <v>0.47652600000000001</v>
      </c>
      <c r="K102" s="232">
        <v>2211.8000000000002</v>
      </c>
      <c r="L102" s="232">
        <v>0.1008</v>
      </c>
      <c r="M102" s="232" t="s">
        <v>18</v>
      </c>
      <c r="N102" s="232" t="s">
        <v>20</v>
      </c>
      <c r="O102" s="232" t="s">
        <v>28</v>
      </c>
      <c r="P102" s="232"/>
      <c r="Q102" s="231"/>
    </row>
    <row r="103" spans="1:17">
      <c r="A103" s="230" t="s">
        <v>768</v>
      </c>
      <c r="B103" s="231" t="s">
        <v>731</v>
      </c>
      <c r="C103" s="233">
        <v>45119.136805555558</v>
      </c>
      <c r="D103" s="232">
        <v>20</v>
      </c>
      <c r="E103" s="232">
        <v>9.28287E-2</v>
      </c>
      <c r="F103" s="232" t="s">
        <v>687</v>
      </c>
      <c r="G103" s="232">
        <v>22</v>
      </c>
      <c r="H103" s="232">
        <v>3331.4059000000002</v>
      </c>
      <c r="I103" s="232">
        <v>0.99960599999999999</v>
      </c>
      <c r="J103" s="232">
        <v>0.47593000000000002</v>
      </c>
      <c r="K103" s="232">
        <v>2209</v>
      </c>
      <c r="L103" s="232">
        <v>1.9544999999999999</v>
      </c>
      <c r="M103" s="236">
        <f>(((2202.12-K$103)*15+(2202.12-K$118)*(15-15))/15)+K103</f>
        <v>2202.12</v>
      </c>
      <c r="N103" s="232" t="s">
        <v>20</v>
      </c>
      <c r="O103" s="232" t="s">
        <v>769</v>
      </c>
      <c r="P103" s="232"/>
      <c r="Q103" s="231"/>
    </row>
    <row r="104" spans="1:17">
      <c r="A104" s="230" t="s">
        <v>653</v>
      </c>
      <c r="B104" s="231" t="s">
        <v>770</v>
      </c>
      <c r="C104" s="233">
        <v>45119.15625</v>
      </c>
      <c r="D104" s="232">
        <v>20</v>
      </c>
      <c r="E104" s="232">
        <v>9.28287E-2</v>
      </c>
      <c r="F104" s="232" t="s">
        <v>687</v>
      </c>
      <c r="G104" s="232">
        <v>22</v>
      </c>
      <c r="H104" s="232">
        <v>3341.2868600000002</v>
      </c>
      <c r="I104" s="232">
        <v>0.99970199999999998</v>
      </c>
      <c r="J104" s="232">
        <v>0.51072499999999998</v>
      </c>
      <c r="K104" s="232">
        <v>2370.5</v>
      </c>
      <c r="L104" s="232"/>
      <c r="M104" s="236">
        <f>(((2202.12-K$103)*14+(2202.12-K$118)*(15-14))/15)+K104</f>
        <v>2363.8399999999997</v>
      </c>
      <c r="N104" s="232" t="s">
        <v>20</v>
      </c>
      <c r="O104" s="232" t="s">
        <v>769</v>
      </c>
      <c r="P104" s="232"/>
      <c r="Q104" s="231"/>
    </row>
    <row r="105" spans="1:17">
      <c r="A105" s="230" t="s">
        <v>696</v>
      </c>
      <c r="B105" s="231" t="s">
        <v>771</v>
      </c>
      <c r="C105" s="233">
        <v>45119.167361111111</v>
      </c>
      <c r="D105" s="232">
        <v>20</v>
      </c>
      <c r="E105" s="232">
        <v>9.28287E-2</v>
      </c>
      <c r="F105" s="232" t="s">
        <v>687</v>
      </c>
      <c r="G105" s="232">
        <v>22</v>
      </c>
      <c r="H105" s="232">
        <v>3320.65949</v>
      </c>
      <c r="I105" s="232">
        <v>0.99968599999999996</v>
      </c>
      <c r="J105" s="232">
        <v>0.50694499999999998</v>
      </c>
      <c r="K105" s="232">
        <v>2352.9</v>
      </c>
      <c r="L105" s="232"/>
      <c r="M105" s="236">
        <f>(((2202.12-K$103)*13+(2202.12-K$118)*(15-13))/15)+K105</f>
        <v>2346.46</v>
      </c>
      <c r="N105" s="232" t="s">
        <v>20</v>
      </c>
      <c r="O105" s="232" t="s">
        <v>769</v>
      </c>
      <c r="P105" s="232">
        <v>12</v>
      </c>
      <c r="Q105" s="231" t="s">
        <v>655</v>
      </c>
    </row>
    <row r="106" spans="1:17">
      <c r="A106" s="230" t="s">
        <v>698</v>
      </c>
      <c r="B106" s="231" t="s">
        <v>772</v>
      </c>
      <c r="C106" s="233">
        <v>45119.180555555555</v>
      </c>
      <c r="D106" s="232">
        <v>20</v>
      </c>
      <c r="E106" s="232">
        <v>9.28287E-2</v>
      </c>
      <c r="F106" s="232" t="s">
        <v>687</v>
      </c>
      <c r="G106" s="232">
        <v>22</v>
      </c>
      <c r="H106" s="232">
        <v>3328.6180399999998</v>
      </c>
      <c r="I106" s="232">
        <v>0.99957499999999999</v>
      </c>
      <c r="J106" s="232">
        <v>0.511683</v>
      </c>
      <c r="K106" s="232">
        <v>2374.9</v>
      </c>
      <c r="L106" s="232"/>
      <c r="M106" s="236">
        <f>(((2202.12-K$103)*12+(2202.12-K$118)*(15-12))/15)+K106</f>
        <v>2368.6799999999998</v>
      </c>
      <c r="N106" s="232" t="s">
        <v>20</v>
      </c>
      <c r="O106" s="232" t="s">
        <v>769</v>
      </c>
      <c r="P106" s="232"/>
      <c r="Q106" s="231"/>
    </row>
    <row r="107" spans="1:17">
      <c r="A107" s="230" t="s">
        <v>700</v>
      </c>
      <c r="B107" s="231" t="s">
        <v>773</v>
      </c>
      <c r="C107" s="233">
        <v>45119.192361111112</v>
      </c>
      <c r="D107" s="232">
        <v>20</v>
      </c>
      <c r="E107" s="232">
        <v>9.28287E-2</v>
      </c>
      <c r="F107" s="232" t="s">
        <v>687</v>
      </c>
      <c r="G107" s="232">
        <v>22</v>
      </c>
      <c r="H107" s="232">
        <v>3325.3272499999998</v>
      </c>
      <c r="I107" s="232">
        <v>0.99962700000000004</v>
      </c>
      <c r="J107" s="232">
        <v>0.50396399999999997</v>
      </c>
      <c r="K107" s="232">
        <v>2339.1</v>
      </c>
      <c r="L107" s="232"/>
      <c r="M107" s="236">
        <f>(((2202.12-K$103)*11+(2202.12-K$118)*(15-11))/15)+K107</f>
        <v>2333.1</v>
      </c>
      <c r="N107" s="232" t="s">
        <v>20</v>
      </c>
      <c r="O107" s="232" t="s">
        <v>769</v>
      </c>
      <c r="P107" s="232"/>
      <c r="Q107" s="231"/>
    </row>
    <row r="108" spans="1:17">
      <c r="A108" s="230" t="s">
        <v>774</v>
      </c>
      <c r="B108" s="231" t="s">
        <v>775</v>
      </c>
      <c r="C108" s="233">
        <v>45119.20208333333</v>
      </c>
      <c r="D108" s="232">
        <v>20</v>
      </c>
      <c r="E108" s="232">
        <v>9.28287E-2</v>
      </c>
      <c r="F108" s="232" t="s">
        <v>687</v>
      </c>
      <c r="G108" s="232">
        <v>22</v>
      </c>
      <c r="H108" s="232">
        <v>3323.8439499999999</v>
      </c>
      <c r="I108" s="232">
        <v>0.99962300000000004</v>
      </c>
      <c r="J108" s="232">
        <v>0.51044999999999996</v>
      </c>
      <c r="K108" s="232">
        <v>2369.1999999999998</v>
      </c>
      <c r="L108" s="232"/>
      <c r="M108" s="236">
        <f>(((2202.12-K$103)*10+(2202.12-K$118)*(15-10))/15)+K108</f>
        <v>2363.4199999999996</v>
      </c>
      <c r="N108" s="232" t="s">
        <v>20</v>
      </c>
      <c r="O108" s="232" t="s">
        <v>769</v>
      </c>
      <c r="P108" s="232"/>
      <c r="Q108" s="231"/>
    </row>
    <row r="109" spans="1:17">
      <c r="A109" s="230" t="s">
        <v>668</v>
      </c>
      <c r="B109" s="231" t="s">
        <v>776</v>
      </c>
      <c r="C109" s="233">
        <v>45119.214583333334</v>
      </c>
      <c r="D109" s="232">
        <v>20</v>
      </c>
      <c r="E109" s="232">
        <v>9.28287E-2</v>
      </c>
      <c r="F109" s="232" t="s">
        <v>687</v>
      </c>
      <c r="G109" s="232">
        <v>22</v>
      </c>
      <c r="H109" s="232">
        <v>3298.03818</v>
      </c>
      <c r="I109" s="232">
        <v>0.99967700000000004</v>
      </c>
      <c r="J109" s="232">
        <v>0.506158</v>
      </c>
      <c r="K109" s="232">
        <v>2349.3000000000002</v>
      </c>
      <c r="L109" s="232"/>
      <c r="M109" s="236">
        <f>(((2202.12-K$103)*9+(2202.12-K$118)*(15-9))/15)+K109</f>
        <v>2343.7400000000002</v>
      </c>
      <c r="N109" s="232" t="s">
        <v>20</v>
      </c>
      <c r="O109" s="232" t="s">
        <v>769</v>
      </c>
      <c r="P109" s="232"/>
      <c r="Q109" s="231"/>
    </row>
    <row r="110" spans="1:17">
      <c r="A110" s="230" t="s">
        <v>670</v>
      </c>
      <c r="B110" s="231" t="s">
        <v>777</v>
      </c>
      <c r="C110" s="233">
        <v>45119.224305555559</v>
      </c>
      <c r="D110" s="232">
        <v>20</v>
      </c>
      <c r="E110" s="232">
        <v>9.28287E-2</v>
      </c>
      <c r="F110" s="232" t="s">
        <v>687</v>
      </c>
      <c r="G110" s="232">
        <v>22</v>
      </c>
      <c r="H110" s="232">
        <v>3300.6957900000002</v>
      </c>
      <c r="I110" s="232">
        <v>0.99962700000000004</v>
      </c>
      <c r="J110" s="232">
        <v>0.50473100000000004</v>
      </c>
      <c r="K110" s="232">
        <v>2342.6999999999998</v>
      </c>
      <c r="L110" s="232"/>
      <c r="M110" s="236">
        <f>(((2202.12-K$103)*8+(2202.12-K$118)*(15-8))/15)+K110</f>
        <v>2337.3599999999997</v>
      </c>
      <c r="N110" s="232" t="s">
        <v>20</v>
      </c>
      <c r="O110" s="232" t="s">
        <v>769</v>
      </c>
      <c r="P110" s="232"/>
      <c r="Q110" s="231"/>
    </row>
    <row r="111" spans="1:17">
      <c r="A111" s="230" t="s">
        <v>672</v>
      </c>
      <c r="B111" s="231" t="s">
        <v>778</v>
      </c>
      <c r="C111" s="233">
        <v>45119.234722222223</v>
      </c>
      <c r="D111" s="232">
        <v>20</v>
      </c>
      <c r="E111" s="232">
        <v>9.28287E-2</v>
      </c>
      <c r="F111" s="232" t="s">
        <v>687</v>
      </c>
      <c r="G111" s="232">
        <v>22</v>
      </c>
      <c r="H111" s="232">
        <v>3320.6044900000002</v>
      </c>
      <c r="I111" s="232">
        <v>0.99963999999999997</v>
      </c>
      <c r="J111" s="232">
        <v>0.50544199999999995</v>
      </c>
      <c r="K111" s="232">
        <v>2346</v>
      </c>
      <c r="L111" s="232"/>
      <c r="M111" s="236">
        <f>(((2202.12-K$103)*7+(2202.12-K$118)*(15-7))/15)+K111</f>
        <v>2340.88</v>
      </c>
      <c r="N111" s="232" t="s">
        <v>20</v>
      </c>
      <c r="O111" s="232" t="s">
        <v>769</v>
      </c>
      <c r="P111" s="232"/>
      <c r="Q111" s="231"/>
    </row>
    <row r="112" spans="1:17">
      <c r="A112" s="230" t="s">
        <v>674</v>
      </c>
      <c r="B112" s="231" t="s">
        <v>779</v>
      </c>
      <c r="C112" s="233">
        <v>45119.245833333334</v>
      </c>
      <c r="D112" s="232">
        <v>20</v>
      </c>
      <c r="E112" s="232">
        <v>9.28287E-2</v>
      </c>
      <c r="F112" s="232" t="s">
        <v>687</v>
      </c>
      <c r="G112" s="232">
        <v>22</v>
      </c>
      <c r="H112" s="232">
        <v>3285.41849</v>
      </c>
      <c r="I112" s="232">
        <v>0.99963299999999999</v>
      </c>
      <c r="J112" s="232">
        <v>0.50574200000000002</v>
      </c>
      <c r="K112" s="232">
        <v>2347.4</v>
      </c>
      <c r="L112" s="232"/>
      <c r="M112" s="236">
        <f>(((2202.12-K$103)*6+(2202.12-K$118)*(15-6))/15)+K112</f>
        <v>2342.5</v>
      </c>
      <c r="N112" s="232" t="s">
        <v>20</v>
      </c>
      <c r="O112" s="232" t="s">
        <v>769</v>
      </c>
      <c r="P112" s="232"/>
      <c r="Q112" s="231"/>
    </row>
    <row r="113" spans="1:17">
      <c r="A113" s="230" t="s">
        <v>676</v>
      </c>
      <c r="B113" s="231" t="s">
        <v>780</v>
      </c>
      <c r="C113" s="233">
        <v>45119.256944444445</v>
      </c>
      <c r="D113" s="232">
        <v>20</v>
      </c>
      <c r="E113" s="232">
        <v>9.28287E-2</v>
      </c>
      <c r="F113" s="232" t="s">
        <v>687</v>
      </c>
      <c r="G113" s="232">
        <v>22</v>
      </c>
      <c r="H113" s="232">
        <v>3321.4355999999998</v>
      </c>
      <c r="I113" s="232">
        <v>0.99968199999999996</v>
      </c>
      <c r="J113" s="232">
        <v>0.50765700000000002</v>
      </c>
      <c r="K113" s="232">
        <v>2356.3000000000002</v>
      </c>
      <c r="L113" s="232"/>
      <c r="M113" s="236">
        <f>(((2202.12-K$103)*5+(2202.12-K$118)*(15-5))/15)+K113</f>
        <v>2351.6200000000003</v>
      </c>
      <c r="N113" s="232" t="s">
        <v>20</v>
      </c>
      <c r="O113" s="232" t="s">
        <v>769</v>
      </c>
      <c r="P113" s="232"/>
      <c r="Q113" s="231"/>
    </row>
    <row r="114" spans="1:17">
      <c r="A114" s="230" t="s">
        <v>678</v>
      </c>
      <c r="B114" s="231" t="s">
        <v>781</v>
      </c>
      <c r="C114" s="233">
        <v>45119.268750000003</v>
      </c>
      <c r="D114" s="232">
        <v>20</v>
      </c>
      <c r="E114" s="232">
        <v>9.28287E-2</v>
      </c>
      <c r="F114" s="232" t="s">
        <v>687</v>
      </c>
      <c r="G114" s="232">
        <v>22</v>
      </c>
      <c r="H114" s="232">
        <v>3343.7656900000002</v>
      </c>
      <c r="I114" s="232">
        <v>0.99967399999999995</v>
      </c>
      <c r="J114" s="232">
        <v>0.50913399999999998</v>
      </c>
      <c r="K114" s="232">
        <v>2363.1</v>
      </c>
      <c r="L114" s="232"/>
      <c r="M114" s="236">
        <f>(((2202.12-K$103)*4+(2202.12-K$118)*(15-4))/15)+K114</f>
        <v>2358.64</v>
      </c>
      <c r="N114" s="232" t="s">
        <v>20</v>
      </c>
      <c r="O114" s="232" t="s">
        <v>769</v>
      </c>
      <c r="P114" s="232"/>
      <c r="Q114" s="231"/>
    </row>
    <row r="115" spans="1:17">
      <c r="A115" s="230" t="s">
        <v>680</v>
      </c>
      <c r="B115" s="231" t="s">
        <v>782</v>
      </c>
      <c r="C115" s="233">
        <v>45119.282638888886</v>
      </c>
      <c r="D115" s="232">
        <v>20</v>
      </c>
      <c r="E115" s="232">
        <v>9.28287E-2</v>
      </c>
      <c r="F115" s="232" t="s">
        <v>687</v>
      </c>
      <c r="G115" s="232">
        <v>22</v>
      </c>
      <c r="H115" s="232">
        <v>3328.9369200000001</v>
      </c>
      <c r="I115" s="232">
        <v>0.99966299999999997</v>
      </c>
      <c r="J115" s="232">
        <v>0.50441999999999998</v>
      </c>
      <c r="K115" s="232">
        <v>2341.1999999999998</v>
      </c>
      <c r="L115" s="232"/>
      <c r="M115" s="236">
        <f>(((2202.12-K$103)*3+(2202.12-K$118)*(15-3))/15)+K115</f>
        <v>2336.96</v>
      </c>
      <c r="N115" s="232" t="s">
        <v>20</v>
      </c>
      <c r="O115" s="232" t="s">
        <v>769</v>
      </c>
      <c r="P115" s="232"/>
      <c r="Q115" s="231"/>
    </row>
    <row r="116" spans="1:17">
      <c r="A116" s="230" t="s">
        <v>682</v>
      </c>
      <c r="B116" s="231" t="s">
        <v>783</v>
      </c>
      <c r="C116" s="233">
        <v>45119.291666666664</v>
      </c>
      <c r="D116" s="232">
        <v>20</v>
      </c>
      <c r="E116" s="232">
        <v>9.28287E-2</v>
      </c>
      <c r="F116" s="232" t="s">
        <v>687</v>
      </c>
      <c r="G116" s="232">
        <v>22</v>
      </c>
      <c r="H116" s="232">
        <v>3316.1192299999998</v>
      </c>
      <c r="I116" s="232">
        <v>0.99965599999999999</v>
      </c>
      <c r="J116" s="232">
        <v>0.50408900000000001</v>
      </c>
      <c r="K116" s="232">
        <v>2339.6999999999998</v>
      </c>
      <c r="L116" s="232"/>
      <c r="M116" s="236">
        <f>(((2202.12-K$103)*2+(2202.12-K$118)*(15-2))/15)+K116</f>
        <v>2335.6799999999998</v>
      </c>
      <c r="N116" s="232" t="s">
        <v>20</v>
      </c>
      <c r="O116" s="232" t="s">
        <v>769</v>
      </c>
      <c r="P116" s="232"/>
      <c r="Q116" s="231"/>
    </row>
    <row r="117" spans="1:17">
      <c r="A117" s="230" t="s">
        <v>684</v>
      </c>
      <c r="B117" s="231" t="s">
        <v>731</v>
      </c>
      <c r="C117" s="233">
        <v>45119.300694444442</v>
      </c>
      <c r="D117" s="232">
        <v>20</v>
      </c>
      <c r="E117" s="232">
        <v>9.28287E-2</v>
      </c>
      <c r="F117" s="232" t="s">
        <v>687</v>
      </c>
      <c r="G117" s="232">
        <v>22</v>
      </c>
      <c r="H117" s="232">
        <v>3282.5075999999999</v>
      </c>
      <c r="I117" s="232">
        <v>0.99959600000000004</v>
      </c>
      <c r="J117" s="232">
        <v>0.46970200000000001</v>
      </c>
      <c r="K117" s="232">
        <v>2180.1</v>
      </c>
      <c r="L117" s="232"/>
      <c r="M117" s="236">
        <f>(((2202.12-K$103)*1+(2202.12-K$118)*(15-1))/15)+K117</f>
        <v>2176.3000000000002</v>
      </c>
      <c r="N117" s="232" t="s">
        <v>20</v>
      </c>
      <c r="O117" s="232" t="s">
        <v>769</v>
      </c>
      <c r="P117" s="232"/>
      <c r="Q117" s="231"/>
    </row>
    <row r="118" spans="1:17">
      <c r="A118" s="230" t="s">
        <v>685</v>
      </c>
      <c r="B118" s="231" t="s">
        <v>731</v>
      </c>
      <c r="C118" s="233">
        <v>45119.309027777781</v>
      </c>
      <c r="D118" s="232">
        <v>20</v>
      </c>
      <c r="E118" s="232">
        <v>9.28287E-2</v>
      </c>
      <c r="F118" s="232" t="s">
        <v>687</v>
      </c>
      <c r="G118" s="232">
        <v>22</v>
      </c>
      <c r="H118" s="232">
        <v>3341.0919699999999</v>
      </c>
      <c r="I118" s="232">
        <v>0.99961100000000003</v>
      </c>
      <c r="J118" s="232">
        <v>0.47522199999999998</v>
      </c>
      <c r="K118" s="232">
        <v>2205.6999999999998</v>
      </c>
      <c r="L118" s="232">
        <v>18.117899999999999</v>
      </c>
      <c r="M118" s="236">
        <f t="shared" ref="M118:M119" si="0">(((2202.12-K$103)*0+(2202.12-K$118)*(15-0))/15)+K118</f>
        <v>2202.12</v>
      </c>
      <c r="N118" s="232" t="s">
        <v>20</v>
      </c>
      <c r="O118" s="232" t="s">
        <v>769</v>
      </c>
      <c r="P118" s="232"/>
      <c r="Q118" s="231"/>
    </row>
    <row r="119" spans="1:17">
      <c r="A119" s="230" t="s">
        <v>784</v>
      </c>
      <c r="B119" s="231" t="s">
        <v>731</v>
      </c>
      <c r="C119" s="233">
        <v>45119.318749999999</v>
      </c>
      <c r="D119" s="232">
        <v>20</v>
      </c>
      <c r="E119" s="232">
        <v>9.28287E-2</v>
      </c>
      <c r="F119" s="232" t="s">
        <v>687</v>
      </c>
      <c r="G119" s="232">
        <v>22</v>
      </c>
      <c r="H119" s="232">
        <v>3328.8863799999999</v>
      </c>
      <c r="I119" s="232">
        <v>0.99962200000000001</v>
      </c>
      <c r="J119" s="232">
        <v>0.47546899999999997</v>
      </c>
      <c r="K119" s="232">
        <v>2206.9</v>
      </c>
      <c r="L119" s="232">
        <v>0.80989999999999995</v>
      </c>
      <c r="M119" s="232">
        <f t="shared" si="0"/>
        <v>2203.3200000000002</v>
      </c>
      <c r="N119" s="232" t="s">
        <v>20</v>
      </c>
      <c r="O119" s="232" t="s">
        <v>769</v>
      </c>
      <c r="P119" s="232"/>
      <c r="Q119" s="231"/>
    </row>
    <row r="120" spans="1:17">
      <c r="A120" s="230" t="s">
        <v>785</v>
      </c>
      <c r="B120" s="231" t="s">
        <v>731</v>
      </c>
      <c r="C120" s="233">
        <v>45119.326388888891</v>
      </c>
      <c r="D120" s="232">
        <v>20</v>
      </c>
      <c r="E120" s="232">
        <v>9.28287E-2</v>
      </c>
      <c r="F120" s="232" t="s">
        <v>687</v>
      </c>
      <c r="G120" s="232">
        <v>22</v>
      </c>
      <c r="H120" s="232">
        <v>3324.0468999999998</v>
      </c>
      <c r="I120" s="232">
        <v>0.99957099999999999</v>
      </c>
      <c r="J120" s="232">
        <v>0.47726099999999999</v>
      </c>
      <c r="K120" s="232">
        <v>2215.1999999999998</v>
      </c>
      <c r="L120" s="232">
        <v>5.8818000000000001</v>
      </c>
      <c r="M120" s="232" t="s">
        <v>18</v>
      </c>
      <c r="N120" s="232" t="s">
        <v>20</v>
      </c>
      <c r="O120" s="232" t="s">
        <v>28</v>
      </c>
      <c r="P120" s="232"/>
      <c r="Q120" s="231"/>
    </row>
    <row r="121" spans="1:17">
      <c r="A121" s="237" t="s">
        <v>786</v>
      </c>
      <c r="B121" s="237" t="s">
        <v>642</v>
      </c>
      <c r="C121" s="238">
        <v>45125.886805555558</v>
      </c>
      <c r="D121" s="237">
        <v>20</v>
      </c>
      <c r="E121" s="237">
        <v>9.28287E-2</v>
      </c>
      <c r="F121" s="237" t="s">
        <v>687</v>
      </c>
      <c r="G121" s="237">
        <v>22</v>
      </c>
      <c r="H121" s="237">
        <v>3666.0190899999998</v>
      </c>
      <c r="I121" s="237">
        <v>0.99988999999999995</v>
      </c>
      <c r="J121" s="237">
        <v>0.42233399999999999</v>
      </c>
      <c r="K121" s="237">
        <v>1960.2</v>
      </c>
      <c r="L121" s="237"/>
      <c r="M121" s="232" t="s">
        <v>18</v>
      </c>
      <c r="N121" s="237" t="s">
        <v>20</v>
      </c>
      <c r="O121" s="237" t="s">
        <v>28</v>
      </c>
    </row>
    <row r="122" spans="1:17">
      <c r="A122" s="237" t="s">
        <v>728</v>
      </c>
      <c r="B122" s="237" t="s">
        <v>642</v>
      </c>
      <c r="C122" s="238">
        <v>45125.920138888891</v>
      </c>
      <c r="D122" s="237">
        <v>20</v>
      </c>
      <c r="E122" s="237">
        <v>9.28287E-2</v>
      </c>
      <c r="F122" s="237" t="s">
        <v>687</v>
      </c>
      <c r="G122" s="237">
        <v>22</v>
      </c>
      <c r="H122" s="237">
        <v>3655.9178299999999</v>
      </c>
      <c r="I122" s="237">
        <v>0.99989700000000004</v>
      </c>
      <c r="J122" s="237">
        <v>0.420128</v>
      </c>
      <c r="K122" s="237">
        <v>1950</v>
      </c>
      <c r="L122" s="237">
        <v>7.2419000000000002</v>
      </c>
      <c r="M122" s="232" t="s">
        <v>18</v>
      </c>
      <c r="N122" s="237" t="s">
        <v>20</v>
      </c>
      <c r="O122" s="237" t="s">
        <v>28</v>
      </c>
    </row>
    <row r="123" spans="1:17">
      <c r="A123" s="237" t="s">
        <v>729</v>
      </c>
      <c r="B123" s="237" t="s">
        <v>642</v>
      </c>
      <c r="C123" s="238">
        <v>45125.931944444441</v>
      </c>
      <c r="D123" s="237">
        <v>20</v>
      </c>
      <c r="E123" s="237">
        <v>9.28287E-2</v>
      </c>
      <c r="F123" s="237" t="s">
        <v>687</v>
      </c>
      <c r="G123" s="237">
        <v>22</v>
      </c>
      <c r="H123" s="237">
        <v>3686.0975600000002</v>
      </c>
      <c r="I123" s="237">
        <v>0.99987899999999996</v>
      </c>
      <c r="J123" s="237">
        <v>0.42125200000000002</v>
      </c>
      <c r="K123" s="237">
        <v>1955.2</v>
      </c>
      <c r="L123" s="237">
        <v>3.6905000000000001</v>
      </c>
      <c r="M123" s="232" t="s">
        <v>18</v>
      </c>
      <c r="N123" s="237" t="s">
        <v>20</v>
      </c>
      <c r="O123" s="237" t="s">
        <v>28</v>
      </c>
    </row>
    <row r="124" spans="1:17">
      <c r="A124" s="237" t="s">
        <v>730</v>
      </c>
      <c r="B124" s="237" t="s">
        <v>642</v>
      </c>
      <c r="C124" s="238">
        <v>45125.943055555559</v>
      </c>
      <c r="D124" s="237">
        <v>20</v>
      </c>
      <c r="E124" s="237">
        <v>9.28287E-2</v>
      </c>
      <c r="F124" s="237" t="s">
        <v>687</v>
      </c>
      <c r="G124" s="237">
        <v>22</v>
      </c>
      <c r="H124" s="237">
        <v>3684.2035299999998</v>
      </c>
      <c r="I124" s="237">
        <v>0.99987899999999996</v>
      </c>
      <c r="J124" s="237">
        <v>0.42101300000000003</v>
      </c>
      <c r="K124" s="237">
        <v>1954.1</v>
      </c>
      <c r="L124" s="237">
        <v>0.78349999999999997</v>
      </c>
      <c r="M124" s="232" t="s">
        <v>18</v>
      </c>
      <c r="N124" s="237" t="s">
        <v>20</v>
      </c>
      <c r="O124" s="237" t="s">
        <v>28</v>
      </c>
    </row>
    <row r="125" spans="1:17">
      <c r="A125" s="237" t="s">
        <v>762</v>
      </c>
      <c r="B125" s="237" t="s">
        <v>642</v>
      </c>
      <c r="C125" s="238">
        <v>45125.952777777777</v>
      </c>
      <c r="D125" s="237">
        <v>20</v>
      </c>
      <c r="E125" s="237">
        <v>9.28287E-2</v>
      </c>
      <c r="F125" s="237" t="s">
        <v>687</v>
      </c>
      <c r="G125" s="237">
        <v>22</v>
      </c>
      <c r="H125" s="237">
        <v>3874.4852500000002</v>
      </c>
      <c r="I125" s="237">
        <v>0.99986799999999998</v>
      </c>
      <c r="J125" s="237">
        <v>0.40285399999999999</v>
      </c>
      <c r="K125" s="237">
        <v>1869.8</v>
      </c>
      <c r="L125" s="237">
        <v>59.599299999999999</v>
      </c>
      <c r="M125" s="232" t="s">
        <v>18</v>
      </c>
      <c r="N125" s="237" t="s">
        <v>20</v>
      </c>
      <c r="O125" s="237" t="s">
        <v>28</v>
      </c>
    </row>
    <row r="126" spans="1:17">
      <c r="A126" s="237" t="s">
        <v>711</v>
      </c>
      <c r="B126" s="237" t="s">
        <v>642</v>
      </c>
      <c r="C126" s="238">
        <v>45125.963194444441</v>
      </c>
      <c r="D126" s="237">
        <v>20</v>
      </c>
      <c r="E126" s="237">
        <v>9.28287E-2</v>
      </c>
      <c r="F126" s="237" t="s">
        <v>687</v>
      </c>
      <c r="G126" s="237">
        <v>22</v>
      </c>
      <c r="H126" s="237">
        <v>0</v>
      </c>
      <c r="I126" s="237">
        <v>0</v>
      </c>
      <c r="J126" s="237">
        <v>0</v>
      </c>
      <c r="K126" s="237">
        <v>0</v>
      </c>
      <c r="L126" s="237" t="s">
        <v>662</v>
      </c>
      <c r="M126" s="232" t="s">
        <v>18</v>
      </c>
      <c r="N126" s="237" t="s">
        <v>20</v>
      </c>
      <c r="O126" s="237" t="s">
        <v>28</v>
      </c>
      <c r="P126" s="237" t="s">
        <v>787</v>
      </c>
    </row>
    <row r="127" spans="1:17">
      <c r="A127" s="237" t="s">
        <v>713</v>
      </c>
      <c r="B127" s="237" t="s">
        <v>642</v>
      </c>
      <c r="C127" s="238">
        <v>45125.966666666667</v>
      </c>
      <c r="D127" s="237">
        <v>20</v>
      </c>
      <c r="E127" s="237">
        <v>9.28287E-2</v>
      </c>
      <c r="F127" s="237" t="s">
        <v>687</v>
      </c>
      <c r="G127" s="237">
        <v>22</v>
      </c>
      <c r="H127" s="237">
        <v>3716.3950300000001</v>
      </c>
      <c r="I127" s="237">
        <v>0.99984700000000004</v>
      </c>
      <c r="J127" s="237">
        <v>0.41714600000000002</v>
      </c>
      <c r="K127" s="237">
        <v>1936.2</v>
      </c>
      <c r="L127" s="237"/>
      <c r="M127" s="232" t="s">
        <v>18</v>
      </c>
      <c r="N127" s="237" t="s">
        <v>20</v>
      </c>
      <c r="O127" s="237" t="s">
        <v>28</v>
      </c>
      <c r="P127" s="237" t="s">
        <v>788</v>
      </c>
    </row>
    <row r="128" spans="1:17">
      <c r="A128" s="237" t="s">
        <v>714</v>
      </c>
      <c r="B128" s="237" t="s">
        <v>642</v>
      </c>
      <c r="C128" s="238">
        <v>45125.976388888892</v>
      </c>
      <c r="D128" s="237">
        <v>20</v>
      </c>
      <c r="E128" s="237">
        <v>9.28287E-2</v>
      </c>
      <c r="F128" s="237" t="s">
        <v>687</v>
      </c>
      <c r="G128" s="237">
        <v>22</v>
      </c>
      <c r="H128" s="237">
        <v>3663.4546500000001</v>
      </c>
      <c r="I128" s="237">
        <v>0.99990699999999999</v>
      </c>
      <c r="J128" s="237">
        <v>0.41902400000000001</v>
      </c>
      <c r="K128" s="237">
        <v>1944.9</v>
      </c>
      <c r="L128" s="237">
        <v>6.1657999999999999</v>
      </c>
      <c r="M128" s="232" t="s">
        <v>18</v>
      </c>
      <c r="N128" s="237" t="s">
        <v>20</v>
      </c>
      <c r="O128" s="237" t="s">
        <v>28</v>
      </c>
      <c r="P128" s="237" t="s">
        <v>789</v>
      </c>
    </row>
    <row r="129" spans="1:16">
      <c r="A129" s="237" t="s">
        <v>715</v>
      </c>
      <c r="B129" s="237" t="s">
        <v>642</v>
      </c>
      <c r="C129" s="238">
        <v>45125.986111111109</v>
      </c>
      <c r="D129" s="237">
        <v>20</v>
      </c>
      <c r="E129" s="237">
        <v>9.28287E-2</v>
      </c>
      <c r="F129" s="237" t="s">
        <v>687</v>
      </c>
      <c r="G129" s="237">
        <v>22</v>
      </c>
      <c r="H129" s="237">
        <v>3746.9508799999999</v>
      </c>
      <c r="I129" s="237">
        <v>0.99988900000000003</v>
      </c>
      <c r="J129" s="237">
        <v>0.418686</v>
      </c>
      <c r="K129" s="237">
        <v>1943.3</v>
      </c>
      <c r="L129" s="237">
        <v>1.1113999999999999</v>
      </c>
      <c r="M129" s="232" t="s">
        <v>18</v>
      </c>
      <c r="N129" s="237" t="s">
        <v>20</v>
      </c>
      <c r="O129" s="237" t="s">
        <v>28</v>
      </c>
      <c r="P129" s="237" t="s">
        <v>789</v>
      </c>
    </row>
    <row r="130" spans="1:16">
      <c r="A130" s="237" t="s">
        <v>790</v>
      </c>
      <c r="B130" s="237" t="s">
        <v>642</v>
      </c>
      <c r="C130" s="238">
        <v>45125.995833333334</v>
      </c>
      <c r="D130" s="237">
        <v>20</v>
      </c>
      <c r="E130" s="237">
        <v>9.28287E-2</v>
      </c>
      <c r="F130" s="237" t="s">
        <v>687</v>
      </c>
      <c r="G130" s="237">
        <v>22</v>
      </c>
      <c r="H130" s="237">
        <v>3724.4027000000001</v>
      </c>
      <c r="I130" s="237">
        <v>0.99985800000000002</v>
      </c>
      <c r="J130" s="237">
        <v>0.418101</v>
      </c>
      <c r="K130" s="237">
        <v>1940.6</v>
      </c>
      <c r="L130" s="237">
        <v>1.9173</v>
      </c>
      <c r="M130" s="232" t="s">
        <v>18</v>
      </c>
      <c r="N130" s="237" t="s">
        <v>20</v>
      </c>
      <c r="O130" s="237" t="s">
        <v>28</v>
      </c>
      <c r="P130" s="237" t="s">
        <v>789</v>
      </c>
    </row>
    <row r="131" spans="1:16">
      <c r="A131" s="237" t="s">
        <v>652</v>
      </c>
      <c r="B131" s="237" t="s">
        <v>791</v>
      </c>
      <c r="C131" s="238">
        <v>45126.015972222223</v>
      </c>
      <c r="D131" s="237">
        <v>20</v>
      </c>
      <c r="E131" s="237">
        <v>9.28287E-2</v>
      </c>
      <c r="F131" s="237" t="s">
        <v>687</v>
      </c>
      <c r="G131" s="237">
        <v>22</v>
      </c>
      <c r="H131" s="237">
        <v>3225.4961199999998</v>
      </c>
      <c r="I131" s="237">
        <v>0.99962399999999996</v>
      </c>
      <c r="J131" s="237">
        <v>0.47603800000000002</v>
      </c>
      <c r="K131" s="237">
        <v>2209.5</v>
      </c>
      <c r="L131" s="237"/>
      <c r="M131" s="232" t="s">
        <v>18</v>
      </c>
      <c r="N131" s="237" t="s">
        <v>20</v>
      </c>
      <c r="O131" s="237" t="s">
        <v>28</v>
      </c>
    </row>
    <row r="132" spans="1:16">
      <c r="A132" s="237" t="s">
        <v>765</v>
      </c>
      <c r="B132" s="237" t="s">
        <v>791</v>
      </c>
      <c r="C132" s="238">
        <v>45126.025694444441</v>
      </c>
      <c r="D132" s="237">
        <v>20</v>
      </c>
      <c r="E132" s="237">
        <v>9.28287E-2</v>
      </c>
      <c r="F132" s="237" t="s">
        <v>687</v>
      </c>
      <c r="G132" s="237">
        <v>22</v>
      </c>
      <c r="H132" s="237">
        <v>3246.0083300000001</v>
      </c>
      <c r="I132" s="237">
        <v>0.99961999999999995</v>
      </c>
      <c r="J132" s="237">
        <v>0.47782799999999997</v>
      </c>
      <c r="K132" s="237">
        <v>2217.8000000000002</v>
      </c>
      <c r="L132" s="237">
        <v>5.8728999999999996</v>
      </c>
      <c r="M132" s="232" t="s">
        <v>18</v>
      </c>
      <c r="N132" s="237" t="s">
        <v>20</v>
      </c>
      <c r="O132" s="237" t="s">
        <v>28</v>
      </c>
    </row>
    <row r="133" spans="1:16">
      <c r="A133" s="237" t="s">
        <v>766</v>
      </c>
      <c r="B133" s="237" t="s">
        <v>791</v>
      </c>
      <c r="C133" s="238">
        <v>45126.034722222219</v>
      </c>
      <c r="D133" s="237">
        <v>20</v>
      </c>
      <c r="E133" s="237">
        <v>9.28287E-2</v>
      </c>
      <c r="F133" s="237" t="s">
        <v>687</v>
      </c>
      <c r="G133" s="237">
        <v>22</v>
      </c>
      <c r="H133" s="237">
        <v>3240.7692099999999</v>
      </c>
      <c r="I133" s="237">
        <v>0.99959299999999995</v>
      </c>
      <c r="J133" s="237">
        <v>0.47581200000000001</v>
      </c>
      <c r="K133" s="237">
        <v>2208.5</v>
      </c>
      <c r="L133" s="237">
        <v>6.6147</v>
      </c>
      <c r="M133" s="232" t="s">
        <v>18</v>
      </c>
      <c r="N133" s="237" t="s">
        <v>20</v>
      </c>
      <c r="O133" s="237" t="s">
        <v>28</v>
      </c>
    </row>
    <row r="134" spans="1:16">
      <c r="A134" s="237" t="s">
        <v>767</v>
      </c>
      <c r="B134" s="237" t="s">
        <v>791</v>
      </c>
      <c r="C134" s="238">
        <v>45126.045138888891</v>
      </c>
      <c r="D134" s="237">
        <v>20</v>
      </c>
      <c r="E134" s="237">
        <v>9.28287E-2</v>
      </c>
      <c r="F134" s="237" t="s">
        <v>687</v>
      </c>
      <c r="G134" s="237">
        <v>22</v>
      </c>
      <c r="H134" s="237">
        <v>3245.85844</v>
      </c>
      <c r="I134" s="237">
        <v>0.99960899999999997</v>
      </c>
      <c r="J134" s="237">
        <v>0.47536600000000001</v>
      </c>
      <c r="K134" s="237">
        <v>2206.4</v>
      </c>
      <c r="L134" s="237">
        <v>1.4628000000000001</v>
      </c>
      <c r="M134" s="232" t="s">
        <v>18</v>
      </c>
      <c r="N134" s="237" t="s">
        <v>20</v>
      </c>
      <c r="O134" s="237" t="s">
        <v>28</v>
      </c>
    </row>
    <row r="135" spans="1:16">
      <c r="A135" s="237" t="s">
        <v>768</v>
      </c>
      <c r="B135" s="237" t="s">
        <v>791</v>
      </c>
      <c r="C135" s="238">
        <v>45126.056944444441</v>
      </c>
      <c r="D135" s="237">
        <v>20</v>
      </c>
      <c r="E135" s="237">
        <v>9.28287E-2</v>
      </c>
      <c r="F135" s="237" t="s">
        <v>687</v>
      </c>
      <c r="G135" s="237">
        <v>22</v>
      </c>
      <c r="H135" s="237">
        <v>3181.7882</v>
      </c>
      <c r="I135" s="237">
        <v>0.99917199999999995</v>
      </c>
      <c r="J135" s="237">
        <v>0.48284899999999997</v>
      </c>
      <c r="K135" s="237">
        <v>2241.1</v>
      </c>
      <c r="L135" s="237">
        <v>24.5565</v>
      </c>
      <c r="M135" s="232" t="s">
        <v>18</v>
      </c>
      <c r="N135" s="237" t="s">
        <v>20</v>
      </c>
      <c r="O135" s="237" t="s">
        <v>28</v>
      </c>
    </row>
    <row r="136" spans="1:16">
      <c r="A136" s="237" t="s">
        <v>653</v>
      </c>
      <c r="B136" s="237" t="s">
        <v>642</v>
      </c>
      <c r="C136" s="238">
        <v>45126.068055555559</v>
      </c>
      <c r="D136" s="237">
        <v>20</v>
      </c>
      <c r="E136" s="237">
        <v>9.28287E-2</v>
      </c>
      <c r="F136" s="237" t="s">
        <v>687</v>
      </c>
      <c r="G136" s="237">
        <v>22</v>
      </c>
      <c r="H136" s="237">
        <v>3706.0097099999998</v>
      </c>
      <c r="I136" s="237">
        <v>0.99988999999999995</v>
      </c>
      <c r="J136" s="237">
        <v>0.41971399999999998</v>
      </c>
      <c r="K136" s="237">
        <v>1948.1</v>
      </c>
      <c r="L136" s="237"/>
      <c r="M136" s="232" t="s">
        <v>18</v>
      </c>
      <c r="N136" s="237" t="s">
        <v>20</v>
      </c>
      <c r="O136" s="237" t="s">
        <v>28</v>
      </c>
    </row>
    <row r="137" spans="1:16">
      <c r="A137" s="237" t="s">
        <v>656</v>
      </c>
      <c r="B137" s="237" t="s">
        <v>642</v>
      </c>
      <c r="C137" s="238">
        <v>45126.080555555556</v>
      </c>
      <c r="D137" s="237">
        <v>20</v>
      </c>
      <c r="E137" s="237">
        <v>9.28287E-2</v>
      </c>
      <c r="F137" s="237" t="s">
        <v>687</v>
      </c>
      <c r="G137" s="237">
        <v>22</v>
      </c>
      <c r="H137" s="237">
        <v>3700.0896600000001</v>
      </c>
      <c r="I137" s="237">
        <v>0.99986699999999995</v>
      </c>
      <c r="J137" s="237">
        <v>0.41884399999999999</v>
      </c>
      <c r="K137" s="237">
        <v>1944</v>
      </c>
      <c r="L137" s="237">
        <v>2.8569</v>
      </c>
      <c r="M137" s="232" t="s">
        <v>18</v>
      </c>
      <c r="N137" s="237" t="s">
        <v>20</v>
      </c>
      <c r="O137" s="237" t="s">
        <v>28</v>
      </c>
    </row>
    <row r="138" spans="1:16">
      <c r="A138" s="237" t="s">
        <v>657</v>
      </c>
      <c r="B138" s="237" t="s">
        <v>642</v>
      </c>
      <c r="C138" s="238">
        <v>45126.090277777781</v>
      </c>
      <c r="D138" s="237">
        <v>20</v>
      </c>
      <c r="E138" s="237">
        <v>9.28287E-2</v>
      </c>
      <c r="F138" s="237" t="s">
        <v>687</v>
      </c>
      <c r="G138" s="237">
        <v>22</v>
      </c>
      <c r="H138" s="237">
        <v>3696.9877000000001</v>
      </c>
      <c r="I138" s="237">
        <v>0.99988600000000005</v>
      </c>
      <c r="J138" s="237">
        <v>0.41830499999999998</v>
      </c>
      <c r="K138" s="237">
        <v>1941.5</v>
      </c>
      <c r="L138" s="237">
        <v>1.7679</v>
      </c>
      <c r="M138" s="232" t="s">
        <v>18</v>
      </c>
      <c r="N138" s="237" t="s">
        <v>20</v>
      </c>
      <c r="O138" s="237" t="s">
        <v>28</v>
      </c>
    </row>
    <row r="139" spans="1:16">
      <c r="A139" s="237" t="s">
        <v>659</v>
      </c>
      <c r="B139" s="237" t="s">
        <v>642</v>
      </c>
      <c r="C139" s="238">
        <v>45126.098611111112</v>
      </c>
      <c r="D139" s="237">
        <v>20</v>
      </c>
      <c r="E139" s="237">
        <v>9.28287E-2</v>
      </c>
      <c r="F139" s="237" t="s">
        <v>687</v>
      </c>
      <c r="G139" s="237">
        <v>22</v>
      </c>
      <c r="H139" s="237">
        <v>3772.3278100000002</v>
      </c>
      <c r="I139" s="237">
        <v>0.99988200000000005</v>
      </c>
      <c r="J139" s="237">
        <v>0.41853600000000002</v>
      </c>
      <c r="K139" s="237">
        <v>1942.6</v>
      </c>
      <c r="L139" s="237">
        <v>0.75980000000000003</v>
      </c>
      <c r="M139" s="232" t="s">
        <v>18</v>
      </c>
      <c r="N139" s="237" t="s">
        <v>20</v>
      </c>
      <c r="O139" s="237" t="s">
        <v>28</v>
      </c>
    </row>
    <row r="140" spans="1:16">
      <c r="A140" s="237" t="s">
        <v>696</v>
      </c>
      <c r="B140" s="237" t="s">
        <v>791</v>
      </c>
      <c r="C140" s="238">
        <v>45126.10833333333</v>
      </c>
      <c r="D140" s="237">
        <v>20</v>
      </c>
      <c r="E140" s="237">
        <v>9.28287E-2</v>
      </c>
      <c r="F140" s="237" t="s">
        <v>687</v>
      </c>
      <c r="G140" s="237">
        <v>22</v>
      </c>
      <c r="H140" s="237">
        <v>3215.7481200000002</v>
      </c>
      <c r="I140" s="237">
        <v>0.99967300000000003</v>
      </c>
      <c r="J140" s="237">
        <v>0.47656599999999999</v>
      </c>
      <c r="K140" s="237">
        <v>2212</v>
      </c>
      <c r="L140" s="237"/>
      <c r="M140" s="232" t="s">
        <v>18</v>
      </c>
      <c r="N140" s="237" t="s">
        <v>20</v>
      </c>
      <c r="O140" s="237" t="s">
        <v>28</v>
      </c>
    </row>
    <row r="141" spans="1:16">
      <c r="A141" s="237" t="s">
        <v>792</v>
      </c>
      <c r="B141" s="237" t="s">
        <v>791</v>
      </c>
      <c r="C141" s="238">
        <v>45126.118750000001</v>
      </c>
      <c r="D141" s="237">
        <v>20</v>
      </c>
      <c r="E141" s="237">
        <v>9.28287E-2</v>
      </c>
      <c r="F141" s="237" t="s">
        <v>687</v>
      </c>
      <c r="G141" s="237">
        <v>22</v>
      </c>
      <c r="H141" s="237">
        <v>3201.0709900000002</v>
      </c>
      <c r="I141" s="237">
        <v>0.99955300000000002</v>
      </c>
      <c r="J141" s="237">
        <v>0.47729100000000002</v>
      </c>
      <c r="K141" s="237">
        <v>2215.3000000000002</v>
      </c>
      <c r="L141" s="237">
        <v>2.3797999999999999</v>
      </c>
      <c r="M141" s="232" t="s">
        <v>18</v>
      </c>
      <c r="N141" s="237" t="s">
        <v>20</v>
      </c>
      <c r="O141" s="227" t="s">
        <v>769</v>
      </c>
    </row>
    <row r="142" spans="1:16">
      <c r="A142" s="237" t="s">
        <v>793</v>
      </c>
      <c r="B142" s="237" t="s">
        <v>791</v>
      </c>
      <c r="C142" s="238">
        <v>45126.12777777778</v>
      </c>
      <c r="D142" s="237">
        <v>20</v>
      </c>
      <c r="E142" s="237">
        <v>9.28287E-2</v>
      </c>
      <c r="F142" s="237" t="s">
        <v>687</v>
      </c>
      <c r="G142" s="237">
        <v>22</v>
      </c>
      <c r="H142" s="237">
        <v>3201.3564500000002</v>
      </c>
      <c r="I142" s="237">
        <v>0.99961500000000003</v>
      </c>
      <c r="J142" s="237">
        <v>0.47662599999999999</v>
      </c>
      <c r="K142" s="237">
        <v>2212.1999999999998</v>
      </c>
      <c r="L142" s="237">
        <v>2.1825999999999999</v>
      </c>
      <c r="M142" s="232" t="s">
        <v>18</v>
      </c>
      <c r="N142" s="237" t="s">
        <v>20</v>
      </c>
      <c r="O142" s="227" t="s">
        <v>769</v>
      </c>
    </row>
    <row r="143" spans="1:16">
      <c r="A143" s="237" t="s">
        <v>794</v>
      </c>
      <c r="B143" s="237" t="s">
        <v>791</v>
      </c>
      <c r="C143" s="238">
        <v>45126.138194444444</v>
      </c>
      <c r="D143" s="237">
        <v>20</v>
      </c>
      <c r="E143" s="237">
        <v>9.28287E-2</v>
      </c>
      <c r="F143" s="237" t="s">
        <v>687</v>
      </c>
      <c r="G143" s="237">
        <v>22</v>
      </c>
      <c r="H143" s="237">
        <v>3213.9899599999999</v>
      </c>
      <c r="I143" s="237">
        <v>0.99963800000000003</v>
      </c>
      <c r="J143" s="237">
        <v>0.47679700000000003</v>
      </c>
      <c r="K143" s="237">
        <v>2213</v>
      </c>
      <c r="L143" s="237">
        <v>0.56040000000000001</v>
      </c>
      <c r="M143" s="239">
        <f>(((2202.12-K$143)*7+(2202.12-K$152)*(7-7))/7)+K143</f>
        <v>2202.12</v>
      </c>
      <c r="N143" s="237" t="s">
        <v>20</v>
      </c>
      <c r="O143" s="227" t="s">
        <v>769</v>
      </c>
    </row>
    <row r="144" spans="1:16">
      <c r="A144" s="237" t="s">
        <v>698</v>
      </c>
      <c r="B144" s="237" t="s">
        <v>795</v>
      </c>
      <c r="C144" s="238">
        <v>45126.150694444441</v>
      </c>
      <c r="D144" s="237">
        <v>20</v>
      </c>
      <c r="E144" s="237">
        <v>9.28287E-2</v>
      </c>
      <c r="F144" s="237" t="s">
        <v>687</v>
      </c>
      <c r="G144" s="237">
        <v>22</v>
      </c>
      <c r="H144" s="237">
        <v>3227.3825200000001</v>
      </c>
      <c r="I144" s="237">
        <v>0.99963800000000003</v>
      </c>
      <c r="J144" s="237">
        <v>0.50748000000000004</v>
      </c>
      <c r="K144" s="237">
        <v>2355.4</v>
      </c>
      <c r="L144" s="237"/>
      <c r="M144" s="239">
        <f>(((2202.12-K$143)*6+(2202.12-K$152)*(7-6))/7)+K144</f>
        <v>2344.6628571428573</v>
      </c>
      <c r="N144" s="237" t="s">
        <v>20</v>
      </c>
      <c r="O144" s="227" t="s">
        <v>769</v>
      </c>
    </row>
    <row r="145" spans="1:15">
      <c r="A145" s="237" t="s">
        <v>700</v>
      </c>
      <c r="B145" s="237" t="s">
        <v>796</v>
      </c>
      <c r="C145" s="238">
        <v>45126.166666666664</v>
      </c>
      <c r="D145" s="237">
        <v>20</v>
      </c>
      <c r="E145" s="237">
        <v>9.28287E-2</v>
      </c>
      <c r="F145" s="237" t="s">
        <v>687</v>
      </c>
      <c r="G145" s="237">
        <v>22</v>
      </c>
      <c r="H145" s="237">
        <v>0</v>
      </c>
      <c r="I145" s="237">
        <v>0</v>
      </c>
      <c r="J145" s="237">
        <v>0</v>
      </c>
      <c r="K145" s="237">
        <v>0</v>
      </c>
      <c r="L145" s="237" t="s">
        <v>662</v>
      </c>
      <c r="M145" s="232" t="s">
        <v>18</v>
      </c>
      <c r="N145" s="237" t="s">
        <v>20</v>
      </c>
      <c r="O145" s="227" t="s">
        <v>28</v>
      </c>
    </row>
    <row r="146" spans="1:15">
      <c r="A146" s="237" t="s">
        <v>774</v>
      </c>
      <c r="B146" s="237" t="s">
        <v>796</v>
      </c>
      <c r="C146" s="238">
        <v>45126.174305555556</v>
      </c>
      <c r="D146" s="237">
        <v>20</v>
      </c>
      <c r="E146" s="237">
        <v>9.28287E-2</v>
      </c>
      <c r="F146" s="237" t="s">
        <v>687</v>
      </c>
      <c r="G146" s="237">
        <v>22</v>
      </c>
      <c r="H146" s="237">
        <v>3313.9473899999998</v>
      </c>
      <c r="I146" s="237">
        <v>0.99961100000000003</v>
      </c>
      <c r="J146" s="237">
        <v>0.49016900000000002</v>
      </c>
      <c r="K146" s="237">
        <v>2275.1</v>
      </c>
      <c r="L146" s="237"/>
      <c r="M146" s="239">
        <f>(((2202.12-K$143)*5+(2202.12-K$152)*(7-5))/7)+K146</f>
        <v>2264.505714285714</v>
      </c>
      <c r="N146" s="237" t="s">
        <v>20</v>
      </c>
      <c r="O146" s="227" t="s">
        <v>769</v>
      </c>
    </row>
    <row r="147" spans="1:15">
      <c r="A147" s="237" t="s">
        <v>668</v>
      </c>
      <c r="B147" s="237" t="s">
        <v>797</v>
      </c>
      <c r="C147" s="238">
        <v>45126.18472222222</v>
      </c>
      <c r="D147" s="237">
        <v>20</v>
      </c>
      <c r="E147" s="237">
        <v>9.28287E-2</v>
      </c>
      <c r="F147" s="237" t="s">
        <v>687</v>
      </c>
      <c r="G147" s="237">
        <v>22</v>
      </c>
      <c r="H147" s="237">
        <v>0</v>
      </c>
      <c r="I147" s="237">
        <v>0</v>
      </c>
      <c r="J147" s="237">
        <v>0</v>
      </c>
      <c r="K147" s="237">
        <v>0</v>
      </c>
      <c r="L147" s="237" t="s">
        <v>662</v>
      </c>
      <c r="M147" s="232" t="s">
        <v>18</v>
      </c>
      <c r="N147" s="237" t="s">
        <v>20</v>
      </c>
      <c r="O147" s="227" t="s">
        <v>28</v>
      </c>
    </row>
    <row r="148" spans="1:15">
      <c r="A148" s="237" t="s">
        <v>798</v>
      </c>
      <c r="B148" s="237" t="s">
        <v>797</v>
      </c>
      <c r="C148" s="238">
        <v>45126.2</v>
      </c>
      <c r="D148" s="237">
        <v>20</v>
      </c>
      <c r="E148" s="237">
        <v>9.28287E-2</v>
      </c>
      <c r="F148" s="237" t="s">
        <v>687</v>
      </c>
      <c r="G148" s="237">
        <v>22</v>
      </c>
      <c r="H148" s="237">
        <v>3351.4494500000001</v>
      </c>
      <c r="I148" s="237">
        <v>0.99943000000000004</v>
      </c>
      <c r="J148" s="237">
        <v>0.50017999999999996</v>
      </c>
      <c r="K148" s="237">
        <v>2321.6</v>
      </c>
      <c r="L148" s="237"/>
      <c r="M148" s="239">
        <f>(((2202.12-K$143)*4+(2202.12-K$152)*(7-4))/7)+K148</f>
        <v>2311.1485714285714</v>
      </c>
      <c r="N148" s="237" t="s">
        <v>20</v>
      </c>
      <c r="O148" s="227" t="s">
        <v>769</v>
      </c>
    </row>
    <row r="149" spans="1:15">
      <c r="A149" s="237" t="s">
        <v>670</v>
      </c>
      <c r="B149" s="237" t="s">
        <v>799</v>
      </c>
      <c r="C149" s="238">
        <v>45126.222916666666</v>
      </c>
      <c r="D149" s="237">
        <v>20</v>
      </c>
      <c r="E149" s="237">
        <v>9.28287E-2</v>
      </c>
      <c r="F149" s="237" t="s">
        <v>687</v>
      </c>
      <c r="G149" s="237">
        <v>22</v>
      </c>
      <c r="H149" s="237">
        <v>3214.8078999999998</v>
      </c>
      <c r="I149" s="237">
        <v>0.99956999999999996</v>
      </c>
      <c r="J149" s="237">
        <v>0.50828600000000002</v>
      </c>
      <c r="K149" s="237">
        <v>2359.1999999999998</v>
      </c>
      <c r="L149" s="237"/>
      <c r="M149" s="239">
        <f>(((2202.12-K$143)*3+(2202.12-K$152)*(7-3))/7)+K149</f>
        <v>2348.8914285714282</v>
      </c>
      <c r="N149" s="237" t="s">
        <v>20</v>
      </c>
      <c r="O149" s="227" t="s">
        <v>769</v>
      </c>
    </row>
    <row r="150" spans="1:15">
      <c r="A150" s="237" t="s">
        <v>672</v>
      </c>
      <c r="B150" s="237" t="s">
        <v>800</v>
      </c>
      <c r="C150" s="238">
        <v>45126.23541666667</v>
      </c>
      <c r="D150" s="237">
        <v>20</v>
      </c>
      <c r="E150" s="237">
        <v>9.28287E-2</v>
      </c>
      <c r="F150" s="237" t="s">
        <v>687</v>
      </c>
      <c r="G150" s="237">
        <v>22</v>
      </c>
      <c r="H150" s="237">
        <v>3249.06934</v>
      </c>
      <c r="I150" s="237">
        <v>0.99959699999999996</v>
      </c>
      <c r="J150" s="237">
        <v>0.51001099999999999</v>
      </c>
      <c r="K150" s="237">
        <v>2367.1999999999998</v>
      </c>
      <c r="L150" s="237"/>
      <c r="M150" s="239">
        <f>(((2202.12-K$143)*2+(2202.12-K$152)*(7-2))/7)+K150</f>
        <v>2357.0342857142855</v>
      </c>
      <c r="N150" s="237" t="s">
        <v>20</v>
      </c>
      <c r="O150" s="227" t="s">
        <v>769</v>
      </c>
    </row>
    <row r="151" spans="1:15">
      <c r="A151" s="237" t="s">
        <v>674</v>
      </c>
      <c r="B151" s="237" t="s">
        <v>801</v>
      </c>
      <c r="C151" s="238">
        <v>45126.247916666667</v>
      </c>
      <c r="D151" s="237">
        <v>20</v>
      </c>
      <c r="E151" s="237">
        <v>9.28287E-2</v>
      </c>
      <c r="F151" s="237" t="s">
        <v>687</v>
      </c>
      <c r="G151" s="237">
        <v>22</v>
      </c>
      <c r="H151" s="237">
        <v>3236.02108</v>
      </c>
      <c r="I151" s="237">
        <v>0.99958499999999995</v>
      </c>
      <c r="J151" s="237">
        <v>0.50959100000000002</v>
      </c>
      <c r="K151" s="237">
        <v>2365.1999999999998</v>
      </c>
      <c r="L151" s="237"/>
      <c r="M151" s="239">
        <f>(((2202.12-K$143)*1+(2202.12-K$152)*(7-1))/7)+K151</f>
        <v>2355.1771428571424</v>
      </c>
      <c r="N151" s="237" t="s">
        <v>20</v>
      </c>
      <c r="O151" s="227" t="s">
        <v>769</v>
      </c>
    </row>
    <row r="152" spans="1:15">
      <c r="A152" s="237" t="s">
        <v>676</v>
      </c>
      <c r="B152" s="237" t="s">
        <v>802</v>
      </c>
      <c r="C152" s="238">
        <v>45126.261805555558</v>
      </c>
      <c r="D152" s="237">
        <v>20</v>
      </c>
      <c r="E152" s="237">
        <v>9.28287E-2</v>
      </c>
      <c r="F152" s="237" t="s">
        <v>687</v>
      </c>
      <c r="G152" s="237">
        <v>22</v>
      </c>
      <c r="H152" s="237">
        <v>3215.7481200000002</v>
      </c>
      <c r="I152" s="237">
        <v>0.99967300000000003</v>
      </c>
      <c r="J152" s="237">
        <v>0.47656599999999999</v>
      </c>
      <c r="K152" s="237">
        <v>2212</v>
      </c>
      <c r="L152" s="237"/>
      <c r="M152" s="239">
        <f>(((2202.12-K$143)*0+(2202.12-K$152)*(7-0))/7)+K152</f>
        <v>2202.12</v>
      </c>
      <c r="N152" s="237" t="s">
        <v>20</v>
      </c>
      <c r="O152" s="227" t="s">
        <v>769</v>
      </c>
    </row>
    <row r="153" spans="1:15">
      <c r="A153" s="237" t="s">
        <v>803</v>
      </c>
      <c r="B153" s="237" t="s">
        <v>802</v>
      </c>
      <c r="C153" s="238">
        <v>45126.271527777775</v>
      </c>
      <c r="D153" s="237">
        <v>20</v>
      </c>
      <c r="E153" s="237">
        <v>9.28287E-2</v>
      </c>
      <c r="F153" s="237" t="s">
        <v>687</v>
      </c>
      <c r="G153" s="237">
        <v>22</v>
      </c>
      <c r="H153" s="237">
        <v>3127.6628799999999</v>
      </c>
      <c r="I153" s="237">
        <v>0.99960400000000005</v>
      </c>
      <c r="J153" s="237">
        <v>0.478937</v>
      </c>
      <c r="K153" s="237">
        <v>2223</v>
      </c>
      <c r="L153" s="237">
        <v>7.7824</v>
      </c>
      <c r="M153" s="232" t="s">
        <v>18</v>
      </c>
      <c r="N153" s="237" t="s">
        <v>20</v>
      </c>
      <c r="O153" s="227" t="s">
        <v>769</v>
      </c>
    </row>
    <row r="154" spans="1:15">
      <c r="A154" s="237" t="s">
        <v>804</v>
      </c>
      <c r="B154" s="237" t="s">
        <v>802</v>
      </c>
      <c r="C154" s="238">
        <v>45126.283333333333</v>
      </c>
      <c r="D154" s="237">
        <v>20</v>
      </c>
      <c r="E154" s="237">
        <v>9.28287E-2</v>
      </c>
      <c r="F154" s="237" t="s">
        <v>687</v>
      </c>
      <c r="G154" s="237">
        <v>22</v>
      </c>
      <c r="H154" s="237">
        <v>3204.50965</v>
      </c>
      <c r="I154" s="237">
        <v>0.99940700000000005</v>
      </c>
      <c r="J154" s="237">
        <v>0.47890199999999999</v>
      </c>
      <c r="K154" s="237">
        <v>2222.8000000000002</v>
      </c>
      <c r="L154" s="237">
        <v>0.1171</v>
      </c>
      <c r="M154" s="232" t="s">
        <v>18</v>
      </c>
      <c r="N154" s="237" t="s">
        <v>20</v>
      </c>
      <c r="O154" s="227" t="s">
        <v>769</v>
      </c>
    </row>
    <row r="155" spans="1:15">
      <c r="A155" s="237" t="s">
        <v>805</v>
      </c>
      <c r="B155" s="237" t="s">
        <v>802</v>
      </c>
      <c r="C155" s="238">
        <v>45126.296527777777</v>
      </c>
      <c r="D155" s="237">
        <v>20</v>
      </c>
      <c r="E155" s="237">
        <v>9.28287E-2</v>
      </c>
      <c r="F155" s="237" t="s">
        <v>687</v>
      </c>
      <c r="G155" s="237">
        <v>22</v>
      </c>
      <c r="H155" s="237">
        <v>0</v>
      </c>
      <c r="I155" s="237">
        <v>0</v>
      </c>
      <c r="J155" s="237">
        <v>0</v>
      </c>
      <c r="K155" s="237">
        <v>0</v>
      </c>
      <c r="L155" s="237" t="s">
        <v>662</v>
      </c>
      <c r="M155" s="232" t="s">
        <v>18</v>
      </c>
      <c r="N155" s="237" t="s">
        <v>20</v>
      </c>
      <c r="O155" s="227" t="s">
        <v>28</v>
      </c>
    </row>
    <row r="156" spans="1:15">
      <c r="A156" s="237" t="s">
        <v>806</v>
      </c>
      <c r="B156" s="237" t="s">
        <v>802</v>
      </c>
      <c r="C156" s="238">
        <v>45126.302777777775</v>
      </c>
      <c r="D156" s="237">
        <v>20</v>
      </c>
      <c r="E156" s="237">
        <v>9.28287E-2</v>
      </c>
      <c r="F156" s="237" t="s">
        <v>687</v>
      </c>
      <c r="G156" s="237">
        <v>22</v>
      </c>
      <c r="H156" s="237">
        <v>3195.3231099999998</v>
      </c>
      <c r="I156" s="237">
        <v>0.99957399999999996</v>
      </c>
      <c r="J156" s="237">
        <v>0.47858099999999998</v>
      </c>
      <c r="K156" s="237">
        <v>2221.3000000000002</v>
      </c>
      <c r="L156" s="237"/>
      <c r="M156" s="232" t="s">
        <v>18</v>
      </c>
      <c r="N156" s="237" t="s">
        <v>20</v>
      </c>
      <c r="O156" s="227" t="s">
        <v>28</v>
      </c>
    </row>
    <row r="157" spans="1:15">
      <c r="A157" s="237" t="s">
        <v>807</v>
      </c>
      <c r="B157" s="237" t="s">
        <v>802</v>
      </c>
      <c r="C157" s="238">
        <v>45126.311111111114</v>
      </c>
      <c r="D157" s="237">
        <v>20</v>
      </c>
      <c r="E157" s="237">
        <v>9.28287E-2</v>
      </c>
      <c r="F157" s="237" t="s">
        <v>687</v>
      </c>
      <c r="G157" s="237">
        <v>22</v>
      </c>
      <c r="H157" s="237">
        <v>3242.7190500000002</v>
      </c>
      <c r="I157" s="237">
        <v>0.99958999999999998</v>
      </c>
      <c r="J157" s="237">
        <v>0.47738599999999998</v>
      </c>
      <c r="K157" s="237">
        <v>2215.8000000000002</v>
      </c>
      <c r="L157" s="237">
        <v>3.9222000000000001</v>
      </c>
      <c r="M157" s="232" t="s">
        <v>18</v>
      </c>
      <c r="N157" s="237" t="s">
        <v>20</v>
      </c>
      <c r="O157" s="227" t="s">
        <v>28</v>
      </c>
    </row>
    <row r="158" spans="1:15">
      <c r="D158" s="227"/>
      <c r="E158" s="227"/>
      <c r="F158" s="227"/>
      <c r="G158" s="227"/>
      <c r="H158" s="227"/>
      <c r="I158" s="227"/>
      <c r="J158" s="227"/>
      <c r="K158" s="227"/>
      <c r="L158" s="227"/>
      <c r="M158" s="227"/>
      <c r="N158" s="227"/>
      <c r="O158" s="227"/>
    </row>
    <row r="159" spans="1:15"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</row>
    <row r="160" spans="1:15">
      <c r="D160" s="227"/>
      <c r="E160" s="227"/>
      <c r="F160" s="227"/>
      <c r="G160" s="227"/>
      <c r="H160" s="227"/>
      <c r="I160" s="227"/>
      <c r="J160" s="227"/>
      <c r="K160" s="227"/>
      <c r="L160" s="227"/>
      <c r="M160" s="227"/>
      <c r="N160" s="227"/>
      <c r="O160" s="227"/>
    </row>
    <row r="161" spans="4:15">
      <c r="D161" s="227"/>
      <c r="E161" s="227"/>
      <c r="F161" s="227"/>
      <c r="G161" s="227"/>
      <c r="H161" s="227"/>
      <c r="I161" s="227"/>
      <c r="J161" s="227"/>
      <c r="K161" s="227"/>
      <c r="L161" s="227"/>
      <c r="M161" s="227"/>
      <c r="N161" s="227"/>
      <c r="O161" s="227"/>
    </row>
    <row r="162" spans="4:15"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7"/>
      <c r="O162" s="227"/>
    </row>
    <row r="163" spans="4:15">
      <c r="D163" s="227"/>
      <c r="E163" s="227"/>
      <c r="F163" s="227"/>
      <c r="G163" s="227"/>
      <c r="H163" s="227"/>
      <c r="I163" s="227"/>
      <c r="J163" s="227"/>
      <c r="K163" s="227"/>
      <c r="L163" s="227"/>
      <c r="M163" s="227"/>
      <c r="N163" s="227"/>
      <c r="O163" s="227"/>
    </row>
    <row r="164" spans="4:15">
      <c r="D164" s="227"/>
      <c r="E164" s="227"/>
      <c r="F164" s="227"/>
      <c r="G164" s="227"/>
      <c r="H164" s="227"/>
      <c r="I164" s="227"/>
      <c r="J164" s="227"/>
      <c r="K164" s="227"/>
      <c r="L164" s="227"/>
      <c r="M164" s="227"/>
      <c r="N164" s="227"/>
      <c r="O164" s="227"/>
    </row>
    <row r="165" spans="4:15">
      <c r="D165" s="227"/>
      <c r="E165" s="227"/>
      <c r="F165" s="227"/>
      <c r="G165" s="227"/>
      <c r="H165" s="227"/>
      <c r="I165" s="227"/>
      <c r="J165" s="227"/>
      <c r="K165" s="227"/>
      <c r="L165" s="227"/>
      <c r="M165" s="227"/>
      <c r="N165" s="227"/>
      <c r="O165" s="227"/>
    </row>
    <row r="166" spans="4:15">
      <c r="D166" s="227"/>
      <c r="E166" s="227"/>
      <c r="F166" s="227"/>
      <c r="G166" s="227"/>
      <c r="H166" s="227"/>
      <c r="I166" s="227"/>
      <c r="J166" s="227"/>
      <c r="K166" s="227"/>
      <c r="L166" s="227"/>
      <c r="M166" s="227"/>
      <c r="N166" s="227"/>
      <c r="O166" s="227"/>
    </row>
    <row r="167" spans="4:15">
      <c r="D167" s="227"/>
      <c r="E167" s="227"/>
      <c r="F167" s="227"/>
      <c r="G167" s="227"/>
      <c r="H167" s="227"/>
      <c r="I167" s="227"/>
      <c r="J167" s="227"/>
      <c r="K167" s="227"/>
      <c r="L167" s="227"/>
      <c r="M167" s="227"/>
      <c r="N167" s="227"/>
      <c r="O167" s="227"/>
    </row>
    <row r="168" spans="4:15">
      <c r="D168" s="227"/>
      <c r="E168" s="227"/>
      <c r="F168" s="227"/>
      <c r="G168" s="227"/>
      <c r="H168" s="227"/>
      <c r="I168" s="227"/>
      <c r="J168" s="227"/>
      <c r="K168" s="227"/>
      <c r="L168" s="227"/>
      <c r="M168" s="227"/>
      <c r="N168" s="227"/>
      <c r="O168" s="227"/>
    </row>
    <row r="169" spans="4:15">
      <c r="D169" s="227"/>
      <c r="E169" s="227"/>
      <c r="F169" s="227"/>
      <c r="G169" s="227"/>
      <c r="H169" s="227"/>
      <c r="I169" s="227"/>
      <c r="J169" s="227"/>
      <c r="K169" s="227"/>
      <c r="L169" s="227"/>
      <c r="M169" s="227"/>
      <c r="N169" s="227"/>
      <c r="O169" s="227"/>
    </row>
    <row r="170" spans="4:15">
      <c r="D170" s="227"/>
      <c r="E170" s="227"/>
      <c r="F170" s="227"/>
      <c r="G170" s="227"/>
      <c r="H170" s="227"/>
      <c r="I170" s="227"/>
      <c r="J170" s="227"/>
      <c r="K170" s="227"/>
      <c r="L170" s="227"/>
      <c r="M170" s="227"/>
      <c r="N170" s="227"/>
      <c r="O170" s="227"/>
    </row>
    <row r="171" spans="4:15">
      <c r="D171" s="227"/>
      <c r="E171" s="227"/>
      <c r="F171" s="227"/>
      <c r="G171" s="227"/>
      <c r="H171" s="227"/>
      <c r="I171" s="227"/>
      <c r="J171" s="227"/>
      <c r="K171" s="227"/>
      <c r="L171" s="227"/>
      <c r="M171" s="227"/>
      <c r="N171" s="227"/>
      <c r="O171" s="227"/>
    </row>
    <row r="172" spans="4:15">
      <c r="D172" s="227"/>
      <c r="E172" s="227"/>
      <c r="F172" s="227"/>
      <c r="G172" s="227"/>
      <c r="H172" s="227"/>
      <c r="I172" s="227"/>
      <c r="J172" s="227"/>
      <c r="K172" s="227"/>
      <c r="L172" s="227"/>
      <c r="M172" s="227"/>
      <c r="N172" s="227"/>
      <c r="O172" s="227"/>
    </row>
    <row r="173" spans="4:15">
      <c r="D173" s="227"/>
      <c r="E173" s="227"/>
      <c r="F173" s="227"/>
      <c r="G173" s="227"/>
      <c r="H173" s="227"/>
      <c r="I173" s="227"/>
      <c r="J173" s="227"/>
      <c r="K173" s="227"/>
      <c r="L173" s="227"/>
      <c r="M173" s="227"/>
      <c r="N173" s="227"/>
      <c r="O173" s="227"/>
    </row>
    <row r="174" spans="4:15">
      <c r="D174" s="227"/>
      <c r="E174" s="227"/>
      <c r="F174" s="227"/>
      <c r="G174" s="227"/>
      <c r="H174" s="227"/>
      <c r="I174" s="227"/>
      <c r="J174" s="227"/>
      <c r="K174" s="227"/>
      <c r="L174" s="227"/>
      <c r="M174" s="227"/>
      <c r="N174" s="227"/>
      <c r="O174" s="227"/>
    </row>
    <row r="175" spans="4:15">
      <c r="D175" s="227"/>
      <c r="E175" s="227"/>
      <c r="F175" s="227"/>
      <c r="G175" s="227"/>
      <c r="H175" s="227"/>
      <c r="I175" s="227"/>
      <c r="J175" s="227"/>
      <c r="K175" s="227"/>
      <c r="L175" s="227"/>
      <c r="M175" s="227"/>
      <c r="N175" s="227"/>
      <c r="O175" s="227"/>
    </row>
    <row r="176" spans="4:15">
      <c r="D176" s="227"/>
      <c r="E176" s="227"/>
      <c r="F176" s="227"/>
      <c r="G176" s="227"/>
      <c r="H176" s="227"/>
      <c r="I176" s="227"/>
      <c r="J176" s="227"/>
      <c r="K176" s="227"/>
      <c r="L176" s="227"/>
      <c r="M176" s="227"/>
      <c r="N176" s="227"/>
      <c r="O176" s="227"/>
    </row>
    <row r="177" spans="4:15">
      <c r="D177" s="227"/>
      <c r="E177" s="227"/>
      <c r="F177" s="227"/>
      <c r="G177" s="227"/>
      <c r="H177" s="227"/>
      <c r="I177" s="227"/>
      <c r="J177" s="227"/>
      <c r="K177" s="227"/>
      <c r="L177" s="227"/>
      <c r="M177" s="227"/>
      <c r="N177" s="227"/>
      <c r="O177" s="227"/>
    </row>
    <row r="178" spans="4:15">
      <c r="D178" s="227"/>
      <c r="E178" s="227"/>
      <c r="F178" s="227"/>
      <c r="G178" s="227"/>
      <c r="H178" s="227"/>
      <c r="I178" s="227"/>
      <c r="J178" s="227"/>
      <c r="K178" s="227"/>
      <c r="L178" s="227"/>
      <c r="M178" s="227"/>
      <c r="N178" s="227"/>
      <c r="O178" s="227"/>
    </row>
    <row r="179" spans="4:15">
      <c r="D179" s="227"/>
      <c r="E179" s="227"/>
      <c r="F179" s="227"/>
      <c r="G179" s="227"/>
      <c r="H179" s="227"/>
      <c r="I179" s="227"/>
      <c r="J179" s="227"/>
      <c r="K179" s="227"/>
      <c r="L179" s="227"/>
      <c r="M179" s="227"/>
      <c r="N179" s="227"/>
      <c r="O179" s="227"/>
    </row>
    <row r="180" spans="4:15">
      <c r="D180" s="227"/>
      <c r="E180" s="227"/>
      <c r="F180" s="227"/>
      <c r="G180" s="227"/>
      <c r="H180" s="227"/>
      <c r="I180" s="227"/>
      <c r="J180" s="227"/>
      <c r="K180" s="227"/>
      <c r="L180" s="227"/>
      <c r="M180" s="227"/>
      <c r="N180" s="227"/>
      <c r="O180" s="227"/>
    </row>
    <row r="181" spans="4:15">
      <c r="D181" s="227"/>
      <c r="E181" s="227"/>
      <c r="F181" s="227"/>
      <c r="G181" s="227"/>
      <c r="H181" s="227"/>
      <c r="I181" s="227"/>
      <c r="J181" s="227"/>
      <c r="K181" s="227"/>
      <c r="L181" s="227"/>
      <c r="M181" s="227"/>
      <c r="N181" s="227"/>
      <c r="O181" s="227"/>
    </row>
    <row r="182" spans="4:15">
      <c r="D182" s="227"/>
      <c r="E182" s="227"/>
      <c r="F182" s="227"/>
      <c r="G182" s="227"/>
      <c r="H182" s="227"/>
      <c r="I182" s="227"/>
      <c r="J182" s="227"/>
      <c r="K182" s="227"/>
      <c r="L182" s="227"/>
      <c r="M182" s="227"/>
      <c r="N182" s="227"/>
      <c r="O182" s="227"/>
    </row>
    <row r="183" spans="4:15">
      <c r="D183" s="227"/>
      <c r="E183" s="227"/>
      <c r="F183" s="227"/>
      <c r="G183" s="227"/>
      <c r="H183" s="227"/>
      <c r="I183" s="227"/>
      <c r="J183" s="227"/>
      <c r="K183" s="227"/>
      <c r="L183" s="227"/>
      <c r="M183" s="227"/>
      <c r="N183" s="227"/>
      <c r="O183" s="227"/>
    </row>
    <row r="184" spans="4:15">
      <c r="D184" s="227"/>
      <c r="E184" s="227"/>
      <c r="F184" s="227"/>
      <c r="G184" s="227"/>
      <c r="H184" s="227"/>
      <c r="I184" s="227"/>
      <c r="J184" s="227"/>
      <c r="K184" s="227"/>
      <c r="L184" s="227"/>
      <c r="M184" s="227"/>
      <c r="N184" s="227"/>
      <c r="O184" s="227"/>
    </row>
    <row r="185" spans="4:15">
      <c r="D185" s="227"/>
      <c r="E185" s="227"/>
      <c r="F185" s="227"/>
      <c r="G185" s="227"/>
      <c r="H185" s="227"/>
      <c r="I185" s="227"/>
      <c r="J185" s="227"/>
      <c r="K185" s="227"/>
      <c r="L185" s="227"/>
      <c r="M185" s="227"/>
      <c r="N185" s="227"/>
      <c r="O185" s="227"/>
    </row>
    <row r="186" spans="4:15">
      <c r="D186" s="227"/>
      <c r="E186" s="227"/>
      <c r="F186" s="227"/>
      <c r="G186" s="227"/>
      <c r="H186" s="227"/>
      <c r="I186" s="227"/>
      <c r="J186" s="227"/>
      <c r="K186" s="227"/>
      <c r="L186" s="227"/>
      <c r="M186" s="227"/>
      <c r="N186" s="227"/>
      <c r="O186" s="227"/>
    </row>
    <row r="187" spans="4:15">
      <c r="D187" s="227"/>
      <c r="E187" s="227"/>
      <c r="F187" s="227"/>
      <c r="G187" s="227"/>
      <c r="H187" s="227"/>
      <c r="I187" s="227"/>
      <c r="J187" s="227"/>
      <c r="K187" s="227"/>
      <c r="L187" s="227"/>
      <c r="M187" s="227"/>
      <c r="N187" s="227"/>
      <c r="O187" s="227"/>
    </row>
    <row r="188" spans="4:15">
      <c r="D188" s="227"/>
      <c r="E188" s="227"/>
      <c r="F188" s="227"/>
      <c r="G188" s="227"/>
      <c r="H188" s="227"/>
      <c r="I188" s="227"/>
      <c r="J188" s="227"/>
      <c r="K188" s="227"/>
      <c r="L188" s="227"/>
      <c r="M188" s="227"/>
      <c r="N188" s="227"/>
      <c r="O188" s="227"/>
    </row>
    <row r="189" spans="4:15">
      <c r="D189" s="227"/>
      <c r="E189" s="227"/>
      <c r="F189" s="227"/>
      <c r="G189" s="227"/>
      <c r="H189" s="227"/>
      <c r="I189" s="227"/>
      <c r="J189" s="227"/>
      <c r="K189" s="227"/>
      <c r="L189" s="227"/>
      <c r="M189" s="227"/>
      <c r="N189" s="227"/>
      <c r="O189" s="227"/>
    </row>
    <row r="190" spans="4:15">
      <c r="D190" s="227"/>
      <c r="E190" s="227"/>
      <c r="F190" s="227"/>
      <c r="G190" s="227"/>
      <c r="H190" s="227"/>
      <c r="I190" s="227"/>
      <c r="J190" s="227"/>
      <c r="K190" s="227"/>
      <c r="L190" s="227"/>
      <c r="M190" s="227"/>
      <c r="N190" s="227"/>
      <c r="O190" s="227"/>
    </row>
    <row r="191" spans="4:15">
      <c r="D191" s="227"/>
      <c r="E191" s="227"/>
      <c r="F191" s="227"/>
      <c r="G191" s="227"/>
      <c r="H191" s="227"/>
      <c r="I191" s="227"/>
      <c r="J191" s="227"/>
      <c r="K191" s="227"/>
      <c r="L191" s="227"/>
      <c r="M191" s="227"/>
      <c r="N191" s="227"/>
      <c r="O191" s="227"/>
    </row>
    <row r="192" spans="4:15">
      <c r="D192" s="227"/>
      <c r="E192" s="227"/>
      <c r="F192" s="227"/>
      <c r="G192" s="227"/>
      <c r="H192" s="227"/>
      <c r="I192" s="227"/>
      <c r="J192" s="227"/>
      <c r="K192" s="227"/>
      <c r="L192" s="227"/>
      <c r="M192" s="227"/>
      <c r="N192" s="227"/>
      <c r="O192" s="227"/>
    </row>
    <row r="193" spans="4:15">
      <c r="D193" s="227"/>
      <c r="E193" s="227"/>
      <c r="F193" s="227"/>
      <c r="G193" s="227"/>
      <c r="H193" s="227"/>
      <c r="I193" s="227"/>
      <c r="J193" s="227"/>
      <c r="K193" s="227"/>
      <c r="L193" s="227"/>
      <c r="M193" s="227"/>
      <c r="N193" s="227"/>
      <c r="O193" s="227"/>
    </row>
    <row r="194" spans="4:15">
      <c r="D194" s="227"/>
      <c r="E194" s="227"/>
      <c r="F194" s="227"/>
      <c r="G194" s="227"/>
      <c r="H194" s="227"/>
      <c r="I194" s="227"/>
      <c r="J194" s="227"/>
      <c r="K194" s="227"/>
      <c r="L194" s="227"/>
      <c r="M194" s="227"/>
      <c r="N194" s="227"/>
      <c r="O194" s="227"/>
    </row>
    <row r="195" spans="4:15">
      <c r="D195" s="227"/>
      <c r="E195" s="227"/>
      <c r="F195" s="227"/>
      <c r="G195" s="227"/>
      <c r="H195" s="227"/>
      <c r="I195" s="227"/>
      <c r="J195" s="227"/>
      <c r="K195" s="227"/>
      <c r="L195" s="227"/>
      <c r="M195" s="227"/>
      <c r="N195" s="227"/>
      <c r="O195" s="227"/>
    </row>
    <row r="196" spans="4:15">
      <c r="D196" s="227"/>
      <c r="E196" s="227"/>
      <c r="F196" s="227"/>
      <c r="G196" s="227"/>
      <c r="H196" s="227"/>
      <c r="I196" s="227"/>
      <c r="J196" s="227"/>
      <c r="K196" s="227"/>
      <c r="L196" s="227"/>
      <c r="M196" s="227"/>
      <c r="N196" s="227"/>
      <c r="O196" s="227"/>
    </row>
    <row r="197" spans="4:15">
      <c r="D197" s="227"/>
      <c r="E197" s="227"/>
      <c r="F197" s="227"/>
      <c r="G197" s="227"/>
      <c r="H197" s="227"/>
      <c r="I197" s="227"/>
      <c r="J197" s="227"/>
      <c r="K197" s="227"/>
      <c r="L197" s="227"/>
      <c r="M197" s="227"/>
      <c r="N197" s="227"/>
      <c r="O197" s="227"/>
    </row>
    <row r="198" spans="4:15">
      <c r="D198" s="227"/>
      <c r="E198" s="227"/>
      <c r="F198" s="227"/>
      <c r="G198" s="227"/>
      <c r="H198" s="227"/>
      <c r="I198" s="227"/>
      <c r="J198" s="227"/>
      <c r="K198" s="227"/>
      <c r="L198" s="227"/>
      <c r="M198" s="227"/>
      <c r="N198" s="227"/>
      <c r="O198" s="227"/>
    </row>
    <row r="199" spans="4:15">
      <c r="D199" s="227"/>
      <c r="E199" s="227"/>
      <c r="F199" s="227"/>
      <c r="G199" s="227"/>
      <c r="H199" s="227"/>
      <c r="I199" s="227"/>
      <c r="J199" s="227"/>
      <c r="K199" s="227"/>
      <c r="L199" s="227"/>
      <c r="M199" s="227"/>
      <c r="N199" s="227"/>
      <c r="O199" s="227"/>
    </row>
    <row r="200" spans="4:15">
      <c r="D200" s="227"/>
      <c r="E200" s="227"/>
      <c r="F200" s="227"/>
      <c r="G200" s="227"/>
      <c r="H200" s="227"/>
      <c r="I200" s="227"/>
      <c r="J200" s="227"/>
      <c r="K200" s="227"/>
      <c r="L200" s="227"/>
      <c r="M200" s="227"/>
      <c r="N200" s="227"/>
      <c r="O200" s="227"/>
    </row>
    <row r="201" spans="4:15">
      <c r="D201" s="227"/>
      <c r="E201" s="227"/>
      <c r="F201" s="227"/>
      <c r="G201" s="227"/>
      <c r="H201" s="227"/>
      <c r="I201" s="227"/>
      <c r="J201" s="227"/>
      <c r="K201" s="227"/>
      <c r="L201" s="227"/>
      <c r="M201" s="227"/>
      <c r="N201" s="227"/>
      <c r="O201" s="227"/>
    </row>
    <row r="202" spans="4:15">
      <c r="D202" s="227"/>
      <c r="E202" s="227"/>
      <c r="F202" s="227"/>
      <c r="G202" s="227"/>
      <c r="H202" s="227"/>
      <c r="I202" s="227"/>
      <c r="J202" s="227"/>
      <c r="K202" s="227"/>
      <c r="L202" s="227"/>
      <c r="M202" s="227"/>
      <c r="N202" s="227"/>
      <c r="O202" s="227"/>
    </row>
    <row r="203" spans="4:15">
      <c r="D203" s="227"/>
      <c r="E203" s="227"/>
      <c r="F203" s="227"/>
      <c r="G203" s="227"/>
      <c r="H203" s="227"/>
      <c r="I203" s="227"/>
      <c r="J203" s="227"/>
      <c r="K203" s="227"/>
      <c r="L203" s="227"/>
      <c r="M203" s="227"/>
      <c r="N203" s="227"/>
      <c r="O203" s="227"/>
    </row>
    <row r="204" spans="4:15">
      <c r="D204" s="227"/>
      <c r="E204" s="227"/>
      <c r="F204" s="227"/>
      <c r="G204" s="227"/>
      <c r="H204" s="227"/>
      <c r="I204" s="227"/>
      <c r="J204" s="227"/>
      <c r="K204" s="227"/>
      <c r="L204" s="227"/>
      <c r="M204" s="227"/>
      <c r="N204" s="227"/>
      <c r="O204" s="227"/>
    </row>
    <row r="205" spans="4:15">
      <c r="D205" s="227"/>
      <c r="E205" s="227"/>
      <c r="F205" s="227"/>
      <c r="G205" s="227"/>
      <c r="H205" s="227"/>
      <c r="I205" s="227"/>
      <c r="J205" s="227"/>
      <c r="K205" s="227"/>
      <c r="L205" s="227"/>
      <c r="M205" s="227"/>
      <c r="N205" s="227"/>
      <c r="O205" s="227"/>
    </row>
    <row r="206" spans="4:15">
      <c r="D206" s="227"/>
      <c r="E206" s="227"/>
      <c r="F206" s="227"/>
      <c r="G206" s="227"/>
      <c r="H206" s="227"/>
      <c r="I206" s="227"/>
      <c r="J206" s="227"/>
      <c r="K206" s="227"/>
      <c r="L206" s="227"/>
      <c r="M206" s="227"/>
      <c r="N206" s="227"/>
      <c r="O206" s="227"/>
    </row>
    <row r="207" spans="4:15">
      <c r="D207" s="227"/>
      <c r="E207" s="227"/>
      <c r="F207" s="227"/>
      <c r="G207" s="227"/>
      <c r="H207" s="227"/>
      <c r="I207" s="227"/>
      <c r="J207" s="227"/>
      <c r="K207" s="227"/>
      <c r="L207" s="227"/>
      <c r="M207" s="227"/>
      <c r="N207" s="227"/>
      <c r="O207" s="227"/>
    </row>
    <row r="208" spans="4:15">
      <c r="D208" s="227"/>
      <c r="E208" s="227"/>
      <c r="F208" s="227"/>
      <c r="G208" s="227"/>
      <c r="H208" s="227"/>
      <c r="I208" s="227"/>
      <c r="J208" s="227"/>
      <c r="K208" s="227"/>
      <c r="L208" s="227"/>
      <c r="M208" s="227"/>
      <c r="N208" s="227"/>
      <c r="O208" s="227"/>
    </row>
    <row r="209" spans="4:15">
      <c r="D209" s="227"/>
      <c r="E209" s="227"/>
      <c r="F209" s="227"/>
      <c r="G209" s="227"/>
      <c r="H209" s="227"/>
      <c r="I209" s="227"/>
      <c r="J209" s="227"/>
      <c r="K209" s="227"/>
      <c r="L209" s="227"/>
      <c r="M209" s="227"/>
      <c r="N209" s="227"/>
      <c r="O209" s="227"/>
    </row>
    <row r="210" spans="4:15">
      <c r="D210" s="227"/>
      <c r="E210" s="227"/>
      <c r="F210" s="227"/>
      <c r="G210" s="227"/>
      <c r="H210" s="227"/>
      <c r="I210" s="227"/>
      <c r="J210" s="227"/>
      <c r="K210" s="227"/>
      <c r="L210" s="227"/>
      <c r="M210" s="227"/>
      <c r="N210" s="227"/>
      <c r="O210" s="227"/>
    </row>
    <row r="211" spans="4:15">
      <c r="D211" s="227"/>
      <c r="E211" s="227"/>
      <c r="F211" s="227"/>
      <c r="G211" s="227"/>
      <c r="H211" s="227"/>
      <c r="I211" s="227"/>
      <c r="J211" s="227"/>
      <c r="K211" s="227"/>
      <c r="L211" s="227"/>
      <c r="M211" s="227"/>
      <c r="N211" s="227"/>
      <c r="O211" s="227"/>
    </row>
    <row r="212" spans="4:15">
      <c r="D212" s="227"/>
      <c r="E212" s="227"/>
      <c r="F212" s="227"/>
      <c r="G212" s="227"/>
      <c r="H212" s="227"/>
      <c r="I212" s="227"/>
      <c r="J212" s="227"/>
      <c r="K212" s="227"/>
      <c r="L212" s="227"/>
      <c r="M212" s="227"/>
      <c r="N212" s="227"/>
      <c r="O212" s="227"/>
    </row>
    <row r="213" spans="4:15">
      <c r="D213" s="227"/>
      <c r="E213" s="227"/>
      <c r="F213" s="227"/>
      <c r="G213" s="227"/>
      <c r="H213" s="227"/>
      <c r="I213" s="227"/>
      <c r="J213" s="227"/>
      <c r="K213" s="227"/>
      <c r="L213" s="227"/>
      <c r="M213" s="227"/>
      <c r="N213" s="227"/>
      <c r="O213" s="227"/>
    </row>
    <row r="214" spans="4:15">
      <c r="D214" s="227"/>
      <c r="E214" s="227"/>
      <c r="F214" s="227"/>
      <c r="G214" s="227"/>
      <c r="H214" s="227"/>
      <c r="I214" s="227"/>
      <c r="J214" s="227"/>
      <c r="K214" s="227"/>
      <c r="L214" s="227"/>
      <c r="M214" s="227"/>
      <c r="N214" s="227"/>
      <c r="O214" s="227"/>
    </row>
    <row r="215" spans="4:15"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7"/>
      <c r="O215" s="227"/>
    </row>
    <row r="216" spans="4:15">
      <c r="D216" s="227"/>
      <c r="E216" s="227"/>
      <c r="F216" s="227"/>
      <c r="G216" s="227"/>
      <c r="H216" s="227"/>
      <c r="I216" s="227"/>
      <c r="J216" s="227"/>
      <c r="K216" s="227"/>
      <c r="L216" s="227"/>
      <c r="M216" s="227"/>
      <c r="N216" s="227"/>
      <c r="O216" s="227"/>
    </row>
    <row r="217" spans="4:15">
      <c r="D217" s="227"/>
      <c r="E217" s="227"/>
      <c r="F217" s="227"/>
      <c r="G217" s="227"/>
      <c r="H217" s="227"/>
      <c r="I217" s="227"/>
      <c r="J217" s="227"/>
      <c r="K217" s="227"/>
      <c r="L217" s="227"/>
      <c r="M217" s="227"/>
      <c r="N217" s="227"/>
      <c r="O217" s="227"/>
    </row>
    <row r="218" spans="4:15">
      <c r="D218" s="227"/>
      <c r="E218" s="227"/>
      <c r="F218" s="227"/>
      <c r="G218" s="227"/>
      <c r="H218" s="227"/>
      <c r="I218" s="227"/>
      <c r="J218" s="227"/>
      <c r="K218" s="227"/>
      <c r="L218" s="227"/>
      <c r="M218" s="227"/>
      <c r="N218" s="227"/>
      <c r="O218" s="227"/>
    </row>
    <row r="219" spans="4:15">
      <c r="D219" s="227"/>
      <c r="E219" s="227"/>
      <c r="F219" s="227"/>
      <c r="G219" s="227"/>
      <c r="H219" s="227"/>
      <c r="I219" s="227"/>
      <c r="J219" s="227"/>
      <c r="K219" s="227"/>
      <c r="L219" s="227"/>
      <c r="M219" s="227"/>
      <c r="N219" s="227"/>
      <c r="O219" s="227"/>
    </row>
    <row r="220" spans="4:15">
      <c r="D220" s="227"/>
      <c r="E220" s="227"/>
      <c r="F220" s="227"/>
      <c r="G220" s="227"/>
      <c r="H220" s="227"/>
      <c r="I220" s="227"/>
      <c r="J220" s="227"/>
      <c r="K220" s="227"/>
      <c r="L220" s="227"/>
      <c r="M220" s="227"/>
      <c r="N220" s="227"/>
      <c r="O220" s="227"/>
    </row>
    <row r="221" spans="4:15">
      <c r="D221" s="227"/>
      <c r="E221" s="227"/>
      <c r="F221" s="227"/>
      <c r="G221" s="227"/>
      <c r="H221" s="227"/>
      <c r="I221" s="227"/>
      <c r="J221" s="227"/>
      <c r="K221" s="227"/>
      <c r="L221" s="227"/>
      <c r="M221" s="227"/>
      <c r="N221" s="227"/>
      <c r="O221" s="227"/>
    </row>
    <row r="222" spans="4:15">
      <c r="D222" s="227"/>
      <c r="E222" s="227"/>
      <c r="F222" s="227"/>
      <c r="G222" s="227"/>
      <c r="H222" s="227"/>
      <c r="I222" s="227"/>
      <c r="J222" s="227"/>
      <c r="K222" s="227"/>
      <c r="L222" s="227"/>
      <c r="M222" s="227"/>
      <c r="N222" s="227"/>
      <c r="O222" s="227"/>
    </row>
    <row r="223" spans="4:15">
      <c r="D223" s="227"/>
      <c r="E223" s="227"/>
      <c r="F223" s="227"/>
      <c r="G223" s="227"/>
      <c r="H223" s="227"/>
      <c r="I223" s="227"/>
      <c r="J223" s="227"/>
      <c r="K223" s="227"/>
      <c r="L223" s="227"/>
      <c r="M223" s="227"/>
      <c r="N223" s="227"/>
      <c r="O223" s="227"/>
    </row>
    <row r="224" spans="4:15">
      <c r="D224" s="227"/>
      <c r="E224" s="227"/>
      <c r="F224" s="227"/>
      <c r="G224" s="227"/>
      <c r="H224" s="227"/>
      <c r="I224" s="227"/>
      <c r="J224" s="227"/>
      <c r="K224" s="227"/>
      <c r="L224" s="227"/>
      <c r="M224" s="227"/>
      <c r="N224" s="227"/>
      <c r="O224" s="227"/>
    </row>
    <row r="225" spans="4:15">
      <c r="D225" s="227"/>
      <c r="E225" s="227"/>
      <c r="F225" s="227"/>
      <c r="G225" s="227"/>
      <c r="H225" s="227"/>
      <c r="I225" s="227"/>
      <c r="J225" s="227"/>
      <c r="K225" s="227"/>
      <c r="L225" s="227"/>
      <c r="M225" s="227"/>
      <c r="N225" s="227"/>
      <c r="O225" s="227"/>
    </row>
    <row r="226" spans="4:15">
      <c r="D226" s="227"/>
      <c r="E226" s="227"/>
      <c r="F226" s="227"/>
      <c r="G226" s="227"/>
      <c r="H226" s="227"/>
      <c r="I226" s="227"/>
      <c r="J226" s="227"/>
      <c r="K226" s="227"/>
      <c r="L226" s="227"/>
      <c r="M226" s="227"/>
      <c r="N226" s="227"/>
      <c r="O226" s="227"/>
    </row>
    <row r="227" spans="4:15">
      <c r="D227" s="227"/>
      <c r="E227" s="227"/>
      <c r="F227" s="227"/>
      <c r="G227" s="227"/>
      <c r="H227" s="227"/>
      <c r="I227" s="227"/>
      <c r="J227" s="227"/>
      <c r="K227" s="227"/>
      <c r="L227" s="227"/>
      <c r="M227" s="227"/>
      <c r="N227" s="227"/>
      <c r="O227" s="227"/>
    </row>
    <row r="228" spans="4:15">
      <c r="D228" s="227"/>
      <c r="E228" s="227"/>
      <c r="F228" s="227"/>
      <c r="G228" s="227"/>
      <c r="H228" s="227"/>
      <c r="I228" s="227"/>
      <c r="J228" s="227"/>
      <c r="K228" s="227"/>
      <c r="L228" s="227"/>
      <c r="M228" s="227"/>
      <c r="N228" s="227"/>
      <c r="O228" s="227"/>
    </row>
    <row r="229" spans="4:15">
      <c r="D229" s="227"/>
      <c r="E229" s="227"/>
      <c r="F229" s="227"/>
      <c r="G229" s="227"/>
      <c r="H229" s="227"/>
      <c r="I229" s="227"/>
      <c r="J229" s="227"/>
      <c r="K229" s="227"/>
      <c r="L229" s="227"/>
      <c r="M229" s="227"/>
      <c r="N229" s="227"/>
      <c r="O229" s="227"/>
    </row>
    <row r="230" spans="4:15">
      <c r="D230" s="227"/>
      <c r="E230" s="227"/>
      <c r="F230" s="227"/>
      <c r="G230" s="227"/>
      <c r="H230" s="227"/>
      <c r="I230" s="227"/>
      <c r="J230" s="227"/>
      <c r="K230" s="227"/>
      <c r="L230" s="227"/>
      <c r="M230" s="227"/>
      <c r="N230" s="227"/>
      <c r="O230" s="227"/>
    </row>
    <row r="231" spans="4:15">
      <c r="D231" s="227"/>
      <c r="E231" s="227"/>
      <c r="F231" s="227"/>
      <c r="G231" s="227"/>
      <c r="H231" s="227"/>
      <c r="I231" s="227"/>
      <c r="J231" s="227"/>
      <c r="K231" s="227"/>
      <c r="L231" s="227"/>
      <c r="M231" s="227"/>
      <c r="N231" s="227"/>
      <c r="O231" s="227"/>
    </row>
    <row r="232" spans="4:15">
      <c r="D232" s="227"/>
      <c r="E232" s="227"/>
      <c r="F232" s="227"/>
      <c r="G232" s="227"/>
      <c r="H232" s="227"/>
      <c r="I232" s="227"/>
      <c r="J232" s="227"/>
      <c r="K232" s="227"/>
      <c r="L232" s="227"/>
      <c r="M232" s="227"/>
      <c r="N232" s="227"/>
      <c r="O232" s="227"/>
    </row>
    <row r="233" spans="4:15">
      <c r="D233" s="227"/>
      <c r="E233" s="227"/>
      <c r="F233" s="227"/>
      <c r="G233" s="227"/>
      <c r="H233" s="227"/>
      <c r="I233" s="227"/>
      <c r="J233" s="227"/>
      <c r="K233" s="227"/>
      <c r="L233" s="227"/>
      <c r="M233" s="227"/>
      <c r="N233" s="227"/>
      <c r="O233" s="227"/>
    </row>
    <row r="234" spans="4:15">
      <c r="D234" s="227"/>
      <c r="E234" s="227"/>
      <c r="F234" s="227"/>
      <c r="G234" s="227"/>
      <c r="H234" s="227"/>
      <c r="I234" s="227"/>
      <c r="J234" s="227"/>
      <c r="K234" s="227"/>
      <c r="L234" s="227"/>
      <c r="M234" s="227"/>
      <c r="N234" s="227"/>
      <c r="O234" s="227"/>
    </row>
    <row r="235" spans="4:15">
      <c r="D235" s="227"/>
      <c r="E235" s="227"/>
      <c r="F235" s="227"/>
      <c r="G235" s="227"/>
      <c r="H235" s="227"/>
      <c r="I235" s="227"/>
      <c r="J235" s="227"/>
      <c r="K235" s="227"/>
      <c r="L235" s="227"/>
      <c r="M235" s="227"/>
      <c r="N235" s="227"/>
      <c r="O235" s="227"/>
    </row>
    <row r="236" spans="4:15">
      <c r="D236" s="227"/>
      <c r="E236" s="227"/>
      <c r="F236" s="227"/>
      <c r="G236" s="227"/>
      <c r="H236" s="227"/>
      <c r="I236" s="227"/>
      <c r="J236" s="227"/>
      <c r="K236" s="227"/>
      <c r="L236" s="227"/>
      <c r="M236" s="227"/>
      <c r="N236" s="227"/>
      <c r="O236" s="227"/>
    </row>
    <row r="237" spans="4:15">
      <c r="D237" s="227"/>
      <c r="E237" s="227"/>
      <c r="F237" s="227"/>
      <c r="G237" s="227"/>
      <c r="H237" s="227"/>
      <c r="I237" s="227"/>
      <c r="J237" s="227"/>
      <c r="K237" s="227"/>
      <c r="L237" s="227"/>
      <c r="M237" s="227"/>
      <c r="N237" s="227"/>
      <c r="O237" s="227"/>
    </row>
    <row r="238" spans="4:15">
      <c r="D238" s="227"/>
      <c r="E238" s="227"/>
      <c r="F238" s="227"/>
      <c r="G238" s="227"/>
      <c r="H238" s="227"/>
      <c r="I238" s="227"/>
      <c r="J238" s="227"/>
      <c r="K238" s="227"/>
      <c r="L238" s="227"/>
      <c r="M238" s="227"/>
      <c r="N238" s="227"/>
      <c r="O238" s="227"/>
    </row>
    <row r="239" spans="4:15">
      <c r="D239" s="227"/>
      <c r="E239" s="227"/>
      <c r="F239" s="227"/>
      <c r="G239" s="227"/>
      <c r="H239" s="227"/>
      <c r="I239" s="227"/>
      <c r="J239" s="227"/>
      <c r="K239" s="227"/>
      <c r="L239" s="227"/>
      <c r="M239" s="227"/>
      <c r="N239" s="227"/>
      <c r="O239" s="227"/>
    </row>
    <row r="240" spans="4:15">
      <c r="D240" s="227"/>
      <c r="E240" s="227"/>
      <c r="F240" s="227"/>
      <c r="G240" s="227"/>
      <c r="H240" s="227"/>
      <c r="I240" s="227"/>
      <c r="J240" s="227"/>
      <c r="K240" s="227"/>
      <c r="L240" s="227"/>
      <c r="M240" s="227"/>
      <c r="N240" s="227"/>
      <c r="O240" s="227"/>
    </row>
    <row r="241" spans="4:15">
      <c r="D241" s="227"/>
      <c r="E241" s="227"/>
      <c r="F241" s="227"/>
      <c r="G241" s="227"/>
      <c r="H241" s="227"/>
      <c r="I241" s="227"/>
      <c r="J241" s="227"/>
      <c r="K241" s="227"/>
      <c r="L241" s="227"/>
      <c r="M241" s="227"/>
      <c r="N241" s="227"/>
      <c r="O241" s="227"/>
    </row>
    <row r="242" spans="4:15">
      <c r="D242" s="227"/>
      <c r="E242" s="227"/>
      <c r="F242" s="227"/>
      <c r="G242" s="227"/>
      <c r="H242" s="227"/>
      <c r="I242" s="227"/>
      <c r="J242" s="227"/>
      <c r="K242" s="227"/>
      <c r="L242" s="227"/>
      <c r="M242" s="227"/>
      <c r="N242" s="227"/>
      <c r="O242" s="227"/>
    </row>
    <row r="243" spans="4:15">
      <c r="D243" s="227"/>
      <c r="E243" s="227"/>
      <c r="F243" s="227"/>
      <c r="G243" s="227"/>
      <c r="H243" s="227"/>
      <c r="I243" s="227"/>
      <c r="J243" s="227"/>
      <c r="K243" s="227"/>
      <c r="L243" s="227"/>
      <c r="M243" s="227"/>
      <c r="N243" s="227"/>
      <c r="O243" s="227"/>
    </row>
    <row r="244" spans="4:15">
      <c r="D244" s="227"/>
      <c r="E244" s="227"/>
      <c r="F244" s="227"/>
      <c r="G244" s="227"/>
      <c r="H244" s="227"/>
      <c r="I244" s="227"/>
      <c r="J244" s="227"/>
      <c r="K244" s="227"/>
      <c r="L244" s="227"/>
      <c r="M244" s="227"/>
      <c r="N244" s="227"/>
      <c r="O244" s="227"/>
    </row>
    <row r="245" spans="4:15">
      <c r="D245" s="227"/>
      <c r="E245" s="227"/>
      <c r="F245" s="227"/>
      <c r="G245" s="227"/>
      <c r="H245" s="227"/>
      <c r="I245" s="227"/>
      <c r="J245" s="227"/>
      <c r="K245" s="227"/>
      <c r="L245" s="227"/>
      <c r="M245" s="227"/>
      <c r="N245" s="227"/>
      <c r="O245" s="227"/>
    </row>
    <row r="246" spans="4:15">
      <c r="D246" s="227"/>
      <c r="E246" s="227"/>
      <c r="F246" s="227"/>
      <c r="G246" s="227"/>
      <c r="H246" s="227"/>
      <c r="I246" s="227"/>
      <c r="J246" s="227"/>
      <c r="K246" s="227"/>
      <c r="L246" s="227"/>
      <c r="M246" s="227"/>
      <c r="N246" s="227"/>
      <c r="O246" s="227"/>
    </row>
    <row r="247" spans="4:15">
      <c r="D247" s="227"/>
      <c r="E247" s="227"/>
      <c r="F247" s="227"/>
      <c r="G247" s="227"/>
      <c r="H247" s="227"/>
      <c r="I247" s="227"/>
      <c r="J247" s="227"/>
      <c r="K247" s="227"/>
      <c r="L247" s="227"/>
      <c r="M247" s="227"/>
      <c r="N247" s="227"/>
      <c r="O247" s="227"/>
    </row>
    <row r="248" spans="4:15">
      <c r="D248" s="227"/>
      <c r="E248" s="227"/>
      <c r="F248" s="227"/>
      <c r="G248" s="227"/>
      <c r="H248" s="227"/>
      <c r="I248" s="227"/>
      <c r="J248" s="227"/>
      <c r="K248" s="227"/>
      <c r="L248" s="227"/>
      <c r="M248" s="227"/>
      <c r="N248" s="227"/>
      <c r="O248" s="227"/>
    </row>
    <row r="249" spans="4:15">
      <c r="D249" s="227"/>
      <c r="E249" s="227"/>
      <c r="F249" s="227"/>
      <c r="G249" s="227"/>
      <c r="H249" s="227"/>
      <c r="I249" s="227"/>
      <c r="J249" s="227"/>
      <c r="K249" s="227"/>
      <c r="L249" s="227"/>
      <c r="M249" s="227"/>
      <c r="N249" s="227"/>
      <c r="O249" s="227"/>
    </row>
    <row r="250" spans="4:15">
      <c r="D250" s="227"/>
      <c r="E250" s="227"/>
      <c r="F250" s="227"/>
      <c r="G250" s="227"/>
      <c r="H250" s="227"/>
      <c r="I250" s="227"/>
      <c r="J250" s="227"/>
      <c r="K250" s="227"/>
      <c r="L250" s="227"/>
      <c r="M250" s="227"/>
      <c r="N250" s="227"/>
      <c r="O250" s="227"/>
    </row>
    <row r="251" spans="4:15">
      <c r="D251" s="227"/>
      <c r="E251" s="227"/>
      <c r="F251" s="227"/>
      <c r="G251" s="227"/>
      <c r="H251" s="227"/>
      <c r="I251" s="227"/>
      <c r="J251" s="227"/>
      <c r="K251" s="227"/>
      <c r="L251" s="227"/>
      <c r="M251" s="227"/>
      <c r="N251" s="227"/>
      <c r="O251" s="227"/>
    </row>
    <row r="252" spans="4:15">
      <c r="D252" s="227"/>
      <c r="E252" s="227"/>
      <c r="F252" s="227"/>
      <c r="G252" s="227"/>
      <c r="H252" s="227"/>
      <c r="I252" s="227"/>
      <c r="J252" s="227"/>
      <c r="K252" s="227"/>
      <c r="L252" s="227"/>
      <c r="M252" s="227"/>
      <c r="N252" s="227"/>
      <c r="O252" s="227"/>
    </row>
    <row r="253" spans="4:15">
      <c r="D253" s="227"/>
      <c r="E253" s="227"/>
      <c r="F253" s="227"/>
      <c r="G253" s="227"/>
      <c r="H253" s="227"/>
      <c r="I253" s="227"/>
      <c r="J253" s="227"/>
      <c r="K253" s="227"/>
      <c r="L253" s="227"/>
      <c r="M253" s="227"/>
      <c r="N253" s="227"/>
      <c r="O253" s="227"/>
    </row>
    <row r="254" spans="4:15">
      <c r="D254" s="227"/>
      <c r="E254" s="227"/>
      <c r="F254" s="227"/>
      <c r="G254" s="227"/>
      <c r="H254" s="227"/>
      <c r="I254" s="227"/>
      <c r="J254" s="227"/>
      <c r="K254" s="227"/>
      <c r="L254" s="227"/>
      <c r="M254" s="227"/>
      <c r="N254" s="227"/>
      <c r="O254" s="227"/>
    </row>
    <row r="255" spans="4:15">
      <c r="D255" s="227"/>
      <c r="E255" s="227"/>
      <c r="F255" s="227"/>
      <c r="G255" s="227"/>
      <c r="H255" s="227"/>
      <c r="I255" s="227"/>
      <c r="J255" s="227"/>
      <c r="K255" s="227"/>
      <c r="L255" s="227"/>
      <c r="M255" s="227"/>
      <c r="N255" s="227"/>
      <c r="O255" s="227"/>
    </row>
    <row r="256" spans="4:15">
      <c r="D256" s="227"/>
      <c r="E256" s="227"/>
      <c r="F256" s="227"/>
      <c r="G256" s="227"/>
      <c r="H256" s="227"/>
      <c r="I256" s="227"/>
      <c r="J256" s="227"/>
      <c r="K256" s="227"/>
      <c r="L256" s="227"/>
      <c r="M256" s="227"/>
      <c r="N256" s="227"/>
      <c r="O256" s="227"/>
    </row>
    <row r="257" spans="4:15">
      <c r="D257" s="227"/>
      <c r="E257" s="227"/>
      <c r="F257" s="227"/>
      <c r="G257" s="227"/>
      <c r="H257" s="227"/>
      <c r="I257" s="227"/>
      <c r="J257" s="227"/>
      <c r="K257" s="227"/>
      <c r="L257" s="227"/>
      <c r="M257" s="227"/>
      <c r="N257" s="227"/>
      <c r="O257" s="227"/>
    </row>
    <row r="258" spans="4:15">
      <c r="D258" s="227"/>
      <c r="E258" s="227"/>
      <c r="F258" s="227"/>
      <c r="G258" s="227"/>
      <c r="H258" s="227"/>
      <c r="I258" s="227"/>
      <c r="J258" s="227"/>
      <c r="K258" s="227"/>
      <c r="L258" s="227"/>
      <c r="M258" s="227"/>
      <c r="N258" s="227"/>
      <c r="O258" s="227"/>
    </row>
    <row r="259" spans="4:15">
      <c r="D259" s="227"/>
      <c r="E259" s="227"/>
      <c r="F259" s="227"/>
      <c r="G259" s="227"/>
      <c r="H259" s="227"/>
      <c r="I259" s="227"/>
      <c r="J259" s="227"/>
      <c r="K259" s="227"/>
      <c r="L259" s="227"/>
      <c r="M259" s="227"/>
      <c r="N259" s="227"/>
      <c r="O259" s="227"/>
    </row>
    <row r="260" spans="4:15">
      <c r="D260" s="227"/>
      <c r="E260" s="227"/>
      <c r="F260" s="227"/>
      <c r="G260" s="227"/>
      <c r="H260" s="227"/>
      <c r="I260" s="227"/>
      <c r="J260" s="227"/>
      <c r="K260" s="227"/>
      <c r="L260" s="227"/>
      <c r="M260" s="227"/>
      <c r="N260" s="227"/>
      <c r="O260" s="227"/>
    </row>
    <row r="261" spans="4:15">
      <c r="D261" s="227"/>
      <c r="E261" s="227"/>
      <c r="F261" s="227"/>
      <c r="G261" s="227"/>
      <c r="H261" s="227"/>
      <c r="I261" s="227"/>
      <c r="J261" s="227"/>
      <c r="K261" s="227"/>
      <c r="L261" s="227"/>
      <c r="M261" s="227"/>
      <c r="N261" s="227"/>
      <c r="O261" s="227"/>
    </row>
    <row r="262" spans="4:15">
      <c r="D262" s="227"/>
      <c r="E262" s="227"/>
      <c r="F262" s="227"/>
      <c r="G262" s="227"/>
      <c r="H262" s="227"/>
      <c r="I262" s="227"/>
      <c r="J262" s="227"/>
      <c r="K262" s="227"/>
      <c r="L262" s="227"/>
      <c r="M262" s="227"/>
      <c r="N262" s="227"/>
      <c r="O262" s="227"/>
    </row>
    <row r="263" spans="4:15">
      <c r="D263" s="227"/>
      <c r="E263" s="227"/>
      <c r="F263" s="227"/>
      <c r="G263" s="227"/>
      <c r="H263" s="227"/>
      <c r="I263" s="227"/>
      <c r="J263" s="227"/>
      <c r="K263" s="227"/>
      <c r="L263" s="227"/>
      <c r="M263" s="227"/>
      <c r="N263" s="227"/>
      <c r="O263" s="227"/>
    </row>
    <row r="264" spans="4:15">
      <c r="D264" s="227"/>
      <c r="E264" s="227"/>
      <c r="F264" s="227"/>
      <c r="G264" s="227"/>
      <c r="H264" s="227"/>
      <c r="I264" s="227"/>
      <c r="J264" s="227"/>
      <c r="K264" s="227"/>
      <c r="L264" s="227"/>
      <c r="M264" s="227"/>
      <c r="N264" s="227"/>
      <c r="O264" s="227"/>
    </row>
    <row r="265" spans="4:15">
      <c r="D265" s="227"/>
      <c r="E265" s="227"/>
      <c r="F265" s="227"/>
      <c r="G265" s="227"/>
      <c r="H265" s="227"/>
      <c r="I265" s="227"/>
      <c r="J265" s="227"/>
      <c r="K265" s="227"/>
      <c r="L265" s="227"/>
      <c r="M265" s="227"/>
      <c r="N265" s="227"/>
      <c r="O265" s="227"/>
    </row>
    <row r="266" spans="4:15">
      <c r="D266" s="227"/>
      <c r="E266" s="227"/>
      <c r="F266" s="227"/>
      <c r="G266" s="227"/>
      <c r="H266" s="227"/>
      <c r="I266" s="227"/>
      <c r="J266" s="227"/>
      <c r="K266" s="227"/>
      <c r="L266" s="227"/>
      <c r="M266" s="227"/>
      <c r="N266" s="227"/>
      <c r="O266" s="227"/>
    </row>
    <row r="267" spans="4:15">
      <c r="D267" s="227"/>
      <c r="E267" s="227"/>
      <c r="F267" s="227"/>
      <c r="G267" s="227"/>
      <c r="H267" s="227"/>
      <c r="I267" s="227"/>
      <c r="J267" s="227"/>
      <c r="K267" s="227"/>
      <c r="L267" s="227"/>
      <c r="M267" s="227"/>
      <c r="N267" s="227"/>
      <c r="O267" s="227"/>
    </row>
    <row r="268" spans="4:15"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7"/>
      <c r="O268" s="227"/>
    </row>
    <row r="269" spans="4:15">
      <c r="D269" s="227"/>
      <c r="E269" s="227"/>
      <c r="F269" s="227"/>
      <c r="G269" s="227"/>
      <c r="H269" s="227"/>
      <c r="I269" s="227"/>
      <c r="J269" s="227"/>
      <c r="K269" s="227"/>
      <c r="L269" s="227"/>
      <c r="M269" s="227"/>
      <c r="N269" s="227"/>
      <c r="O269" s="227"/>
    </row>
    <row r="270" spans="4:15">
      <c r="D270" s="227"/>
      <c r="E270" s="227"/>
      <c r="F270" s="227"/>
      <c r="G270" s="227"/>
      <c r="H270" s="227"/>
      <c r="I270" s="227"/>
      <c r="J270" s="227"/>
      <c r="K270" s="227"/>
      <c r="L270" s="227"/>
      <c r="M270" s="227"/>
      <c r="N270" s="227"/>
      <c r="O270" s="227"/>
    </row>
    <row r="271" spans="4:15">
      <c r="D271" s="227"/>
      <c r="E271" s="227"/>
      <c r="F271" s="227"/>
      <c r="G271" s="227"/>
      <c r="H271" s="227"/>
      <c r="I271" s="227"/>
      <c r="J271" s="227"/>
      <c r="K271" s="227"/>
      <c r="L271" s="227"/>
      <c r="M271" s="227"/>
      <c r="N271" s="227"/>
      <c r="O271" s="227"/>
    </row>
    <row r="272" spans="4:15">
      <c r="D272" s="227"/>
      <c r="E272" s="227"/>
      <c r="F272" s="227"/>
      <c r="G272" s="227"/>
      <c r="H272" s="227"/>
      <c r="I272" s="227"/>
      <c r="J272" s="227"/>
      <c r="K272" s="227"/>
      <c r="L272" s="227"/>
      <c r="M272" s="227"/>
      <c r="N272" s="227"/>
      <c r="O272" s="227"/>
    </row>
    <row r="273" spans="4:15">
      <c r="D273" s="227"/>
      <c r="E273" s="227"/>
      <c r="F273" s="227"/>
      <c r="G273" s="227"/>
      <c r="H273" s="227"/>
      <c r="I273" s="227"/>
      <c r="J273" s="227"/>
      <c r="K273" s="227"/>
      <c r="L273" s="227"/>
      <c r="M273" s="227"/>
      <c r="N273" s="227"/>
      <c r="O273" s="227"/>
    </row>
    <row r="274" spans="4:15">
      <c r="D274" s="227"/>
      <c r="E274" s="227"/>
      <c r="F274" s="227"/>
      <c r="G274" s="227"/>
      <c r="H274" s="227"/>
      <c r="I274" s="227"/>
      <c r="J274" s="227"/>
      <c r="K274" s="227"/>
      <c r="L274" s="227"/>
      <c r="M274" s="227"/>
      <c r="N274" s="227"/>
      <c r="O274" s="227"/>
    </row>
    <row r="275" spans="4:15">
      <c r="D275" s="227"/>
      <c r="E275" s="227"/>
      <c r="F275" s="227"/>
      <c r="G275" s="227"/>
      <c r="H275" s="227"/>
      <c r="I275" s="227"/>
      <c r="J275" s="227"/>
      <c r="K275" s="227"/>
      <c r="L275" s="227"/>
      <c r="M275" s="227"/>
      <c r="N275" s="227"/>
      <c r="O275" s="227"/>
    </row>
    <row r="276" spans="4:15">
      <c r="D276" s="227"/>
      <c r="E276" s="227"/>
      <c r="F276" s="227"/>
      <c r="G276" s="227"/>
      <c r="H276" s="227"/>
      <c r="I276" s="227"/>
      <c r="J276" s="227"/>
      <c r="K276" s="227"/>
      <c r="L276" s="227"/>
      <c r="M276" s="227"/>
      <c r="N276" s="227"/>
      <c r="O276" s="227"/>
    </row>
    <row r="277" spans="4:15">
      <c r="D277" s="227"/>
      <c r="E277" s="227"/>
      <c r="F277" s="227"/>
      <c r="G277" s="227"/>
      <c r="H277" s="227"/>
      <c r="I277" s="227"/>
      <c r="J277" s="227"/>
      <c r="K277" s="227"/>
      <c r="L277" s="227"/>
      <c r="M277" s="227"/>
      <c r="N277" s="227"/>
      <c r="O277" s="227"/>
    </row>
    <row r="278" spans="4:15">
      <c r="D278" s="227"/>
      <c r="E278" s="227"/>
      <c r="F278" s="227"/>
      <c r="G278" s="227"/>
      <c r="H278" s="227"/>
      <c r="I278" s="227"/>
      <c r="J278" s="227"/>
      <c r="K278" s="227"/>
      <c r="L278" s="227"/>
      <c r="M278" s="227"/>
      <c r="N278" s="227"/>
      <c r="O278" s="227"/>
    </row>
    <row r="279" spans="4:15">
      <c r="D279" s="227"/>
      <c r="E279" s="227"/>
      <c r="F279" s="227"/>
      <c r="G279" s="227"/>
      <c r="H279" s="227"/>
      <c r="I279" s="227"/>
      <c r="J279" s="227"/>
      <c r="K279" s="227"/>
      <c r="L279" s="227"/>
      <c r="M279" s="227"/>
      <c r="N279" s="227"/>
      <c r="O279" s="227"/>
    </row>
    <row r="280" spans="4:15">
      <c r="D280" s="227"/>
      <c r="E280" s="227"/>
      <c r="F280" s="227"/>
      <c r="G280" s="227"/>
      <c r="H280" s="227"/>
      <c r="I280" s="227"/>
      <c r="J280" s="227"/>
      <c r="K280" s="227"/>
      <c r="L280" s="227"/>
      <c r="M280" s="227"/>
      <c r="N280" s="227"/>
      <c r="O280" s="227"/>
    </row>
    <row r="281" spans="4:15">
      <c r="D281" s="227"/>
      <c r="E281" s="227"/>
      <c r="F281" s="227"/>
      <c r="G281" s="227"/>
      <c r="H281" s="227"/>
      <c r="I281" s="227"/>
      <c r="J281" s="227"/>
      <c r="K281" s="227"/>
      <c r="L281" s="227"/>
      <c r="M281" s="227"/>
      <c r="N281" s="227"/>
      <c r="O281" s="227"/>
    </row>
    <row r="282" spans="4:15">
      <c r="D282" s="227"/>
      <c r="E282" s="227"/>
      <c r="F282" s="227"/>
      <c r="G282" s="227"/>
      <c r="H282" s="227"/>
      <c r="I282" s="227"/>
      <c r="J282" s="227"/>
      <c r="K282" s="227"/>
      <c r="L282" s="227"/>
      <c r="M282" s="227"/>
      <c r="N282" s="227"/>
      <c r="O282" s="227"/>
    </row>
    <row r="283" spans="4:15">
      <c r="D283" s="227"/>
      <c r="E283" s="227"/>
      <c r="F283" s="227"/>
      <c r="G283" s="227"/>
      <c r="H283" s="227"/>
      <c r="I283" s="227"/>
      <c r="J283" s="227"/>
      <c r="K283" s="227"/>
      <c r="L283" s="227"/>
      <c r="M283" s="227"/>
      <c r="N283" s="227"/>
      <c r="O283" s="227"/>
    </row>
    <row r="284" spans="4:15">
      <c r="D284" s="227"/>
      <c r="E284" s="227"/>
      <c r="F284" s="227"/>
      <c r="G284" s="227"/>
      <c r="H284" s="227"/>
      <c r="I284" s="227"/>
      <c r="J284" s="227"/>
      <c r="K284" s="227"/>
      <c r="L284" s="227"/>
      <c r="M284" s="227"/>
      <c r="N284" s="227"/>
      <c r="O284" s="227"/>
    </row>
    <row r="285" spans="4:15">
      <c r="D285" s="227"/>
      <c r="E285" s="227"/>
      <c r="F285" s="227"/>
      <c r="G285" s="227"/>
      <c r="H285" s="227"/>
      <c r="I285" s="227"/>
      <c r="J285" s="227"/>
      <c r="K285" s="227"/>
      <c r="L285" s="227"/>
      <c r="M285" s="227"/>
      <c r="N285" s="227"/>
      <c r="O285" s="227"/>
    </row>
    <row r="286" spans="4:15">
      <c r="D286" s="227"/>
      <c r="E286" s="227"/>
      <c r="F286" s="227"/>
      <c r="G286" s="227"/>
      <c r="H286" s="227"/>
      <c r="I286" s="227"/>
      <c r="J286" s="227"/>
      <c r="K286" s="227"/>
      <c r="L286" s="227"/>
      <c r="M286" s="227"/>
      <c r="N286" s="227"/>
      <c r="O286" s="227"/>
    </row>
    <row r="287" spans="4:15">
      <c r="D287" s="227"/>
      <c r="E287" s="227"/>
      <c r="F287" s="227"/>
      <c r="G287" s="227"/>
      <c r="H287" s="227"/>
      <c r="I287" s="227"/>
      <c r="J287" s="227"/>
      <c r="K287" s="227"/>
      <c r="L287" s="227"/>
      <c r="M287" s="227"/>
      <c r="N287" s="227"/>
      <c r="O287" s="227"/>
    </row>
    <row r="288" spans="4:15">
      <c r="D288" s="227"/>
      <c r="E288" s="227"/>
      <c r="F288" s="227"/>
      <c r="G288" s="227"/>
      <c r="H288" s="227"/>
      <c r="I288" s="227"/>
      <c r="J288" s="227"/>
      <c r="K288" s="227"/>
      <c r="L288" s="227"/>
      <c r="M288" s="227"/>
      <c r="N288" s="227"/>
      <c r="O288" s="227"/>
    </row>
    <row r="289" spans="4:15">
      <c r="D289" s="227"/>
      <c r="E289" s="227"/>
      <c r="F289" s="227"/>
      <c r="G289" s="227"/>
      <c r="H289" s="227"/>
      <c r="I289" s="227"/>
      <c r="J289" s="227"/>
      <c r="K289" s="227"/>
      <c r="L289" s="227"/>
      <c r="M289" s="227"/>
      <c r="N289" s="227"/>
      <c r="O289" s="227"/>
    </row>
    <row r="290" spans="4:15">
      <c r="D290" s="227"/>
      <c r="E290" s="227"/>
      <c r="F290" s="227"/>
      <c r="G290" s="227"/>
      <c r="H290" s="227"/>
      <c r="I290" s="227"/>
      <c r="J290" s="227"/>
      <c r="K290" s="227"/>
      <c r="L290" s="227"/>
      <c r="M290" s="227"/>
      <c r="N290" s="227"/>
      <c r="O290" s="227"/>
    </row>
    <row r="291" spans="4:15">
      <c r="D291" s="227"/>
      <c r="E291" s="227"/>
      <c r="F291" s="227"/>
      <c r="G291" s="227"/>
      <c r="H291" s="227"/>
      <c r="I291" s="227"/>
      <c r="J291" s="227"/>
      <c r="K291" s="227"/>
      <c r="L291" s="227"/>
      <c r="M291" s="227"/>
      <c r="N291" s="227"/>
      <c r="O291" s="227"/>
    </row>
    <row r="292" spans="4:15">
      <c r="D292" s="227"/>
      <c r="E292" s="227"/>
      <c r="F292" s="227"/>
      <c r="G292" s="227"/>
      <c r="H292" s="227"/>
      <c r="I292" s="227"/>
      <c r="J292" s="227"/>
      <c r="K292" s="227"/>
      <c r="L292" s="227"/>
      <c r="M292" s="227"/>
      <c r="N292" s="227"/>
      <c r="O292" s="227"/>
    </row>
    <row r="293" spans="4:15">
      <c r="D293" s="227"/>
      <c r="E293" s="227"/>
      <c r="F293" s="227"/>
      <c r="G293" s="227"/>
      <c r="H293" s="227"/>
      <c r="I293" s="227"/>
      <c r="J293" s="227"/>
      <c r="K293" s="227"/>
      <c r="L293" s="227"/>
      <c r="M293" s="227"/>
      <c r="N293" s="227"/>
      <c r="O293" s="227"/>
    </row>
    <row r="294" spans="4:15">
      <c r="D294" s="227"/>
      <c r="E294" s="227"/>
      <c r="F294" s="227"/>
      <c r="G294" s="227"/>
      <c r="H294" s="227"/>
      <c r="I294" s="227"/>
      <c r="J294" s="227"/>
      <c r="K294" s="227"/>
      <c r="L294" s="227"/>
      <c r="M294" s="227"/>
      <c r="N294" s="227"/>
      <c r="O294" s="227"/>
    </row>
    <row r="295" spans="4:15">
      <c r="D295" s="227"/>
      <c r="E295" s="227"/>
      <c r="F295" s="227"/>
      <c r="G295" s="227"/>
      <c r="H295" s="227"/>
      <c r="I295" s="227"/>
      <c r="J295" s="227"/>
      <c r="K295" s="227"/>
      <c r="L295" s="227"/>
      <c r="M295" s="227"/>
      <c r="N295" s="227"/>
      <c r="O295" s="227"/>
    </row>
    <row r="296" spans="4:15">
      <c r="D296" s="227"/>
      <c r="E296" s="227"/>
      <c r="F296" s="227"/>
      <c r="G296" s="227"/>
      <c r="H296" s="227"/>
      <c r="I296" s="227"/>
      <c r="J296" s="227"/>
      <c r="K296" s="227"/>
      <c r="L296" s="227"/>
      <c r="M296" s="227"/>
      <c r="N296" s="227"/>
      <c r="O296" s="227"/>
    </row>
    <row r="297" spans="4:15">
      <c r="D297" s="227"/>
      <c r="E297" s="227"/>
      <c r="F297" s="227"/>
      <c r="G297" s="227"/>
      <c r="H297" s="227"/>
      <c r="I297" s="227"/>
      <c r="J297" s="227"/>
      <c r="K297" s="227"/>
      <c r="L297" s="227"/>
      <c r="M297" s="227"/>
      <c r="N297" s="227"/>
      <c r="O297" s="227"/>
    </row>
    <row r="298" spans="4:15">
      <c r="D298" s="227"/>
      <c r="E298" s="227"/>
      <c r="F298" s="227"/>
      <c r="G298" s="227"/>
      <c r="H298" s="227"/>
      <c r="I298" s="227"/>
      <c r="J298" s="227"/>
      <c r="K298" s="227"/>
      <c r="L298" s="227"/>
      <c r="M298" s="227"/>
      <c r="N298" s="227"/>
      <c r="O298" s="227"/>
    </row>
    <row r="299" spans="4:15">
      <c r="D299" s="227"/>
      <c r="E299" s="227"/>
      <c r="F299" s="227"/>
      <c r="G299" s="227"/>
      <c r="H299" s="227"/>
      <c r="I299" s="227"/>
      <c r="J299" s="227"/>
      <c r="K299" s="227"/>
      <c r="L299" s="227"/>
      <c r="M299" s="227"/>
      <c r="N299" s="227"/>
      <c r="O299" s="227"/>
    </row>
    <row r="300" spans="4:15">
      <c r="D300" s="227"/>
      <c r="E300" s="227"/>
      <c r="F300" s="227"/>
      <c r="G300" s="227"/>
      <c r="H300" s="227"/>
      <c r="I300" s="227"/>
      <c r="J300" s="227"/>
      <c r="K300" s="227"/>
      <c r="L300" s="227"/>
      <c r="M300" s="227"/>
      <c r="N300" s="227"/>
      <c r="O300" s="227"/>
    </row>
    <row r="301" spans="4:15">
      <c r="D301" s="227"/>
      <c r="E301" s="227"/>
      <c r="F301" s="227"/>
      <c r="G301" s="227"/>
      <c r="H301" s="227"/>
      <c r="I301" s="227"/>
      <c r="J301" s="227"/>
      <c r="K301" s="227"/>
      <c r="L301" s="227"/>
      <c r="M301" s="227"/>
      <c r="N301" s="227"/>
      <c r="O301" s="227"/>
    </row>
    <row r="302" spans="4:15">
      <c r="D302" s="227"/>
      <c r="E302" s="227"/>
      <c r="F302" s="227"/>
      <c r="G302" s="227"/>
      <c r="H302" s="227"/>
      <c r="I302" s="227"/>
      <c r="J302" s="227"/>
      <c r="K302" s="227"/>
      <c r="L302" s="227"/>
      <c r="M302" s="227"/>
      <c r="N302" s="227"/>
      <c r="O302" s="227"/>
    </row>
    <row r="303" spans="4:15">
      <c r="D303" s="227"/>
      <c r="E303" s="227"/>
      <c r="F303" s="227"/>
      <c r="G303" s="227"/>
      <c r="H303" s="227"/>
      <c r="I303" s="227"/>
      <c r="J303" s="227"/>
      <c r="K303" s="227"/>
      <c r="L303" s="227"/>
      <c r="M303" s="227"/>
      <c r="N303" s="227"/>
      <c r="O303" s="227"/>
    </row>
    <row r="304" spans="4:15">
      <c r="D304" s="227"/>
      <c r="E304" s="227"/>
      <c r="F304" s="227"/>
      <c r="G304" s="227"/>
      <c r="H304" s="227"/>
      <c r="I304" s="227"/>
      <c r="J304" s="227"/>
      <c r="K304" s="227"/>
      <c r="L304" s="227"/>
      <c r="M304" s="227"/>
      <c r="N304" s="227"/>
      <c r="O304" s="227"/>
    </row>
    <row r="305" spans="4:15">
      <c r="D305" s="227"/>
      <c r="E305" s="227"/>
      <c r="F305" s="227"/>
      <c r="G305" s="227"/>
      <c r="H305" s="227"/>
      <c r="I305" s="227"/>
      <c r="J305" s="227"/>
      <c r="K305" s="227"/>
      <c r="L305" s="227"/>
      <c r="M305" s="227"/>
      <c r="N305" s="227"/>
      <c r="O305" s="227"/>
    </row>
    <row r="306" spans="4:15">
      <c r="D306" s="227"/>
      <c r="E306" s="227"/>
      <c r="F306" s="227"/>
      <c r="G306" s="227"/>
      <c r="H306" s="227"/>
      <c r="I306" s="227"/>
      <c r="J306" s="227"/>
      <c r="K306" s="227"/>
      <c r="L306" s="227"/>
      <c r="M306" s="227"/>
      <c r="N306" s="227"/>
      <c r="O306" s="227"/>
    </row>
    <row r="307" spans="4:15">
      <c r="D307" s="227"/>
      <c r="E307" s="227"/>
      <c r="F307" s="227"/>
      <c r="G307" s="227"/>
      <c r="H307" s="227"/>
      <c r="I307" s="227"/>
      <c r="J307" s="227"/>
      <c r="K307" s="227"/>
      <c r="L307" s="227"/>
      <c r="M307" s="227"/>
      <c r="N307" s="227"/>
      <c r="O307" s="227"/>
    </row>
    <row r="308" spans="4:15">
      <c r="D308" s="227"/>
      <c r="E308" s="227"/>
      <c r="F308" s="227"/>
      <c r="G308" s="227"/>
      <c r="H308" s="227"/>
      <c r="I308" s="227"/>
      <c r="J308" s="227"/>
      <c r="K308" s="227"/>
      <c r="L308" s="227"/>
      <c r="M308" s="227"/>
      <c r="N308" s="227"/>
      <c r="O308" s="227"/>
    </row>
    <row r="309" spans="4:15">
      <c r="D309" s="227"/>
      <c r="E309" s="227"/>
      <c r="F309" s="227"/>
      <c r="G309" s="227"/>
      <c r="H309" s="227"/>
      <c r="I309" s="227"/>
      <c r="J309" s="227"/>
      <c r="K309" s="227"/>
      <c r="L309" s="227"/>
      <c r="M309" s="227"/>
      <c r="N309" s="227"/>
      <c r="O309" s="227"/>
    </row>
    <row r="310" spans="4:15">
      <c r="D310" s="227"/>
      <c r="E310" s="227"/>
      <c r="F310" s="227"/>
      <c r="G310" s="227"/>
      <c r="H310" s="227"/>
      <c r="I310" s="227"/>
      <c r="J310" s="227"/>
      <c r="K310" s="227"/>
      <c r="L310" s="227"/>
      <c r="M310" s="227"/>
      <c r="N310" s="227"/>
      <c r="O310" s="227"/>
    </row>
    <row r="311" spans="4:15">
      <c r="D311" s="227"/>
      <c r="E311" s="227"/>
      <c r="F311" s="227"/>
      <c r="G311" s="227"/>
      <c r="H311" s="227"/>
      <c r="I311" s="227"/>
      <c r="J311" s="227"/>
      <c r="K311" s="227"/>
      <c r="L311" s="227"/>
      <c r="M311" s="227"/>
      <c r="N311" s="227"/>
      <c r="O311" s="227"/>
    </row>
    <row r="312" spans="4:15">
      <c r="D312" s="227"/>
      <c r="E312" s="227"/>
      <c r="F312" s="227"/>
      <c r="G312" s="227"/>
      <c r="H312" s="227"/>
      <c r="I312" s="227"/>
      <c r="J312" s="227"/>
      <c r="K312" s="227"/>
      <c r="L312" s="227"/>
      <c r="M312" s="227"/>
      <c r="N312" s="227"/>
      <c r="O312" s="227"/>
    </row>
    <row r="313" spans="4:15">
      <c r="D313" s="227"/>
      <c r="E313" s="227"/>
      <c r="F313" s="227"/>
      <c r="G313" s="227"/>
      <c r="H313" s="227"/>
      <c r="I313" s="227"/>
      <c r="J313" s="227"/>
      <c r="K313" s="227"/>
      <c r="L313" s="227"/>
      <c r="M313" s="227"/>
      <c r="N313" s="227"/>
      <c r="O313" s="227"/>
    </row>
    <row r="314" spans="4:15">
      <c r="D314" s="227"/>
      <c r="E314" s="227"/>
      <c r="F314" s="227"/>
      <c r="G314" s="227"/>
      <c r="H314" s="227"/>
      <c r="I314" s="227"/>
      <c r="J314" s="227"/>
      <c r="K314" s="227"/>
      <c r="L314" s="227"/>
      <c r="M314" s="227"/>
      <c r="N314" s="227"/>
      <c r="O314" s="227"/>
    </row>
    <row r="315" spans="4:15">
      <c r="D315" s="227"/>
      <c r="E315" s="227"/>
      <c r="F315" s="227"/>
      <c r="G315" s="227"/>
      <c r="H315" s="227"/>
      <c r="I315" s="227"/>
      <c r="J315" s="227"/>
      <c r="K315" s="227"/>
      <c r="L315" s="227"/>
      <c r="M315" s="227"/>
      <c r="N315" s="227"/>
      <c r="O315" s="227"/>
    </row>
    <row r="316" spans="4:15">
      <c r="D316" s="227"/>
      <c r="E316" s="227"/>
      <c r="F316" s="227"/>
      <c r="G316" s="227"/>
      <c r="H316" s="227"/>
      <c r="I316" s="227"/>
      <c r="J316" s="227"/>
      <c r="K316" s="227"/>
      <c r="L316" s="227"/>
      <c r="M316" s="227"/>
      <c r="N316" s="227"/>
      <c r="O316" s="227"/>
    </row>
    <row r="317" spans="4:15">
      <c r="D317" s="227"/>
      <c r="E317" s="227"/>
      <c r="F317" s="227"/>
      <c r="G317" s="227"/>
      <c r="H317" s="227"/>
      <c r="I317" s="227"/>
      <c r="J317" s="227"/>
      <c r="K317" s="227"/>
      <c r="L317" s="227"/>
      <c r="M317" s="227"/>
      <c r="N317" s="227"/>
      <c r="O317" s="227"/>
    </row>
    <row r="318" spans="4:15">
      <c r="D318" s="227"/>
      <c r="E318" s="227"/>
      <c r="F318" s="227"/>
      <c r="G318" s="227"/>
      <c r="H318" s="227"/>
      <c r="I318" s="227"/>
      <c r="J318" s="227"/>
      <c r="K318" s="227"/>
      <c r="L318" s="227"/>
      <c r="M318" s="227"/>
      <c r="N318" s="227"/>
      <c r="O318" s="227"/>
    </row>
    <row r="319" spans="4:15">
      <c r="D319" s="227"/>
      <c r="E319" s="227"/>
      <c r="F319" s="227"/>
      <c r="G319" s="227"/>
      <c r="H319" s="227"/>
      <c r="I319" s="227"/>
      <c r="J319" s="227"/>
      <c r="K319" s="227"/>
      <c r="L319" s="227"/>
      <c r="M319" s="227"/>
      <c r="N319" s="227"/>
      <c r="O319" s="227"/>
    </row>
    <row r="320" spans="4:15">
      <c r="D320" s="227"/>
      <c r="E320" s="227"/>
      <c r="F320" s="227"/>
      <c r="G320" s="227"/>
      <c r="H320" s="227"/>
      <c r="I320" s="227"/>
      <c r="J320" s="227"/>
      <c r="K320" s="227"/>
      <c r="L320" s="227"/>
      <c r="M320" s="227"/>
      <c r="N320" s="227"/>
      <c r="O320" s="227"/>
    </row>
    <row r="321" spans="4:15">
      <c r="D321" s="227"/>
      <c r="E321" s="227"/>
      <c r="F321" s="227"/>
      <c r="G321" s="227"/>
      <c r="H321" s="227"/>
      <c r="I321" s="227"/>
      <c r="J321" s="227"/>
      <c r="K321" s="227"/>
      <c r="L321" s="227"/>
      <c r="M321" s="227"/>
      <c r="N321" s="227"/>
      <c r="O321" s="227"/>
    </row>
    <row r="322" spans="4:15">
      <c r="D322" s="227"/>
      <c r="E322" s="227"/>
      <c r="F322" s="227"/>
      <c r="G322" s="227"/>
      <c r="H322" s="227"/>
      <c r="I322" s="227"/>
      <c r="J322" s="227"/>
      <c r="K322" s="227"/>
      <c r="L322" s="227"/>
      <c r="M322" s="227"/>
      <c r="N322" s="227"/>
      <c r="O322" s="227"/>
    </row>
    <row r="323" spans="4:15">
      <c r="D323" s="227"/>
      <c r="E323" s="227"/>
      <c r="F323" s="227"/>
      <c r="G323" s="227"/>
      <c r="H323" s="227"/>
      <c r="I323" s="227"/>
      <c r="J323" s="227"/>
      <c r="K323" s="227"/>
      <c r="L323" s="227"/>
      <c r="M323" s="227"/>
      <c r="N323" s="227"/>
      <c r="O323" s="227"/>
    </row>
    <row r="324" spans="4:15">
      <c r="D324" s="227"/>
      <c r="E324" s="227"/>
      <c r="F324" s="227"/>
      <c r="G324" s="227"/>
      <c r="H324" s="227"/>
      <c r="I324" s="227"/>
      <c r="J324" s="227"/>
      <c r="K324" s="227"/>
      <c r="L324" s="227"/>
      <c r="M324" s="227"/>
      <c r="N324" s="227"/>
      <c r="O324" s="227"/>
    </row>
    <row r="325" spans="4:15">
      <c r="D325" s="227"/>
      <c r="E325" s="227"/>
      <c r="F325" s="227"/>
      <c r="G325" s="227"/>
      <c r="H325" s="227"/>
      <c r="I325" s="227"/>
      <c r="J325" s="227"/>
      <c r="K325" s="227"/>
      <c r="L325" s="227"/>
      <c r="M325" s="227"/>
      <c r="N325" s="227"/>
      <c r="O325" s="227"/>
    </row>
    <row r="326" spans="4:15">
      <c r="D326" s="227"/>
      <c r="E326" s="227"/>
      <c r="F326" s="227"/>
      <c r="G326" s="227"/>
      <c r="H326" s="227"/>
      <c r="I326" s="227"/>
      <c r="J326" s="227"/>
      <c r="K326" s="227"/>
      <c r="L326" s="227"/>
      <c r="M326" s="227"/>
      <c r="N326" s="227"/>
      <c r="O326" s="227"/>
    </row>
    <row r="327" spans="4:15">
      <c r="D327" s="227"/>
      <c r="E327" s="227"/>
      <c r="F327" s="227"/>
      <c r="G327" s="227"/>
      <c r="H327" s="227"/>
      <c r="I327" s="227"/>
      <c r="J327" s="227"/>
      <c r="K327" s="227"/>
      <c r="L327" s="227"/>
      <c r="M327" s="227"/>
      <c r="N327" s="227"/>
      <c r="O327" s="227"/>
    </row>
    <row r="328" spans="4:15">
      <c r="D328" s="227"/>
      <c r="E328" s="227"/>
      <c r="F328" s="227"/>
      <c r="G328" s="227"/>
      <c r="H328" s="227"/>
      <c r="I328" s="227"/>
      <c r="J328" s="227"/>
      <c r="K328" s="227"/>
      <c r="L328" s="227"/>
      <c r="M328" s="227"/>
      <c r="N328" s="227"/>
      <c r="O328" s="227"/>
    </row>
    <row r="329" spans="4:15">
      <c r="D329" s="227"/>
      <c r="E329" s="227"/>
      <c r="F329" s="227"/>
      <c r="G329" s="227"/>
      <c r="H329" s="227"/>
      <c r="I329" s="227"/>
      <c r="J329" s="227"/>
      <c r="K329" s="227"/>
      <c r="L329" s="227"/>
      <c r="M329" s="227"/>
      <c r="N329" s="227"/>
      <c r="O329" s="227"/>
    </row>
    <row r="330" spans="4:15">
      <c r="D330" s="227"/>
      <c r="E330" s="227"/>
      <c r="F330" s="227"/>
      <c r="G330" s="227"/>
      <c r="H330" s="227"/>
      <c r="I330" s="227"/>
      <c r="J330" s="227"/>
      <c r="K330" s="227"/>
      <c r="L330" s="227"/>
      <c r="M330" s="227"/>
      <c r="N330" s="227"/>
      <c r="O330" s="227"/>
    </row>
    <row r="331" spans="4:15">
      <c r="D331" s="227"/>
      <c r="E331" s="227"/>
      <c r="F331" s="227"/>
      <c r="G331" s="227"/>
      <c r="H331" s="227"/>
      <c r="I331" s="227"/>
      <c r="J331" s="227"/>
      <c r="K331" s="227"/>
      <c r="L331" s="227"/>
      <c r="M331" s="227"/>
      <c r="N331" s="227"/>
      <c r="O331" s="227"/>
    </row>
    <row r="332" spans="4:15">
      <c r="D332" s="227"/>
      <c r="E332" s="227"/>
      <c r="F332" s="227"/>
      <c r="G332" s="227"/>
      <c r="H332" s="227"/>
      <c r="I332" s="227"/>
      <c r="J332" s="227"/>
      <c r="K332" s="227"/>
      <c r="L332" s="227"/>
      <c r="M332" s="227"/>
      <c r="N332" s="227"/>
      <c r="O332" s="227"/>
    </row>
    <row r="333" spans="4:15">
      <c r="D333" s="227"/>
      <c r="E333" s="227"/>
      <c r="F333" s="227"/>
      <c r="G333" s="227"/>
      <c r="H333" s="227"/>
      <c r="I333" s="227"/>
      <c r="J333" s="227"/>
      <c r="K333" s="227"/>
      <c r="L333" s="227"/>
      <c r="M333" s="227"/>
      <c r="N333" s="227"/>
      <c r="O333" s="227"/>
    </row>
    <row r="334" spans="4:15">
      <c r="D334" s="227"/>
      <c r="E334" s="227"/>
      <c r="F334" s="227"/>
      <c r="G334" s="227"/>
      <c r="H334" s="227"/>
      <c r="I334" s="227"/>
      <c r="J334" s="227"/>
      <c r="K334" s="227"/>
      <c r="L334" s="227"/>
      <c r="M334" s="227"/>
      <c r="N334" s="227"/>
      <c r="O334" s="227"/>
    </row>
    <row r="335" spans="4:15">
      <c r="D335" s="227"/>
      <c r="E335" s="227"/>
      <c r="F335" s="227"/>
      <c r="G335" s="227"/>
      <c r="H335" s="227"/>
      <c r="I335" s="227"/>
      <c r="J335" s="227"/>
      <c r="K335" s="227"/>
      <c r="L335" s="227"/>
      <c r="M335" s="227"/>
      <c r="N335" s="227"/>
      <c r="O335" s="227"/>
    </row>
    <row r="336" spans="4:15">
      <c r="D336" s="227"/>
      <c r="E336" s="227"/>
      <c r="F336" s="227"/>
      <c r="G336" s="227"/>
      <c r="H336" s="227"/>
      <c r="I336" s="227"/>
      <c r="J336" s="227"/>
      <c r="K336" s="227"/>
      <c r="L336" s="227"/>
      <c r="M336" s="227"/>
      <c r="N336" s="227"/>
      <c r="O336" s="227"/>
    </row>
    <row r="337" spans="4:15">
      <c r="D337" s="227"/>
      <c r="E337" s="227"/>
      <c r="F337" s="227"/>
      <c r="G337" s="227"/>
      <c r="H337" s="227"/>
      <c r="I337" s="227"/>
      <c r="J337" s="227"/>
      <c r="K337" s="227"/>
      <c r="L337" s="227"/>
      <c r="M337" s="227"/>
      <c r="N337" s="227"/>
      <c r="O337" s="227"/>
    </row>
    <row r="338" spans="4:15">
      <c r="D338" s="227"/>
      <c r="E338" s="227"/>
      <c r="F338" s="227"/>
      <c r="G338" s="227"/>
      <c r="H338" s="227"/>
      <c r="I338" s="227"/>
      <c r="J338" s="227"/>
      <c r="K338" s="227"/>
      <c r="L338" s="227"/>
      <c r="M338" s="227"/>
      <c r="N338" s="227"/>
      <c r="O338" s="227"/>
    </row>
    <row r="339" spans="4:15">
      <c r="D339" s="227"/>
      <c r="E339" s="227"/>
      <c r="F339" s="227"/>
      <c r="G339" s="227"/>
      <c r="H339" s="227"/>
      <c r="I339" s="227"/>
      <c r="J339" s="227"/>
      <c r="K339" s="227"/>
      <c r="L339" s="227"/>
      <c r="M339" s="227"/>
      <c r="N339" s="227"/>
      <c r="O339" s="227"/>
    </row>
    <row r="340" spans="4:15">
      <c r="D340" s="227"/>
      <c r="E340" s="227"/>
      <c r="F340" s="227"/>
      <c r="G340" s="227"/>
      <c r="H340" s="227"/>
      <c r="I340" s="227"/>
      <c r="J340" s="227"/>
      <c r="K340" s="227"/>
      <c r="L340" s="227"/>
      <c r="M340" s="227"/>
      <c r="N340" s="227"/>
      <c r="O340" s="227"/>
    </row>
    <row r="341" spans="4:15">
      <c r="D341" s="227"/>
      <c r="E341" s="227"/>
      <c r="F341" s="227"/>
      <c r="G341" s="227"/>
      <c r="H341" s="227"/>
      <c r="I341" s="227"/>
      <c r="J341" s="227"/>
      <c r="K341" s="227"/>
      <c r="L341" s="227"/>
      <c r="M341" s="227"/>
      <c r="N341" s="227"/>
      <c r="O341" s="227"/>
    </row>
    <row r="342" spans="4:15">
      <c r="D342" s="227"/>
      <c r="E342" s="227"/>
      <c r="F342" s="227"/>
      <c r="G342" s="227"/>
      <c r="H342" s="227"/>
      <c r="I342" s="227"/>
      <c r="J342" s="227"/>
      <c r="K342" s="227"/>
      <c r="L342" s="227"/>
      <c r="M342" s="227"/>
      <c r="N342" s="227"/>
      <c r="O342" s="227"/>
    </row>
    <row r="343" spans="4:15">
      <c r="D343" s="227"/>
      <c r="E343" s="227"/>
      <c r="F343" s="227"/>
      <c r="G343" s="227"/>
      <c r="H343" s="227"/>
      <c r="I343" s="227"/>
      <c r="J343" s="227"/>
      <c r="K343" s="227"/>
      <c r="L343" s="227"/>
      <c r="M343" s="227"/>
      <c r="N343" s="227"/>
      <c r="O343" s="227"/>
    </row>
    <row r="344" spans="4:15">
      <c r="D344" s="227"/>
      <c r="E344" s="227"/>
      <c r="F344" s="227"/>
      <c r="G344" s="227"/>
      <c r="H344" s="227"/>
      <c r="I344" s="227"/>
      <c r="J344" s="227"/>
      <c r="K344" s="227"/>
      <c r="L344" s="227"/>
      <c r="M344" s="227"/>
      <c r="N344" s="227"/>
      <c r="O344" s="227"/>
    </row>
    <row r="345" spans="4:15">
      <c r="D345" s="227"/>
      <c r="E345" s="227"/>
      <c r="F345" s="227"/>
      <c r="G345" s="227"/>
      <c r="H345" s="227"/>
      <c r="I345" s="227"/>
      <c r="J345" s="227"/>
      <c r="K345" s="227"/>
      <c r="L345" s="227"/>
      <c r="M345" s="227"/>
      <c r="N345" s="227"/>
      <c r="O345" s="227"/>
    </row>
    <row r="346" spans="4:15">
      <c r="D346" s="227"/>
      <c r="E346" s="227"/>
      <c r="F346" s="227"/>
      <c r="G346" s="227"/>
      <c r="H346" s="227"/>
      <c r="I346" s="227"/>
      <c r="J346" s="227"/>
      <c r="K346" s="227"/>
      <c r="L346" s="227"/>
      <c r="M346" s="227"/>
      <c r="N346" s="227"/>
      <c r="O346" s="227"/>
    </row>
    <row r="347" spans="4:15">
      <c r="D347" s="227"/>
      <c r="E347" s="227"/>
      <c r="F347" s="227"/>
      <c r="G347" s="227"/>
      <c r="H347" s="227"/>
      <c r="I347" s="227"/>
      <c r="J347" s="227"/>
      <c r="K347" s="227"/>
      <c r="L347" s="227"/>
      <c r="M347" s="227"/>
      <c r="N347" s="227"/>
      <c r="O347" s="227"/>
    </row>
    <row r="348" spans="4:15">
      <c r="D348" s="227"/>
      <c r="E348" s="227"/>
      <c r="F348" s="227"/>
      <c r="G348" s="227"/>
      <c r="H348" s="227"/>
      <c r="I348" s="227"/>
      <c r="J348" s="227"/>
      <c r="K348" s="227"/>
      <c r="L348" s="227"/>
      <c r="M348" s="227"/>
      <c r="N348" s="227"/>
      <c r="O348" s="227"/>
    </row>
    <row r="349" spans="4:15">
      <c r="D349" s="227"/>
      <c r="E349" s="227"/>
      <c r="F349" s="227"/>
      <c r="G349" s="227"/>
      <c r="H349" s="227"/>
      <c r="I349" s="227"/>
      <c r="J349" s="227"/>
      <c r="K349" s="227"/>
      <c r="L349" s="227"/>
      <c r="M349" s="227"/>
      <c r="N349" s="227"/>
      <c r="O349" s="227"/>
    </row>
    <row r="350" spans="4:15">
      <c r="D350" s="227"/>
      <c r="E350" s="227"/>
      <c r="F350" s="227"/>
      <c r="G350" s="227"/>
      <c r="H350" s="227"/>
      <c r="I350" s="227"/>
      <c r="J350" s="227"/>
      <c r="K350" s="227"/>
      <c r="L350" s="227"/>
      <c r="M350" s="227"/>
      <c r="N350" s="227"/>
      <c r="O350" s="227"/>
    </row>
    <row r="351" spans="4:15">
      <c r="D351" s="227"/>
      <c r="E351" s="227"/>
      <c r="F351" s="227"/>
      <c r="G351" s="227"/>
      <c r="H351" s="227"/>
      <c r="I351" s="227"/>
      <c r="J351" s="227"/>
      <c r="K351" s="227"/>
      <c r="L351" s="227"/>
      <c r="M351" s="227"/>
      <c r="N351" s="227"/>
      <c r="O351" s="227"/>
    </row>
    <row r="352" spans="4:15">
      <c r="D352" s="227"/>
      <c r="E352" s="227"/>
      <c r="F352" s="227"/>
      <c r="G352" s="227"/>
      <c r="H352" s="227"/>
      <c r="I352" s="227"/>
      <c r="J352" s="227"/>
      <c r="K352" s="227"/>
      <c r="L352" s="227"/>
      <c r="M352" s="227"/>
      <c r="N352" s="227"/>
      <c r="O352" s="227"/>
    </row>
    <row r="353" spans="4:15">
      <c r="D353" s="227"/>
      <c r="E353" s="227"/>
      <c r="F353" s="227"/>
      <c r="G353" s="227"/>
      <c r="H353" s="227"/>
      <c r="I353" s="227"/>
      <c r="J353" s="227"/>
      <c r="K353" s="227"/>
      <c r="L353" s="227"/>
      <c r="M353" s="227"/>
      <c r="N353" s="227"/>
      <c r="O353" s="227"/>
    </row>
    <row r="354" spans="4:15">
      <c r="D354" s="227"/>
      <c r="E354" s="227"/>
      <c r="F354" s="227"/>
      <c r="G354" s="227"/>
      <c r="H354" s="227"/>
      <c r="I354" s="227"/>
      <c r="J354" s="227"/>
      <c r="K354" s="227"/>
      <c r="L354" s="227"/>
      <c r="M354" s="227"/>
      <c r="N354" s="227"/>
      <c r="O354" s="227"/>
    </row>
    <row r="355" spans="4:15">
      <c r="D355" s="227"/>
      <c r="E355" s="227"/>
      <c r="F355" s="227"/>
      <c r="G355" s="227"/>
      <c r="H355" s="227"/>
      <c r="I355" s="227"/>
      <c r="J355" s="227"/>
      <c r="K355" s="227"/>
      <c r="L355" s="227"/>
      <c r="M355" s="227"/>
      <c r="N355" s="227"/>
      <c r="O355" s="227"/>
    </row>
    <row r="356" spans="4:15">
      <c r="D356" s="227"/>
      <c r="E356" s="227"/>
      <c r="F356" s="227"/>
      <c r="G356" s="227"/>
      <c r="H356" s="227"/>
      <c r="I356" s="227"/>
      <c r="J356" s="227"/>
      <c r="K356" s="227"/>
      <c r="L356" s="227"/>
      <c r="M356" s="227"/>
      <c r="N356" s="227"/>
      <c r="O356" s="227"/>
    </row>
    <row r="357" spans="4:15">
      <c r="D357" s="227"/>
      <c r="E357" s="227"/>
      <c r="F357" s="227"/>
      <c r="G357" s="227"/>
      <c r="H357" s="227"/>
      <c r="I357" s="227"/>
      <c r="J357" s="227"/>
      <c r="K357" s="227"/>
      <c r="L357" s="227"/>
      <c r="M357" s="227"/>
      <c r="N357" s="227"/>
      <c r="O357" s="227"/>
    </row>
    <row r="358" spans="4:15">
      <c r="D358" s="227"/>
      <c r="E358" s="227"/>
      <c r="F358" s="227"/>
      <c r="G358" s="227"/>
      <c r="H358" s="227"/>
      <c r="I358" s="227"/>
      <c r="J358" s="227"/>
      <c r="K358" s="227"/>
      <c r="L358" s="227"/>
      <c r="M358" s="227"/>
      <c r="N358" s="227"/>
      <c r="O358" s="227"/>
    </row>
    <row r="359" spans="4:15">
      <c r="D359" s="227"/>
      <c r="E359" s="227"/>
      <c r="F359" s="227"/>
      <c r="G359" s="227"/>
      <c r="H359" s="227"/>
      <c r="I359" s="227"/>
      <c r="J359" s="227"/>
      <c r="K359" s="227"/>
      <c r="L359" s="227"/>
      <c r="M359" s="227"/>
      <c r="N359" s="227"/>
      <c r="O359" s="227"/>
    </row>
    <row r="360" spans="4:15">
      <c r="D360" s="227"/>
      <c r="E360" s="227"/>
      <c r="F360" s="227"/>
      <c r="G360" s="227"/>
      <c r="H360" s="227"/>
      <c r="I360" s="227"/>
      <c r="J360" s="227"/>
      <c r="K360" s="227"/>
      <c r="L360" s="227"/>
      <c r="M360" s="227"/>
      <c r="N360" s="227"/>
      <c r="O360" s="227"/>
    </row>
    <row r="361" spans="4:15">
      <c r="D361" s="227"/>
      <c r="E361" s="227"/>
      <c r="F361" s="227"/>
      <c r="G361" s="227"/>
      <c r="H361" s="227"/>
      <c r="I361" s="227"/>
      <c r="J361" s="227"/>
      <c r="K361" s="227"/>
      <c r="L361" s="227"/>
      <c r="M361" s="227"/>
      <c r="N361" s="227"/>
      <c r="O361" s="227"/>
    </row>
    <row r="362" spans="4:15">
      <c r="D362" s="227"/>
      <c r="E362" s="227"/>
      <c r="F362" s="227"/>
      <c r="G362" s="227"/>
      <c r="H362" s="227"/>
      <c r="I362" s="227"/>
      <c r="J362" s="227"/>
      <c r="K362" s="227"/>
      <c r="L362" s="227"/>
      <c r="M362" s="227"/>
      <c r="N362" s="227"/>
      <c r="O362" s="227"/>
    </row>
    <row r="363" spans="4:15">
      <c r="D363" s="227"/>
      <c r="E363" s="227"/>
      <c r="F363" s="227"/>
      <c r="G363" s="227"/>
      <c r="H363" s="227"/>
      <c r="I363" s="227"/>
      <c r="J363" s="227"/>
      <c r="K363" s="227"/>
      <c r="L363" s="227"/>
      <c r="M363" s="227"/>
      <c r="N363" s="227"/>
      <c r="O363" s="227"/>
    </row>
    <row r="364" spans="4:15">
      <c r="D364" s="227"/>
      <c r="E364" s="227"/>
      <c r="F364" s="227"/>
      <c r="G364" s="227"/>
      <c r="H364" s="227"/>
      <c r="I364" s="227"/>
      <c r="J364" s="227"/>
      <c r="K364" s="227"/>
      <c r="L364" s="227"/>
      <c r="M364" s="227"/>
      <c r="N364" s="227"/>
      <c r="O364" s="227"/>
    </row>
    <row r="365" spans="4:15">
      <c r="D365" s="227"/>
      <c r="E365" s="227"/>
      <c r="F365" s="227"/>
      <c r="G365" s="227"/>
      <c r="H365" s="227"/>
      <c r="I365" s="227"/>
      <c r="J365" s="227"/>
      <c r="K365" s="227"/>
      <c r="L365" s="227"/>
      <c r="M365" s="227"/>
      <c r="N365" s="227"/>
      <c r="O365" s="227"/>
    </row>
    <row r="366" spans="4:15">
      <c r="D366" s="227"/>
      <c r="E366" s="227"/>
      <c r="F366" s="227"/>
      <c r="G366" s="227"/>
      <c r="H366" s="227"/>
      <c r="I366" s="227"/>
      <c r="J366" s="227"/>
      <c r="K366" s="227"/>
      <c r="L366" s="227"/>
      <c r="M366" s="227"/>
      <c r="N366" s="227"/>
      <c r="O366" s="227"/>
    </row>
    <row r="367" spans="4:15">
      <c r="D367" s="227"/>
      <c r="E367" s="227"/>
      <c r="F367" s="227"/>
      <c r="G367" s="227"/>
      <c r="H367" s="227"/>
      <c r="I367" s="227"/>
      <c r="J367" s="227"/>
      <c r="K367" s="227"/>
      <c r="L367" s="227"/>
      <c r="M367" s="227"/>
      <c r="N367" s="227"/>
      <c r="O367" s="227"/>
    </row>
    <row r="368" spans="4:15">
      <c r="D368" s="227"/>
      <c r="E368" s="227"/>
      <c r="F368" s="227"/>
      <c r="G368" s="227"/>
      <c r="H368" s="227"/>
      <c r="I368" s="227"/>
      <c r="J368" s="227"/>
      <c r="K368" s="227"/>
      <c r="L368" s="227"/>
      <c r="M368" s="227"/>
      <c r="N368" s="227"/>
      <c r="O368" s="227"/>
    </row>
    <row r="369" spans="4:15">
      <c r="D369" s="227"/>
      <c r="E369" s="227"/>
      <c r="F369" s="227"/>
      <c r="G369" s="227"/>
      <c r="H369" s="227"/>
      <c r="I369" s="227"/>
      <c r="J369" s="227"/>
      <c r="K369" s="227"/>
      <c r="L369" s="227"/>
      <c r="M369" s="227"/>
      <c r="N369" s="227"/>
      <c r="O369" s="227"/>
    </row>
    <row r="370" spans="4:15">
      <c r="D370" s="227"/>
      <c r="E370" s="227"/>
      <c r="F370" s="227"/>
      <c r="G370" s="227"/>
      <c r="H370" s="227"/>
      <c r="I370" s="227"/>
      <c r="J370" s="227"/>
      <c r="K370" s="227"/>
      <c r="L370" s="227"/>
      <c r="M370" s="227"/>
      <c r="N370" s="227"/>
      <c r="O370" s="227"/>
    </row>
    <row r="371" spans="4:15">
      <c r="D371" s="227"/>
      <c r="E371" s="227"/>
      <c r="F371" s="227"/>
      <c r="G371" s="227"/>
      <c r="H371" s="227"/>
      <c r="I371" s="227"/>
      <c r="J371" s="227"/>
      <c r="K371" s="227"/>
      <c r="L371" s="227"/>
      <c r="M371" s="227"/>
      <c r="N371" s="227"/>
      <c r="O371" s="227"/>
    </row>
    <row r="372" spans="4:15">
      <c r="D372" s="227"/>
      <c r="E372" s="227"/>
      <c r="F372" s="227"/>
      <c r="G372" s="227"/>
      <c r="H372" s="227"/>
      <c r="I372" s="227"/>
      <c r="J372" s="227"/>
      <c r="K372" s="227"/>
      <c r="L372" s="227"/>
      <c r="M372" s="227"/>
      <c r="N372" s="227"/>
      <c r="O372" s="227"/>
    </row>
    <row r="373" spans="4:15">
      <c r="D373" s="227"/>
      <c r="E373" s="227"/>
      <c r="F373" s="227"/>
      <c r="G373" s="227"/>
      <c r="H373" s="227"/>
      <c r="I373" s="227"/>
      <c r="J373" s="227"/>
      <c r="K373" s="227"/>
      <c r="L373" s="227"/>
      <c r="M373" s="227"/>
      <c r="N373" s="227"/>
      <c r="O373" s="227"/>
    </row>
    <row r="374" spans="4:15">
      <c r="D374" s="227"/>
      <c r="E374" s="227"/>
      <c r="F374" s="227"/>
      <c r="G374" s="227"/>
      <c r="H374" s="227"/>
      <c r="I374" s="227"/>
      <c r="J374" s="227"/>
      <c r="K374" s="227"/>
      <c r="L374" s="227"/>
      <c r="M374" s="227"/>
      <c r="N374" s="227"/>
      <c r="O374" s="227"/>
    </row>
    <row r="375" spans="4:15">
      <c r="D375" s="227"/>
      <c r="E375" s="227"/>
      <c r="F375" s="227"/>
      <c r="G375" s="227"/>
      <c r="H375" s="227"/>
      <c r="I375" s="227"/>
      <c r="J375" s="227"/>
      <c r="K375" s="227"/>
      <c r="L375" s="227"/>
      <c r="M375" s="227"/>
      <c r="N375" s="227"/>
      <c r="O375" s="227"/>
    </row>
    <row r="376" spans="4:15">
      <c r="D376" s="227"/>
      <c r="E376" s="227"/>
      <c r="F376" s="227"/>
      <c r="G376" s="227"/>
      <c r="H376" s="227"/>
      <c r="I376" s="227"/>
      <c r="J376" s="227"/>
      <c r="K376" s="227"/>
      <c r="L376" s="227"/>
      <c r="M376" s="227"/>
      <c r="N376" s="227"/>
      <c r="O376" s="227"/>
    </row>
    <row r="377" spans="4:15">
      <c r="D377" s="227"/>
      <c r="E377" s="227"/>
      <c r="F377" s="227"/>
      <c r="G377" s="227"/>
      <c r="H377" s="227"/>
      <c r="I377" s="227"/>
      <c r="J377" s="227"/>
      <c r="K377" s="227"/>
      <c r="L377" s="227"/>
      <c r="M377" s="227"/>
      <c r="N377" s="227"/>
      <c r="O377" s="227"/>
    </row>
    <row r="378" spans="4:15">
      <c r="D378" s="227"/>
      <c r="E378" s="227"/>
      <c r="F378" s="227"/>
      <c r="G378" s="227"/>
      <c r="H378" s="227"/>
      <c r="I378" s="227"/>
      <c r="J378" s="227"/>
      <c r="K378" s="227"/>
      <c r="L378" s="227"/>
      <c r="M378" s="227"/>
      <c r="N378" s="227"/>
      <c r="O378" s="227"/>
    </row>
    <row r="379" spans="4:15">
      <c r="D379" s="227"/>
      <c r="E379" s="227"/>
      <c r="F379" s="227"/>
      <c r="G379" s="227"/>
      <c r="H379" s="227"/>
      <c r="I379" s="227"/>
      <c r="J379" s="227"/>
      <c r="K379" s="227"/>
      <c r="L379" s="227"/>
      <c r="M379" s="227"/>
      <c r="N379" s="227"/>
      <c r="O379" s="227"/>
    </row>
    <row r="380" spans="4:15">
      <c r="D380" s="227"/>
      <c r="E380" s="227"/>
      <c r="F380" s="227"/>
      <c r="G380" s="227"/>
      <c r="H380" s="227"/>
      <c r="I380" s="227"/>
      <c r="J380" s="227"/>
      <c r="K380" s="227"/>
      <c r="L380" s="227"/>
      <c r="M380" s="227"/>
      <c r="N380" s="227"/>
      <c r="O380" s="227"/>
    </row>
    <row r="381" spans="4:15">
      <c r="D381" s="227"/>
      <c r="E381" s="227"/>
      <c r="F381" s="227"/>
      <c r="G381" s="227"/>
      <c r="H381" s="227"/>
      <c r="I381" s="227"/>
      <c r="J381" s="227"/>
      <c r="K381" s="227"/>
      <c r="L381" s="227"/>
      <c r="M381" s="227"/>
      <c r="N381" s="227"/>
      <c r="O381" s="227"/>
    </row>
    <row r="382" spans="4:15">
      <c r="D382" s="227"/>
      <c r="E382" s="227"/>
      <c r="F382" s="227"/>
      <c r="G382" s="227"/>
      <c r="H382" s="227"/>
      <c r="I382" s="227"/>
      <c r="J382" s="227"/>
      <c r="K382" s="227"/>
      <c r="L382" s="227"/>
      <c r="M382" s="227"/>
      <c r="N382" s="227"/>
      <c r="O382" s="227"/>
    </row>
    <row r="383" spans="4:15">
      <c r="D383" s="227"/>
      <c r="E383" s="227"/>
      <c r="F383" s="227"/>
      <c r="G383" s="227"/>
      <c r="H383" s="227"/>
      <c r="I383" s="227"/>
      <c r="J383" s="227"/>
      <c r="K383" s="227"/>
      <c r="L383" s="227"/>
      <c r="M383" s="227"/>
      <c r="N383" s="227"/>
      <c r="O383" s="227"/>
    </row>
    <row r="384" spans="4:15">
      <c r="D384" s="227"/>
      <c r="E384" s="227"/>
      <c r="F384" s="227"/>
      <c r="G384" s="227"/>
      <c r="H384" s="227"/>
      <c r="I384" s="227"/>
      <c r="J384" s="227"/>
      <c r="K384" s="227"/>
      <c r="L384" s="227"/>
      <c r="M384" s="227"/>
      <c r="N384" s="227"/>
      <c r="O384" s="227"/>
    </row>
    <row r="385" spans="4:15">
      <c r="D385" s="227"/>
      <c r="E385" s="227"/>
      <c r="F385" s="227"/>
      <c r="G385" s="227"/>
      <c r="H385" s="227"/>
      <c r="I385" s="227"/>
      <c r="J385" s="227"/>
      <c r="K385" s="227"/>
      <c r="L385" s="227"/>
      <c r="M385" s="227"/>
      <c r="N385" s="227"/>
      <c r="O385" s="227"/>
    </row>
    <row r="386" spans="4:15">
      <c r="D386" s="227"/>
      <c r="E386" s="227"/>
      <c r="F386" s="227"/>
      <c r="G386" s="227"/>
      <c r="H386" s="227"/>
      <c r="I386" s="227"/>
      <c r="J386" s="227"/>
      <c r="K386" s="227"/>
      <c r="L386" s="227"/>
      <c r="M386" s="227"/>
      <c r="N386" s="227"/>
      <c r="O386" s="227"/>
    </row>
    <row r="387" spans="4:15">
      <c r="D387" s="227"/>
      <c r="E387" s="227"/>
      <c r="F387" s="227"/>
      <c r="G387" s="227"/>
      <c r="H387" s="227"/>
      <c r="I387" s="227"/>
      <c r="J387" s="227"/>
      <c r="K387" s="227"/>
      <c r="L387" s="227"/>
      <c r="M387" s="227"/>
      <c r="N387" s="227"/>
      <c r="O387" s="227"/>
    </row>
    <row r="388" spans="4:15">
      <c r="D388" s="227"/>
      <c r="E388" s="227"/>
      <c r="F388" s="227"/>
      <c r="G388" s="227"/>
      <c r="H388" s="227"/>
      <c r="I388" s="227"/>
      <c r="J388" s="227"/>
      <c r="K388" s="227"/>
      <c r="L388" s="227"/>
      <c r="M388" s="227"/>
      <c r="N388" s="227"/>
      <c r="O388" s="227"/>
    </row>
    <row r="389" spans="4:15">
      <c r="D389" s="227"/>
      <c r="E389" s="227"/>
      <c r="F389" s="227"/>
      <c r="G389" s="227"/>
      <c r="H389" s="227"/>
      <c r="I389" s="227"/>
      <c r="J389" s="227"/>
      <c r="K389" s="227"/>
      <c r="L389" s="227"/>
      <c r="M389" s="227"/>
      <c r="N389" s="227"/>
      <c r="O389" s="227"/>
    </row>
    <row r="390" spans="4:15">
      <c r="D390" s="227"/>
      <c r="E390" s="227"/>
      <c r="F390" s="227"/>
      <c r="G390" s="227"/>
      <c r="H390" s="227"/>
      <c r="I390" s="227"/>
      <c r="J390" s="227"/>
      <c r="K390" s="227"/>
      <c r="L390" s="227"/>
      <c r="M390" s="227"/>
      <c r="N390" s="227"/>
      <c r="O390" s="227"/>
    </row>
    <row r="391" spans="4:15">
      <c r="D391" s="227"/>
      <c r="E391" s="227"/>
      <c r="F391" s="227"/>
      <c r="G391" s="227"/>
      <c r="H391" s="227"/>
      <c r="I391" s="227"/>
      <c r="J391" s="227"/>
      <c r="K391" s="227"/>
      <c r="L391" s="227"/>
      <c r="M391" s="227"/>
      <c r="N391" s="227"/>
      <c r="O391" s="227"/>
    </row>
    <row r="392" spans="4:15">
      <c r="D392" s="227"/>
      <c r="E392" s="227"/>
      <c r="F392" s="227"/>
      <c r="G392" s="227"/>
      <c r="H392" s="227"/>
      <c r="I392" s="227"/>
      <c r="J392" s="227"/>
      <c r="K392" s="227"/>
      <c r="L392" s="227"/>
      <c r="M392" s="227"/>
      <c r="N392" s="227"/>
      <c r="O392" s="227"/>
    </row>
    <row r="393" spans="4:15">
      <c r="D393" s="227"/>
      <c r="E393" s="227"/>
      <c r="F393" s="227"/>
      <c r="G393" s="227"/>
      <c r="H393" s="227"/>
      <c r="I393" s="227"/>
      <c r="J393" s="227"/>
      <c r="K393" s="227"/>
      <c r="L393" s="227"/>
      <c r="M393" s="227"/>
      <c r="N393" s="227"/>
      <c r="O393" s="227"/>
    </row>
    <row r="394" spans="4:15">
      <c r="D394" s="227"/>
      <c r="E394" s="227"/>
      <c r="F394" s="227"/>
      <c r="G394" s="227"/>
      <c r="H394" s="227"/>
      <c r="I394" s="227"/>
      <c r="J394" s="227"/>
      <c r="K394" s="227"/>
      <c r="L394" s="227"/>
      <c r="M394" s="227"/>
      <c r="N394" s="227"/>
      <c r="O394" s="227"/>
    </row>
    <row r="395" spans="4:15">
      <c r="D395" s="227"/>
      <c r="E395" s="227"/>
      <c r="F395" s="227"/>
      <c r="G395" s="227"/>
      <c r="H395" s="227"/>
      <c r="I395" s="227"/>
      <c r="J395" s="227"/>
      <c r="K395" s="227"/>
      <c r="L395" s="227"/>
      <c r="M395" s="227"/>
      <c r="N395" s="227"/>
      <c r="O395" s="227"/>
    </row>
    <row r="396" spans="4:15">
      <c r="D396" s="227"/>
      <c r="E396" s="227"/>
      <c r="F396" s="227"/>
      <c r="G396" s="227"/>
      <c r="H396" s="227"/>
      <c r="I396" s="227"/>
      <c r="J396" s="227"/>
      <c r="K396" s="227"/>
      <c r="L396" s="227"/>
      <c r="M396" s="227"/>
      <c r="N396" s="227"/>
      <c r="O396" s="227"/>
    </row>
    <row r="397" spans="4:15">
      <c r="D397" s="227"/>
      <c r="E397" s="227"/>
      <c r="F397" s="227"/>
      <c r="G397" s="227"/>
      <c r="H397" s="227"/>
      <c r="I397" s="227"/>
      <c r="J397" s="227"/>
      <c r="K397" s="227"/>
      <c r="L397" s="227"/>
      <c r="M397" s="227"/>
      <c r="N397" s="227"/>
      <c r="O397" s="227"/>
    </row>
    <row r="398" spans="4:15">
      <c r="D398" s="227"/>
      <c r="E398" s="227"/>
      <c r="F398" s="227"/>
      <c r="G398" s="227"/>
      <c r="H398" s="227"/>
      <c r="I398" s="227"/>
      <c r="J398" s="227"/>
      <c r="K398" s="227"/>
      <c r="L398" s="227"/>
      <c r="M398" s="227"/>
      <c r="N398" s="227"/>
      <c r="O398" s="227"/>
    </row>
    <row r="399" spans="4:15">
      <c r="D399" s="227"/>
      <c r="E399" s="227"/>
      <c r="F399" s="227"/>
      <c r="G399" s="227"/>
      <c r="H399" s="227"/>
      <c r="I399" s="227"/>
      <c r="J399" s="227"/>
      <c r="K399" s="227"/>
      <c r="L399" s="227"/>
      <c r="M399" s="227"/>
      <c r="N399" s="227"/>
      <c r="O399" s="227"/>
    </row>
    <row r="400" spans="4:15">
      <c r="D400" s="227"/>
      <c r="E400" s="227"/>
      <c r="F400" s="227"/>
      <c r="G400" s="227"/>
      <c r="H400" s="227"/>
      <c r="I400" s="227"/>
      <c r="J400" s="227"/>
      <c r="K400" s="227"/>
      <c r="L400" s="227"/>
      <c r="M400" s="227"/>
      <c r="N400" s="227"/>
      <c r="O400" s="227"/>
    </row>
    <row r="401" spans="4:15">
      <c r="D401" s="227"/>
      <c r="E401" s="227"/>
      <c r="F401" s="227"/>
      <c r="G401" s="227"/>
      <c r="H401" s="227"/>
      <c r="I401" s="227"/>
      <c r="J401" s="227"/>
      <c r="K401" s="227"/>
      <c r="L401" s="227"/>
      <c r="M401" s="227"/>
      <c r="N401" s="227"/>
      <c r="O401" s="227"/>
    </row>
    <row r="402" spans="4:15">
      <c r="D402" s="227"/>
      <c r="E402" s="227"/>
      <c r="F402" s="227"/>
      <c r="G402" s="227"/>
      <c r="H402" s="227"/>
      <c r="I402" s="227"/>
      <c r="J402" s="227"/>
      <c r="K402" s="227"/>
      <c r="L402" s="227"/>
      <c r="M402" s="227"/>
      <c r="N402" s="227"/>
      <c r="O402" s="227"/>
    </row>
    <row r="403" spans="4:15">
      <c r="D403" s="227"/>
      <c r="E403" s="227"/>
      <c r="F403" s="227"/>
      <c r="G403" s="227"/>
      <c r="H403" s="227"/>
      <c r="I403" s="227"/>
      <c r="J403" s="227"/>
      <c r="K403" s="227"/>
      <c r="L403" s="227"/>
      <c r="M403" s="227"/>
      <c r="N403" s="227"/>
      <c r="O403" s="227"/>
    </row>
    <row r="404" spans="4:15">
      <c r="D404" s="227"/>
      <c r="E404" s="227"/>
      <c r="F404" s="227"/>
      <c r="G404" s="227"/>
      <c r="H404" s="227"/>
      <c r="I404" s="227"/>
      <c r="J404" s="227"/>
      <c r="K404" s="227"/>
      <c r="L404" s="227"/>
      <c r="M404" s="227"/>
      <c r="N404" s="227"/>
      <c r="O404" s="227"/>
    </row>
    <row r="405" spans="4:15">
      <c r="D405" s="227"/>
      <c r="E405" s="227"/>
      <c r="F405" s="227"/>
      <c r="G405" s="227"/>
      <c r="H405" s="227"/>
      <c r="I405" s="227"/>
      <c r="J405" s="227"/>
      <c r="K405" s="227"/>
      <c r="L405" s="227"/>
      <c r="M405" s="227"/>
      <c r="N405" s="227"/>
      <c r="O405" s="227"/>
    </row>
    <row r="406" spans="4:15">
      <c r="D406" s="227"/>
      <c r="E406" s="227"/>
      <c r="F406" s="227"/>
      <c r="G406" s="227"/>
      <c r="H406" s="227"/>
      <c r="I406" s="227"/>
      <c r="J406" s="227"/>
      <c r="K406" s="227"/>
      <c r="L406" s="227"/>
      <c r="M406" s="227"/>
      <c r="N406" s="227"/>
      <c r="O406" s="227"/>
    </row>
    <row r="407" spans="4:15">
      <c r="D407" s="227"/>
      <c r="E407" s="227"/>
      <c r="F407" s="227"/>
      <c r="G407" s="227"/>
      <c r="H407" s="227"/>
      <c r="I407" s="227"/>
      <c r="J407" s="227"/>
      <c r="K407" s="227"/>
      <c r="L407" s="227"/>
      <c r="M407" s="227"/>
      <c r="N407" s="227"/>
      <c r="O407" s="227"/>
    </row>
    <row r="408" spans="4:15">
      <c r="D408" s="227"/>
      <c r="E408" s="227"/>
      <c r="F408" s="227"/>
      <c r="G408" s="227"/>
      <c r="H408" s="227"/>
      <c r="I408" s="227"/>
      <c r="J408" s="227"/>
      <c r="K408" s="227"/>
      <c r="L408" s="227"/>
      <c r="M408" s="227"/>
      <c r="N408" s="227"/>
      <c r="O408" s="227"/>
    </row>
    <row r="409" spans="4:15">
      <c r="D409" s="227"/>
      <c r="E409" s="227"/>
      <c r="F409" s="227"/>
      <c r="G409" s="227"/>
      <c r="H409" s="227"/>
      <c r="I409" s="227"/>
      <c r="J409" s="227"/>
      <c r="K409" s="227"/>
      <c r="L409" s="227"/>
      <c r="M409" s="227"/>
      <c r="N409" s="227"/>
      <c r="O409" s="227"/>
    </row>
    <row r="410" spans="4:15">
      <c r="D410" s="227"/>
      <c r="E410" s="227"/>
      <c r="F410" s="227"/>
      <c r="G410" s="227"/>
      <c r="H410" s="227"/>
      <c r="I410" s="227"/>
      <c r="J410" s="227"/>
      <c r="K410" s="227"/>
      <c r="L410" s="227"/>
      <c r="M410" s="227"/>
      <c r="N410" s="227"/>
      <c r="O410" s="227"/>
    </row>
    <row r="411" spans="4:15">
      <c r="D411" s="227"/>
      <c r="E411" s="227"/>
      <c r="F411" s="227"/>
      <c r="G411" s="227"/>
      <c r="H411" s="227"/>
      <c r="I411" s="227"/>
      <c r="J411" s="227"/>
      <c r="K411" s="227"/>
      <c r="L411" s="227"/>
      <c r="M411" s="227"/>
      <c r="N411" s="227"/>
      <c r="O411" s="227"/>
    </row>
    <row r="412" spans="4:15">
      <c r="D412" s="227"/>
      <c r="E412" s="227"/>
      <c r="F412" s="227"/>
      <c r="G412" s="227"/>
      <c r="H412" s="227"/>
      <c r="I412" s="227"/>
      <c r="J412" s="227"/>
      <c r="K412" s="227"/>
      <c r="L412" s="227"/>
      <c r="M412" s="227"/>
      <c r="N412" s="227"/>
      <c r="O412" s="227"/>
    </row>
    <row r="413" spans="4:15">
      <c r="D413" s="227"/>
      <c r="E413" s="227"/>
      <c r="F413" s="227"/>
      <c r="G413" s="227"/>
      <c r="H413" s="227"/>
      <c r="I413" s="227"/>
      <c r="J413" s="227"/>
      <c r="K413" s="227"/>
      <c r="L413" s="227"/>
      <c r="M413" s="227"/>
      <c r="N413" s="227"/>
      <c r="O413" s="227"/>
    </row>
    <row r="414" spans="4:15">
      <c r="D414" s="227"/>
      <c r="E414" s="227"/>
      <c r="F414" s="227"/>
      <c r="G414" s="227"/>
      <c r="H414" s="227"/>
      <c r="I414" s="227"/>
      <c r="J414" s="227"/>
      <c r="K414" s="227"/>
      <c r="L414" s="227"/>
      <c r="M414" s="227"/>
      <c r="N414" s="227"/>
      <c r="O414" s="227"/>
    </row>
    <row r="415" spans="4:15">
      <c r="D415" s="227"/>
      <c r="E415" s="227"/>
      <c r="F415" s="227"/>
      <c r="G415" s="227"/>
      <c r="H415" s="227"/>
      <c r="I415" s="227"/>
      <c r="J415" s="227"/>
      <c r="K415" s="227"/>
      <c r="L415" s="227"/>
      <c r="M415" s="227"/>
      <c r="N415" s="227"/>
      <c r="O415" s="227"/>
    </row>
    <row r="416" spans="4:15">
      <c r="D416" s="227"/>
      <c r="E416" s="227"/>
      <c r="F416" s="227"/>
      <c r="G416" s="227"/>
      <c r="H416" s="227"/>
      <c r="I416" s="227"/>
      <c r="J416" s="227"/>
      <c r="K416" s="227"/>
      <c r="L416" s="227"/>
      <c r="M416" s="227"/>
      <c r="N416" s="227"/>
      <c r="O416" s="227"/>
    </row>
    <row r="417" spans="4:15">
      <c r="D417" s="227"/>
      <c r="E417" s="227"/>
      <c r="F417" s="227"/>
      <c r="G417" s="227"/>
      <c r="H417" s="227"/>
      <c r="I417" s="227"/>
      <c r="J417" s="227"/>
      <c r="K417" s="227"/>
      <c r="L417" s="227"/>
      <c r="M417" s="227"/>
      <c r="N417" s="227"/>
      <c r="O417" s="227"/>
    </row>
    <row r="418" spans="4:15">
      <c r="D418" s="227"/>
      <c r="E418" s="227"/>
      <c r="F418" s="227"/>
      <c r="G418" s="227"/>
      <c r="H418" s="227"/>
      <c r="I418" s="227"/>
      <c r="J418" s="227"/>
      <c r="K418" s="227"/>
      <c r="L418" s="227"/>
      <c r="M418" s="227"/>
      <c r="N418" s="227"/>
      <c r="O418" s="227"/>
    </row>
    <row r="419" spans="4:15">
      <c r="D419" s="227"/>
      <c r="E419" s="227"/>
      <c r="F419" s="227"/>
      <c r="G419" s="227"/>
      <c r="H419" s="227"/>
      <c r="I419" s="227"/>
      <c r="J419" s="227"/>
      <c r="K419" s="227"/>
      <c r="L419" s="227"/>
      <c r="M419" s="227"/>
      <c r="N419" s="227"/>
      <c r="O419" s="227"/>
    </row>
    <row r="420" spans="4:15">
      <c r="D420" s="227"/>
      <c r="E420" s="227"/>
      <c r="F420" s="227"/>
      <c r="G420" s="227"/>
      <c r="H420" s="227"/>
      <c r="I420" s="227"/>
      <c r="J420" s="227"/>
      <c r="K420" s="227"/>
      <c r="L420" s="227"/>
      <c r="M420" s="227"/>
      <c r="N420" s="227"/>
      <c r="O420" s="227"/>
    </row>
    <row r="421" spans="4:15">
      <c r="D421" s="227"/>
      <c r="E421" s="227"/>
      <c r="F421" s="227"/>
      <c r="G421" s="227"/>
      <c r="H421" s="227"/>
      <c r="I421" s="227"/>
      <c r="J421" s="227"/>
      <c r="K421" s="227"/>
      <c r="L421" s="227"/>
      <c r="M421" s="227"/>
      <c r="N421" s="227"/>
      <c r="O421" s="227"/>
    </row>
    <row r="422" spans="4:15">
      <c r="D422" s="227"/>
      <c r="E422" s="227"/>
      <c r="F422" s="227"/>
      <c r="G422" s="227"/>
      <c r="H422" s="227"/>
      <c r="I422" s="227"/>
      <c r="J422" s="227"/>
      <c r="K422" s="227"/>
      <c r="L422" s="227"/>
      <c r="M422" s="227"/>
      <c r="N422" s="227"/>
      <c r="O422" s="227"/>
    </row>
    <row r="423" spans="4:15">
      <c r="D423" s="227"/>
      <c r="E423" s="227"/>
      <c r="F423" s="227"/>
      <c r="G423" s="227"/>
      <c r="H423" s="227"/>
      <c r="I423" s="227"/>
      <c r="J423" s="227"/>
      <c r="K423" s="227"/>
      <c r="L423" s="227"/>
      <c r="M423" s="227"/>
      <c r="N423" s="227"/>
      <c r="O423" s="227"/>
    </row>
    <row r="424" spans="4:15">
      <c r="D424" s="227"/>
      <c r="E424" s="227"/>
      <c r="F424" s="227"/>
      <c r="G424" s="227"/>
      <c r="H424" s="227"/>
      <c r="I424" s="227"/>
      <c r="J424" s="227"/>
      <c r="K424" s="227"/>
      <c r="L424" s="227"/>
      <c r="M424" s="227"/>
      <c r="N424" s="227"/>
      <c r="O424" s="227"/>
    </row>
    <row r="425" spans="4:15">
      <c r="D425" s="227"/>
      <c r="E425" s="227"/>
      <c r="F425" s="227"/>
      <c r="G425" s="227"/>
      <c r="H425" s="227"/>
      <c r="I425" s="227"/>
      <c r="J425" s="227"/>
      <c r="K425" s="227"/>
      <c r="L425" s="227"/>
      <c r="M425" s="227"/>
      <c r="N425" s="227"/>
      <c r="O425" s="227"/>
    </row>
    <row r="426" spans="4:15">
      <c r="D426" s="227"/>
      <c r="E426" s="227"/>
      <c r="F426" s="227"/>
      <c r="G426" s="227"/>
      <c r="H426" s="227"/>
      <c r="I426" s="227"/>
      <c r="J426" s="227"/>
      <c r="K426" s="227"/>
      <c r="L426" s="227"/>
      <c r="M426" s="227"/>
      <c r="N426" s="227"/>
      <c r="O426" s="227"/>
    </row>
    <row r="427" spans="4:15"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7"/>
      <c r="O427" s="227"/>
    </row>
    <row r="428" spans="4:15">
      <c r="D428" s="227"/>
      <c r="E428" s="227"/>
      <c r="F428" s="227"/>
      <c r="G428" s="227"/>
      <c r="H428" s="227"/>
      <c r="I428" s="227"/>
      <c r="J428" s="227"/>
      <c r="K428" s="227"/>
      <c r="L428" s="227"/>
      <c r="M428" s="227"/>
      <c r="N428" s="227"/>
      <c r="O428" s="227"/>
    </row>
    <row r="429" spans="4:15">
      <c r="D429" s="227"/>
      <c r="E429" s="227"/>
      <c r="F429" s="227"/>
      <c r="G429" s="227"/>
      <c r="H429" s="227"/>
      <c r="I429" s="227"/>
      <c r="J429" s="227"/>
      <c r="K429" s="227"/>
      <c r="L429" s="227"/>
      <c r="M429" s="227"/>
      <c r="N429" s="227"/>
      <c r="O429" s="227"/>
    </row>
    <row r="430" spans="4:15">
      <c r="D430" s="227"/>
      <c r="E430" s="227"/>
      <c r="F430" s="227"/>
      <c r="G430" s="227"/>
      <c r="H430" s="227"/>
      <c r="I430" s="227"/>
      <c r="J430" s="227"/>
      <c r="K430" s="227"/>
      <c r="L430" s="227"/>
      <c r="M430" s="227"/>
      <c r="N430" s="227"/>
      <c r="O430" s="227"/>
    </row>
    <row r="431" spans="4:15">
      <c r="D431" s="227"/>
      <c r="E431" s="227"/>
      <c r="F431" s="227"/>
      <c r="G431" s="227"/>
      <c r="H431" s="227"/>
      <c r="I431" s="227"/>
      <c r="J431" s="227"/>
      <c r="K431" s="227"/>
      <c r="L431" s="227"/>
      <c r="M431" s="227"/>
      <c r="N431" s="227"/>
      <c r="O431" s="227"/>
    </row>
    <row r="432" spans="4:15">
      <c r="D432" s="227"/>
      <c r="E432" s="227"/>
      <c r="F432" s="227"/>
      <c r="G432" s="227"/>
      <c r="H432" s="227"/>
      <c r="I432" s="227"/>
      <c r="J432" s="227"/>
      <c r="K432" s="227"/>
      <c r="L432" s="227"/>
      <c r="M432" s="227"/>
      <c r="N432" s="227"/>
      <c r="O432" s="227"/>
    </row>
    <row r="433" spans="4:15">
      <c r="D433" s="227"/>
      <c r="E433" s="227"/>
      <c r="F433" s="227"/>
      <c r="G433" s="227"/>
      <c r="H433" s="227"/>
      <c r="I433" s="227"/>
      <c r="J433" s="227"/>
      <c r="K433" s="227"/>
      <c r="L433" s="227"/>
      <c r="M433" s="227"/>
      <c r="N433" s="227"/>
      <c r="O433" s="227"/>
    </row>
    <row r="434" spans="4:15">
      <c r="D434" s="227"/>
      <c r="E434" s="227"/>
      <c r="F434" s="227"/>
      <c r="G434" s="227"/>
      <c r="H434" s="227"/>
      <c r="I434" s="227"/>
      <c r="J434" s="227"/>
      <c r="K434" s="227"/>
      <c r="L434" s="227"/>
      <c r="M434" s="227"/>
      <c r="N434" s="227"/>
      <c r="O434" s="227"/>
    </row>
    <row r="435" spans="4:15">
      <c r="D435" s="227"/>
      <c r="E435" s="227"/>
      <c r="F435" s="227"/>
      <c r="G435" s="227"/>
      <c r="H435" s="227"/>
      <c r="I435" s="227"/>
      <c r="J435" s="227"/>
      <c r="K435" s="227"/>
      <c r="L435" s="227"/>
      <c r="M435" s="227"/>
      <c r="N435" s="227"/>
      <c r="O435" s="227"/>
    </row>
    <row r="436" spans="4:15">
      <c r="D436" s="227"/>
      <c r="E436" s="227"/>
      <c r="F436" s="227"/>
      <c r="G436" s="227"/>
      <c r="H436" s="227"/>
      <c r="I436" s="227"/>
      <c r="J436" s="227"/>
      <c r="K436" s="227"/>
      <c r="L436" s="227"/>
      <c r="M436" s="227"/>
      <c r="N436" s="227"/>
      <c r="O436" s="227"/>
    </row>
    <row r="437" spans="4:15">
      <c r="D437" s="227"/>
      <c r="E437" s="227"/>
      <c r="F437" s="227"/>
      <c r="G437" s="227"/>
      <c r="H437" s="227"/>
      <c r="I437" s="227"/>
      <c r="J437" s="227"/>
      <c r="K437" s="227"/>
      <c r="L437" s="227"/>
      <c r="M437" s="227"/>
      <c r="N437" s="227"/>
      <c r="O437" s="227"/>
    </row>
    <row r="438" spans="4:15">
      <c r="D438" s="227"/>
      <c r="E438" s="227"/>
      <c r="F438" s="227"/>
      <c r="G438" s="227"/>
      <c r="H438" s="227"/>
      <c r="I438" s="227"/>
      <c r="J438" s="227"/>
      <c r="K438" s="227"/>
      <c r="L438" s="227"/>
      <c r="M438" s="227"/>
      <c r="N438" s="227"/>
      <c r="O438" s="227"/>
    </row>
    <row r="439" spans="4:15">
      <c r="D439" s="227"/>
      <c r="E439" s="227"/>
      <c r="F439" s="227"/>
      <c r="G439" s="227"/>
      <c r="H439" s="227"/>
      <c r="I439" s="227"/>
      <c r="J439" s="227"/>
      <c r="K439" s="227"/>
      <c r="L439" s="227"/>
      <c r="M439" s="227"/>
      <c r="N439" s="227"/>
      <c r="O439" s="227"/>
    </row>
    <row r="440" spans="4:15">
      <c r="D440" s="227"/>
      <c r="E440" s="227"/>
      <c r="F440" s="227"/>
      <c r="G440" s="227"/>
      <c r="H440" s="227"/>
      <c r="I440" s="227"/>
      <c r="J440" s="227"/>
      <c r="K440" s="227"/>
      <c r="L440" s="227"/>
      <c r="M440" s="227"/>
      <c r="N440" s="227"/>
      <c r="O440" s="227"/>
    </row>
    <row r="441" spans="4:15">
      <c r="D441" s="227"/>
      <c r="E441" s="227"/>
      <c r="F441" s="227"/>
      <c r="G441" s="227"/>
      <c r="H441" s="227"/>
      <c r="I441" s="227"/>
      <c r="J441" s="227"/>
      <c r="K441" s="227"/>
      <c r="L441" s="227"/>
      <c r="M441" s="227"/>
      <c r="N441" s="227"/>
      <c r="O441" s="227"/>
    </row>
    <row r="442" spans="4:15">
      <c r="D442" s="227"/>
      <c r="E442" s="227"/>
      <c r="F442" s="227"/>
      <c r="G442" s="227"/>
      <c r="H442" s="227"/>
      <c r="I442" s="227"/>
      <c r="J442" s="227"/>
      <c r="K442" s="227"/>
      <c r="L442" s="227"/>
      <c r="M442" s="227"/>
      <c r="N442" s="227"/>
      <c r="O442" s="227"/>
    </row>
    <row r="443" spans="4:15">
      <c r="D443" s="227"/>
      <c r="E443" s="227"/>
      <c r="F443" s="227"/>
      <c r="G443" s="227"/>
      <c r="H443" s="227"/>
      <c r="I443" s="227"/>
      <c r="J443" s="227"/>
      <c r="K443" s="227"/>
      <c r="L443" s="227"/>
      <c r="M443" s="227"/>
      <c r="N443" s="227"/>
      <c r="O443" s="227"/>
    </row>
    <row r="444" spans="4:15">
      <c r="D444" s="227"/>
      <c r="E444" s="227"/>
      <c r="F444" s="227"/>
      <c r="G444" s="227"/>
      <c r="H444" s="227"/>
      <c r="I444" s="227"/>
      <c r="J444" s="227"/>
      <c r="K444" s="227"/>
      <c r="L444" s="227"/>
      <c r="M444" s="227"/>
      <c r="N444" s="227"/>
      <c r="O444" s="227"/>
    </row>
    <row r="445" spans="4:15">
      <c r="D445" s="227"/>
      <c r="E445" s="227"/>
      <c r="F445" s="227"/>
      <c r="G445" s="227"/>
      <c r="H445" s="227"/>
      <c r="I445" s="227"/>
      <c r="J445" s="227"/>
      <c r="K445" s="227"/>
      <c r="L445" s="227"/>
      <c r="M445" s="227"/>
      <c r="N445" s="227"/>
      <c r="O445" s="227"/>
    </row>
    <row r="446" spans="4:15">
      <c r="D446" s="227"/>
      <c r="E446" s="227"/>
      <c r="F446" s="227"/>
      <c r="G446" s="227"/>
      <c r="H446" s="227"/>
      <c r="I446" s="227"/>
      <c r="J446" s="227"/>
      <c r="K446" s="227"/>
      <c r="L446" s="227"/>
      <c r="M446" s="227"/>
      <c r="N446" s="227"/>
      <c r="O446" s="227"/>
    </row>
    <row r="447" spans="4:15">
      <c r="D447" s="227"/>
      <c r="E447" s="227"/>
      <c r="F447" s="227"/>
      <c r="G447" s="227"/>
      <c r="H447" s="227"/>
      <c r="I447" s="227"/>
      <c r="J447" s="227"/>
      <c r="K447" s="227"/>
      <c r="L447" s="227"/>
      <c r="M447" s="227"/>
      <c r="N447" s="227"/>
      <c r="O447" s="227"/>
    </row>
    <row r="448" spans="4:15">
      <c r="D448" s="227"/>
      <c r="E448" s="227"/>
      <c r="F448" s="227"/>
      <c r="G448" s="227"/>
      <c r="H448" s="227"/>
      <c r="I448" s="227"/>
      <c r="J448" s="227"/>
      <c r="K448" s="227"/>
      <c r="L448" s="227"/>
      <c r="M448" s="227"/>
      <c r="N448" s="227"/>
      <c r="O448" s="227"/>
    </row>
    <row r="449" spans="4:15">
      <c r="D449" s="227"/>
      <c r="E449" s="227"/>
      <c r="F449" s="227"/>
      <c r="G449" s="227"/>
      <c r="H449" s="227"/>
      <c r="I449" s="227"/>
      <c r="J449" s="227"/>
      <c r="K449" s="227"/>
      <c r="L449" s="227"/>
      <c r="M449" s="227"/>
      <c r="N449" s="227"/>
      <c r="O449" s="227"/>
    </row>
    <row r="450" spans="4:15">
      <c r="D450" s="227"/>
      <c r="E450" s="227"/>
      <c r="F450" s="227"/>
      <c r="G450" s="227"/>
      <c r="H450" s="227"/>
      <c r="I450" s="227"/>
      <c r="J450" s="227"/>
      <c r="K450" s="227"/>
      <c r="L450" s="227"/>
      <c r="M450" s="227"/>
      <c r="N450" s="227"/>
      <c r="O450" s="227"/>
    </row>
    <row r="451" spans="4:15">
      <c r="D451" s="227"/>
      <c r="E451" s="227"/>
      <c r="F451" s="227"/>
      <c r="G451" s="227"/>
      <c r="H451" s="227"/>
      <c r="I451" s="227"/>
      <c r="J451" s="227"/>
      <c r="K451" s="227"/>
      <c r="L451" s="227"/>
      <c r="M451" s="227"/>
      <c r="N451" s="227"/>
      <c r="O451" s="227"/>
    </row>
    <row r="452" spans="4:15">
      <c r="D452" s="227"/>
      <c r="E452" s="227"/>
      <c r="F452" s="227"/>
      <c r="G452" s="227"/>
      <c r="H452" s="227"/>
      <c r="I452" s="227"/>
      <c r="J452" s="227"/>
      <c r="K452" s="227"/>
      <c r="L452" s="227"/>
      <c r="M452" s="227"/>
      <c r="N452" s="227"/>
      <c r="O452" s="227"/>
    </row>
    <row r="453" spans="4:15">
      <c r="D453" s="227"/>
      <c r="E453" s="227"/>
      <c r="F453" s="227"/>
      <c r="G453" s="227"/>
      <c r="H453" s="227"/>
      <c r="I453" s="227"/>
      <c r="J453" s="227"/>
      <c r="K453" s="227"/>
      <c r="L453" s="227"/>
      <c r="M453" s="227"/>
      <c r="N453" s="227"/>
      <c r="O453" s="227"/>
    </row>
    <row r="454" spans="4:15">
      <c r="D454" s="227"/>
      <c r="E454" s="227"/>
      <c r="F454" s="227"/>
      <c r="G454" s="227"/>
      <c r="H454" s="227"/>
      <c r="I454" s="227"/>
      <c r="J454" s="227"/>
      <c r="K454" s="227"/>
      <c r="L454" s="227"/>
      <c r="M454" s="227"/>
      <c r="N454" s="227"/>
      <c r="O454" s="227"/>
    </row>
    <row r="455" spans="4:15">
      <c r="D455" s="227"/>
      <c r="E455" s="227"/>
      <c r="F455" s="227"/>
      <c r="G455" s="227"/>
      <c r="H455" s="227"/>
      <c r="I455" s="227"/>
      <c r="J455" s="227"/>
      <c r="K455" s="227"/>
      <c r="L455" s="227"/>
      <c r="M455" s="227"/>
      <c r="N455" s="227"/>
      <c r="O455" s="227"/>
    </row>
    <row r="456" spans="4:15">
      <c r="D456" s="227"/>
      <c r="E456" s="227"/>
      <c r="F456" s="227"/>
      <c r="G456" s="227"/>
      <c r="H456" s="227"/>
      <c r="I456" s="227"/>
      <c r="J456" s="227"/>
      <c r="K456" s="227"/>
      <c r="L456" s="227"/>
      <c r="M456" s="227"/>
      <c r="N456" s="227"/>
      <c r="O456" s="227"/>
    </row>
    <row r="457" spans="4:15">
      <c r="D457" s="227"/>
      <c r="E457" s="227"/>
      <c r="F457" s="227"/>
      <c r="G457" s="227"/>
      <c r="H457" s="227"/>
      <c r="I457" s="227"/>
      <c r="J457" s="227"/>
      <c r="K457" s="227"/>
      <c r="L457" s="227"/>
      <c r="M457" s="227"/>
      <c r="N457" s="227"/>
      <c r="O457" s="227"/>
    </row>
    <row r="458" spans="4:15">
      <c r="D458" s="227"/>
      <c r="E458" s="227"/>
      <c r="F458" s="227"/>
      <c r="G458" s="227"/>
      <c r="H458" s="227"/>
      <c r="I458" s="227"/>
      <c r="J458" s="227"/>
      <c r="K458" s="227"/>
      <c r="L458" s="227"/>
      <c r="M458" s="227"/>
      <c r="N458" s="227"/>
      <c r="O458" s="227"/>
    </row>
    <row r="459" spans="4:15">
      <c r="D459" s="227"/>
      <c r="E459" s="227"/>
      <c r="F459" s="227"/>
      <c r="G459" s="227"/>
      <c r="H459" s="227"/>
      <c r="I459" s="227"/>
      <c r="J459" s="227"/>
      <c r="K459" s="227"/>
      <c r="L459" s="227"/>
      <c r="M459" s="227"/>
      <c r="N459" s="227"/>
      <c r="O459" s="227"/>
    </row>
    <row r="460" spans="4:15">
      <c r="D460" s="227"/>
      <c r="E460" s="227"/>
      <c r="F460" s="227"/>
      <c r="G460" s="227"/>
      <c r="H460" s="227"/>
      <c r="I460" s="227"/>
      <c r="J460" s="227"/>
      <c r="K460" s="227"/>
      <c r="L460" s="227"/>
      <c r="M460" s="227"/>
      <c r="N460" s="227"/>
      <c r="O460" s="227"/>
    </row>
    <row r="461" spans="4:15">
      <c r="D461" s="227"/>
      <c r="E461" s="227"/>
      <c r="F461" s="227"/>
      <c r="G461" s="227"/>
      <c r="H461" s="227"/>
      <c r="I461" s="227"/>
      <c r="J461" s="227"/>
      <c r="K461" s="227"/>
      <c r="L461" s="227"/>
      <c r="M461" s="227"/>
      <c r="N461" s="227"/>
      <c r="O461" s="227"/>
    </row>
    <row r="462" spans="4:15">
      <c r="D462" s="227"/>
      <c r="E462" s="227"/>
      <c r="F462" s="227"/>
      <c r="G462" s="227"/>
      <c r="H462" s="227"/>
      <c r="I462" s="227"/>
      <c r="J462" s="227"/>
      <c r="K462" s="227"/>
      <c r="L462" s="227"/>
      <c r="M462" s="227"/>
      <c r="N462" s="227"/>
      <c r="O462" s="227"/>
    </row>
    <row r="463" spans="4:15">
      <c r="D463" s="227"/>
      <c r="E463" s="227"/>
      <c r="F463" s="227"/>
      <c r="G463" s="227"/>
      <c r="H463" s="227"/>
      <c r="I463" s="227"/>
      <c r="J463" s="227"/>
      <c r="K463" s="227"/>
      <c r="L463" s="227"/>
      <c r="M463" s="227"/>
      <c r="N463" s="227"/>
      <c r="O463" s="227"/>
    </row>
    <row r="464" spans="4:15">
      <c r="D464" s="227"/>
      <c r="E464" s="227"/>
      <c r="F464" s="227"/>
      <c r="G464" s="227"/>
      <c r="H464" s="227"/>
      <c r="I464" s="227"/>
      <c r="J464" s="227"/>
      <c r="K464" s="227"/>
      <c r="L464" s="227"/>
      <c r="M464" s="227"/>
      <c r="N464" s="227"/>
      <c r="O464" s="227"/>
    </row>
    <row r="465" spans="4:15">
      <c r="D465" s="227"/>
      <c r="E465" s="227"/>
      <c r="F465" s="227"/>
      <c r="G465" s="227"/>
      <c r="H465" s="227"/>
      <c r="I465" s="227"/>
      <c r="J465" s="227"/>
      <c r="K465" s="227"/>
      <c r="L465" s="227"/>
      <c r="M465" s="227"/>
      <c r="N465" s="227"/>
      <c r="O465" s="227"/>
    </row>
    <row r="466" spans="4:15">
      <c r="D466" s="227"/>
      <c r="E466" s="227"/>
      <c r="F466" s="227"/>
      <c r="G466" s="227"/>
      <c r="H466" s="227"/>
      <c r="I466" s="227"/>
      <c r="J466" s="227"/>
      <c r="K466" s="227"/>
      <c r="L466" s="227"/>
      <c r="M466" s="227"/>
      <c r="N466" s="227"/>
      <c r="O466" s="227"/>
    </row>
    <row r="467" spans="4:15">
      <c r="D467" s="227"/>
      <c r="E467" s="227"/>
      <c r="F467" s="227"/>
      <c r="G467" s="227"/>
      <c r="H467" s="227"/>
      <c r="I467" s="227"/>
      <c r="J467" s="227"/>
      <c r="K467" s="227"/>
      <c r="L467" s="227"/>
      <c r="M467" s="227"/>
      <c r="N467" s="227"/>
      <c r="O467" s="227"/>
    </row>
    <row r="468" spans="4:15">
      <c r="D468" s="227"/>
      <c r="E468" s="227"/>
      <c r="F468" s="227"/>
      <c r="G468" s="227"/>
      <c r="H468" s="227"/>
      <c r="I468" s="227"/>
      <c r="J468" s="227"/>
      <c r="K468" s="227"/>
      <c r="L468" s="227"/>
      <c r="M468" s="227"/>
      <c r="N468" s="227"/>
      <c r="O468" s="227"/>
    </row>
    <row r="469" spans="4:15">
      <c r="D469" s="227"/>
      <c r="E469" s="227"/>
      <c r="F469" s="227"/>
      <c r="G469" s="227"/>
      <c r="H469" s="227"/>
      <c r="I469" s="227"/>
      <c r="J469" s="227"/>
      <c r="K469" s="227"/>
      <c r="L469" s="227"/>
      <c r="M469" s="227"/>
      <c r="N469" s="227"/>
      <c r="O469" s="227"/>
    </row>
    <row r="470" spans="4:15">
      <c r="D470" s="227"/>
      <c r="E470" s="227"/>
      <c r="F470" s="227"/>
      <c r="G470" s="227"/>
      <c r="H470" s="227"/>
      <c r="I470" s="227"/>
      <c r="J470" s="227"/>
      <c r="K470" s="227"/>
      <c r="L470" s="227"/>
      <c r="M470" s="227"/>
      <c r="N470" s="227"/>
      <c r="O470" s="227"/>
    </row>
    <row r="471" spans="4:15">
      <c r="D471" s="227"/>
      <c r="E471" s="227"/>
      <c r="F471" s="227"/>
      <c r="G471" s="227"/>
      <c r="H471" s="227"/>
      <c r="I471" s="227"/>
      <c r="J471" s="227"/>
      <c r="K471" s="227"/>
      <c r="L471" s="227"/>
      <c r="M471" s="227"/>
      <c r="N471" s="227"/>
      <c r="O471" s="227"/>
    </row>
    <row r="472" spans="4:15">
      <c r="D472" s="227"/>
      <c r="E472" s="227"/>
      <c r="F472" s="227"/>
      <c r="G472" s="227"/>
      <c r="H472" s="227"/>
      <c r="I472" s="227"/>
      <c r="J472" s="227"/>
      <c r="K472" s="227"/>
      <c r="L472" s="227"/>
      <c r="M472" s="227"/>
      <c r="N472" s="227"/>
      <c r="O472" s="227"/>
    </row>
    <row r="473" spans="4:15">
      <c r="D473" s="227"/>
      <c r="E473" s="227"/>
      <c r="F473" s="227"/>
      <c r="G473" s="227"/>
      <c r="H473" s="227"/>
      <c r="I473" s="227"/>
      <c r="J473" s="227"/>
      <c r="K473" s="227"/>
      <c r="L473" s="227"/>
      <c r="M473" s="227"/>
      <c r="N473" s="227"/>
      <c r="O473" s="227"/>
    </row>
    <row r="474" spans="4:15">
      <c r="D474" s="227"/>
      <c r="E474" s="227"/>
      <c r="F474" s="227"/>
      <c r="G474" s="227"/>
      <c r="H474" s="227"/>
      <c r="I474" s="227"/>
      <c r="J474" s="227"/>
      <c r="K474" s="227"/>
      <c r="L474" s="227"/>
      <c r="M474" s="227"/>
      <c r="N474" s="227"/>
      <c r="O474" s="227"/>
    </row>
    <row r="475" spans="4:15">
      <c r="D475" s="227"/>
      <c r="E475" s="227"/>
      <c r="F475" s="227"/>
      <c r="G475" s="227"/>
      <c r="H475" s="227"/>
      <c r="I475" s="227"/>
      <c r="J475" s="227"/>
      <c r="K475" s="227"/>
      <c r="L475" s="227"/>
      <c r="M475" s="227"/>
      <c r="N475" s="227"/>
      <c r="O475" s="227"/>
    </row>
    <row r="476" spans="4:15">
      <c r="D476" s="227"/>
      <c r="E476" s="227"/>
      <c r="F476" s="227"/>
      <c r="G476" s="227"/>
      <c r="H476" s="227"/>
      <c r="I476" s="227"/>
      <c r="J476" s="227"/>
      <c r="K476" s="227"/>
      <c r="L476" s="227"/>
      <c r="M476" s="227"/>
      <c r="N476" s="227"/>
      <c r="O476" s="227"/>
    </row>
    <row r="477" spans="4:15">
      <c r="D477" s="227"/>
      <c r="E477" s="227"/>
      <c r="F477" s="227"/>
      <c r="G477" s="227"/>
      <c r="H477" s="227"/>
      <c r="I477" s="227"/>
      <c r="J477" s="227"/>
      <c r="K477" s="227"/>
      <c r="L477" s="227"/>
      <c r="M477" s="227"/>
      <c r="N477" s="227"/>
      <c r="O477" s="227"/>
    </row>
    <row r="478" spans="4:15">
      <c r="D478" s="227"/>
      <c r="E478" s="227"/>
      <c r="F478" s="227"/>
      <c r="G478" s="227"/>
      <c r="H478" s="227"/>
      <c r="I478" s="227"/>
      <c r="J478" s="227"/>
      <c r="K478" s="227"/>
      <c r="L478" s="227"/>
      <c r="M478" s="227"/>
      <c r="N478" s="227"/>
      <c r="O478" s="227"/>
    </row>
    <row r="479" spans="4:15">
      <c r="D479" s="227"/>
      <c r="E479" s="227"/>
      <c r="F479" s="227"/>
      <c r="G479" s="227"/>
      <c r="H479" s="227"/>
      <c r="I479" s="227"/>
      <c r="J479" s="227"/>
      <c r="K479" s="227"/>
      <c r="L479" s="227"/>
      <c r="M479" s="227"/>
      <c r="N479" s="227"/>
      <c r="O479" s="227"/>
    </row>
    <row r="480" spans="4:15">
      <c r="D480" s="227"/>
      <c r="E480" s="227"/>
      <c r="F480" s="227"/>
      <c r="G480" s="227"/>
      <c r="H480" s="227"/>
      <c r="I480" s="227"/>
      <c r="J480" s="227"/>
      <c r="K480" s="227"/>
      <c r="L480" s="227"/>
      <c r="M480" s="227"/>
      <c r="N480" s="227"/>
      <c r="O480" s="227"/>
    </row>
    <row r="481" spans="4:15">
      <c r="D481" s="227"/>
      <c r="E481" s="227"/>
      <c r="F481" s="227"/>
      <c r="G481" s="227"/>
      <c r="H481" s="227"/>
      <c r="I481" s="227"/>
      <c r="J481" s="227"/>
      <c r="K481" s="227"/>
      <c r="L481" s="227"/>
      <c r="M481" s="227"/>
      <c r="N481" s="227"/>
      <c r="O481" s="227"/>
    </row>
    <row r="482" spans="4:15">
      <c r="D482" s="227"/>
      <c r="E482" s="227"/>
      <c r="F482" s="227"/>
      <c r="G482" s="227"/>
      <c r="H482" s="227"/>
      <c r="I482" s="227"/>
      <c r="J482" s="227"/>
      <c r="K482" s="227"/>
      <c r="L482" s="227"/>
      <c r="M482" s="227"/>
      <c r="N482" s="227"/>
      <c r="O482" s="227"/>
    </row>
    <row r="483" spans="4:15">
      <c r="D483" s="227"/>
      <c r="E483" s="227"/>
      <c r="F483" s="227"/>
      <c r="G483" s="227"/>
      <c r="H483" s="227"/>
      <c r="I483" s="227"/>
      <c r="J483" s="227"/>
      <c r="K483" s="227"/>
      <c r="L483" s="227"/>
      <c r="M483" s="227"/>
      <c r="N483" s="227"/>
      <c r="O483" s="227"/>
    </row>
    <row r="484" spans="4:15">
      <c r="D484" s="227"/>
      <c r="E484" s="227"/>
      <c r="F484" s="227"/>
      <c r="G484" s="227"/>
      <c r="H484" s="227"/>
      <c r="I484" s="227"/>
      <c r="J484" s="227"/>
      <c r="K484" s="227"/>
      <c r="L484" s="227"/>
      <c r="M484" s="227"/>
      <c r="N484" s="227"/>
      <c r="O484" s="227"/>
    </row>
    <row r="485" spans="4:15">
      <c r="D485" s="227"/>
      <c r="E485" s="227"/>
      <c r="F485" s="227"/>
      <c r="G485" s="227"/>
      <c r="H485" s="227"/>
      <c r="I485" s="227"/>
      <c r="J485" s="227"/>
      <c r="K485" s="227"/>
      <c r="L485" s="227"/>
      <c r="M485" s="227"/>
      <c r="N485" s="227"/>
      <c r="O485" s="227"/>
    </row>
    <row r="486" spans="4:15">
      <c r="D486" s="227"/>
      <c r="E486" s="227"/>
      <c r="F486" s="227"/>
      <c r="G486" s="227"/>
      <c r="H486" s="227"/>
      <c r="I486" s="227"/>
      <c r="J486" s="227"/>
      <c r="K486" s="227"/>
      <c r="L486" s="227"/>
      <c r="M486" s="227"/>
      <c r="N486" s="227"/>
      <c r="O486" s="227"/>
    </row>
    <row r="487" spans="4:15">
      <c r="D487" s="227"/>
      <c r="E487" s="227"/>
      <c r="F487" s="227"/>
      <c r="G487" s="227"/>
      <c r="H487" s="227"/>
      <c r="I487" s="227"/>
      <c r="J487" s="227"/>
      <c r="K487" s="227"/>
      <c r="L487" s="227"/>
      <c r="M487" s="227"/>
      <c r="N487" s="227"/>
      <c r="O487" s="227"/>
    </row>
    <row r="488" spans="4:15">
      <c r="D488" s="227"/>
      <c r="E488" s="227"/>
      <c r="F488" s="227"/>
      <c r="G488" s="227"/>
      <c r="H488" s="227"/>
      <c r="I488" s="227"/>
      <c r="J488" s="227"/>
      <c r="K488" s="227"/>
      <c r="L488" s="227"/>
      <c r="M488" s="227"/>
      <c r="N488" s="227"/>
      <c r="O488" s="227"/>
    </row>
    <row r="489" spans="4:15">
      <c r="D489" s="227"/>
      <c r="E489" s="227"/>
      <c r="F489" s="227"/>
      <c r="G489" s="227"/>
      <c r="H489" s="227"/>
      <c r="I489" s="227"/>
      <c r="J489" s="227"/>
      <c r="K489" s="227"/>
      <c r="L489" s="227"/>
      <c r="M489" s="227"/>
      <c r="N489" s="227"/>
      <c r="O489" s="227"/>
    </row>
    <row r="490" spans="4:15">
      <c r="D490" s="227"/>
      <c r="E490" s="227"/>
      <c r="F490" s="227"/>
      <c r="G490" s="227"/>
      <c r="H490" s="227"/>
      <c r="I490" s="227"/>
      <c r="J490" s="227"/>
      <c r="K490" s="227"/>
      <c r="L490" s="227"/>
      <c r="M490" s="227"/>
      <c r="N490" s="227"/>
      <c r="O490" s="227"/>
    </row>
    <row r="491" spans="4:15">
      <c r="D491" s="227"/>
      <c r="E491" s="227"/>
      <c r="F491" s="227"/>
      <c r="G491" s="227"/>
      <c r="H491" s="227"/>
      <c r="I491" s="227"/>
      <c r="J491" s="227"/>
      <c r="K491" s="227"/>
      <c r="L491" s="227"/>
      <c r="M491" s="227"/>
      <c r="N491" s="227"/>
      <c r="O491" s="227"/>
    </row>
    <row r="492" spans="4:15">
      <c r="D492" s="227"/>
      <c r="E492" s="227"/>
      <c r="F492" s="227"/>
      <c r="G492" s="227"/>
      <c r="H492" s="227"/>
      <c r="I492" s="227"/>
      <c r="J492" s="227"/>
      <c r="K492" s="227"/>
      <c r="L492" s="227"/>
      <c r="M492" s="227"/>
      <c r="N492" s="227"/>
      <c r="O492" s="227"/>
    </row>
    <row r="493" spans="4:15">
      <c r="D493" s="227"/>
      <c r="E493" s="227"/>
      <c r="F493" s="227"/>
      <c r="G493" s="227"/>
      <c r="H493" s="227"/>
      <c r="I493" s="227"/>
      <c r="J493" s="227"/>
      <c r="K493" s="227"/>
      <c r="L493" s="227"/>
      <c r="M493" s="227"/>
      <c r="N493" s="227"/>
      <c r="O493" s="227"/>
    </row>
    <row r="494" spans="4:15">
      <c r="D494" s="227"/>
      <c r="E494" s="227"/>
      <c r="F494" s="227"/>
      <c r="G494" s="227"/>
      <c r="H494" s="227"/>
      <c r="I494" s="227"/>
      <c r="J494" s="227"/>
      <c r="K494" s="227"/>
      <c r="L494" s="227"/>
      <c r="M494" s="227"/>
      <c r="N494" s="227"/>
      <c r="O494" s="227"/>
    </row>
    <row r="495" spans="4:15">
      <c r="D495" s="227"/>
      <c r="E495" s="227"/>
      <c r="F495" s="227"/>
      <c r="G495" s="227"/>
      <c r="H495" s="227"/>
      <c r="I495" s="227"/>
      <c r="J495" s="227"/>
      <c r="K495" s="227"/>
      <c r="L495" s="227"/>
      <c r="M495" s="227"/>
      <c r="N495" s="227"/>
      <c r="O495" s="227"/>
    </row>
    <row r="496" spans="4:15">
      <c r="D496" s="227"/>
      <c r="E496" s="227"/>
      <c r="F496" s="227"/>
      <c r="G496" s="227"/>
      <c r="H496" s="227"/>
      <c r="I496" s="227"/>
      <c r="J496" s="227"/>
      <c r="K496" s="227"/>
      <c r="L496" s="227"/>
      <c r="M496" s="227"/>
      <c r="N496" s="227"/>
      <c r="O496" s="227"/>
    </row>
    <row r="497" spans="4:15">
      <c r="D497" s="227"/>
      <c r="E497" s="227"/>
      <c r="F497" s="227"/>
      <c r="G497" s="227"/>
      <c r="H497" s="227"/>
      <c r="I497" s="227"/>
      <c r="J497" s="227"/>
      <c r="K497" s="227"/>
      <c r="L497" s="227"/>
      <c r="M497" s="227"/>
      <c r="N497" s="227"/>
      <c r="O497" s="227"/>
    </row>
    <row r="498" spans="4:15">
      <c r="D498" s="227"/>
      <c r="E498" s="227"/>
      <c r="F498" s="227"/>
      <c r="G498" s="227"/>
      <c r="H498" s="227"/>
      <c r="I498" s="227"/>
      <c r="J498" s="227"/>
      <c r="K498" s="227"/>
      <c r="L498" s="227"/>
      <c r="M498" s="227"/>
      <c r="N498" s="227"/>
      <c r="O498" s="227"/>
    </row>
    <row r="499" spans="4:15">
      <c r="D499" s="227"/>
      <c r="E499" s="227"/>
      <c r="F499" s="227"/>
      <c r="G499" s="227"/>
      <c r="H499" s="227"/>
      <c r="I499" s="227"/>
      <c r="J499" s="227"/>
      <c r="K499" s="227"/>
      <c r="L499" s="227"/>
      <c r="M499" s="227"/>
      <c r="N499" s="227"/>
      <c r="O499" s="227"/>
    </row>
    <row r="500" spans="4:15">
      <c r="D500" s="227"/>
      <c r="E500" s="227"/>
      <c r="F500" s="227"/>
      <c r="G500" s="227"/>
      <c r="H500" s="227"/>
      <c r="I500" s="227"/>
      <c r="J500" s="227"/>
      <c r="K500" s="227"/>
      <c r="L500" s="227"/>
      <c r="M500" s="227"/>
      <c r="N500" s="227"/>
      <c r="O500" s="227"/>
    </row>
    <row r="501" spans="4:15">
      <c r="D501" s="227"/>
      <c r="E501" s="227"/>
      <c r="F501" s="227"/>
      <c r="G501" s="227"/>
      <c r="H501" s="227"/>
      <c r="I501" s="227"/>
      <c r="J501" s="227"/>
      <c r="K501" s="227"/>
      <c r="L501" s="227"/>
      <c r="M501" s="227"/>
      <c r="N501" s="227"/>
      <c r="O501" s="227"/>
    </row>
    <row r="502" spans="4:15">
      <c r="D502" s="227"/>
      <c r="E502" s="227"/>
      <c r="F502" s="227"/>
      <c r="G502" s="227"/>
      <c r="H502" s="227"/>
      <c r="I502" s="227"/>
      <c r="J502" s="227"/>
      <c r="K502" s="227"/>
      <c r="L502" s="227"/>
      <c r="M502" s="227"/>
      <c r="N502" s="227"/>
      <c r="O502" s="227"/>
    </row>
    <row r="503" spans="4:15">
      <c r="D503" s="227"/>
      <c r="E503" s="227"/>
      <c r="F503" s="227"/>
      <c r="G503" s="227"/>
      <c r="H503" s="227"/>
      <c r="I503" s="227"/>
      <c r="J503" s="227"/>
      <c r="K503" s="227"/>
      <c r="L503" s="227"/>
      <c r="M503" s="227"/>
      <c r="N503" s="227"/>
      <c r="O503" s="227"/>
    </row>
    <row r="504" spans="4:15">
      <c r="D504" s="227"/>
      <c r="E504" s="227"/>
      <c r="F504" s="227"/>
      <c r="G504" s="227"/>
      <c r="H504" s="227"/>
      <c r="I504" s="227"/>
      <c r="J504" s="227"/>
      <c r="K504" s="227"/>
      <c r="L504" s="227"/>
      <c r="M504" s="227"/>
      <c r="N504" s="227"/>
      <c r="O504" s="227"/>
    </row>
    <row r="505" spans="4:15">
      <c r="D505" s="227"/>
      <c r="E505" s="227"/>
      <c r="F505" s="227"/>
      <c r="G505" s="227"/>
      <c r="H505" s="227"/>
      <c r="I505" s="227"/>
      <c r="J505" s="227"/>
      <c r="K505" s="227"/>
      <c r="L505" s="227"/>
      <c r="M505" s="227"/>
      <c r="N505" s="227"/>
      <c r="O505" s="227"/>
    </row>
    <row r="506" spans="4:15">
      <c r="D506" s="227"/>
      <c r="E506" s="227"/>
      <c r="F506" s="227"/>
      <c r="G506" s="227"/>
      <c r="H506" s="227"/>
      <c r="I506" s="227"/>
      <c r="J506" s="227"/>
      <c r="K506" s="227"/>
      <c r="L506" s="227"/>
      <c r="M506" s="227"/>
      <c r="N506" s="227"/>
      <c r="O506" s="227"/>
    </row>
    <row r="507" spans="4:15">
      <c r="D507" s="227"/>
      <c r="E507" s="227"/>
      <c r="F507" s="227"/>
      <c r="G507" s="227"/>
      <c r="H507" s="227"/>
      <c r="I507" s="227"/>
      <c r="J507" s="227"/>
      <c r="K507" s="227"/>
      <c r="L507" s="227"/>
      <c r="M507" s="227"/>
      <c r="N507" s="227"/>
      <c r="O507" s="227"/>
    </row>
    <row r="508" spans="4:15">
      <c r="D508" s="227"/>
      <c r="E508" s="227"/>
      <c r="F508" s="227"/>
      <c r="G508" s="227"/>
      <c r="H508" s="227"/>
      <c r="I508" s="227"/>
      <c r="J508" s="227"/>
      <c r="K508" s="227"/>
      <c r="L508" s="227"/>
      <c r="M508" s="227"/>
      <c r="N508" s="227"/>
      <c r="O508" s="227"/>
    </row>
    <row r="509" spans="4:15">
      <c r="D509" s="227"/>
      <c r="E509" s="227"/>
      <c r="F509" s="227"/>
      <c r="G509" s="227"/>
      <c r="H509" s="227"/>
      <c r="I509" s="227"/>
      <c r="J509" s="227"/>
      <c r="K509" s="227"/>
      <c r="L509" s="227"/>
      <c r="M509" s="227"/>
      <c r="N509" s="227"/>
      <c r="O509" s="227"/>
    </row>
    <row r="510" spans="4:15">
      <c r="D510" s="227"/>
      <c r="E510" s="227"/>
      <c r="F510" s="227"/>
      <c r="G510" s="227"/>
      <c r="H510" s="227"/>
      <c r="I510" s="227"/>
      <c r="J510" s="227"/>
      <c r="K510" s="227"/>
      <c r="L510" s="227"/>
      <c r="M510" s="227"/>
      <c r="N510" s="227"/>
      <c r="O510" s="227"/>
    </row>
    <row r="511" spans="4:15">
      <c r="D511" s="227"/>
      <c r="E511" s="227"/>
      <c r="F511" s="227"/>
      <c r="G511" s="227"/>
      <c r="H511" s="227"/>
      <c r="I511" s="227"/>
      <c r="J511" s="227"/>
      <c r="K511" s="227"/>
      <c r="L511" s="227"/>
      <c r="M511" s="227"/>
      <c r="N511" s="227"/>
      <c r="O511" s="227"/>
    </row>
    <row r="512" spans="4:15">
      <c r="D512" s="227"/>
      <c r="E512" s="227"/>
      <c r="F512" s="227"/>
      <c r="G512" s="227"/>
      <c r="H512" s="227"/>
      <c r="I512" s="227"/>
      <c r="J512" s="227"/>
      <c r="K512" s="227"/>
      <c r="L512" s="227"/>
      <c r="M512" s="227"/>
      <c r="N512" s="227"/>
      <c r="O512" s="227"/>
    </row>
    <row r="513" spans="4:15">
      <c r="D513" s="227"/>
      <c r="E513" s="227"/>
      <c r="F513" s="227"/>
      <c r="G513" s="227"/>
      <c r="H513" s="227"/>
      <c r="I513" s="227"/>
      <c r="J513" s="227"/>
      <c r="K513" s="227"/>
      <c r="L513" s="227"/>
      <c r="M513" s="227"/>
      <c r="N513" s="227"/>
      <c r="O513" s="227"/>
    </row>
    <row r="514" spans="4:15">
      <c r="D514" s="227"/>
      <c r="E514" s="227"/>
      <c r="F514" s="227"/>
      <c r="G514" s="227"/>
      <c r="H514" s="227"/>
      <c r="I514" s="227"/>
      <c r="J514" s="227"/>
      <c r="K514" s="227"/>
      <c r="L514" s="227"/>
      <c r="M514" s="227"/>
      <c r="N514" s="227"/>
      <c r="O514" s="227"/>
    </row>
    <row r="515" spans="4:15">
      <c r="D515" s="227"/>
      <c r="E515" s="227"/>
      <c r="F515" s="227"/>
      <c r="G515" s="227"/>
      <c r="H515" s="227"/>
      <c r="I515" s="227"/>
      <c r="J515" s="227"/>
      <c r="K515" s="227"/>
      <c r="L515" s="227"/>
      <c r="M515" s="227"/>
      <c r="N515" s="227"/>
      <c r="O515" s="227"/>
    </row>
    <row r="516" spans="4:15">
      <c r="D516" s="227"/>
      <c r="E516" s="227"/>
      <c r="F516" s="227"/>
      <c r="G516" s="227"/>
      <c r="H516" s="227"/>
      <c r="I516" s="227"/>
      <c r="J516" s="227"/>
      <c r="K516" s="227"/>
      <c r="L516" s="227"/>
      <c r="M516" s="227"/>
      <c r="N516" s="227"/>
      <c r="O516" s="227"/>
    </row>
    <row r="517" spans="4:15">
      <c r="D517" s="227"/>
      <c r="E517" s="227"/>
      <c r="F517" s="227"/>
      <c r="G517" s="227"/>
      <c r="H517" s="227"/>
      <c r="I517" s="227"/>
      <c r="J517" s="227"/>
      <c r="K517" s="227"/>
      <c r="L517" s="227"/>
      <c r="M517" s="227"/>
      <c r="N517" s="227"/>
      <c r="O517" s="227"/>
    </row>
    <row r="518" spans="4:15">
      <c r="D518" s="227"/>
      <c r="E518" s="227"/>
      <c r="F518" s="227"/>
      <c r="G518" s="227"/>
      <c r="H518" s="227"/>
      <c r="I518" s="227"/>
      <c r="J518" s="227"/>
      <c r="K518" s="227"/>
      <c r="L518" s="227"/>
      <c r="M518" s="227"/>
      <c r="N518" s="227"/>
      <c r="O518" s="227"/>
    </row>
    <row r="519" spans="4:15">
      <c r="D519" s="227"/>
      <c r="E519" s="227"/>
      <c r="F519" s="227"/>
      <c r="G519" s="227"/>
      <c r="H519" s="227"/>
      <c r="I519" s="227"/>
      <c r="J519" s="227"/>
      <c r="K519" s="227"/>
      <c r="L519" s="227"/>
      <c r="M519" s="227"/>
      <c r="N519" s="227"/>
      <c r="O519" s="227"/>
    </row>
    <row r="520" spans="4:15">
      <c r="D520" s="227"/>
      <c r="E520" s="227"/>
      <c r="F520" s="227"/>
      <c r="G520" s="227"/>
      <c r="H520" s="227"/>
      <c r="I520" s="227"/>
      <c r="J520" s="227"/>
      <c r="K520" s="227"/>
      <c r="L520" s="227"/>
      <c r="M520" s="227"/>
      <c r="N520" s="227"/>
      <c r="O520" s="227"/>
    </row>
    <row r="521" spans="4:15">
      <c r="D521" s="227"/>
      <c r="E521" s="227"/>
      <c r="F521" s="227"/>
      <c r="G521" s="227"/>
      <c r="H521" s="227"/>
      <c r="I521" s="227"/>
      <c r="J521" s="227"/>
      <c r="K521" s="227"/>
      <c r="L521" s="227"/>
      <c r="M521" s="227"/>
      <c r="N521" s="227"/>
      <c r="O521" s="227"/>
    </row>
    <row r="522" spans="4:15">
      <c r="D522" s="227"/>
      <c r="E522" s="227"/>
      <c r="F522" s="227"/>
      <c r="G522" s="227"/>
      <c r="H522" s="227"/>
      <c r="I522" s="227"/>
      <c r="J522" s="227"/>
      <c r="K522" s="227"/>
      <c r="L522" s="227"/>
      <c r="M522" s="227"/>
      <c r="N522" s="227"/>
      <c r="O522" s="227"/>
    </row>
    <row r="523" spans="4:15">
      <c r="D523" s="227"/>
      <c r="E523" s="227"/>
      <c r="F523" s="227"/>
      <c r="G523" s="227"/>
      <c r="H523" s="227"/>
      <c r="I523" s="227"/>
      <c r="J523" s="227"/>
      <c r="K523" s="227"/>
      <c r="L523" s="227"/>
      <c r="M523" s="227"/>
      <c r="N523" s="227"/>
      <c r="O523" s="227"/>
    </row>
    <row r="524" spans="4:15">
      <c r="D524" s="227"/>
      <c r="E524" s="227"/>
      <c r="F524" s="227"/>
      <c r="G524" s="227"/>
      <c r="H524" s="227"/>
      <c r="I524" s="227"/>
      <c r="J524" s="227"/>
      <c r="K524" s="227"/>
      <c r="L524" s="227"/>
      <c r="M524" s="227"/>
      <c r="N524" s="227"/>
      <c r="O524" s="227"/>
    </row>
    <row r="525" spans="4:15">
      <c r="D525" s="227"/>
      <c r="E525" s="227"/>
      <c r="F525" s="227"/>
      <c r="G525" s="227"/>
      <c r="H525" s="227"/>
      <c r="I525" s="227"/>
      <c r="J525" s="227"/>
      <c r="K525" s="227"/>
      <c r="L525" s="227"/>
      <c r="M525" s="227"/>
      <c r="N525" s="227"/>
      <c r="O525" s="227"/>
    </row>
    <row r="526" spans="4:15">
      <c r="D526" s="227"/>
      <c r="E526" s="227"/>
      <c r="F526" s="227"/>
      <c r="G526" s="227"/>
      <c r="H526" s="227"/>
      <c r="I526" s="227"/>
      <c r="J526" s="227"/>
      <c r="K526" s="227"/>
      <c r="L526" s="227"/>
      <c r="M526" s="227"/>
      <c r="N526" s="227"/>
      <c r="O526" s="227"/>
    </row>
    <row r="527" spans="4:15">
      <c r="D527" s="227"/>
      <c r="E527" s="227"/>
      <c r="F527" s="227"/>
      <c r="G527" s="227"/>
      <c r="H527" s="227"/>
      <c r="I527" s="227"/>
      <c r="J527" s="227"/>
      <c r="K527" s="227"/>
      <c r="L527" s="227"/>
      <c r="M527" s="227"/>
      <c r="N527" s="227"/>
      <c r="O527" s="227"/>
    </row>
    <row r="528" spans="4:15">
      <c r="D528" s="227"/>
      <c r="E528" s="227"/>
      <c r="F528" s="227"/>
      <c r="G528" s="227"/>
      <c r="H528" s="227"/>
      <c r="I528" s="227"/>
      <c r="J528" s="227"/>
      <c r="K528" s="227"/>
      <c r="L528" s="227"/>
      <c r="M528" s="227"/>
      <c r="N528" s="227"/>
      <c r="O528" s="227"/>
    </row>
    <row r="529" spans="4:15">
      <c r="D529" s="227"/>
      <c r="E529" s="227"/>
      <c r="F529" s="227"/>
      <c r="G529" s="227"/>
      <c r="H529" s="227"/>
      <c r="I529" s="227"/>
      <c r="J529" s="227"/>
      <c r="K529" s="227"/>
      <c r="L529" s="227"/>
      <c r="M529" s="227"/>
      <c r="N529" s="227"/>
      <c r="O529" s="227"/>
    </row>
    <row r="530" spans="4:15">
      <c r="D530" s="227"/>
      <c r="E530" s="227"/>
      <c r="F530" s="227"/>
      <c r="G530" s="227"/>
      <c r="H530" s="227"/>
      <c r="I530" s="227"/>
      <c r="J530" s="227"/>
      <c r="K530" s="227"/>
      <c r="L530" s="227"/>
      <c r="M530" s="227"/>
      <c r="N530" s="227"/>
      <c r="O530" s="227"/>
    </row>
    <row r="531" spans="4:15">
      <c r="D531" s="227"/>
      <c r="E531" s="227"/>
      <c r="F531" s="227"/>
      <c r="G531" s="227"/>
      <c r="H531" s="227"/>
      <c r="I531" s="227"/>
      <c r="J531" s="227"/>
      <c r="K531" s="227"/>
      <c r="L531" s="227"/>
      <c r="M531" s="227"/>
      <c r="N531" s="227"/>
      <c r="O531" s="227"/>
    </row>
    <row r="532" spans="4:15">
      <c r="D532" s="227"/>
      <c r="E532" s="227"/>
      <c r="F532" s="227"/>
      <c r="G532" s="227"/>
      <c r="H532" s="227"/>
      <c r="I532" s="227"/>
      <c r="J532" s="227"/>
      <c r="K532" s="227"/>
      <c r="L532" s="227"/>
      <c r="M532" s="227"/>
      <c r="N532" s="227"/>
      <c r="O532" s="227"/>
    </row>
    <row r="533" spans="4:15">
      <c r="D533" s="227"/>
      <c r="E533" s="227"/>
      <c r="F533" s="227"/>
      <c r="G533" s="227"/>
      <c r="H533" s="227"/>
      <c r="I533" s="227"/>
      <c r="J533" s="227"/>
      <c r="K533" s="227"/>
      <c r="L533" s="227"/>
      <c r="M533" s="227"/>
      <c r="N533" s="227"/>
      <c r="O533" s="227"/>
    </row>
    <row r="534" spans="4:15">
      <c r="D534" s="227"/>
      <c r="E534" s="227"/>
      <c r="F534" s="227"/>
      <c r="G534" s="227"/>
      <c r="H534" s="227"/>
      <c r="I534" s="227"/>
      <c r="J534" s="227"/>
      <c r="K534" s="227"/>
      <c r="L534" s="227"/>
      <c r="M534" s="227"/>
      <c r="N534" s="227"/>
      <c r="O534" s="227"/>
    </row>
    <row r="535" spans="4:15">
      <c r="D535" s="227"/>
      <c r="E535" s="227"/>
      <c r="F535" s="227"/>
      <c r="G535" s="227"/>
      <c r="H535" s="227"/>
      <c r="I535" s="227"/>
      <c r="J535" s="227"/>
      <c r="K535" s="227"/>
      <c r="L535" s="227"/>
      <c r="M535" s="227"/>
      <c r="N535" s="227"/>
      <c r="O535" s="227"/>
    </row>
    <row r="536" spans="4:15">
      <c r="D536" s="227"/>
      <c r="E536" s="227"/>
      <c r="F536" s="227"/>
      <c r="G536" s="227"/>
      <c r="H536" s="227"/>
      <c r="I536" s="227"/>
      <c r="J536" s="227"/>
      <c r="K536" s="227"/>
      <c r="L536" s="227"/>
      <c r="M536" s="227"/>
      <c r="N536" s="227"/>
      <c r="O536" s="227"/>
    </row>
    <row r="537" spans="4:15">
      <c r="D537" s="227"/>
      <c r="E537" s="227"/>
      <c r="F537" s="227"/>
      <c r="G537" s="227"/>
      <c r="H537" s="227"/>
      <c r="I537" s="227"/>
      <c r="J537" s="227"/>
      <c r="K537" s="227"/>
      <c r="L537" s="227"/>
      <c r="M537" s="227"/>
      <c r="N537" s="227"/>
      <c r="O537" s="227"/>
    </row>
    <row r="538" spans="4:15">
      <c r="D538" s="227"/>
      <c r="E538" s="227"/>
      <c r="F538" s="227"/>
      <c r="G538" s="227"/>
      <c r="H538" s="227"/>
      <c r="I538" s="227"/>
      <c r="J538" s="227"/>
      <c r="K538" s="227"/>
      <c r="L538" s="227"/>
      <c r="M538" s="227"/>
      <c r="N538" s="227"/>
      <c r="O538" s="227"/>
    </row>
    <row r="539" spans="4:15">
      <c r="D539" s="227"/>
      <c r="E539" s="227"/>
      <c r="F539" s="227"/>
      <c r="G539" s="227"/>
      <c r="H539" s="227"/>
      <c r="I539" s="227"/>
      <c r="J539" s="227"/>
      <c r="K539" s="227"/>
      <c r="L539" s="227"/>
      <c r="M539" s="227"/>
      <c r="N539" s="227"/>
      <c r="O539" s="227"/>
    </row>
    <row r="540" spans="4:15">
      <c r="D540" s="227"/>
      <c r="E540" s="227"/>
      <c r="F540" s="227"/>
      <c r="G540" s="227"/>
      <c r="H540" s="227"/>
      <c r="I540" s="227"/>
      <c r="J540" s="227"/>
      <c r="K540" s="227"/>
      <c r="L540" s="227"/>
      <c r="M540" s="227"/>
      <c r="N540" s="227"/>
      <c r="O540" s="227"/>
    </row>
    <row r="541" spans="4:15">
      <c r="D541" s="227"/>
      <c r="E541" s="227"/>
      <c r="F541" s="227"/>
      <c r="G541" s="227"/>
      <c r="H541" s="227"/>
      <c r="I541" s="227"/>
      <c r="J541" s="227"/>
      <c r="K541" s="227"/>
      <c r="L541" s="227"/>
      <c r="M541" s="227"/>
      <c r="N541" s="227"/>
      <c r="O541" s="227"/>
    </row>
    <row r="542" spans="4:15">
      <c r="D542" s="227"/>
      <c r="E542" s="227"/>
      <c r="F542" s="227"/>
      <c r="G542" s="227"/>
      <c r="H542" s="227"/>
      <c r="I542" s="227"/>
      <c r="J542" s="227"/>
      <c r="K542" s="227"/>
      <c r="L542" s="227"/>
      <c r="M542" s="227"/>
      <c r="N542" s="227"/>
      <c r="O542" s="227"/>
    </row>
    <row r="543" spans="4:15">
      <c r="D543" s="227"/>
      <c r="E543" s="227"/>
      <c r="F543" s="227"/>
      <c r="G543" s="227"/>
      <c r="H543" s="227"/>
      <c r="I543" s="227"/>
      <c r="J543" s="227"/>
      <c r="K543" s="227"/>
      <c r="L543" s="227"/>
      <c r="M543" s="227"/>
      <c r="N543" s="227"/>
      <c r="O543" s="227"/>
    </row>
    <row r="544" spans="4:15">
      <c r="D544" s="227"/>
      <c r="E544" s="227"/>
      <c r="F544" s="227"/>
      <c r="G544" s="227"/>
      <c r="H544" s="227"/>
      <c r="I544" s="227"/>
      <c r="J544" s="227"/>
      <c r="K544" s="227"/>
      <c r="L544" s="227"/>
      <c r="M544" s="227"/>
      <c r="N544" s="227"/>
      <c r="O544" s="227"/>
    </row>
    <row r="545" spans="4:15">
      <c r="D545" s="227"/>
      <c r="E545" s="227"/>
      <c r="F545" s="227"/>
      <c r="G545" s="227"/>
      <c r="H545" s="227"/>
      <c r="I545" s="227"/>
      <c r="J545" s="227"/>
      <c r="K545" s="227"/>
      <c r="L545" s="227"/>
      <c r="M545" s="227"/>
      <c r="N545" s="227"/>
      <c r="O545" s="227"/>
    </row>
    <row r="546" spans="4:15">
      <c r="D546" s="227"/>
      <c r="E546" s="227"/>
      <c r="F546" s="227"/>
      <c r="G546" s="227"/>
      <c r="H546" s="227"/>
      <c r="I546" s="227"/>
      <c r="J546" s="227"/>
      <c r="K546" s="227"/>
      <c r="L546" s="227"/>
      <c r="M546" s="227"/>
      <c r="N546" s="227"/>
      <c r="O546" s="227"/>
    </row>
    <row r="547" spans="4:15">
      <c r="D547" s="227"/>
      <c r="E547" s="227"/>
      <c r="F547" s="227"/>
      <c r="G547" s="227"/>
      <c r="H547" s="227"/>
      <c r="I547" s="227"/>
      <c r="J547" s="227"/>
      <c r="K547" s="227"/>
      <c r="L547" s="227"/>
      <c r="M547" s="227"/>
      <c r="N547" s="227"/>
      <c r="O547" s="227"/>
    </row>
    <row r="548" spans="4:15">
      <c r="D548" s="227"/>
      <c r="E548" s="227"/>
      <c r="F548" s="227"/>
      <c r="G548" s="227"/>
      <c r="H548" s="227"/>
      <c r="I548" s="227"/>
      <c r="J548" s="227"/>
      <c r="K548" s="227"/>
      <c r="L548" s="227"/>
      <c r="M548" s="227"/>
      <c r="N548" s="227"/>
      <c r="O548" s="227"/>
    </row>
    <row r="549" spans="4:15">
      <c r="D549" s="227"/>
      <c r="E549" s="227"/>
      <c r="F549" s="227"/>
      <c r="G549" s="227"/>
      <c r="H549" s="227"/>
      <c r="I549" s="227"/>
      <c r="J549" s="227"/>
      <c r="K549" s="227"/>
      <c r="L549" s="227"/>
      <c r="M549" s="227"/>
      <c r="N549" s="227"/>
      <c r="O549" s="227"/>
    </row>
    <row r="550" spans="4:15">
      <c r="D550" s="227"/>
      <c r="E550" s="227"/>
      <c r="F550" s="227"/>
      <c r="G550" s="227"/>
      <c r="H550" s="227"/>
      <c r="I550" s="227"/>
      <c r="J550" s="227"/>
      <c r="K550" s="227"/>
      <c r="L550" s="227"/>
      <c r="M550" s="227"/>
      <c r="N550" s="227"/>
      <c r="O550" s="227"/>
    </row>
    <row r="551" spans="4:15">
      <c r="D551" s="227"/>
      <c r="E551" s="227"/>
      <c r="F551" s="227"/>
      <c r="G551" s="227"/>
      <c r="H551" s="227"/>
      <c r="I551" s="227"/>
      <c r="J551" s="227"/>
      <c r="K551" s="227"/>
      <c r="L551" s="227"/>
      <c r="M551" s="227"/>
      <c r="N551" s="227"/>
      <c r="O551" s="227"/>
    </row>
    <row r="552" spans="4:15">
      <c r="D552" s="227"/>
      <c r="E552" s="227"/>
      <c r="F552" s="227"/>
      <c r="G552" s="227"/>
      <c r="H552" s="227"/>
      <c r="I552" s="227"/>
      <c r="J552" s="227"/>
      <c r="K552" s="227"/>
      <c r="L552" s="227"/>
      <c r="M552" s="227"/>
      <c r="N552" s="227"/>
      <c r="O552" s="227"/>
    </row>
    <row r="553" spans="4:15">
      <c r="D553" s="227"/>
      <c r="E553" s="227"/>
      <c r="F553" s="227"/>
      <c r="G553" s="227"/>
      <c r="H553" s="227"/>
      <c r="I553" s="227"/>
      <c r="J553" s="227"/>
      <c r="K553" s="227"/>
      <c r="L553" s="227"/>
      <c r="M553" s="227"/>
      <c r="N553" s="227"/>
      <c r="O553" s="227"/>
    </row>
    <row r="554" spans="4:15">
      <c r="D554" s="227"/>
      <c r="E554" s="227"/>
      <c r="F554" s="227"/>
      <c r="G554" s="227"/>
      <c r="H554" s="227"/>
      <c r="I554" s="227"/>
      <c r="J554" s="227"/>
      <c r="K554" s="227"/>
      <c r="L554" s="227"/>
      <c r="M554" s="227"/>
      <c r="N554" s="227"/>
      <c r="O554" s="227"/>
    </row>
    <row r="555" spans="4:15">
      <c r="D555" s="227"/>
      <c r="E555" s="227"/>
      <c r="F555" s="227"/>
      <c r="G555" s="227"/>
      <c r="H555" s="227"/>
      <c r="I555" s="227"/>
      <c r="J555" s="227"/>
      <c r="K555" s="227"/>
      <c r="L555" s="227"/>
      <c r="M555" s="227"/>
      <c r="N555" s="227"/>
      <c r="O555" s="227"/>
    </row>
    <row r="556" spans="4:15">
      <c r="D556" s="227"/>
      <c r="E556" s="227"/>
      <c r="F556" s="227"/>
      <c r="G556" s="227"/>
      <c r="H556" s="227"/>
      <c r="I556" s="227"/>
      <c r="J556" s="227"/>
      <c r="K556" s="227"/>
      <c r="L556" s="227"/>
      <c r="M556" s="227"/>
      <c r="N556" s="227"/>
      <c r="O556" s="227"/>
    </row>
    <row r="557" spans="4:15">
      <c r="D557" s="227"/>
      <c r="E557" s="227"/>
      <c r="F557" s="227"/>
      <c r="G557" s="227"/>
      <c r="H557" s="227"/>
      <c r="I557" s="227"/>
      <c r="J557" s="227"/>
      <c r="K557" s="227"/>
      <c r="L557" s="227"/>
      <c r="M557" s="227"/>
      <c r="N557" s="227"/>
      <c r="O557" s="227"/>
    </row>
    <row r="558" spans="4:15">
      <c r="D558" s="227"/>
      <c r="E558" s="227"/>
      <c r="F558" s="227"/>
      <c r="G558" s="227"/>
      <c r="H558" s="227"/>
      <c r="I558" s="227"/>
      <c r="J558" s="227"/>
      <c r="K558" s="227"/>
      <c r="L558" s="227"/>
      <c r="M558" s="227"/>
      <c r="N558" s="227"/>
      <c r="O558" s="227"/>
    </row>
    <row r="559" spans="4:15">
      <c r="D559" s="227"/>
      <c r="E559" s="227"/>
      <c r="F559" s="227"/>
      <c r="G559" s="227"/>
      <c r="H559" s="227"/>
      <c r="I559" s="227"/>
      <c r="J559" s="227"/>
      <c r="K559" s="227"/>
      <c r="L559" s="227"/>
      <c r="M559" s="227"/>
      <c r="N559" s="227"/>
      <c r="O559" s="227"/>
    </row>
    <row r="560" spans="4:15">
      <c r="D560" s="227"/>
      <c r="E560" s="227"/>
      <c r="F560" s="227"/>
      <c r="G560" s="227"/>
      <c r="H560" s="227"/>
      <c r="I560" s="227"/>
      <c r="J560" s="227"/>
      <c r="K560" s="227"/>
      <c r="L560" s="227"/>
      <c r="M560" s="227"/>
      <c r="N560" s="227"/>
      <c r="O560" s="227"/>
    </row>
    <row r="561" spans="4:15">
      <c r="D561" s="227"/>
      <c r="E561" s="227"/>
      <c r="F561" s="227"/>
      <c r="G561" s="227"/>
      <c r="H561" s="227"/>
      <c r="I561" s="227"/>
      <c r="J561" s="227"/>
      <c r="K561" s="227"/>
      <c r="L561" s="227"/>
      <c r="M561" s="227"/>
      <c r="N561" s="227"/>
      <c r="O561" s="227"/>
    </row>
    <row r="562" spans="4:15">
      <c r="D562" s="227"/>
      <c r="E562" s="227"/>
      <c r="F562" s="227"/>
      <c r="G562" s="227"/>
      <c r="H562" s="227"/>
      <c r="I562" s="227"/>
      <c r="J562" s="227"/>
      <c r="K562" s="227"/>
      <c r="L562" s="227"/>
      <c r="M562" s="227"/>
      <c r="N562" s="227"/>
      <c r="O562" s="227"/>
    </row>
    <row r="563" spans="4:15">
      <c r="D563" s="227"/>
      <c r="E563" s="227"/>
      <c r="F563" s="227"/>
      <c r="G563" s="227"/>
      <c r="H563" s="227"/>
      <c r="I563" s="227"/>
      <c r="J563" s="227"/>
      <c r="K563" s="227"/>
      <c r="L563" s="227"/>
      <c r="M563" s="227"/>
      <c r="N563" s="227"/>
      <c r="O563" s="227"/>
    </row>
    <row r="564" spans="4:15">
      <c r="D564" s="227"/>
      <c r="E564" s="227"/>
      <c r="F564" s="227"/>
      <c r="G564" s="227"/>
      <c r="H564" s="227"/>
      <c r="I564" s="227"/>
      <c r="J564" s="227"/>
      <c r="K564" s="227"/>
      <c r="L564" s="227"/>
      <c r="M564" s="227"/>
      <c r="N564" s="227"/>
      <c r="O564" s="227"/>
    </row>
    <row r="565" spans="4:15">
      <c r="D565" s="227"/>
      <c r="E565" s="227"/>
      <c r="F565" s="227"/>
      <c r="G565" s="227"/>
      <c r="H565" s="227"/>
      <c r="I565" s="227"/>
      <c r="J565" s="227"/>
      <c r="K565" s="227"/>
      <c r="L565" s="227"/>
      <c r="M565" s="227"/>
      <c r="N565" s="227"/>
      <c r="O565" s="227"/>
    </row>
    <row r="566" spans="4:15">
      <c r="D566" s="227"/>
      <c r="E566" s="227"/>
      <c r="F566" s="227"/>
      <c r="G566" s="227"/>
      <c r="H566" s="227"/>
      <c r="I566" s="227"/>
      <c r="J566" s="227"/>
      <c r="K566" s="227"/>
      <c r="L566" s="227"/>
      <c r="M566" s="227"/>
      <c r="N566" s="227"/>
      <c r="O566" s="227"/>
    </row>
    <row r="567" spans="4:15">
      <c r="D567" s="227"/>
      <c r="E567" s="227"/>
      <c r="F567" s="227"/>
      <c r="G567" s="227"/>
      <c r="H567" s="227"/>
      <c r="I567" s="227"/>
      <c r="J567" s="227"/>
      <c r="K567" s="227"/>
      <c r="L567" s="227"/>
      <c r="M567" s="227"/>
      <c r="N567" s="227"/>
      <c r="O567" s="227"/>
    </row>
    <row r="568" spans="4:15">
      <c r="D568" s="227"/>
      <c r="E568" s="227"/>
      <c r="F568" s="227"/>
      <c r="G568" s="227"/>
      <c r="H568" s="227"/>
      <c r="I568" s="227"/>
      <c r="J568" s="227"/>
      <c r="K568" s="227"/>
      <c r="L568" s="227"/>
      <c r="M568" s="227"/>
      <c r="N568" s="227"/>
      <c r="O568" s="227"/>
    </row>
    <row r="569" spans="4:15">
      <c r="D569" s="227"/>
      <c r="E569" s="227"/>
      <c r="F569" s="227"/>
      <c r="G569" s="227"/>
      <c r="H569" s="227"/>
      <c r="I569" s="227"/>
      <c r="J569" s="227"/>
      <c r="K569" s="227"/>
      <c r="L569" s="227"/>
      <c r="M569" s="227"/>
      <c r="N569" s="227"/>
      <c r="O569" s="227"/>
    </row>
    <row r="570" spans="4:15">
      <c r="D570" s="227"/>
      <c r="E570" s="227"/>
      <c r="F570" s="227"/>
      <c r="G570" s="227"/>
      <c r="H570" s="227"/>
      <c r="I570" s="227"/>
      <c r="J570" s="227"/>
      <c r="K570" s="227"/>
      <c r="L570" s="227"/>
      <c r="M570" s="227"/>
      <c r="N570" s="227"/>
      <c r="O570" s="227"/>
    </row>
    <row r="571" spans="4:15">
      <c r="D571" s="227"/>
      <c r="E571" s="227"/>
      <c r="F571" s="227"/>
      <c r="G571" s="227"/>
      <c r="H571" s="227"/>
      <c r="I571" s="227"/>
      <c r="J571" s="227"/>
      <c r="K571" s="227"/>
      <c r="L571" s="227"/>
      <c r="M571" s="227"/>
      <c r="N571" s="227"/>
      <c r="O571" s="227"/>
    </row>
    <row r="572" spans="4:15">
      <c r="D572" s="227"/>
      <c r="E572" s="227"/>
      <c r="F572" s="227"/>
      <c r="G572" s="227"/>
      <c r="H572" s="227"/>
      <c r="I572" s="227"/>
      <c r="J572" s="227"/>
      <c r="K572" s="227"/>
      <c r="L572" s="227"/>
      <c r="M572" s="227"/>
      <c r="N572" s="227"/>
      <c r="O572" s="227"/>
    </row>
    <row r="573" spans="4:15">
      <c r="D573" s="227"/>
      <c r="E573" s="227"/>
      <c r="F573" s="227"/>
      <c r="G573" s="227"/>
      <c r="H573" s="227"/>
      <c r="I573" s="227"/>
      <c r="J573" s="227"/>
      <c r="K573" s="227"/>
      <c r="L573" s="227"/>
      <c r="M573" s="227"/>
      <c r="N573" s="227"/>
      <c r="O573" s="227"/>
    </row>
    <row r="574" spans="4:15">
      <c r="D574" s="227"/>
      <c r="E574" s="227"/>
      <c r="F574" s="227"/>
      <c r="G574" s="227"/>
      <c r="H574" s="227"/>
      <c r="I574" s="227"/>
      <c r="J574" s="227"/>
      <c r="K574" s="227"/>
      <c r="L574" s="227"/>
      <c r="M574" s="227"/>
      <c r="N574" s="227"/>
      <c r="O574" s="227"/>
    </row>
    <row r="575" spans="4:15">
      <c r="D575" s="227"/>
      <c r="E575" s="227"/>
      <c r="F575" s="227"/>
      <c r="G575" s="227"/>
      <c r="H575" s="227"/>
      <c r="I575" s="227"/>
      <c r="J575" s="227"/>
      <c r="K575" s="227"/>
      <c r="L575" s="227"/>
      <c r="M575" s="227"/>
      <c r="N575" s="227"/>
      <c r="O575" s="227"/>
    </row>
    <row r="576" spans="4:15">
      <c r="D576" s="227"/>
      <c r="E576" s="227"/>
      <c r="F576" s="227"/>
      <c r="G576" s="227"/>
      <c r="H576" s="227"/>
      <c r="I576" s="227"/>
      <c r="J576" s="227"/>
      <c r="K576" s="227"/>
      <c r="L576" s="227"/>
      <c r="M576" s="227"/>
      <c r="N576" s="227"/>
      <c r="O576" s="227"/>
    </row>
    <row r="577" spans="4:15">
      <c r="D577" s="227"/>
      <c r="E577" s="227"/>
      <c r="F577" s="227"/>
      <c r="G577" s="227"/>
      <c r="H577" s="227"/>
      <c r="I577" s="227"/>
      <c r="J577" s="227"/>
      <c r="K577" s="227"/>
      <c r="L577" s="227"/>
      <c r="M577" s="227"/>
      <c r="N577" s="227"/>
      <c r="O577" s="227"/>
    </row>
    <row r="578" spans="4:15">
      <c r="D578" s="227"/>
      <c r="E578" s="227"/>
      <c r="F578" s="227"/>
      <c r="G578" s="227"/>
      <c r="H578" s="227"/>
      <c r="I578" s="227"/>
      <c r="J578" s="227"/>
      <c r="K578" s="227"/>
      <c r="L578" s="227"/>
      <c r="M578" s="227"/>
      <c r="N578" s="227"/>
      <c r="O578" s="227"/>
    </row>
    <row r="579" spans="4:15">
      <c r="D579" s="227"/>
      <c r="E579" s="227"/>
      <c r="F579" s="227"/>
      <c r="G579" s="227"/>
      <c r="H579" s="227"/>
      <c r="I579" s="227"/>
      <c r="J579" s="227"/>
      <c r="K579" s="227"/>
      <c r="L579" s="227"/>
      <c r="M579" s="227"/>
      <c r="N579" s="227"/>
      <c r="O579" s="227"/>
    </row>
    <row r="580" spans="4:15">
      <c r="D580" s="227"/>
      <c r="E580" s="227"/>
      <c r="F580" s="227"/>
      <c r="G580" s="227"/>
      <c r="H580" s="227"/>
      <c r="I580" s="227"/>
      <c r="J580" s="227"/>
      <c r="K580" s="227"/>
      <c r="L580" s="227"/>
      <c r="M580" s="227"/>
      <c r="N580" s="227"/>
      <c r="O580" s="227"/>
    </row>
    <row r="581" spans="4:15">
      <c r="D581" s="227"/>
      <c r="E581" s="227"/>
      <c r="F581" s="227"/>
      <c r="G581" s="227"/>
      <c r="H581" s="227"/>
      <c r="I581" s="227"/>
      <c r="J581" s="227"/>
      <c r="K581" s="227"/>
      <c r="L581" s="227"/>
      <c r="M581" s="227"/>
      <c r="N581" s="227"/>
      <c r="O581" s="227"/>
    </row>
    <row r="582" spans="4:15">
      <c r="D582" s="227"/>
      <c r="E582" s="227"/>
      <c r="F582" s="227"/>
      <c r="G582" s="227"/>
      <c r="H582" s="227"/>
      <c r="I582" s="227"/>
      <c r="J582" s="227"/>
      <c r="K582" s="227"/>
      <c r="L582" s="227"/>
      <c r="M582" s="227"/>
      <c r="N582" s="227"/>
      <c r="O582" s="227"/>
    </row>
    <row r="583" spans="4:15">
      <c r="D583" s="227"/>
      <c r="E583" s="227"/>
      <c r="F583" s="227"/>
      <c r="G583" s="227"/>
      <c r="H583" s="227"/>
      <c r="I583" s="227"/>
      <c r="J583" s="227"/>
      <c r="K583" s="227"/>
      <c r="L583" s="227"/>
      <c r="M583" s="227"/>
      <c r="N583" s="227"/>
      <c r="O583" s="227"/>
    </row>
    <row r="584" spans="4:15">
      <c r="D584" s="227"/>
      <c r="E584" s="227"/>
      <c r="F584" s="227"/>
      <c r="G584" s="227"/>
      <c r="H584" s="227"/>
      <c r="I584" s="227"/>
      <c r="J584" s="227"/>
      <c r="K584" s="227"/>
      <c r="L584" s="227"/>
      <c r="M584" s="227"/>
      <c r="N584" s="227"/>
      <c r="O584" s="227"/>
    </row>
    <row r="585" spans="4:15">
      <c r="D585" s="227"/>
      <c r="E585" s="227"/>
      <c r="F585" s="227"/>
      <c r="G585" s="227"/>
      <c r="H585" s="227"/>
      <c r="I585" s="227"/>
      <c r="J585" s="227"/>
      <c r="K585" s="227"/>
      <c r="L585" s="227"/>
      <c r="M585" s="227"/>
      <c r="N585" s="227"/>
      <c r="O585" s="227"/>
    </row>
    <row r="586" spans="4:15">
      <c r="D586" s="227"/>
      <c r="E586" s="227"/>
      <c r="F586" s="227"/>
      <c r="G586" s="227"/>
      <c r="H586" s="227"/>
      <c r="I586" s="227"/>
      <c r="J586" s="227"/>
      <c r="K586" s="227"/>
      <c r="L586" s="227"/>
      <c r="M586" s="227"/>
      <c r="N586" s="227"/>
      <c r="O586" s="227"/>
    </row>
    <row r="587" spans="4:15">
      <c r="D587" s="227"/>
      <c r="E587" s="227"/>
      <c r="F587" s="227"/>
      <c r="G587" s="227"/>
      <c r="H587" s="227"/>
      <c r="I587" s="227"/>
      <c r="J587" s="227"/>
      <c r="K587" s="227"/>
      <c r="L587" s="227"/>
      <c r="M587" s="227"/>
      <c r="N587" s="227"/>
      <c r="O587" s="227"/>
    </row>
    <row r="588" spans="4:15">
      <c r="D588" s="227"/>
      <c r="E588" s="227"/>
      <c r="F588" s="227"/>
      <c r="G588" s="227"/>
      <c r="H588" s="227"/>
      <c r="I588" s="227"/>
      <c r="J588" s="227"/>
      <c r="K588" s="227"/>
      <c r="L588" s="227"/>
      <c r="M588" s="227"/>
      <c r="N588" s="227"/>
      <c r="O588" s="227"/>
    </row>
    <row r="589" spans="4:15">
      <c r="D589" s="227"/>
      <c r="E589" s="227"/>
      <c r="F589" s="227"/>
      <c r="G589" s="227"/>
      <c r="H589" s="227"/>
      <c r="I589" s="227"/>
      <c r="J589" s="227"/>
      <c r="K589" s="227"/>
      <c r="L589" s="227"/>
      <c r="M589" s="227"/>
      <c r="N589" s="227"/>
      <c r="O589" s="227"/>
    </row>
    <row r="590" spans="4:15">
      <c r="D590" s="227"/>
      <c r="E590" s="227"/>
      <c r="F590" s="227"/>
      <c r="G590" s="227"/>
      <c r="H590" s="227"/>
      <c r="I590" s="227"/>
      <c r="J590" s="227"/>
      <c r="K590" s="227"/>
      <c r="L590" s="227"/>
      <c r="M590" s="227"/>
      <c r="N590" s="227"/>
      <c r="O590" s="227"/>
    </row>
    <row r="591" spans="4:15">
      <c r="D591" s="227"/>
      <c r="E591" s="227"/>
      <c r="F591" s="227"/>
      <c r="G591" s="227"/>
      <c r="H591" s="227"/>
      <c r="I591" s="227"/>
      <c r="J591" s="227"/>
      <c r="K591" s="227"/>
      <c r="L591" s="227"/>
      <c r="M591" s="227"/>
      <c r="N591" s="227"/>
      <c r="O591" s="227"/>
    </row>
    <row r="592" spans="4:15">
      <c r="D592" s="227"/>
      <c r="E592" s="227"/>
      <c r="F592" s="227"/>
      <c r="G592" s="227"/>
      <c r="H592" s="227"/>
      <c r="I592" s="227"/>
      <c r="J592" s="227"/>
      <c r="K592" s="227"/>
      <c r="L592" s="227"/>
      <c r="M592" s="227"/>
      <c r="N592" s="227"/>
      <c r="O592" s="227"/>
    </row>
    <row r="593" spans="4:15">
      <c r="D593" s="227"/>
      <c r="E593" s="227"/>
      <c r="F593" s="227"/>
      <c r="G593" s="227"/>
      <c r="H593" s="227"/>
      <c r="I593" s="227"/>
      <c r="J593" s="227"/>
      <c r="K593" s="227"/>
      <c r="L593" s="227"/>
      <c r="M593" s="227"/>
      <c r="N593" s="227"/>
      <c r="O593" s="227"/>
    </row>
    <row r="594" spans="4:15">
      <c r="D594" s="227"/>
      <c r="E594" s="227"/>
      <c r="F594" s="227"/>
      <c r="G594" s="227"/>
      <c r="H594" s="227"/>
      <c r="I594" s="227"/>
      <c r="J594" s="227"/>
      <c r="K594" s="227"/>
      <c r="L594" s="227"/>
      <c r="M594" s="227"/>
      <c r="N594" s="227"/>
      <c r="O594" s="227"/>
    </row>
    <row r="595" spans="4:15">
      <c r="D595" s="227"/>
      <c r="E595" s="227"/>
      <c r="F595" s="227"/>
      <c r="G595" s="227"/>
      <c r="H595" s="227"/>
      <c r="I595" s="227"/>
      <c r="J595" s="227"/>
      <c r="K595" s="227"/>
      <c r="L595" s="227"/>
      <c r="M595" s="227"/>
      <c r="N595" s="227"/>
      <c r="O595" s="227"/>
    </row>
    <row r="596" spans="4:15">
      <c r="D596" s="227"/>
      <c r="E596" s="227"/>
      <c r="F596" s="227"/>
      <c r="G596" s="227"/>
      <c r="H596" s="227"/>
      <c r="I596" s="227"/>
      <c r="J596" s="227"/>
      <c r="K596" s="227"/>
      <c r="L596" s="227"/>
      <c r="M596" s="227"/>
      <c r="N596" s="227"/>
      <c r="O596" s="227"/>
    </row>
    <row r="597" spans="4:15">
      <c r="D597" s="227"/>
      <c r="E597" s="227"/>
      <c r="F597" s="227"/>
      <c r="G597" s="227"/>
      <c r="H597" s="227"/>
      <c r="I597" s="227"/>
      <c r="J597" s="227"/>
      <c r="K597" s="227"/>
      <c r="L597" s="227"/>
      <c r="M597" s="227"/>
      <c r="N597" s="227"/>
      <c r="O597" s="227"/>
    </row>
    <row r="598" spans="4:15">
      <c r="D598" s="227"/>
      <c r="E598" s="227"/>
      <c r="F598" s="227"/>
      <c r="G598" s="227"/>
      <c r="H598" s="227"/>
      <c r="I598" s="227"/>
      <c r="J598" s="227"/>
      <c r="K598" s="227"/>
      <c r="L598" s="227"/>
      <c r="M598" s="227"/>
      <c r="N598" s="227"/>
      <c r="O598" s="227"/>
    </row>
    <row r="599" spans="4:15">
      <c r="D599" s="227"/>
      <c r="E599" s="227"/>
      <c r="F599" s="227"/>
      <c r="G599" s="227"/>
      <c r="H599" s="227"/>
      <c r="I599" s="227"/>
      <c r="J599" s="227"/>
      <c r="K599" s="227"/>
      <c r="L599" s="227"/>
      <c r="M599" s="227"/>
      <c r="N599" s="227"/>
      <c r="O599" s="227"/>
    </row>
    <row r="600" spans="4:15">
      <c r="D600" s="227"/>
      <c r="E600" s="227"/>
      <c r="F600" s="227"/>
      <c r="G600" s="227"/>
      <c r="H600" s="227"/>
      <c r="I600" s="227"/>
      <c r="J600" s="227"/>
      <c r="K600" s="227"/>
      <c r="L600" s="227"/>
      <c r="M600" s="227"/>
      <c r="N600" s="227"/>
      <c r="O600" s="227"/>
    </row>
    <row r="601" spans="4:15">
      <c r="D601" s="227"/>
      <c r="E601" s="227"/>
      <c r="F601" s="227"/>
      <c r="G601" s="227"/>
      <c r="H601" s="227"/>
      <c r="I601" s="227"/>
      <c r="J601" s="227"/>
      <c r="K601" s="227"/>
      <c r="L601" s="227"/>
      <c r="M601" s="227"/>
      <c r="N601" s="227"/>
      <c r="O601" s="227"/>
    </row>
    <row r="602" spans="4:15">
      <c r="D602" s="227"/>
      <c r="E602" s="227"/>
      <c r="F602" s="227"/>
      <c r="G602" s="227"/>
      <c r="H602" s="227"/>
      <c r="I602" s="227"/>
      <c r="J602" s="227"/>
      <c r="K602" s="227"/>
      <c r="L602" s="227"/>
      <c r="M602" s="227"/>
      <c r="N602" s="227"/>
      <c r="O602" s="227"/>
    </row>
    <row r="603" spans="4:15">
      <c r="D603" s="227"/>
      <c r="E603" s="227"/>
      <c r="F603" s="227"/>
      <c r="G603" s="227"/>
      <c r="H603" s="227"/>
      <c r="I603" s="227"/>
      <c r="J603" s="227"/>
      <c r="K603" s="227"/>
      <c r="L603" s="227"/>
      <c r="M603" s="227"/>
      <c r="N603" s="227"/>
      <c r="O603" s="227"/>
    </row>
    <row r="604" spans="4:15">
      <c r="D604" s="227"/>
      <c r="E604" s="227"/>
      <c r="F604" s="227"/>
      <c r="G604" s="227"/>
      <c r="H604" s="227"/>
      <c r="I604" s="227"/>
      <c r="J604" s="227"/>
      <c r="K604" s="227"/>
      <c r="L604" s="227"/>
      <c r="M604" s="227"/>
      <c r="N604" s="227"/>
      <c r="O604" s="227"/>
    </row>
    <row r="605" spans="4:15">
      <c r="D605" s="227"/>
      <c r="E605" s="227"/>
      <c r="F605" s="227"/>
      <c r="G605" s="227"/>
      <c r="H605" s="227"/>
      <c r="I605" s="227"/>
      <c r="J605" s="227"/>
      <c r="K605" s="227"/>
      <c r="L605" s="227"/>
      <c r="M605" s="227"/>
      <c r="N605" s="227"/>
      <c r="O605" s="227"/>
    </row>
    <row r="606" spans="4:15">
      <c r="D606" s="227"/>
      <c r="E606" s="227"/>
      <c r="F606" s="227"/>
      <c r="G606" s="227"/>
      <c r="H606" s="227"/>
      <c r="I606" s="227"/>
      <c r="J606" s="227"/>
      <c r="K606" s="227"/>
      <c r="L606" s="227"/>
      <c r="M606" s="227"/>
      <c r="N606" s="227"/>
      <c r="O606" s="227"/>
    </row>
    <row r="607" spans="4:15">
      <c r="D607" s="227"/>
      <c r="E607" s="227"/>
      <c r="F607" s="227"/>
      <c r="G607" s="227"/>
      <c r="H607" s="227"/>
      <c r="I607" s="227"/>
      <c r="J607" s="227"/>
      <c r="K607" s="227"/>
      <c r="L607" s="227"/>
      <c r="M607" s="227"/>
      <c r="N607" s="227"/>
      <c r="O607" s="227"/>
    </row>
    <row r="608" spans="4:15">
      <c r="D608" s="227"/>
      <c r="E608" s="227"/>
      <c r="F608" s="227"/>
      <c r="G608" s="227"/>
      <c r="H608" s="227"/>
      <c r="I608" s="227"/>
      <c r="J608" s="227"/>
      <c r="K608" s="227"/>
      <c r="L608" s="227"/>
      <c r="M608" s="227"/>
      <c r="N608" s="227"/>
      <c r="O608" s="227"/>
    </row>
    <row r="609" spans="4:15">
      <c r="D609" s="227"/>
      <c r="E609" s="227"/>
      <c r="F609" s="227"/>
      <c r="G609" s="227"/>
      <c r="H609" s="227"/>
      <c r="I609" s="227"/>
      <c r="J609" s="227"/>
      <c r="K609" s="227"/>
      <c r="L609" s="227"/>
      <c r="M609" s="227"/>
      <c r="N609" s="227"/>
      <c r="O609" s="227"/>
    </row>
    <row r="610" spans="4:15">
      <c r="D610" s="227"/>
      <c r="E610" s="227"/>
      <c r="F610" s="227"/>
      <c r="G610" s="227"/>
      <c r="H610" s="227"/>
      <c r="I610" s="227"/>
      <c r="J610" s="227"/>
      <c r="K610" s="227"/>
      <c r="L610" s="227"/>
      <c r="M610" s="227"/>
      <c r="N610" s="227"/>
      <c r="O610" s="227"/>
    </row>
    <row r="611" spans="4:15">
      <c r="D611" s="227"/>
      <c r="E611" s="227"/>
      <c r="F611" s="227"/>
      <c r="G611" s="227"/>
      <c r="H611" s="227"/>
      <c r="I611" s="227"/>
      <c r="J611" s="227"/>
      <c r="K611" s="227"/>
      <c r="L611" s="227"/>
      <c r="M611" s="227"/>
      <c r="N611" s="227"/>
      <c r="O611" s="227"/>
    </row>
    <row r="612" spans="4:15">
      <c r="D612" s="227"/>
      <c r="E612" s="227"/>
      <c r="F612" s="227"/>
      <c r="G612" s="227"/>
      <c r="H612" s="227"/>
      <c r="I612" s="227"/>
      <c r="J612" s="227"/>
      <c r="K612" s="227"/>
      <c r="L612" s="227"/>
      <c r="M612" s="227"/>
      <c r="N612" s="227"/>
      <c r="O612" s="227"/>
    </row>
    <row r="613" spans="4:15">
      <c r="D613" s="227"/>
      <c r="E613" s="227"/>
      <c r="F613" s="227"/>
      <c r="G613" s="227"/>
      <c r="H613" s="227"/>
      <c r="I613" s="227"/>
      <c r="J613" s="227"/>
      <c r="K613" s="227"/>
      <c r="L613" s="227"/>
      <c r="M613" s="227"/>
      <c r="N613" s="227"/>
      <c r="O613" s="227"/>
    </row>
    <row r="614" spans="4:15">
      <c r="D614" s="227"/>
      <c r="E614" s="227"/>
      <c r="F614" s="227"/>
      <c r="G614" s="227"/>
      <c r="H614" s="227"/>
      <c r="I614" s="227"/>
      <c r="J614" s="227"/>
      <c r="K614" s="227"/>
      <c r="L614" s="227"/>
      <c r="M614" s="227"/>
      <c r="N614" s="227"/>
      <c r="O614" s="227"/>
    </row>
    <row r="615" spans="4:15">
      <c r="D615" s="227"/>
      <c r="E615" s="227"/>
      <c r="F615" s="227"/>
      <c r="G615" s="227"/>
      <c r="H615" s="227"/>
      <c r="I615" s="227"/>
      <c r="J615" s="227"/>
      <c r="K615" s="227"/>
      <c r="L615" s="227"/>
      <c r="M615" s="227"/>
      <c r="N615" s="227"/>
      <c r="O615" s="227"/>
    </row>
    <row r="616" spans="4:15">
      <c r="D616" s="227"/>
      <c r="E616" s="227"/>
      <c r="F616" s="227"/>
      <c r="G616" s="227"/>
      <c r="H616" s="227"/>
      <c r="I616" s="227"/>
      <c r="J616" s="227"/>
      <c r="K616" s="227"/>
      <c r="L616" s="227"/>
      <c r="M616" s="227"/>
      <c r="N616" s="227"/>
      <c r="O616" s="227"/>
    </row>
    <row r="617" spans="4:15">
      <c r="D617" s="227"/>
      <c r="E617" s="227"/>
      <c r="F617" s="227"/>
      <c r="G617" s="227"/>
      <c r="H617" s="227"/>
      <c r="I617" s="227"/>
      <c r="J617" s="227"/>
      <c r="K617" s="227"/>
      <c r="L617" s="227"/>
      <c r="M617" s="227"/>
      <c r="N617" s="227"/>
      <c r="O617" s="227"/>
    </row>
    <row r="618" spans="4:15">
      <c r="D618" s="227"/>
      <c r="E618" s="227"/>
      <c r="F618" s="227"/>
      <c r="G618" s="227"/>
      <c r="H618" s="227"/>
      <c r="I618" s="227"/>
      <c r="J618" s="227"/>
      <c r="K618" s="227"/>
      <c r="L618" s="227"/>
      <c r="M618" s="227"/>
      <c r="N618" s="227"/>
      <c r="O618" s="227"/>
    </row>
    <row r="619" spans="4:15">
      <c r="D619" s="227"/>
      <c r="E619" s="227"/>
      <c r="F619" s="227"/>
      <c r="G619" s="227"/>
      <c r="H619" s="227"/>
      <c r="I619" s="227"/>
      <c r="J619" s="227"/>
      <c r="K619" s="227"/>
      <c r="L619" s="227"/>
      <c r="M619" s="227"/>
      <c r="N619" s="227"/>
      <c r="O619" s="227"/>
    </row>
    <row r="620" spans="4:15">
      <c r="D620" s="227"/>
      <c r="E620" s="227"/>
      <c r="F620" s="227"/>
      <c r="G620" s="227"/>
      <c r="H620" s="227"/>
      <c r="I620" s="227"/>
      <c r="J620" s="227"/>
      <c r="K620" s="227"/>
      <c r="L620" s="227"/>
      <c r="M620" s="227"/>
      <c r="N620" s="227"/>
      <c r="O620" s="227"/>
    </row>
    <row r="621" spans="4:15">
      <c r="D621" s="227"/>
      <c r="E621" s="227"/>
      <c r="F621" s="227"/>
      <c r="G621" s="227"/>
      <c r="H621" s="227"/>
      <c r="I621" s="227"/>
      <c r="J621" s="227"/>
      <c r="K621" s="227"/>
      <c r="L621" s="227"/>
      <c r="M621" s="227"/>
      <c r="N621" s="227"/>
      <c r="O621" s="227"/>
    </row>
    <row r="622" spans="4:15">
      <c r="D622" s="227"/>
      <c r="E622" s="227"/>
      <c r="F622" s="227"/>
      <c r="G622" s="227"/>
      <c r="H622" s="227"/>
      <c r="I622" s="227"/>
      <c r="J622" s="227"/>
      <c r="K622" s="227"/>
      <c r="L622" s="227"/>
      <c r="M622" s="227"/>
      <c r="N622" s="227"/>
      <c r="O622" s="227"/>
    </row>
    <row r="623" spans="4:15">
      <c r="D623" s="227"/>
      <c r="E623" s="227"/>
      <c r="F623" s="227"/>
      <c r="G623" s="227"/>
      <c r="H623" s="227"/>
      <c r="I623" s="227"/>
      <c r="J623" s="227"/>
      <c r="K623" s="227"/>
      <c r="L623" s="227"/>
      <c r="M623" s="227"/>
      <c r="N623" s="227"/>
      <c r="O623" s="227"/>
    </row>
    <row r="624" spans="4:15">
      <c r="D624" s="227"/>
      <c r="E624" s="227"/>
      <c r="F624" s="227"/>
      <c r="G624" s="227"/>
      <c r="H624" s="227"/>
      <c r="I624" s="227"/>
      <c r="J624" s="227"/>
      <c r="K624" s="227"/>
      <c r="L624" s="227"/>
      <c r="M624" s="227"/>
      <c r="N624" s="227"/>
      <c r="O624" s="227"/>
    </row>
    <row r="625" spans="4:15">
      <c r="D625" s="227"/>
      <c r="E625" s="227"/>
      <c r="F625" s="227"/>
      <c r="G625" s="227"/>
      <c r="H625" s="227"/>
      <c r="I625" s="227"/>
      <c r="J625" s="227"/>
      <c r="K625" s="227"/>
      <c r="L625" s="227"/>
      <c r="M625" s="227"/>
      <c r="N625" s="227"/>
      <c r="O625" s="227"/>
    </row>
    <row r="626" spans="4:15">
      <c r="D626" s="227"/>
      <c r="E626" s="227"/>
      <c r="F626" s="227"/>
      <c r="G626" s="227"/>
      <c r="H626" s="227"/>
      <c r="I626" s="227"/>
      <c r="J626" s="227"/>
      <c r="K626" s="227"/>
      <c r="L626" s="227"/>
      <c r="M626" s="227"/>
      <c r="N626" s="227"/>
      <c r="O626" s="227"/>
    </row>
    <row r="627" spans="4:15">
      <c r="D627" s="227"/>
      <c r="E627" s="227"/>
      <c r="F627" s="227"/>
      <c r="G627" s="227"/>
      <c r="H627" s="227"/>
      <c r="I627" s="227"/>
      <c r="J627" s="227"/>
      <c r="K627" s="227"/>
      <c r="L627" s="227"/>
      <c r="M627" s="227"/>
      <c r="N627" s="227"/>
      <c r="O627" s="227"/>
    </row>
    <row r="628" spans="4:15">
      <c r="D628" s="227"/>
      <c r="E628" s="227"/>
      <c r="F628" s="227"/>
      <c r="G628" s="227"/>
      <c r="H628" s="227"/>
      <c r="I628" s="227"/>
      <c r="J628" s="227"/>
      <c r="K628" s="227"/>
      <c r="L628" s="227"/>
      <c r="M628" s="227"/>
      <c r="N628" s="227"/>
      <c r="O628" s="227"/>
    </row>
    <row r="629" spans="4:15">
      <c r="D629" s="227"/>
      <c r="E629" s="227"/>
      <c r="F629" s="227"/>
      <c r="G629" s="227"/>
      <c r="H629" s="227"/>
      <c r="I629" s="227"/>
      <c r="J629" s="227"/>
      <c r="K629" s="227"/>
      <c r="L629" s="227"/>
      <c r="M629" s="227"/>
      <c r="N629" s="227"/>
      <c r="O629" s="227"/>
    </row>
    <row r="630" spans="4:15">
      <c r="D630" s="227"/>
      <c r="E630" s="227"/>
      <c r="F630" s="227"/>
      <c r="G630" s="227"/>
      <c r="H630" s="227"/>
      <c r="I630" s="227"/>
      <c r="J630" s="227"/>
      <c r="K630" s="227"/>
      <c r="L630" s="227"/>
      <c r="M630" s="227"/>
      <c r="N630" s="227"/>
      <c r="O630" s="227"/>
    </row>
    <row r="631" spans="4:15">
      <c r="D631" s="227"/>
      <c r="E631" s="227"/>
      <c r="F631" s="227"/>
      <c r="G631" s="227"/>
      <c r="H631" s="227"/>
      <c r="I631" s="227"/>
      <c r="J631" s="227"/>
      <c r="K631" s="227"/>
      <c r="L631" s="227"/>
      <c r="M631" s="227"/>
      <c r="N631" s="227"/>
      <c r="O631" s="227"/>
    </row>
    <row r="632" spans="4:15">
      <c r="D632" s="227"/>
      <c r="E632" s="227"/>
      <c r="F632" s="227"/>
      <c r="G632" s="227"/>
      <c r="H632" s="227"/>
      <c r="I632" s="227"/>
      <c r="J632" s="227"/>
      <c r="K632" s="227"/>
      <c r="L632" s="227"/>
      <c r="M632" s="227"/>
      <c r="N632" s="227"/>
      <c r="O632" s="227"/>
    </row>
    <row r="633" spans="4:15">
      <c r="D633" s="227"/>
      <c r="E633" s="227"/>
      <c r="F633" s="227"/>
      <c r="G633" s="227"/>
      <c r="H633" s="227"/>
      <c r="I633" s="227"/>
      <c r="J633" s="227"/>
      <c r="K633" s="227"/>
      <c r="L633" s="227"/>
      <c r="M633" s="227"/>
      <c r="N633" s="227"/>
      <c r="O633" s="227"/>
    </row>
    <row r="634" spans="4:15">
      <c r="D634" s="227"/>
      <c r="E634" s="227"/>
      <c r="F634" s="227"/>
      <c r="G634" s="227"/>
      <c r="H634" s="227"/>
      <c r="I634" s="227"/>
      <c r="J634" s="227"/>
      <c r="K634" s="227"/>
      <c r="L634" s="227"/>
      <c r="M634" s="227"/>
      <c r="N634" s="227"/>
      <c r="O634" s="227"/>
    </row>
    <row r="635" spans="4:15">
      <c r="D635" s="227"/>
      <c r="E635" s="227"/>
      <c r="F635" s="227"/>
      <c r="G635" s="227"/>
      <c r="H635" s="227"/>
      <c r="I635" s="227"/>
      <c r="J635" s="227"/>
      <c r="K635" s="227"/>
      <c r="L635" s="227"/>
      <c r="M635" s="227"/>
      <c r="N635" s="227"/>
      <c r="O635" s="227"/>
    </row>
    <row r="636" spans="4:15">
      <c r="D636" s="227"/>
      <c r="E636" s="227"/>
      <c r="F636" s="227"/>
      <c r="G636" s="227"/>
      <c r="H636" s="227"/>
      <c r="I636" s="227"/>
      <c r="J636" s="227"/>
      <c r="K636" s="227"/>
      <c r="L636" s="227"/>
      <c r="M636" s="227"/>
      <c r="N636" s="227"/>
      <c r="O636" s="227"/>
    </row>
    <row r="637" spans="4:15">
      <c r="D637" s="227"/>
      <c r="E637" s="227"/>
      <c r="F637" s="227"/>
      <c r="G637" s="227"/>
      <c r="H637" s="227"/>
      <c r="I637" s="227"/>
      <c r="J637" s="227"/>
      <c r="K637" s="227"/>
      <c r="L637" s="227"/>
      <c r="M637" s="227"/>
      <c r="N637" s="227"/>
      <c r="O637" s="227"/>
    </row>
    <row r="638" spans="4:15">
      <c r="D638" s="227"/>
      <c r="E638" s="227"/>
      <c r="F638" s="227"/>
      <c r="G638" s="227"/>
      <c r="H638" s="227"/>
      <c r="I638" s="227"/>
      <c r="J638" s="227"/>
      <c r="K638" s="227"/>
      <c r="L638" s="227"/>
      <c r="M638" s="227"/>
      <c r="N638" s="227"/>
      <c r="O638" s="227"/>
    </row>
    <row r="639" spans="4:15">
      <c r="D639" s="227"/>
      <c r="E639" s="227"/>
      <c r="F639" s="227"/>
      <c r="G639" s="227"/>
      <c r="H639" s="227"/>
      <c r="I639" s="227"/>
      <c r="J639" s="227"/>
      <c r="K639" s="227"/>
      <c r="L639" s="227"/>
      <c r="M639" s="227"/>
      <c r="N639" s="227"/>
      <c r="O639" s="227"/>
    </row>
    <row r="640" spans="4:15">
      <c r="D640" s="227"/>
      <c r="E640" s="227"/>
      <c r="F640" s="227"/>
      <c r="G640" s="227"/>
      <c r="H640" s="227"/>
      <c r="I640" s="227"/>
      <c r="J640" s="227"/>
      <c r="K640" s="227"/>
      <c r="L640" s="227"/>
      <c r="M640" s="227"/>
      <c r="N640" s="227"/>
      <c r="O640" s="227"/>
    </row>
    <row r="641" spans="4:15">
      <c r="D641" s="227"/>
      <c r="E641" s="227"/>
      <c r="F641" s="227"/>
      <c r="G641" s="227"/>
      <c r="H641" s="227"/>
      <c r="I641" s="227"/>
      <c r="J641" s="227"/>
      <c r="K641" s="227"/>
      <c r="L641" s="227"/>
      <c r="M641" s="227"/>
      <c r="N641" s="227"/>
      <c r="O641" s="227"/>
    </row>
    <row r="642" spans="4:15">
      <c r="D642" s="227"/>
      <c r="E642" s="227"/>
      <c r="F642" s="227"/>
      <c r="G642" s="227"/>
      <c r="H642" s="227"/>
      <c r="I642" s="227"/>
      <c r="J642" s="227"/>
      <c r="K642" s="227"/>
      <c r="L642" s="227"/>
      <c r="M642" s="227"/>
      <c r="N642" s="227"/>
      <c r="O642" s="227"/>
    </row>
    <row r="643" spans="4:15">
      <c r="D643" s="227"/>
      <c r="E643" s="227"/>
      <c r="F643" s="227"/>
      <c r="G643" s="227"/>
      <c r="H643" s="227"/>
      <c r="I643" s="227"/>
      <c r="J643" s="227"/>
      <c r="K643" s="227"/>
      <c r="L643" s="227"/>
      <c r="M643" s="227"/>
      <c r="N643" s="227"/>
      <c r="O643" s="227"/>
    </row>
    <row r="644" spans="4:15">
      <c r="D644" s="227"/>
      <c r="E644" s="227"/>
      <c r="F644" s="227"/>
      <c r="G644" s="227"/>
      <c r="H644" s="227"/>
      <c r="I644" s="227"/>
      <c r="J644" s="227"/>
      <c r="K644" s="227"/>
      <c r="L644" s="227"/>
      <c r="M644" s="227"/>
      <c r="N644" s="227"/>
      <c r="O644" s="227"/>
    </row>
    <row r="645" spans="4:15">
      <c r="D645" s="227"/>
      <c r="E645" s="227"/>
      <c r="F645" s="227"/>
      <c r="G645" s="227"/>
      <c r="H645" s="227"/>
      <c r="I645" s="227"/>
      <c r="J645" s="227"/>
      <c r="K645" s="227"/>
      <c r="L645" s="227"/>
      <c r="M645" s="227"/>
      <c r="N645" s="227"/>
      <c r="O645" s="227"/>
    </row>
    <row r="646" spans="4:15">
      <c r="D646" s="227"/>
      <c r="E646" s="227"/>
      <c r="F646" s="227"/>
      <c r="G646" s="227"/>
      <c r="H646" s="227"/>
      <c r="I646" s="227"/>
      <c r="J646" s="227"/>
      <c r="K646" s="227"/>
      <c r="L646" s="227"/>
      <c r="M646" s="227"/>
      <c r="N646" s="227"/>
      <c r="O646" s="227"/>
    </row>
    <row r="647" spans="4:15">
      <c r="D647" s="227"/>
      <c r="E647" s="227"/>
      <c r="F647" s="227"/>
      <c r="G647" s="227"/>
      <c r="H647" s="227"/>
      <c r="I647" s="227"/>
      <c r="J647" s="227"/>
      <c r="K647" s="227"/>
      <c r="L647" s="227"/>
      <c r="M647" s="227"/>
      <c r="N647" s="227"/>
      <c r="O647" s="227"/>
    </row>
    <row r="648" spans="4:15">
      <c r="D648" s="227"/>
      <c r="E648" s="227"/>
      <c r="F648" s="227"/>
      <c r="G648" s="227"/>
      <c r="H648" s="227"/>
      <c r="I648" s="227"/>
      <c r="J648" s="227"/>
      <c r="K648" s="227"/>
      <c r="L648" s="227"/>
      <c r="M648" s="227"/>
      <c r="N648" s="227"/>
      <c r="O648" s="227"/>
    </row>
    <row r="649" spans="4:15">
      <c r="D649" s="227"/>
      <c r="E649" s="227"/>
      <c r="F649" s="227"/>
      <c r="G649" s="227"/>
      <c r="H649" s="227"/>
      <c r="I649" s="227"/>
      <c r="J649" s="227"/>
      <c r="K649" s="227"/>
      <c r="L649" s="227"/>
      <c r="M649" s="227"/>
      <c r="N649" s="227"/>
      <c r="O649" s="227"/>
    </row>
    <row r="650" spans="4:15">
      <c r="D650" s="227"/>
      <c r="E650" s="227"/>
      <c r="F650" s="227"/>
      <c r="G650" s="227"/>
      <c r="H650" s="227"/>
      <c r="I650" s="227"/>
      <c r="J650" s="227"/>
      <c r="K650" s="227"/>
      <c r="L650" s="227"/>
      <c r="M650" s="227"/>
      <c r="N650" s="227"/>
      <c r="O650" s="227"/>
    </row>
    <row r="651" spans="4:15">
      <c r="D651" s="227"/>
      <c r="E651" s="227"/>
      <c r="F651" s="227"/>
      <c r="G651" s="227"/>
      <c r="H651" s="227"/>
      <c r="I651" s="227"/>
      <c r="J651" s="227"/>
      <c r="K651" s="227"/>
      <c r="L651" s="227"/>
      <c r="M651" s="227"/>
      <c r="N651" s="227"/>
      <c r="O651" s="227"/>
    </row>
    <row r="652" spans="4:15">
      <c r="D652" s="227"/>
      <c r="E652" s="227"/>
      <c r="F652" s="227"/>
      <c r="G652" s="227"/>
      <c r="H652" s="227"/>
      <c r="I652" s="227"/>
      <c r="J652" s="227"/>
      <c r="K652" s="227"/>
      <c r="L652" s="227"/>
      <c r="M652" s="227"/>
      <c r="N652" s="227"/>
      <c r="O652" s="227"/>
    </row>
    <row r="653" spans="4:15">
      <c r="D653" s="227"/>
      <c r="E653" s="227"/>
      <c r="F653" s="227"/>
      <c r="G653" s="227"/>
      <c r="H653" s="227"/>
      <c r="I653" s="227"/>
      <c r="J653" s="227"/>
      <c r="K653" s="227"/>
      <c r="L653" s="227"/>
      <c r="M653" s="227"/>
      <c r="N653" s="227"/>
      <c r="O653" s="227"/>
    </row>
    <row r="654" spans="4:15">
      <c r="D654" s="227"/>
      <c r="E654" s="227"/>
      <c r="F654" s="227"/>
      <c r="G654" s="227"/>
      <c r="H654" s="227"/>
      <c r="I654" s="227"/>
      <c r="J654" s="227"/>
      <c r="K654" s="227"/>
      <c r="L654" s="227"/>
      <c r="M654" s="227"/>
      <c r="N654" s="227"/>
      <c r="O654" s="227"/>
    </row>
    <row r="655" spans="4:15">
      <c r="D655" s="227"/>
      <c r="E655" s="227"/>
      <c r="F655" s="227"/>
      <c r="G655" s="227"/>
      <c r="H655" s="227"/>
      <c r="I655" s="227"/>
      <c r="J655" s="227"/>
      <c r="K655" s="227"/>
      <c r="L655" s="227"/>
      <c r="M655" s="227"/>
      <c r="N655" s="227"/>
      <c r="O655" s="227"/>
    </row>
    <row r="656" spans="4:15">
      <c r="D656" s="227"/>
      <c r="E656" s="227"/>
      <c r="F656" s="227"/>
      <c r="G656" s="227"/>
      <c r="H656" s="227"/>
      <c r="I656" s="227"/>
      <c r="J656" s="227"/>
      <c r="K656" s="227"/>
      <c r="L656" s="227"/>
      <c r="M656" s="227"/>
      <c r="N656" s="227"/>
      <c r="O656" s="227"/>
    </row>
    <row r="657" spans="4:15">
      <c r="D657" s="227"/>
      <c r="E657" s="227"/>
      <c r="F657" s="227"/>
      <c r="G657" s="227"/>
      <c r="H657" s="227"/>
      <c r="I657" s="227"/>
      <c r="J657" s="227"/>
      <c r="K657" s="227"/>
      <c r="L657" s="227"/>
      <c r="M657" s="227"/>
      <c r="N657" s="227"/>
      <c r="O657" s="227"/>
    </row>
    <row r="658" spans="4:15">
      <c r="D658" s="227"/>
      <c r="E658" s="227"/>
      <c r="F658" s="227"/>
      <c r="G658" s="227"/>
      <c r="H658" s="227"/>
      <c r="I658" s="227"/>
      <c r="J658" s="227"/>
      <c r="K658" s="227"/>
      <c r="L658" s="227"/>
      <c r="M658" s="227"/>
      <c r="N658" s="227"/>
      <c r="O658" s="227"/>
    </row>
    <row r="659" spans="4:15">
      <c r="D659" s="227"/>
      <c r="E659" s="227"/>
      <c r="F659" s="227"/>
      <c r="G659" s="227"/>
      <c r="H659" s="227"/>
      <c r="I659" s="227"/>
      <c r="J659" s="227"/>
      <c r="K659" s="227"/>
      <c r="L659" s="227"/>
      <c r="M659" s="227"/>
      <c r="N659" s="227"/>
      <c r="O659" s="227"/>
    </row>
    <row r="660" spans="4:15">
      <c r="D660" s="227"/>
      <c r="E660" s="227"/>
      <c r="F660" s="227"/>
      <c r="G660" s="227"/>
      <c r="H660" s="227"/>
      <c r="I660" s="227"/>
      <c r="J660" s="227"/>
      <c r="K660" s="227"/>
      <c r="L660" s="227"/>
      <c r="M660" s="227"/>
      <c r="N660" s="227"/>
      <c r="O660" s="227"/>
    </row>
    <row r="661" spans="4:15">
      <c r="D661" s="227"/>
      <c r="E661" s="227"/>
      <c r="F661" s="227"/>
      <c r="G661" s="227"/>
      <c r="H661" s="227"/>
      <c r="I661" s="227"/>
      <c r="J661" s="227"/>
      <c r="K661" s="227"/>
      <c r="L661" s="227"/>
      <c r="M661" s="227"/>
      <c r="N661" s="227"/>
      <c r="O661" s="227"/>
    </row>
    <row r="662" spans="4:15">
      <c r="D662" s="227"/>
      <c r="E662" s="227"/>
      <c r="F662" s="227"/>
      <c r="G662" s="227"/>
      <c r="H662" s="227"/>
      <c r="I662" s="227"/>
      <c r="J662" s="227"/>
      <c r="K662" s="227"/>
      <c r="L662" s="227"/>
      <c r="M662" s="227"/>
      <c r="N662" s="227"/>
      <c r="O662" s="227"/>
    </row>
    <row r="663" spans="4:15">
      <c r="D663" s="227"/>
      <c r="E663" s="227"/>
      <c r="F663" s="227"/>
      <c r="G663" s="227"/>
      <c r="H663" s="227"/>
      <c r="I663" s="227"/>
      <c r="J663" s="227"/>
      <c r="K663" s="227"/>
      <c r="L663" s="227"/>
      <c r="M663" s="227"/>
      <c r="N663" s="227"/>
      <c r="O663" s="227"/>
    </row>
    <row r="664" spans="4:15">
      <c r="D664" s="227"/>
      <c r="E664" s="227"/>
      <c r="F664" s="227"/>
      <c r="G664" s="227"/>
      <c r="H664" s="227"/>
      <c r="I664" s="227"/>
      <c r="J664" s="227"/>
      <c r="K664" s="227"/>
      <c r="L664" s="227"/>
      <c r="M664" s="227"/>
      <c r="N664" s="227"/>
      <c r="O664" s="227"/>
    </row>
    <row r="665" spans="4:15">
      <c r="D665" s="227"/>
      <c r="E665" s="227"/>
      <c r="F665" s="227"/>
      <c r="G665" s="227"/>
      <c r="H665" s="227"/>
      <c r="I665" s="227"/>
      <c r="J665" s="227"/>
      <c r="K665" s="227"/>
      <c r="L665" s="227"/>
      <c r="M665" s="227"/>
      <c r="N665" s="227"/>
      <c r="O665" s="227"/>
    </row>
    <row r="666" spans="4:15">
      <c r="D666" s="227"/>
      <c r="E666" s="227"/>
      <c r="F666" s="227"/>
      <c r="G666" s="227"/>
      <c r="H666" s="227"/>
      <c r="I666" s="227"/>
      <c r="J666" s="227"/>
      <c r="K666" s="227"/>
      <c r="L666" s="227"/>
      <c r="M666" s="227"/>
      <c r="N666" s="227"/>
      <c r="O666" s="227"/>
    </row>
    <row r="667" spans="4:15">
      <c r="D667" s="227"/>
      <c r="E667" s="227"/>
      <c r="F667" s="227"/>
      <c r="G667" s="227"/>
      <c r="H667" s="227"/>
      <c r="I667" s="227"/>
      <c r="J667" s="227"/>
      <c r="K667" s="227"/>
      <c r="L667" s="227"/>
      <c r="M667" s="227"/>
      <c r="N667" s="227"/>
      <c r="O667" s="227"/>
    </row>
    <row r="668" spans="4:15">
      <c r="D668" s="227"/>
      <c r="E668" s="227"/>
      <c r="F668" s="227"/>
      <c r="G668" s="227"/>
      <c r="H668" s="227"/>
      <c r="I668" s="227"/>
      <c r="J668" s="227"/>
      <c r="K668" s="227"/>
      <c r="L668" s="227"/>
      <c r="M668" s="227"/>
      <c r="N668" s="227"/>
      <c r="O668" s="227"/>
    </row>
    <row r="669" spans="4:15">
      <c r="D669" s="227"/>
      <c r="E669" s="227"/>
      <c r="F669" s="227"/>
      <c r="G669" s="227"/>
      <c r="H669" s="227"/>
      <c r="I669" s="227"/>
      <c r="J669" s="227"/>
      <c r="K669" s="227"/>
      <c r="L669" s="227"/>
      <c r="M669" s="227"/>
      <c r="N669" s="227"/>
      <c r="O669" s="227"/>
    </row>
    <row r="670" spans="4:15">
      <c r="D670" s="227"/>
      <c r="E670" s="227"/>
      <c r="F670" s="227"/>
      <c r="G670" s="227"/>
      <c r="H670" s="227"/>
      <c r="I670" s="227"/>
      <c r="J670" s="227"/>
      <c r="K670" s="227"/>
      <c r="L670" s="227"/>
      <c r="M670" s="227"/>
      <c r="N670" s="227"/>
      <c r="O670" s="227"/>
    </row>
    <row r="671" spans="4:15">
      <c r="D671" s="227"/>
      <c r="E671" s="227"/>
      <c r="F671" s="227"/>
      <c r="G671" s="227"/>
      <c r="H671" s="227"/>
      <c r="I671" s="227"/>
      <c r="J671" s="227"/>
      <c r="K671" s="227"/>
      <c r="L671" s="227"/>
      <c r="M671" s="227"/>
      <c r="N671" s="227"/>
      <c r="O671" s="227"/>
    </row>
    <row r="672" spans="4:15">
      <c r="D672" s="227"/>
      <c r="E672" s="227"/>
      <c r="F672" s="227"/>
      <c r="G672" s="227"/>
      <c r="H672" s="227"/>
      <c r="I672" s="227"/>
      <c r="J672" s="227"/>
      <c r="K672" s="227"/>
      <c r="L672" s="227"/>
      <c r="M672" s="227"/>
      <c r="N672" s="227"/>
      <c r="O672" s="227"/>
    </row>
    <row r="673" spans="4:15">
      <c r="D673" s="227"/>
      <c r="E673" s="227"/>
      <c r="F673" s="227"/>
      <c r="G673" s="227"/>
      <c r="H673" s="227"/>
      <c r="I673" s="227"/>
      <c r="J673" s="227"/>
      <c r="K673" s="227"/>
      <c r="L673" s="227"/>
      <c r="M673" s="227"/>
      <c r="N673" s="227"/>
      <c r="O673" s="227"/>
    </row>
    <row r="674" spans="4:15">
      <c r="D674" s="227"/>
      <c r="E674" s="227"/>
      <c r="F674" s="227"/>
      <c r="G674" s="227"/>
      <c r="H674" s="227"/>
      <c r="I674" s="227"/>
      <c r="J674" s="227"/>
      <c r="K674" s="227"/>
      <c r="L674" s="227"/>
      <c r="M674" s="227"/>
      <c r="N674" s="227"/>
      <c r="O674" s="227"/>
    </row>
    <row r="675" spans="4:15">
      <c r="D675" s="227"/>
      <c r="E675" s="227"/>
      <c r="F675" s="227"/>
      <c r="G675" s="227"/>
      <c r="H675" s="227"/>
      <c r="I675" s="227"/>
      <c r="J675" s="227"/>
      <c r="K675" s="227"/>
      <c r="L675" s="227"/>
      <c r="M675" s="227"/>
      <c r="N675" s="227"/>
      <c r="O675" s="227"/>
    </row>
    <row r="676" spans="4:15">
      <c r="D676" s="227"/>
      <c r="E676" s="227"/>
      <c r="F676" s="227"/>
      <c r="G676" s="227"/>
      <c r="H676" s="227"/>
      <c r="I676" s="227"/>
      <c r="J676" s="227"/>
      <c r="K676" s="227"/>
      <c r="L676" s="227"/>
      <c r="M676" s="227"/>
      <c r="N676" s="227"/>
      <c r="O676" s="227"/>
    </row>
    <row r="677" spans="4:15">
      <c r="D677" s="227"/>
      <c r="E677" s="227"/>
      <c r="F677" s="227"/>
      <c r="G677" s="227"/>
      <c r="H677" s="227"/>
      <c r="I677" s="227"/>
      <c r="J677" s="227"/>
      <c r="K677" s="227"/>
      <c r="L677" s="227"/>
      <c r="M677" s="227"/>
      <c r="N677" s="227"/>
      <c r="O677" s="227"/>
    </row>
    <row r="678" spans="4:15">
      <c r="D678" s="227"/>
      <c r="E678" s="227"/>
      <c r="F678" s="227"/>
      <c r="G678" s="227"/>
      <c r="H678" s="227"/>
      <c r="I678" s="227"/>
      <c r="J678" s="227"/>
      <c r="K678" s="227"/>
      <c r="L678" s="227"/>
      <c r="M678" s="227"/>
      <c r="N678" s="227"/>
      <c r="O678" s="227"/>
    </row>
    <row r="679" spans="4:15">
      <c r="D679" s="227"/>
      <c r="E679" s="227"/>
      <c r="F679" s="227"/>
      <c r="G679" s="227"/>
      <c r="H679" s="227"/>
      <c r="I679" s="227"/>
      <c r="J679" s="227"/>
      <c r="K679" s="227"/>
      <c r="L679" s="227"/>
      <c r="M679" s="227"/>
      <c r="N679" s="227"/>
      <c r="O679" s="227"/>
    </row>
    <row r="680" spans="4:15">
      <c r="D680" s="227"/>
      <c r="E680" s="227"/>
      <c r="F680" s="227"/>
      <c r="G680" s="227"/>
      <c r="H680" s="227"/>
      <c r="I680" s="227"/>
      <c r="J680" s="227"/>
      <c r="K680" s="227"/>
      <c r="L680" s="227"/>
      <c r="M680" s="227"/>
      <c r="N680" s="227"/>
      <c r="O680" s="227"/>
    </row>
    <row r="681" spans="4:15">
      <c r="D681" s="227"/>
      <c r="E681" s="227"/>
      <c r="F681" s="227"/>
      <c r="G681" s="227"/>
      <c r="H681" s="227"/>
      <c r="I681" s="227"/>
      <c r="J681" s="227"/>
      <c r="K681" s="227"/>
      <c r="L681" s="227"/>
      <c r="M681" s="227"/>
      <c r="N681" s="227"/>
      <c r="O681" s="227"/>
    </row>
    <row r="682" spans="4:15">
      <c r="D682" s="227"/>
      <c r="E682" s="227"/>
      <c r="F682" s="227"/>
      <c r="G682" s="227"/>
      <c r="H682" s="227"/>
      <c r="I682" s="227"/>
      <c r="J682" s="227"/>
      <c r="K682" s="227"/>
      <c r="L682" s="227"/>
      <c r="M682" s="227"/>
      <c r="N682" s="227"/>
      <c r="O682" s="227"/>
    </row>
    <row r="683" spans="4:15">
      <c r="D683" s="227"/>
      <c r="E683" s="227"/>
      <c r="F683" s="227"/>
      <c r="G683" s="227"/>
      <c r="H683" s="227"/>
      <c r="I683" s="227"/>
      <c r="J683" s="227"/>
      <c r="K683" s="227"/>
      <c r="L683" s="227"/>
      <c r="M683" s="227"/>
      <c r="N683" s="227"/>
      <c r="O683" s="227"/>
    </row>
    <row r="684" spans="4:15">
      <c r="D684" s="227"/>
      <c r="E684" s="227"/>
      <c r="F684" s="227"/>
      <c r="G684" s="227"/>
      <c r="H684" s="227"/>
      <c r="I684" s="227"/>
      <c r="J684" s="227"/>
      <c r="K684" s="227"/>
      <c r="L684" s="227"/>
      <c r="M684" s="227"/>
      <c r="N684" s="227"/>
      <c r="O684" s="227"/>
    </row>
    <row r="685" spans="4:15">
      <c r="D685" s="227"/>
      <c r="E685" s="227"/>
      <c r="F685" s="227"/>
      <c r="G685" s="227"/>
      <c r="H685" s="227"/>
      <c r="I685" s="227"/>
      <c r="J685" s="227"/>
      <c r="K685" s="227"/>
      <c r="L685" s="227"/>
      <c r="M685" s="227"/>
      <c r="N685" s="227"/>
      <c r="O685" s="227"/>
    </row>
    <row r="686" spans="4:15">
      <c r="D686" s="227"/>
      <c r="E686" s="227"/>
      <c r="F686" s="227"/>
      <c r="G686" s="227"/>
      <c r="H686" s="227"/>
      <c r="I686" s="227"/>
      <c r="J686" s="227"/>
      <c r="K686" s="227"/>
      <c r="L686" s="227"/>
      <c r="M686" s="227"/>
      <c r="N686" s="227"/>
      <c r="O686" s="227"/>
    </row>
    <row r="687" spans="4:15">
      <c r="D687" s="227"/>
      <c r="E687" s="227"/>
      <c r="F687" s="227"/>
      <c r="G687" s="227"/>
      <c r="H687" s="227"/>
      <c r="I687" s="227"/>
      <c r="J687" s="227"/>
      <c r="K687" s="227"/>
      <c r="L687" s="227"/>
      <c r="M687" s="227"/>
      <c r="N687" s="227"/>
      <c r="O687" s="227"/>
    </row>
    <row r="688" spans="4:15">
      <c r="D688" s="227"/>
      <c r="E688" s="227"/>
      <c r="F688" s="227"/>
      <c r="G688" s="227"/>
      <c r="H688" s="227"/>
      <c r="I688" s="227"/>
      <c r="J688" s="227"/>
      <c r="K688" s="227"/>
      <c r="L688" s="227"/>
      <c r="M688" s="227"/>
      <c r="N688" s="227"/>
      <c r="O688" s="227"/>
    </row>
    <row r="689" spans="4:15">
      <c r="D689" s="227"/>
      <c r="E689" s="227"/>
      <c r="F689" s="227"/>
      <c r="G689" s="227"/>
      <c r="H689" s="227"/>
      <c r="I689" s="227"/>
      <c r="J689" s="227"/>
      <c r="K689" s="227"/>
      <c r="L689" s="227"/>
      <c r="M689" s="227"/>
      <c r="N689" s="227"/>
      <c r="O689" s="227"/>
    </row>
    <row r="690" spans="4:15">
      <c r="D690" s="227"/>
      <c r="E690" s="227"/>
      <c r="F690" s="227"/>
      <c r="G690" s="227"/>
      <c r="H690" s="227"/>
      <c r="I690" s="227"/>
      <c r="J690" s="227"/>
      <c r="K690" s="227"/>
      <c r="L690" s="227"/>
      <c r="M690" s="227"/>
      <c r="N690" s="227"/>
      <c r="O690" s="227"/>
    </row>
    <row r="691" spans="4:15">
      <c r="D691" s="227"/>
      <c r="E691" s="227"/>
      <c r="F691" s="227"/>
      <c r="G691" s="227"/>
      <c r="H691" s="227"/>
      <c r="I691" s="227"/>
      <c r="J691" s="227"/>
      <c r="K691" s="227"/>
      <c r="L691" s="227"/>
      <c r="M691" s="227"/>
      <c r="N691" s="227"/>
      <c r="O691" s="227"/>
    </row>
    <row r="692" spans="4:15">
      <c r="D692" s="227"/>
      <c r="E692" s="227"/>
      <c r="F692" s="227"/>
      <c r="G692" s="227"/>
      <c r="H692" s="227"/>
      <c r="I692" s="227"/>
      <c r="J692" s="227"/>
      <c r="K692" s="227"/>
      <c r="L692" s="227"/>
      <c r="M692" s="227"/>
      <c r="N692" s="227"/>
      <c r="O692" s="227"/>
    </row>
    <row r="693" spans="4:15">
      <c r="D693" s="227"/>
      <c r="E693" s="227"/>
      <c r="F693" s="227"/>
      <c r="G693" s="227"/>
      <c r="H693" s="227"/>
      <c r="I693" s="227"/>
      <c r="J693" s="227"/>
      <c r="K693" s="227"/>
      <c r="L693" s="227"/>
      <c r="M693" s="227"/>
      <c r="N693" s="227"/>
      <c r="O693" s="227"/>
    </row>
    <row r="694" spans="4:15">
      <c r="D694" s="227"/>
      <c r="E694" s="227"/>
      <c r="F694" s="227"/>
      <c r="G694" s="227"/>
      <c r="H694" s="227"/>
      <c r="I694" s="227"/>
      <c r="J694" s="227"/>
      <c r="K694" s="227"/>
      <c r="L694" s="227"/>
      <c r="M694" s="227"/>
      <c r="N694" s="227"/>
      <c r="O694" s="227"/>
    </row>
    <row r="695" spans="4:15">
      <c r="D695" s="227"/>
      <c r="E695" s="227"/>
      <c r="F695" s="227"/>
      <c r="G695" s="227"/>
      <c r="H695" s="227"/>
      <c r="I695" s="227"/>
      <c r="J695" s="227"/>
      <c r="K695" s="227"/>
      <c r="L695" s="227"/>
      <c r="M695" s="227"/>
      <c r="N695" s="227"/>
      <c r="O695" s="227"/>
    </row>
    <row r="696" spans="4:15">
      <c r="D696" s="227"/>
      <c r="E696" s="227"/>
      <c r="F696" s="227"/>
      <c r="G696" s="227"/>
      <c r="H696" s="227"/>
      <c r="I696" s="227"/>
      <c r="J696" s="227"/>
      <c r="K696" s="227"/>
      <c r="L696" s="227"/>
      <c r="M696" s="227"/>
      <c r="N696" s="227"/>
      <c r="O696" s="227"/>
    </row>
    <row r="697" spans="4:15">
      <c r="D697" s="227"/>
      <c r="E697" s="227"/>
      <c r="F697" s="227"/>
      <c r="G697" s="227"/>
      <c r="H697" s="227"/>
      <c r="I697" s="227"/>
      <c r="J697" s="227"/>
      <c r="K697" s="227"/>
      <c r="L697" s="227"/>
      <c r="M697" s="227"/>
      <c r="N697" s="227"/>
      <c r="O697" s="227"/>
    </row>
    <row r="698" spans="4:15">
      <c r="D698" s="227"/>
      <c r="E698" s="227"/>
      <c r="F698" s="227"/>
      <c r="G698" s="227"/>
      <c r="H698" s="227"/>
      <c r="I698" s="227"/>
      <c r="J698" s="227"/>
      <c r="K698" s="227"/>
      <c r="L698" s="227"/>
      <c r="M698" s="227"/>
      <c r="N698" s="227"/>
      <c r="O698" s="227"/>
    </row>
    <row r="699" spans="4:15">
      <c r="D699" s="227"/>
      <c r="E699" s="227"/>
      <c r="F699" s="227"/>
      <c r="G699" s="227"/>
      <c r="H699" s="227"/>
      <c r="I699" s="227"/>
      <c r="J699" s="227"/>
      <c r="K699" s="227"/>
      <c r="L699" s="227"/>
      <c r="M699" s="227"/>
      <c r="N699" s="227"/>
      <c r="O699" s="227"/>
    </row>
    <row r="700" spans="4:15">
      <c r="D700" s="227"/>
      <c r="E700" s="227"/>
      <c r="F700" s="227"/>
      <c r="G700" s="227"/>
      <c r="H700" s="227"/>
      <c r="I700" s="227"/>
      <c r="J700" s="227"/>
      <c r="K700" s="227"/>
      <c r="L700" s="227"/>
      <c r="M700" s="227"/>
      <c r="N700" s="227"/>
      <c r="O700" s="227"/>
    </row>
    <row r="701" spans="4:15">
      <c r="D701" s="227"/>
      <c r="E701" s="227"/>
      <c r="F701" s="227"/>
      <c r="G701" s="227"/>
      <c r="H701" s="227"/>
      <c r="I701" s="227"/>
      <c r="J701" s="227"/>
      <c r="K701" s="227"/>
      <c r="L701" s="227"/>
      <c r="M701" s="227"/>
      <c r="N701" s="227"/>
      <c r="O701" s="227"/>
    </row>
    <row r="702" spans="4:15">
      <c r="D702" s="227"/>
      <c r="E702" s="227"/>
      <c r="F702" s="227"/>
      <c r="G702" s="227"/>
      <c r="H702" s="227"/>
      <c r="I702" s="227"/>
      <c r="J702" s="227"/>
      <c r="K702" s="227"/>
      <c r="L702" s="227"/>
      <c r="M702" s="227"/>
      <c r="N702" s="227"/>
      <c r="O702" s="227"/>
    </row>
    <row r="703" spans="4:15">
      <c r="D703" s="227"/>
      <c r="E703" s="227"/>
      <c r="F703" s="227"/>
      <c r="G703" s="227"/>
      <c r="H703" s="227"/>
      <c r="I703" s="227"/>
      <c r="J703" s="227"/>
      <c r="K703" s="227"/>
      <c r="L703" s="227"/>
      <c r="M703" s="227"/>
      <c r="N703" s="227"/>
      <c r="O703" s="227"/>
    </row>
    <row r="704" spans="4:15">
      <c r="D704" s="227"/>
      <c r="E704" s="227"/>
      <c r="F704" s="227"/>
      <c r="G704" s="227"/>
      <c r="H704" s="227"/>
      <c r="I704" s="227"/>
      <c r="J704" s="227"/>
      <c r="K704" s="227"/>
      <c r="L704" s="227"/>
      <c r="M704" s="227"/>
      <c r="N704" s="227"/>
      <c r="O704" s="227"/>
    </row>
    <row r="705" spans="4:15">
      <c r="D705" s="227"/>
      <c r="E705" s="227"/>
      <c r="F705" s="227"/>
      <c r="G705" s="227"/>
      <c r="H705" s="227"/>
      <c r="I705" s="227"/>
      <c r="J705" s="227"/>
      <c r="K705" s="227"/>
      <c r="L705" s="227"/>
      <c r="M705" s="227"/>
      <c r="N705" s="227"/>
      <c r="O705" s="227"/>
    </row>
    <row r="706" spans="4:15">
      <c r="D706" s="227"/>
      <c r="E706" s="227"/>
      <c r="F706" s="227"/>
      <c r="G706" s="227"/>
      <c r="H706" s="227"/>
      <c r="I706" s="227"/>
      <c r="J706" s="227"/>
      <c r="K706" s="227"/>
      <c r="L706" s="227"/>
      <c r="M706" s="227"/>
      <c r="N706" s="227"/>
      <c r="O706" s="227"/>
    </row>
    <row r="707" spans="4:15">
      <c r="D707" s="227"/>
      <c r="E707" s="227"/>
      <c r="F707" s="227"/>
      <c r="G707" s="227"/>
      <c r="H707" s="227"/>
      <c r="I707" s="227"/>
      <c r="J707" s="227"/>
      <c r="K707" s="227"/>
      <c r="L707" s="227"/>
      <c r="M707" s="227"/>
      <c r="N707" s="227"/>
      <c r="O707" s="227"/>
    </row>
    <row r="708" spans="4:15">
      <c r="D708" s="227"/>
      <c r="E708" s="227"/>
      <c r="F708" s="227"/>
      <c r="G708" s="227"/>
      <c r="H708" s="227"/>
      <c r="I708" s="227"/>
      <c r="J708" s="227"/>
      <c r="K708" s="227"/>
      <c r="L708" s="227"/>
      <c r="M708" s="227"/>
      <c r="N708" s="227"/>
      <c r="O708" s="227"/>
    </row>
    <row r="709" spans="4:15">
      <c r="D709" s="227"/>
      <c r="E709" s="227"/>
      <c r="F709" s="227"/>
      <c r="G709" s="227"/>
      <c r="H709" s="227"/>
      <c r="I709" s="227"/>
      <c r="J709" s="227"/>
      <c r="K709" s="227"/>
      <c r="L709" s="227"/>
      <c r="M709" s="227"/>
      <c r="N709" s="227"/>
      <c r="O709" s="227"/>
    </row>
    <row r="710" spans="4:15">
      <c r="D710" s="227"/>
      <c r="E710" s="227"/>
      <c r="F710" s="227"/>
      <c r="G710" s="227"/>
      <c r="H710" s="227"/>
      <c r="I710" s="227"/>
      <c r="J710" s="227"/>
      <c r="K710" s="227"/>
      <c r="L710" s="227"/>
      <c r="M710" s="227"/>
      <c r="N710" s="227"/>
      <c r="O710" s="227"/>
    </row>
    <row r="711" spans="4:15">
      <c r="D711" s="227"/>
      <c r="E711" s="227"/>
      <c r="F711" s="227"/>
      <c r="G711" s="227"/>
      <c r="H711" s="227"/>
      <c r="I711" s="227"/>
      <c r="J711" s="227"/>
      <c r="K711" s="227"/>
      <c r="L711" s="227"/>
      <c r="M711" s="227"/>
      <c r="N711" s="227"/>
      <c r="O711" s="227"/>
    </row>
    <row r="712" spans="4:15">
      <c r="D712" s="227"/>
      <c r="E712" s="227"/>
      <c r="F712" s="227"/>
      <c r="G712" s="227"/>
      <c r="H712" s="227"/>
      <c r="I712" s="227"/>
      <c r="J712" s="227"/>
      <c r="K712" s="227"/>
      <c r="L712" s="227"/>
      <c r="M712" s="227"/>
      <c r="N712" s="227"/>
      <c r="O712" s="227"/>
    </row>
    <row r="713" spans="4:15">
      <c r="D713" s="227"/>
      <c r="E713" s="227"/>
      <c r="F713" s="227"/>
      <c r="G713" s="227"/>
      <c r="H713" s="227"/>
      <c r="I713" s="227"/>
      <c r="J713" s="227"/>
      <c r="K713" s="227"/>
      <c r="L713" s="227"/>
      <c r="M713" s="227"/>
      <c r="N713" s="227"/>
      <c r="O713" s="227"/>
    </row>
    <row r="714" spans="4:15">
      <c r="D714" s="227"/>
      <c r="E714" s="227"/>
      <c r="F714" s="227"/>
      <c r="G714" s="227"/>
      <c r="H714" s="227"/>
      <c r="I714" s="227"/>
      <c r="J714" s="227"/>
      <c r="K714" s="227"/>
      <c r="L714" s="227"/>
      <c r="M714" s="227"/>
      <c r="N714" s="227"/>
      <c r="O714" s="227"/>
    </row>
    <row r="715" spans="4:15">
      <c r="D715" s="227"/>
      <c r="E715" s="227"/>
      <c r="F715" s="227"/>
      <c r="G715" s="227"/>
      <c r="H715" s="227"/>
      <c r="I715" s="227"/>
      <c r="J715" s="227"/>
      <c r="K715" s="227"/>
      <c r="L715" s="227"/>
      <c r="M715" s="227"/>
      <c r="N715" s="227"/>
      <c r="O715" s="227"/>
    </row>
    <row r="716" spans="4:15">
      <c r="D716" s="227"/>
      <c r="E716" s="227"/>
      <c r="F716" s="227"/>
      <c r="G716" s="227"/>
      <c r="H716" s="227"/>
      <c r="I716" s="227"/>
      <c r="J716" s="227"/>
      <c r="K716" s="227"/>
      <c r="L716" s="227"/>
      <c r="M716" s="227"/>
      <c r="N716" s="227"/>
      <c r="O716" s="227"/>
    </row>
    <row r="717" spans="4:15">
      <c r="D717" s="227"/>
      <c r="E717" s="227"/>
      <c r="F717" s="227"/>
      <c r="G717" s="227"/>
      <c r="H717" s="227"/>
      <c r="I717" s="227"/>
      <c r="J717" s="227"/>
      <c r="K717" s="227"/>
      <c r="L717" s="227"/>
      <c r="M717" s="227"/>
      <c r="N717" s="227"/>
      <c r="O717" s="227"/>
    </row>
    <row r="718" spans="4:15">
      <c r="D718" s="227"/>
      <c r="E718" s="227"/>
      <c r="F718" s="227"/>
      <c r="G718" s="227"/>
      <c r="H718" s="227"/>
      <c r="I718" s="227"/>
      <c r="J718" s="227"/>
      <c r="K718" s="227"/>
      <c r="L718" s="227"/>
      <c r="M718" s="227"/>
      <c r="N718" s="227"/>
      <c r="O718" s="227"/>
    </row>
    <row r="719" spans="4:15">
      <c r="D719" s="227"/>
      <c r="E719" s="227"/>
      <c r="F719" s="227"/>
      <c r="G719" s="227"/>
      <c r="H719" s="227"/>
      <c r="I719" s="227"/>
      <c r="J719" s="227"/>
      <c r="K719" s="227"/>
      <c r="L719" s="227"/>
      <c r="M719" s="227"/>
      <c r="N719" s="227"/>
      <c r="O719" s="227"/>
    </row>
    <row r="720" spans="4:15">
      <c r="D720" s="227"/>
      <c r="E720" s="227"/>
      <c r="F720" s="227"/>
      <c r="G720" s="227"/>
      <c r="H720" s="227"/>
      <c r="I720" s="227"/>
      <c r="J720" s="227"/>
      <c r="K720" s="227"/>
      <c r="L720" s="227"/>
      <c r="M720" s="227"/>
      <c r="N720" s="227"/>
      <c r="O720" s="227"/>
    </row>
    <row r="721" spans="4:15">
      <c r="D721" s="227"/>
      <c r="E721" s="227"/>
      <c r="F721" s="227"/>
      <c r="G721" s="227"/>
      <c r="H721" s="227"/>
      <c r="I721" s="227"/>
      <c r="J721" s="227"/>
      <c r="K721" s="227"/>
      <c r="L721" s="227"/>
      <c r="M721" s="227"/>
      <c r="N721" s="227"/>
      <c r="O721" s="227"/>
    </row>
    <row r="722" spans="4:15">
      <c r="D722" s="227"/>
      <c r="E722" s="227"/>
      <c r="F722" s="227"/>
      <c r="G722" s="227"/>
      <c r="H722" s="227"/>
      <c r="I722" s="227"/>
      <c r="J722" s="227"/>
      <c r="K722" s="227"/>
      <c r="L722" s="227"/>
      <c r="M722" s="227"/>
      <c r="N722" s="227"/>
      <c r="O722" s="227"/>
    </row>
    <row r="723" spans="4:15">
      <c r="D723" s="227"/>
      <c r="E723" s="227"/>
      <c r="F723" s="227"/>
      <c r="G723" s="227"/>
      <c r="H723" s="227"/>
      <c r="I723" s="227"/>
      <c r="J723" s="227"/>
      <c r="K723" s="227"/>
      <c r="L723" s="227"/>
      <c r="M723" s="227"/>
      <c r="N723" s="227"/>
      <c r="O723" s="227"/>
    </row>
    <row r="724" spans="4:15">
      <c r="D724" s="227"/>
      <c r="E724" s="227"/>
      <c r="F724" s="227"/>
      <c r="G724" s="227"/>
      <c r="H724" s="227"/>
      <c r="I724" s="227"/>
      <c r="J724" s="227"/>
      <c r="K724" s="227"/>
      <c r="L724" s="227"/>
      <c r="M724" s="227"/>
      <c r="N724" s="227"/>
      <c r="O724" s="227"/>
    </row>
    <row r="725" spans="4:15">
      <c r="D725" s="227"/>
      <c r="E725" s="227"/>
      <c r="F725" s="227"/>
      <c r="G725" s="227"/>
      <c r="H725" s="227"/>
      <c r="I725" s="227"/>
      <c r="J725" s="227"/>
      <c r="K725" s="227"/>
      <c r="L725" s="227"/>
      <c r="M725" s="227"/>
      <c r="N725" s="227"/>
      <c r="O725" s="227"/>
    </row>
    <row r="726" spans="4:15">
      <c r="D726" s="227"/>
      <c r="E726" s="227"/>
      <c r="F726" s="227"/>
      <c r="G726" s="227"/>
      <c r="H726" s="227"/>
      <c r="I726" s="227"/>
      <c r="J726" s="227"/>
      <c r="K726" s="227"/>
      <c r="L726" s="227"/>
      <c r="M726" s="227"/>
      <c r="N726" s="227"/>
      <c r="O726" s="227"/>
    </row>
    <row r="727" spans="4:15">
      <c r="D727" s="227"/>
      <c r="E727" s="227"/>
      <c r="F727" s="227"/>
      <c r="G727" s="227"/>
      <c r="H727" s="227"/>
      <c r="I727" s="227"/>
      <c r="J727" s="227"/>
      <c r="K727" s="227"/>
      <c r="L727" s="227"/>
      <c r="M727" s="227"/>
      <c r="N727" s="227"/>
      <c r="O727" s="227"/>
    </row>
    <row r="728" spans="4:15">
      <c r="D728" s="227"/>
      <c r="E728" s="227"/>
      <c r="F728" s="227"/>
      <c r="G728" s="227"/>
      <c r="H728" s="227"/>
      <c r="I728" s="227"/>
      <c r="J728" s="227"/>
      <c r="K728" s="227"/>
      <c r="L728" s="227"/>
      <c r="M728" s="227"/>
      <c r="N728" s="227"/>
      <c r="O728" s="227"/>
    </row>
    <row r="729" spans="4:15">
      <c r="D729" s="227"/>
      <c r="E729" s="227"/>
      <c r="F729" s="227"/>
      <c r="G729" s="227"/>
      <c r="H729" s="227"/>
      <c r="I729" s="227"/>
      <c r="J729" s="227"/>
      <c r="K729" s="227"/>
      <c r="L729" s="227"/>
      <c r="M729" s="227"/>
      <c r="N729" s="227"/>
      <c r="O729" s="227"/>
    </row>
    <row r="730" spans="4:15">
      <c r="D730" s="227"/>
      <c r="E730" s="227"/>
      <c r="F730" s="227"/>
      <c r="G730" s="227"/>
      <c r="H730" s="227"/>
      <c r="I730" s="227"/>
      <c r="J730" s="227"/>
      <c r="K730" s="227"/>
      <c r="L730" s="227"/>
      <c r="M730" s="227"/>
      <c r="N730" s="227"/>
      <c r="O730" s="227"/>
    </row>
    <row r="731" spans="4:15">
      <c r="D731" s="227"/>
      <c r="E731" s="227"/>
      <c r="F731" s="227"/>
      <c r="G731" s="227"/>
      <c r="H731" s="227"/>
      <c r="I731" s="227"/>
      <c r="J731" s="227"/>
      <c r="K731" s="227"/>
      <c r="L731" s="227"/>
      <c r="M731" s="227"/>
      <c r="N731" s="227"/>
      <c r="O731" s="227"/>
    </row>
    <row r="732" spans="4:15">
      <c r="D732" s="227"/>
      <c r="E732" s="227"/>
      <c r="F732" s="227"/>
      <c r="G732" s="227"/>
      <c r="H732" s="227"/>
      <c r="I732" s="227"/>
      <c r="J732" s="227"/>
      <c r="K732" s="227"/>
      <c r="L732" s="227"/>
      <c r="M732" s="227"/>
      <c r="N732" s="227"/>
      <c r="O732" s="227"/>
    </row>
    <row r="733" spans="4:15">
      <c r="D733" s="227"/>
      <c r="E733" s="227"/>
      <c r="F733" s="227"/>
      <c r="G733" s="227"/>
      <c r="H733" s="227"/>
      <c r="I733" s="227"/>
      <c r="J733" s="227"/>
      <c r="K733" s="227"/>
      <c r="L733" s="227"/>
      <c r="M733" s="227"/>
      <c r="N733" s="227"/>
      <c r="O733" s="227"/>
    </row>
    <row r="734" spans="4:15">
      <c r="D734" s="227"/>
      <c r="E734" s="227"/>
      <c r="F734" s="227"/>
      <c r="G734" s="227"/>
      <c r="H734" s="227"/>
      <c r="I734" s="227"/>
      <c r="J734" s="227"/>
      <c r="K734" s="227"/>
      <c r="L734" s="227"/>
      <c r="M734" s="227"/>
      <c r="N734" s="227"/>
      <c r="O734" s="227"/>
    </row>
    <row r="735" spans="4:15">
      <c r="D735" s="227"/>
      <c r="E735" s="227"/>
      <c r="F735" s="227"/>
      <c r="G735" s="227"/>
      <c r="H735" s="227"/>
      <c r="I735" s="227"/>
      <c r="J735" s="227"/>
      <c r="K735" s="227"/>
      <c r="L735" s="227"/>
      <c r="M735" s="227"/>
      <c r="N735" s="227"/>
      <c r="O735" s="227"/>
    </row>
    <row r="736" spans="4:15">
      <c r="D736" s="227"/>
      <c r="E736" s="227"/>
      <c r="F736" s="227"/>
      <c r="G736" s="227"/>
      <c r="H736" s="227"/>
      <c r="I736" s="227"/>
      <c r="J736" s="227"/>
      <c r="K736" s="227"/>
      <c r="L736" s="227"/>
      <c r="M736" s="227"/>
      <c r="N736" s="227"/>
      <c r="O736" s="227"/>
    </row>
    <row r="737" spans="4:15">
      <c r="D737" s="227"/>
      <c r="E737" s="227"/>
      <c r="F737" s="227"/>
      <c r="G737" s="227"/>
      <c r="H737" s="227"/>
      <c r="I737" s="227"/>
      <c r="J737" s="227"/>
      <c r="K737" s="227"/>
      <c r="L737" s="227"/>
      <c r="M737" s="227"/>
      <c r="N737" s="227"/>
      <c r="O737" s="227"/>
    </row>
    <row r="738" spans="4:15">
      <c r="D738" s="227"/>
      <c r="E738" s="227"/>
      <c r="F738" s="227"/>
      <c r="G738" s="227"/>
      <c r="H738" s="227"/>
      <c r="I738" s="227"/>
      <c r="J738" s="227"/>
      <c r="K738" s="227"/>
      <c r="L738" s="227"/>
      <c r="M738" s="227"/>
      <c r="N738" s="227"/>
      <c r="O738" s="227"/>
    </row>
    <row r="739" spans="4:15">
      <c r="D739" s="227"/>
      <c r="E739" s="227"/>
      <c r="F739" s="227"/>
      <c r="G739" s="227"/>
      <c r="H739" s="227"/>
      <c r="I739" s="227"/>
      <c r="J739" s="227"/>
      <c r="K739" s="227"/>
      <c r="L739" s="227"/>
      <c r="M739" s="227"/>
      <c r="N739" s="227"/>
      <c r="O739" s="227"/>
    </row>
    <row r="740" spans="4:15">
      <c r="D740" s="227"/>
      <c r="E740" s="227"/>
      <c r="F740" s="227"/>
      <c r="G740" s="227"/>
      <c r="H740" s="227"/>
      <c r="I740" s="227"/>
      <c r="J740" s="227"/>
      <c r="K740" s="227"/>
      <c r="L740" s="227"/>
      <c r="M740" s="227"/>
      <c r="N740" s="227"/>
      <c r="O740" s="227"/>
    </row>
    <row r="741" spans="4:15">
      <c r="D741" s="227"/>
      <c r="E741" s="227"/>
      <c r="F741" s="227"/>
      <c r="G741" s="227"/>
      <c r="H741" s="227"/>
      <c r="I741" s="227"/>
      <c r="J741" s="227"/>
      <c r="K741" s="227"/>
      <c r="L741" s="227"/>
      <c r="M741" s="227"/>
      <c r="N741" s="227"/>
      <c r="O741" s="227"/>
    </row>
    <row r="742" spans="4:15">
      <c r="D742" s="227"/>
      <c r="E742" s="227"/>
      <c r="F742" s="227"/>
      <c r="G742" s="227"/>
      <c r="H742" s="227"/>
      <c r="I742" s="227"/>
      <c r="J742" s="227"/>
      <c r="K742" s="227"/>
      <c r="L742" s="227"/>
      <c r="M742" s="227"/>
      <c r="N742" s="227"/>
      <c r="O742" s="227"/>
    </row>
    <row r="743" spans="4:15">
      <c r="D743" s="227"/>
      <c r="E743" s="227"/>
      <c r="F743" s="227"/>
      <c r="G743" s="227"/>
      <c r="H743" s="227"/>
      <c r="I743" s="227"/>
      <c r="J743" s="227"/>
      <c r="K743" s="227"/>
      <c r="L743" s="227"/>
      <c r="M743" s="227"/>
      <c r="N743" s="227"/>
      <c r="O743" s="227"/>
    </row>
    <row r="744" spans="4:15">
      <c r="D744" s="227"/>
      <c r="E744" s="227"/>
      <c r="F744" s="227"/>
      <c r="G744" s="227"/>
      <c r="H744" s="227"/>
      <c r="I744" s="227"/>
      <c r="J744" s="227"/>
      <c r="K744" s="227"/>
      <c r="L744" s="227"/>
      <c r="M744" s="227"/>
      <c r="N744" s="227"/>
      <c r="O744" s="227"/>
    </row>
    <row r="745" spans="4:15">
      <c r="D745" s="227"/>
      <c r="E745" s="227"/>
      <c r="F745" s="227"/>
      <c r="G745" s="227"/>
      <c r="H745" s="227"/>
      <c r="I745" s="227"/>
      <c r="J745" s="227"/>
      <c r="K745" s="227"/>
      <c r="L745" s="227"/>
      <c r="M745" s="227"/>
      <c r="N745" s="227"/>
      <c r="O745" s="227"/>
    </row>
    <row r="746" spans="4:15">
      <c r="D746" s="227"/>
      <c r="E746" s="227"/>
      <c r="F746" s="227"/>
      <c r="G746" s="227"/>
      <c r="H746" s="227"/>
      <c r="I746" s="227"/>
      <c r="J746" s="227"/>
      <c r="K746" s="227"/>
      <c r="L746" s="227"/>
      <c r="M746" s="227"/>
      <c r="N746" s="227"/>
      <c r="O746" s="227"/>
    </row>
    <row r="747" spans="4:15">
      <c r="D747" s="227"/>
      <c r="E747" s="227"/>
      <c r="F747" s="227"/>
      <c r="G747" s="227"/>
      <c r="H747" s="227"/>
      <c r="I747" s="227"/>
      <c r="J747" s="227"/>
      <c r="K747" s="227"/>
      <c r="L747" s="227"/>
      <c r="M747" s="227"/>
      <c r="N747" s="227"/>
      <c r="O747" s="227"/>
    </row>
    <row r="748" spans="4:15">
      <c r="D748" s="227"/>
      <c r="E748" s="227"/>
      <c r="F748" s="227"/>
      <c r="G748" s="227"/>
      <c r="H748" s="227"/>
      <c r="I748" s="227"/>
      <c r="J748" s="227"/>
      <c r="K748" s="227"/>
      <c r="L748" s="227"/>
      <c r="M748" s="227"/>
      <c r="N748" s="227"/>
      <c r="O748" s="227"/>
    </row>
    <row r="749" spans="4:15">
      <c r="D749" s="227"/>
      <c r="E749" s="227"/>
      <c r="F749" s="227"/>
      <c r="G749" s="227"/>
      <c r="H749" s="227"/>
      <c r="I749" s="227"/>
      <c r="J749" s="227"/>
      <c r="K749" s="227"/>
      <c r="L749" s="227"/>
      <c r="M749" s="227"/>
      <c r="N749" s="227"/>
      <c r="O749" s="227"/>
    </row>
    <row r="750" spans="4:15">
      <c r="D750" s="227"/>
      <c r="E750" s="227"/>
      <c r="F750" s="227"/>
      <c r="G750" s="227"/>
      <c r="H750" s="227"/>
      <c r="I750" s="227"/>
      <c r="J750" s="227"/>
      <c r="K750" s="227"/>
      <c r="L750" s="227"/>
      <c r="M750" s="227"/>
      <c r="N750" s="227"/>
      <c r="O750" s="227"/>
    </row>
    <row r="751" spans="4:15">
      <c r="D751" s="227"/>
      <c r="E751" s="227"/>
      <c r="F751" s="227"/>
      <c r="G751" s="227"/>
      <c r="H751" s="227"/>
      <c r="I751" s="227"/>
      <c r="J751" s="227"/>
      <c r="K751" s="227"/>
      <c r="L751" s="227"/>
      <c r="M751" s="227"/>
      <c r="N751" s="227"/>
      <c r="O751" s="227"/>
    </row>
    <row r="752" spans="4:15">
      <c r="D752" s="227"/>
      <c r="E752" s="227"/>
      <c r="F752" s="227"/>
      <c r="G752" s="227"/>
      <c r="H752" s="227"/>
      <c r="I752" s="227"/>
      <c r="J752" s="227"/>
      <c r="K752" s="227"/>
      <c r="L752" s="227"/>
      <c r="M752" s="227"/>
      <c r="N752" s="227"/>
      <c r="O752" s="227"/>
    </row>
    <row r="753" spans="4:15">
      <c r="D753" s="227"/>
      <c r="E753" s="227"/>
      <c r="F753" s="227"/>
      <c r="G753" s="227"/>
      <c r="H753" s="227"/>
      <c r="I753" s="227"/>
      <c r="J753" s="227"/>
      <c r="K753" s="227"/>
      <c r="L753" s="227"/>
      <c r="M753" s="227"/>
      <c r="N753" s="227"/>
      <c r="O753" s="227"/>
    </row>
    <row r="754" spans="4:15">
      <c r="D754" s="227"/>
      <c r="E754" s="227"/>
      <c r="F754" s="227"/>
      <c r="G754" s="227"/>
      <c r="H754" s="227"/>
      <c r="I754" s="227"/>
      <c r="J754" s="227"/>
      <c r="K754" s="227"/>
      <c r="L754" s="227"/>
      <c r="M754" s="227"/>
      <c r="N754" s="227"/>
      <c r="O754" s="227"/>
    </row>
    <row r="755" spans="4:15">
      <c r="D755" s="227"/>
      <c r="E755" s="227"/>
      <c r="F755" s="227"/>
      <c r="G755" s="227"/>
      <c r="H755" s="227"/>
      <c r="I755" s="227"/>
      <c r="J755" s="227"/>
      <c r="K755" s="227"/>
      <c r="L755" s="227"/>
      <c r="M755" s="227"/>
      <c r="N755" s="227"/>
      <c r="O755" s="227"/>
    </row>
    <row r="756" spans="4:15">
      <c r="D756" s="227"/>
      <c r="E756" s="227"/>
      <c r="F756" s="227"/>
      <c r="G756" s="227"/>
      <c r="H756" s="227"/>
      <c r="I756" s="227"/>
      <c r="J756" s="227"/>
      <c r="K756" s="227"/>
      <c r="L756" s="227"/>
      <c r="M756" s="227"/>
      <c r="N756" s="227"/>
      <c r="O756" s="227"/>
    </row>
    <row r="757" spans="4:15">
      <c r="D757" s="227"/>
      <c r="E757" s="227"/>
      <c r="F757" s="227"/>
      <c r="G757" s="227"/>
      <c r="H757" s="227"/>
      <c r="I757" s="227"/>
      <c r="J757" s="227"/>
      <c r="K757" s="227"/>
      <c r="L757" s="227"/>
      <c r="M757" s="227"/>
      <c r="N757" s="227"/>
      <c r="O757" s="227"/>
    </row>
    <row r="758" spans="4:15">
      <c r="D758" s="227"/>
      <c r="E758" s="227"/>
      <c r="F758" s="227"/>
      <c r="G758" s="227"/>
      <c r="H758" s="227"/>
      <c r="I758" s="227"/>
      <c r="J758" s="227"/>
      <c r="K758" s="227"/>
      <c r="L758" s="227"/>
      <c r="M758" s="227"/>
      <c r="N758" s="227"/>
      <c r="O758" s="227"/>
    </row>
    <row r="759" spans="4:15">
      <c r="D759" s="227"/>
      <c r="E759" s="227"/>
      <c r="F759" s="227"/>
      <c r="G759" s="227"/>
      <c r="H759" s="227"/>
      <c r="I759" s="227"/>
      <c r="J759" s="227"/>
      <c r="K759" s="227"/>
      <c r="L759" s="227"/>
      <c r="M759" s="227"/>
      <c r="N759" s="227"/>
      <c r="O759" s="227"/>
    </row>
    <row r="760" spans="4:15">
      <c r="D760" s="227"/>
      <c r="E760" s="227"/>
      <c r="F760" s="227"/>
      <c r="G760" s="227"/>
      <c r="H760" s="227"/>
      <c r="I760" s="227"/>
      <c r="J760" s="227"/>
      <c r="K760" s="227"/>
      <c r="L760" s="227"/>
      <c r="M760" s="227"/>
      <c r="N760" s="227"/>
      <c r="O760" s="227"/>
    </row>
    <row r="761" spans="4:15">
      <c r="D761" s="227"/>
      <c r="E761" s="227"/>
      <c r="F761" s="227"/>
      <c r="G761" s="227"/>
      <c r="H761" s="227"/>
      <c r="I761" s="227"/>
      <c r="J761" s="227"/>
      <c r="K761" s="227"/>
      <c r="L761" s="227"/>
      <c r="M761" s="227"/>
      <c r="N761" s="227"/>
      <c r="O761" s="227"/>
    </row>
    <row r="762" spans="4:15">
      <c r="D762" s="227"/>
      <c r="E762" s="227"/>
      <c r="F762" s="227"/>
      <c r="G762" s="227"/>
      <c r="H762" s="227"/>
      <c r="I762" s="227"/>
      <c r="J762" s="227"/>
      <c r="K762" s="227"/>
      <c r="L762" s="227"/>
      <c r="M762" s="227"/>
      <c r="N762" s="227"/>
      <c r="O762" s="227"/>
    </row>
    <row r="763" spans="4:15">
      <c r="D763" s="227"/>
      <c r="E763" s="227"/>
      <c r="F763" s="227"/>
      <c r="G763" s="227"/>
      <c r="H763" s="227"/>
      <c r="I763" s="227"/>
      <c r="J763" s="227"/>
      <c r="K763" s="227"/>
      <c r="L763" s="227"/>
      <c r="M763" s="227"/>
      <c r="N763" s="227"/>
      <c r="O763" s="227"/>
    </row>
    <row r="764" spans="4:15">
      <c r="D764" s="227"/>
      <c r="E764" s="227"/>
      <c r="F764" s="227"/>
      <c r="G764" s="227"/>
      <c r="H764" s="227"/>
      <c r="I764" s="227"/>
      <c r="J764" s="227"/>
      <c r="K764" s="227"/>
      <c r="L764" s="227"/>
      <c r="M764" s="227"/>
      <c r="N764" s="227"/>
      <c r="O764" s="227"/>
    </row>
    <row r="765" spans="4:15">
      <c r="D765" s="227"/>
      <c r="E765" s="227"/>
      <c r="F765" s="227"/>
      <c r="G765" s="227"/>
      <c r="H765" s="227"/>
      <c r="I765" s="227"/>
      <c r="J765" s="227"/>
      <c r="K765" s="227"/>
      <c r="L765" s="227"/>
      <c r="M765" s="227"/>
      <c r="N765" s="227"/>
      <c r="O765" s="227"/>
    </row>
    <row r="766" spans="4:15">
      <c r="D766" s="227"/>
      <c r="E766" s="227"/>
      <c r="F766" s="227"/>
      <c r="G766" s="227"/>
      <c r="H766" s="227"/>
      <c r="I766" s="227"/>
      <c r="J766" s="227"/>
      <c r="K766" s="227"/>
      <c r="L766" s="227"/>
      <c r="M766" s="227"/>
      <c r="N766" s="227"/>
      <c r="O766" s="227"/>
    </row>
    <row r="767" spans="4:15">
      <c r="D767" s="227"/>
      <c r="E767" s="227"/>
      <c r="F767" s="227"/>
      <c r="G767" s="227"/>
      <c r="H767" s="227"/>
      <c r="I767" s="227"/>
      <c r="J767" s="227"/>
      <c r="K767" s="227"/>
      <c r="L767" s="227"/>
      <c r="M767" s="227"/>
      <c r="N767" s="227"/>
      <c r="O767" s="227"/>
    </row>
    <row r="768" spans="4:15">
      <c r="D768" s="227"/>
      <c r="E768" s="227"/>
      <c r="F768" s="227"/>
      <c r="G768" s="227"/>
      <c r="H768" s="227"/>
      <c r="I768" s="227"/>
      <c r="J768" s="227"/>
      <c r="K768" s="227"/>
      <c r="L768" s="227"/>
      <c r="M768" s="227"/>
      <c r="N768" s="227"/>
      <c r="O768" s="227"/>
    </row>
    <row r="769" spans="4:15">
      <c r="D769" s="227"/>
      <c r="E769" s="227"/>
      <c r="F769" s="227"/>
      <c r="G769" s="227"/>
      <c r="H769" s="227"/>
      <c r="I769" s="227"/>
      <c r="J769" s="227"/>
      <c r="K769" s="227"/>
      <c r="L769" s="227"/>
      <c r="M769" s="227"/>
      <c r="N769" s="227"/>
      <c r="O769" s="227"/>
    </row>
    <row r="770" spans="4:15">
      <c r="D770" s="227"/>
      <c r="E770" s="227"/>
      <c r="F770" s="227"/>
      <c r="G770" s="227"/>
      <c r="H770" s="227"/>
      <c r="I770" s="227"/>
      <c r="J770" s="227"/>
      <c r="K770" s="227"/>
      <c r="L770" s="227"/>
      <c r="M770" s="227"/>
      <c r="N770" s="227"/>
      <c r="O770" s="227"/>
    </row>
    <row r="771" spans="4:15">
      <c r="D771" s="227"/>
      <c r="E771" s="227"/>
      <c r="F771" s="227"/>
      <c r="G771" s="227"/>
      <c r="H771" s="227"/>
      <c r="I771" s="227"/>
      <c r="J771" s="227"/>
      <c r="K771" s="227"/>
      <c r="L771" s="227"/>
      <c r="M771" s="227"/>
      <c r="N771" s="227"/>
      <c r="O771" s="227"/>
    </row>
    <row r="772" spans="4:15">
      <c r="D772" s="227"/>
      <c r="E772" s="227"/>
      <c r="F772" s="227"/>
      <c r="G772" s="227"/>
      <c r="H772" s="227"/>
      <c r="I772" s="227"/>
      <c r="J772" s="227"/>
      <c r="K772" s="227"/>
      <c r="L772" s="227"/>
      <c r="M772" s="227"/>
      <c r="N772" s="227"/>
      <c r="O772" s="227"/>
    </row>
    <row r="773" spans="4:15">
      <c r="D773" s="227"/>
      <c r="E773" s="227"/>
      <c r="F773" s="227"/>
      <c r="G773" s="227"/>
      <c r="H773" s="227"/>
      <c r="I773" s="227"/>
      <c r="J773" s="227"/>
      <c r="K773" s="227"/>
      <c r="L773" s="227"/>
      <c r="M773" s="227"/>
      <c r="N773" s="227"/>
      <c r="O773" s="227"/>
    </row>
    <row r="774" spans="4:15">
      <c r="D774" s="227"/>
      <c r="E774" s="227"/>
      <c r="F774" s="227"/>
      <c r="G774" s="227"/>
      <c r="H774" s="227"/>
      <c r="I774" s="227"/>
      <c r="J774" s="227"/>
      <c r="K774" s="227"/>
      <c r="L774" s="227"/>
      <c r="M774" s="227"/>
      <c r="N774" s="227"/>
      <c r="O774" s="227"/>
    </row>
    <row r="775" spans="4:15">
      <c r="D775" s="227"/>
      <c r="E775" s="227"/>
      <c r="F775" s="227"/>
      <c r="G775" s="227"/>
      <c r="H775" s="227"/>
      <c r="I775" s="227"/>
      <c r="J775" s="227"/>
      <c r="K775" s="227"/>
      <c r="L775" s="227"/>
      <c r="M775" s="227"/>
      <c r="N775" s="227"/>
      <c r="O775" s="227"/>
    </row>
    <row r="776" spans="4:15">
      <c r="D776" s="227"/>
      <c r="E776" s="227"/>
      <c r="F776" s="227"/>
      <c r="G776" s="227"/>
      <c r="H776" s="227"/>
      <c r="I776" s="227"/>
      <c r="J776" s="227"/>
      <c r="K776" s="227"/>
      <c r="L776" s="227"/>
      <c r="M776" s="227"/>
      <c r="N776" s="227"/>
      <c r="O776" s="227"/>
    </row>
    <row r="777" spans="4:15">
      <c r="D777" s="227"/>
      <c r="E777" s="227"/>
      <c r="F777" s="227"/>
      <c r="G777" s="227"/>
      <c r="H777" s="227"/>
      <c r="I777" s="227"/>
      <c r="J777" s="227"/>
      <c r="K777" s="227"/>
      <c r="L777" s="227"/>
      <c r="M777" s="227"/>
      <c r="N777" s="227"/>
      <c r="O777" s="227"/>
    </row>
    <row r="778" spans="4:15">
      <c r="D778" s="227"/>
      <c r="E778" s="227"/>
      <c r="F778" s="227"/>
      <c r="G778" s="227"/>
      <c r="H778" s="227"/>
      <c r="I778" s="227"/>
      <c r="J778" s="227"/>
      <c r="K778" s="227"/>
      <c r="L778" s="227"/>
      <c r="M778" s="227"/>
      <c r="N778" s="227"/>
      <c r="O778" s="227"/>
    </row>
    <row r="779" spans="4:15">
      <c r="D779" s="227"/>
      <c r="E779" s="227"/>
      <c r="F779" s="227"/>
      <c r="G779" s="227"/>
      <c r="H779" s="227"/>
      <c r="I779" s="227"/>
      <c r="J779" s="227"/>
      <c r="K779" s="227"/>
      <c r="L779" s="227"/>
      <c r="M779" s="227"/>
      <c r="N779" s="227"/>
      <c r="O779" s="227"/>
    </row>
    <row r="780" spans="4:15">
      <c r="D780" s="227"/>
      <c r="E780" s="227"/>
      <c r="F780" s="227"/>
      <c r="G780" s="227"/>
      <c r="H780" s="227"/>
      <c r="I780" s="227"/>
      <c r="J780" s="227"/>
      <c r="K780" s="227"/>
      <c r="L780" s="227"/>
      <c r="M780" s="227"/>
      <c r="N780" s="227"/>
      <c r="O780" s="227"/>
    </row>
    <row r="781" spans="4:15">
      <c r="D781" s="227"/>
      <c r="E781" s="227"/>
      <c r="F781" s="227"/>
      <c r="G781" s="227"/>
      <c r="H781" s="227"/>
      <c r="I781" s="227"/>
      <c r="J781" s="227"/>
      <c r="K781" s="227"/>
      <c r="L781" s="227"/>
      <c r="M781" s="227"/>
      <c r="N781" s="227"/>
      <c r="O781" s="227"/>
    </row>
    <row r="782" spans="4:15">
      <c r="D782" s="227"/>
      <c r="E782" s="227"/>
      <c r="F782" s="227"/>
      <c r="G782" s="227"/>
      <c r="H782" s="227"/>
      <c r="I782" s="227"/>
      <c r="J782" s="227"/>
      <c r="K782" s="227"/>
      <c r="L782" s="227"/>
      <c r="M782" s="227"/>
      <c r="N782" s="227"/>
      <c r="O782" s="227"/>
    </row>
    <row r="783" spans="4:15">
      <c r="D783" s="227"/>
      <c r="E783" s="227"/>
      <c r="F783" s="227"/>
      <c r="G783" s="227"/>
      <c r="H783" s="227"/>
      <c r="I783" s="227"/>
      <c r="J783" s="227"/>
      <c r="K783" s="227"/>
      <c r="L783" s="227"/>
      <c r="M783" s="227"/>
      <c r="N783" s="227"/>
      <c r="O783" s="227"/>
    </row>
    <row r="784" spans="4:15">
      <c r="D784" s="227"/>
      <c r="E784" s="227"/>
      <c r="F784" s="227"/>
      <c r="G784" s="227"/>
      <c r="H784" s="227"/>
      <c r="I784" s="227"/>
      <c r="J784" s="227"/>
      <c r="K784" s="227"/>
      <c r="L784" s="227"/>
      <c r="M784" s="227"/>
      <c r="N784" s="227"/>
      <c r="O784" s="227"/>
    </row>
    <row r="785" spans="4:15">
      <c r="D785" s="227"/>
      <c r="E785" s="227"/>
      <c r="F785" s="227"/>
      <c r="G785" s="227"/>
      <c r="H785" s="227"/>
      <c r="I785" s="227"/>
      <c r="J785" s="227"/>
      <c r="K785" s="227"/>
      <c r="L785" s="227"/>
      <c r="M785" s="227"/>
      <c r="N785" s="227"/>
      <c r="O785" s="227"/>
    </row>
    <row r="786" spans="4:15">
      <c r="D786" s="227"/>
      <c r="E786" s="227"/>
      <c r="F786" s="227"/>
      <c r="G786" s="227"/>
      <c r="H786" s="227"/>
      <c r="I786" s="227"/>
      <c r="J786" s="227"/>
      <c r="K786" s="227"/>
      <c r="L786" s="227"/>
      <c r="M786" s="227"/>
      <c r="N786" s="227"/>
      <c r="O786" s="227"/>
    </row>
    <row r="787" spans="4:15">
      <c r="D787" s="227"/>
      <c r="E787" s="227"/>
      <c r="F787" s="227"/>
      <c r="G787" s="227"/>
      <c r="H787" s="227"/>
      <c r="I787" s="227"/>
      <c r="J787" s="227"/>
      <c r="K787" s="227"/>
      <c r="L787" s="227"/>
      <c r="M787" s="227"/>
      <c r="N787" s="227"/>
      <c r="O787" s="227"/>
    </row>
    <row r="788" spans="4:15">
      <c r="D788" s="227"/>
      <c r="E788" s="227"/>
      <c r="F788" s="227"/>
      <c r="G788" s="227"/>
      <c r="H788" s="227"/>
      <c r="I788" s="227"/>
      <c r="J788" s="227"/>
      <c r="K788" s="227"/>
      <c r="L788" s="227"/>
      <c r="M788" s="227"/>
      <c r="N788" s="227"/>
      <c r="O788" s="227"/>
    </row>
    <row r="789" spans="4:15">
      <c r="D789" s="227"/>
      <c r="E789" s="227"/>
      <c r="F789" s="227"/>
      <c r="G789" s="227"/>
      <c r="H789" s="227"/>
      <c r="I789" s="227"/>
      <c r="J789" s="227"/>
      <c r="K789" s="227"/>
      <c r="L789" s="227"/>
      <c r="M789" s="227"/>
      <c r="N789" s="227"/>
      <c r="O789" s="227"/>
    </row>
    <row r="790" spans="4:15">
      <c r="D790" s="227"/>
      <c r="E790" s="227"/>
      <c r="F790" s="227"/>
      <c r="G790" s="227"/>
      <c r="H790" s="227"/>
      <c r="I790" s="227"/>
      <c r="J790" s="227"/>
      <c r="K790" s="227"/>
      <c r="L790" s="227"/>
      <c r="M790" s="227"/>
      <c r="N790" s="227"/>
      <c r="O790" s="227"/>
    </row>
    <row r="791" spans="4:15">
      <c r="D791" s="227"/>
      <c r="E791" s="227"/>
      <c r="F791" s="227"/>
      <c r="G791" s="227"/>
      <c r="H791" s="227"/>
      <c r="I791" s="227"/>
      <c r="J791" s="227"/>
      <c r="K791" s="227"/>
      <c r="L791" s="227"/>
      <c r="M791" s="227"/>
      <c r="N791" s="227"/>
      <c r="O791" s="227"/>
    </row>
    <row r="792" spans="4:15">
      <c r="D792" s="227"/>
      <c r="E792" s="227"/>
      <c r="F792" s="227"/>
      <c r="G792" s="227"/>
      <c r="H792" s="227"/>
      <c r="I792" s="227"/>
      <c r="J792" s="227"/>
      <c r="K792" s="227"/>
      <c r="L792" s="227"/>
      <c r="M792" s="227"/>
      <c r="N792" s="227"/>
      <c r="O792" s="227"/>
    </row>
    <row r="793" spans="4:15">
      <c r="D793" s="227"/>
      <c r="E793" s="227"/>
      <c r="F793" s="227"/>
      <c r="G793" s="227"/>
      <c r="H793" s="227"/>
      <c r="I793" s="227"/>
      <c r="J793" s="227"/>
      <c r="K793" s="227"/>
      <c r="L793" s="227"/>
      <c r="M793" s="227"/>
      <c r="N793" s="227"/>
      <c r="O793" s="227"/>
    </row>
    <row r="794" spans="4:15">
      <c r="D794" s="227"/>
      <c r="E794" s="227"/>
      <c r="F794" s="227"/>
      <c r="G794" s="227"/>
      <c r="H794" s="227"/>
      <c r="I794" s="227"/>
      <c r="J794" s="227"/>
      <c r="K794" s="227"/>
      <c r="L794" s="227"/>
      <c r="M794" s="227"/>
      <c r="N794" s="227"/>
      <c r="O794" s="227"/>
    </row>
    <row r="795" spans="4:15">
      <c r="D795" s="227"/>
      <c r="E795" s="227"/>
      <c r="F795" s="227"/>
      <c r="G795" s="227"/>
      <c r="H795" s="227"/>
      <c r="I795" s="227"/>
      <c r="J795" s="227"/>
      <c r="K795" s="227"/>
      <c r="L795" s="227"/>
      <c r="M795" s="227"/>
      <c r="N795" s="227"/>
      <c r="O795" s="227"/>
    </row>
    <row r="796" spans="4:15">
      <c r="D796" s="227"/>
      <c r="E796" s="227"/>
      <c r="F796" s="227"/>
      <c r="G796" s="227"/>
      <c r="H796" s="227"/>
      <c r="I796" s="227"/>
      <c r="J796" s="227"/>
      <c r="K796" s="227"/>
      <c r="L796" s="227"/>
      <c r="M796" s="227"/>
      <c r="N796" s="227"/>
      <c r="O796" s="227"/>
    </row>
    <row r="797" spans="4:15">
      <c r="D797" s="227"/>
      <c r="E797" s="227"/>
      <c r="F797" s="227"/>
      <c r="G797" s="227"/>
      <c r="H797" s="227"/>
      <c r="I797" s="227"/>
      <c r="J797" s="227"/>
      <c r="K797" s="227"/>
      <c r="L797" s="227"/>
      <c r="M797" s="227"/>
      <c r="N797" s="227"/>
      <c r="O797" s="227"/>
    </row>
    <row r="798" spans="4:15">
      <c r="D798" s="227"/>
      <c r="E798" s="227"/>
      <c r="F798" s="227"/>
      <c r="G798" s="227"/>
      <c r="H798" s="227"/>
      <c r="I798" s="227"/>
      <c r="J798" s="227"/>
      <c r="K798" s="227"/>
      <c r="L798" s="227"/>
      <c r="M798" s="227"/>
      <c r="N798" s="227"/>
      <c r="O798" s="227"/>
    </row>
    <row r="799" spans="4:15">
      <c r="D799" s="227"/>
      <c r="E799" s="227"/>
      <c r="F799" s="227"/>
      <c r="G799" s="227"/>
      <c r="H799" s="227"/>
      <c r="I799" s="227"/>
      <c r="J799" s="227"/>
      <c r="K799" s="227"/>
      <c r="L799" s="227"/>
      <c r="M799" s="227"/>
      <c r="N799" s="227"/>
      <c r="O799" s="227"/>
    </row>
    <row r="800" spans="4:15">
      <c r="D800" s="227"/>
      <c r="E800" s="227"/>
      <c r="F800" s="227"/>
      <c r="G800" s="227"/>
      <c r="H800" s="227"/>
      <c r="I800" s="227"/>
      <c r="J800" s="227"/>
      <c r="K800" s="227"/>
      <c r="L800" s="227"/>
      <c r="M800" s="227"/>
      <c r="N800" s="227"/>
      <c r="O800" s="227"/>
    </row>
    <row r="801" spans="4:15">
      <c r="D801" s="227"/>
      <c r="E801" s="227"/>
      <c r="F801" s="227"/>
      <c r="G801" s="227"/>
      <c r="H801" s="227"/>
      <c r="I801" s="227"/>
      <c r="J801" s="227"/>
      <c r="K801" s="227"/>
      <c r="L801" s="227"/>
      <c r="M801" s="227"/>
      <c r="N801" s="227"/>
      <c r="O801" s="227"/>
    </row>
    <row r="802" spans="4:15">
      <c r="D802" s="227"/>
      <c r="E802" s="227"/>
      <c r="F802" s="227"/>
      <c r="G802" s="227"/>
      <c r="H802" s="227"/>
      <c r="I802" s="227"/>
      <c r="J802" s="227"/>
      <c r="K802" s="227"/>
      <c r="L802" s="227"/>
      <c r="M802" s="227"/>
      <c r="N802" s="227"/>
      <c r="O802" s="227"/>
    </row>
    <row r="803" spans="4:15">
      <c r="D803" s="227"/>
      <c r="E803" s="227"/>
      <c r="F803" s="227"/>
      <c r="G803" s="227"/>
      <c r="H803" s="227"/>
      <c r="I803" s="227"/>
      <c r="J803" s="227"/>
      <c r="K803" s="227"/>
      <c r="L803" s="227"/>
      <c r="M803" s="227"/>
      <c r="N803" s="227"/>
      <c r="O803" s="227"/>
    </row>
    <row r="804" spans="4:15">
      <c r="D804" s="227"/>
      <c r="E804" s="227"/>
      <c r="F804" s="227"/>
      <c r="G804" s="227"/>
      <c r="H804" s="227"/>
      <c r="I804" s="227"/>
      <c r="J804" s="227"/>
      <c r="K804" s="227"/>
      <c r="L804" s="227"/>
      <c r="M804" s="227"/>
      <c r="N804" s="227"/>
      <c r="O804" s="227"/>
    </row>
    <row r="805" spans="4:15">
      <c r="D805" s="227"/>
      <c r="E805" s="227"/>
      <c r="F805" s="227"/>
      <c r="G805" s="227"/>
      <c r="H805" s="227"/>
      <c r="I805" s="227"/>
      <c r="J805" s="227"/>
      <c r="K805" s="227"/>
      <c r="L805" s="227"/>
      <c r="M805" s="227"/>
      <c r="N805" s="227"/>
      <c r="O805" s="227"/>
    </row>
    <row r="806" spans="4:15">
      <c r="D806" s="227"/>
      <c r="E806" s="227"/>
      <c r="F806" s="227"/>
      <c r="G806" s="227"/>
      <c r="H806" s="227"/>
      <c r="I806" s="227"/>
      <c r="J806" s="227"/>
      <c r="K806" s="227"/>
      <c r="L806" s="227"/>
      <c r="M806" s="227"/>
      <c r="N806" s="227"/>
      <c r="O806" s="227"/>
    </row>
    <row r="807" spans="4:15">
      <c r="D807" s="227"/>
      <c r="E807" s="227"/>
      <c r="F807" s="227"/>
      <c r="G807" s="227"/>
      <c r="H807" s="227"/>
      <c r="I807" s="227"/>
      <c r="J807" s="227"/>
      <c r="K807" s="227"/>
      <c r="L807" s="227"/>
      <c r="M807" s="227"/>
      <c r="N807" s="227"/>
      <c r="O807" s="227"/>
    </row>
    <row r="808" spans="4:15">
      <c r="D808" s="227"/>
      <c r="E808" s="227"/>
      <c r="F808" s="227"/>
      <c r="G808" s="227"/>
      <c r="H808" s="227"/>
      <c r="I808" s="227"/>
      <c r="J808" s="227"/>
      <c r="K808" s="227"/>
      <c r="L808" s="227"/>
      <c r="M808" s="227"/>
      <c r="N808" s="227"/>
      <c r="O808" s="227"/>
    </row>
    <row r="809" spans="4:15">
      <c r="D809" s="227"/>
      <c r="E809" s="227"/>
      <c r="F809" s="227"/>
      <c r="G809" s="227"/>
      <c r="H809" s="227"/>
      <c r="I809" s="227"/>
      <c r="J809" s="227"/>
      <c r="K809" s="227"/>
      <c r="L809" s="227"/>
      <c r="M809" s="227"/>
      <c r="N809" s="227"/>
      <c r="O809" s="227"/>
    </row>
    <row r="810" spans="4:15">
      <c r="D810" s="227"/>
      <c r="E810" s="227"/>
      <c r="F810" s="227"/>
      <c r="G810" s="227"/>
      <c r="H810" s="227"/>
      <c r="I810" s="227"/>
      <c r="J810" s="227"/>
      <c r="K810" s="227"/>
      <c r="L810" s="227"/>
      <c r="M810" s="227"/>
      <c r="N810" s="227"/>
      <c r="O810" s="227"/>
    </row>
    <row r="811" spans="4:15">
      <c r="D811" s="227"/>
      <c r="E811" s="227"/>
      <c r="F811" s="227"/>
      <c r="G811" s="227"/>
      <c r="H811" s="227"/>
      <c r="I811" s="227"/>
      <c r="J811" s="227"/>
      <c r="K811" s="227"/>
      <c r="L811" s="227"/>
      <c r="M811" s="227"/>
      <c r="N811" s="227"/>
      <c r="O811" s="227"/>
    </row>
    <row r="812" spans="4:15">
      <c r="D812" s="227"/>
      <c r="E812" s="227"/>
      <c r="F812" s="227"/>
      <c r="G812" s="227"/>
      <c r="H812" s="227"/>
      <c r="I812" s="227"/>
      <c r="J812" s="227"/>
      <c r="K812" s="227"/>
      <c r="L812" s="227"/>
      <c r="M812" s="227"/>
      <c r="N812" s="227"/>
      <c r="O812" s="227"/>
    </row>
    <row r="813" spans="4:15">
      <c r="D813" s="227"/>
      <c r="E813" s="227"/>
      <c r="F813" s="227"/>
      <c r="G813" s="227"/>
      <c r="H813" s="227"/>
      <c r="I813" s="227"/>
      <c r="J813" s="227"/>
      <c r="K813" s="227"/>
      <c r="L813" s="227"/>
      <c r="M813" s="227"/>
      <c r="N813" s="227"/>
      <c r="O813" s="227"/>
    </row>
    <row r="814" spans="4:15">
      <c r="D814" s="227"/>
      <c r="E814" s="227"/>
      <c r="F814" s="227"/>
      <c r="G814" s="227"/>
      <c r="H814" s="227"/>
      <c r="I814" s="227"/>
      <c r="J814" s="227"/>
      <c r="K814" s="227"/>
      <c r="L814" s="227"/>
      <c r="M814" s="227"/>
      <c r="N814" s="227"/>
      <c r="O814" s="227"/>
    </row>
    <row r="815" spans="4:15">
      <c r="D815" s="227"/>
      <c r="E815" s="227"/>
      <c r="F815" s="227"/>
      <c r="G815" s="227"/>
      <c r="H815" s="227"/>
      <c r="I815" s="227"/>
      <c r="J815" s="227"/>
      <c r="K815" s="227"/>
      <c r="L815" s="227"/>
      <c r="M815" s="227"/>
      <c r="N815" s="227"/>
      <c r="O815" s="227"/>
    </row>
    <row r="816" spans="4:15">
      <c r="D816" s="227"/>
      <c r="E816" s="227"/>
      <c r="F816" s="227"/>
      <c r="G816" s="227"/>
      <c r="H816" s="227"/>
      <c r="I816" s="227"/>
      <c r="J816" s="227"/>
      <c r="K816" s="227"/>
      <c r="L816" s="227"/>
      <c r="M816" s="227"/>
      <c r="N816" s="227"/>
      <c r="O816" s="227"/>
    </row>
    <row r="817" spans="4:15">
      <c r="D817" s="227"/>
      <c r="E817" s="227"/>
      <c r="F817" s="227"/>
      <c r="G817" s="227"/>
      <c r="H817" s="227"/>
      <c r="I817" s="227"/>
      <c r="J817" s="227"/>
      <c r="K817" s="227"/>
      <c r="L817" s="227"/>
      <c r="M817" s="227"/>
      <c r="N817" s="227"/>
      <c r="O817" s="227"/>
    </row>
    <row r="818" spans="4:15">
      <c r="D818" s="227"/>
      <c r="E818" s="227"/>
      <c r="F818" s="227"/>
      <c r="G818" s="227"/>
      <c r="H818" s="227"/>
      <c r="I818" s="227"/>
      <c r="J818" s="227"/>
      <c r="K818" s="227"/>
      <c r="L818" s="227"/>
      <c r="M818" s="227"/>
      <c r="N818" s="227"/>
      <c r="O818" s="227"/>
    </row>
    <row r="819" spans="4:15">
      <c r="D819" s="227"/>
      <c r="E819" s="227"/>
      <c r="F819" s="227"/>
      <c r="G819" s="227"/>
      <c r="H819" s="227"/>
      <c r="I819" s="227"/>
      <c r="J819" s="227"/>
      <c r="K819" s="227"/>
      <c r="L819" s="227"/>
      <c r="M819" s="227"/>
      <c r="N819" s="227"/>
      <c r="O819" s="227"/>
    </row>
    <row r="820" spans="4:15">
      <c r="D820" s="227"/>
      <c r="E820" s="227"/>
      <c r="F820" s="227"/>
      <c r="G820" s="227"/>
      <c r="H820" s="227"/>
      <c r="I820" s="227"/>
      <c r="J820" s="227"/>
      <c r="K820" s="227"/>
      <c r="L820" s="227"/>
      <c r="M820" s="227"/>
      <c r="N820" s="227"/>
      <c r="O820" s="227"/>
    </row>
    <row r="821" spans="4:15">
      <c r="D821" s="227"/>
      <c r="E821" s="227"/>
      <c r="F821" s="227"/>
      <c r="G821" s="227"/>
      <c r="H821" s="227"/>
      <c r="I821" s="227"/>
      <c r="J821" s="227"/>
      <c r="K821" s="227"/>
      <c r="L821" s="227"/>
      <c r="M821" s="227"/>
      <c r="N821" s="227"/>
      <c r="O821" s="227"/>
    </row>
    <row r="822" spans="4:15">
      <c r="D822" s="227"/>
      <c r="E822" s="227"/>
      <c r="F822" s="227"/>
      <c r="G822" s="227"/>
      <c r="H822" s="227"/>
      <c r="I822" s="227"/>
      <c r="J822" s="227"/>
      <c r="K822" s="227"/>
      <c r="L822" s="227"/>
      <c r="M822" s="227"/>
      <c r="N822" s="227"/>
      <c r="O822" s="227"/>
    </row>
    <row r="823" spans="4:15">
      <c r="D823" s="227"/>
      <c r="E823" s="227"/>
      <c r="F823" s="227"/>
      <c r="G823" s="227"/>
      <c r="H823" s="227"/>
      <c r="I823" s="227"/>
      <c r="J823" s="227"/>
      <c r="K823" s="227"/>
      <c r="L823" s="227"/>
      <c r="M823" s="227"/>
      <c r="N823" s="227"/>
      <c r="O823" s="227"/>
    </row>
    <row r="824" spans="4:15">
      <c r="D824" s="227"/>
      <c r="E824" s="227"/>
      <c r="F824" s="227"/>
      <c r="G824" s="227"/>
      <c r="H824" s="227"/>
      <c r="I824" s="227"/>
      <c r="J824" s="227"/>
      <c r="K824" s="227"/>
      <c r="L824" s="227"/>
      <c r="M824" s="227"/>
      <c r="N824" s="227"/>
      <c r="O824" s="227"/>
    </row>
    <row r="825" spans="4:15">
      <c r="D825" s="227"/>
      <c r="E825" s="227"/>
      <c r="F825" s="227"/>
      <c r="G825" s="227"/>
      <c r="H825" s="227"/>
      <c r="I825" s="227"/>
      <c r="J825" s="227"/>
      <c r="K825" s="227"/>
      <c r="L825" s="227"/>
      <c r="M825" s="227"/>
      <c r="N825" s="227"/>
      <c r="O825" s="227"/>
    </row>
    <row r="826" spans="4:15">
      <c r="D826" s="227"/>
      <c r="E826" s="227"/>
      <c r="F826" s="227"/>
      <c r="G826" s="227"/>
      <c r="H826" s="227"/>
      <c r="I826" s="227"/>
      <c r="J826" s="227"/>
      <c r="K826" s="227"/>
      <c r="L826" s="227"/>
      <c r="M826" s="227"/>
      <c r="N826" s="227"/>
      <c r="O826" s="227"/>
    </row>
    <row r="827" spans="4:15">
      <c r="D827" s="227"/>
      <c r="E827" s="227"/>
      <c r="F827" s="227"/>
      <c r="G827" s="227"/>
      <c r="H827" s="227"/>
      <c r="I827" s="227"/>
      <c r="J827" s="227"/>
      <c r="K827" s="227"/>
      <c r="L827" s="227"/>
      <c r="M827" s="227"/>
      <c r="N827" s="227"/>
      <c r="O827" s="227"/>
    </row>
    <row r="828" spans="4:15">
      <c r="D828" s="227"/>
      <c r="E828" s="227"/>
      <c r="F828" s="227"/>
      <c r="G828" s="227"/>
      <c r="H828" s="227"/>
      <c r="I828" s="227"/>
      <c r="J828" s="227"/>
      <c r="K828" s="227"/>
      <c r="L828" s="227"/>
      <c r="M828" s="227"/>
      <c r="N828" s="227"/>
      <c r="O828" s="227"/>
    </row>
    <row r="829" spans="4:15">
      <c r="D829" s="227"/>
      <c r="E829" s="227"/>
      <c r="F829" s="227"/>
      <c r="G829" s="227"/>
      <c r="H829" s="227"/>
      <c r="I829" s="227"/>
      <c r="J829" s="227"/>
      <c r="K829" s="227"/>
      <c r="L829" s="227"/>
      <c r="M829" s="227"/>
      <c r="N829" s="227"/>
      <c r="O829" s="227"/>
    </row>
    <row r="830" spans="4:15">
      <c r="D830" s="227"/>
      <c r="E830" s="227"/>
      <c r="F830" s="227"/>
      <c r="G830" s="227"/>
      <c r="H830" s="227"/>
      <c r="I830" s="227"/>
      <c r="J830" s="227"/>
      <c r="K830" s="227"/>
      <c r="L830" s="227"/>
      <c r="M830" s="227"/>
      <c r="N830" s="227"/>
      <c r="O830" s="227"/>
    </row>
    <row r="831" spans="4:15">
      <c r="D831" s="227"/>
      <c r="E831" s="227"/>
      <c r="F831" s="227"/>
      <c r="G831" s="227"/>
      <c r="H831" s="227"/>
      <c r="I831" s="227"/>
      <c r="J831" s="227"/>
      <c r="K831" s="227"/>
      <c r="L831" s="227"/>
      <c r="M831" s="227"/>
      <c r="N831" s="227"/>
      <c r="O831" s="227"/>
    </row>
    <row r="832" spans="4:15">
      <c r="D832" s="227"/>
      <c r="E832" s="227"/>
      <c r="F832" s="227"/>
      <c r="G832" s="227"/>
      <c r="H832" s="227"/>
      <c r="I832" s="227"/>
      <c r="J832" s="227"/>
      <c r="K832" s="227"/>
      <c r="L832" s="227"/>
      <c r="M832" s="227"/>
      <c r="N832" s="227"/>
      <c r="O832" s="227"/>
    </row>
    <row r="833" spans="4:15">
      <c r="D833" s="227"/>
      <c r="E833" s="227"/>
      <c r="F833" s="227"/>
      <c r="G833" s="227"/>
      <c r="H833" s="227"/>
      <c r="I833" s="227"/>
      <c r="J833" s="227"/>
      <c r="K833" s="227"/>
      <c r="L833" s="227"/>
      <c r="M833" s="227"/>
      <c r="N833" s="227"/>
      <c r="O833" s="227"/>
    </row>
    <row r="834" spans="4:15">
      <c r="D834" s="227"/>
      <c r="E834" s="227"/>
      <c r="F834" s="227"/>
      <c r="G834" s="227"/>
      <c r="H834" s="227"/>
      <c r="I834" s="227"/>
      <c r="J834" s="227"/>
      <c r="K834" s="227"/>
      <c r="L834" s="227"/>
      <c r="M834" s="227"/>
      <c r="N834" s="227"/>
      <c r="O834" s="227"/>
    </row>
    <row r="835" spans="4:15">
      <c r="D835" s="227"/>
      <c r="E835" s="227"/>
      <c r="F835" s="227"/>
      <c r="G835" s="227"/>
      <c r="H835" s="227"/>
      <c r="I835" s="227"/>
      <c r="J835" s="227"/>
      <c r="K835" s="227"/>
      <c r="L835" s="227"/>
      <c r="M835" s="227"/>
      <c r="N835" s="227"/>
      <c r="O835" s="227"/>
    </row>
    <row r="836" spans="4:15">
      <c r="D836" s="227"/>
      <c r="E836" s="227"/>
      <c r="F836" s="227"/>
      <c r="G836" s="227"/>
      <c r="H836" s="227"/>
      <c r="I836" s="227"/>
      <c r="J836" s="227"/>
      <c r="K836" s="227"/>
      <c r="L836" s="227"/>
      <c r="M836" s="227"/>
      <c r="N836" s="227"/>
      <c r="O836" s="227"/>
    </row>
    <row r="837" spans="4:15">
      <c r="D837" s="227"/>
      <c r="E837" s="227"/>
      <c r="F837" s="227"/>
      <c r="G837" s="227"/>
      <c r="H837" s="227"/>
      <c r="I837" s="227"/>
      <c r="J837" s="227"/>
      <c r="K837" s="227"/>
      <c r="L837" s="227"/>
      <c r="M837" s="227"/>
      <c r="N837" s="227"/>
      <c r="O837" s="227"/>
    </row>
    <row r="838" spans="4:15">
      <c r="D838" s="227"/>
      <c r="E838" s="227"/>
      <c r="F838" s="227"/>
      <c r="G838" s="227"/>
      <c r="H838" s="227"/>
      <c r="I838" s="227"/>
      <c r="J838" s="227"/>
      <c r="K838" s="227"/>
      <c r="L838" s="227"/>
      <c r="M838" s="227"/>
      <c r="N838" s="227"/>
      <c r="O838" s="227"/>
    </row>
    <row r="839" spans="4:15">
      <c r="D839" s="227"/>
      <c r="E839" s="227"/>
      <c r="F839" s="227"/>
      <c r="G839" s="227"/>
      <c r="H839" s="227"/>
      <c r="I839" s="227"/>
      <c r="J839" s="227"/>
      <c r="K839" s="227"/>
      <c r="L839" s="227"/>
      <c r="M839" s="227"/>
      <c r="N839" s="227"/>
      <c r="O839" s="227"/>
    </row>
    <row r="840" spans="4:15">
      <c r="D840" s="227"/>
      <c r="E840" s="227"/>
      <c r="F840" s="227"/>
      <c r="G840" s="227"/>
      <c r="H840" s="227"/>
      <c r="I840" s="227"/>
      <c r="J840" s="227"/>
      <c r="K840" s="227"/>
      <c r="L840" s="227"/>
      <c r="M840" s="227"/>
      <c r="N840" s="227"/>
      <c r="O840" s="227"/>
    </row>
    <row r="841" spans="4:15">
      <c r="D841" s="227"/>
      <c r="E841" s="227"/>
      <c r="F841" s="227"/>
      <c r="G841" s="227"/>
      <c r="H841" s="227"/>
      <c r="I841" s="227"/>
      <c r="J841" s="227"/>
      <c r="K841" s="227"/>
      <c r="L841" s="227"/>
      <c r="M841" s="227"/>
      <c r="N841" s="227"/>
      <c r="O841" s="227"/>
    </row>
    <row r="842" spans="4:15">
      <c r="D842" s="227"/>
      <c r="E842" s="227"/>
      <c r="F842" s="227"/>
      <c r="G842" s="227"/>
      <c r="H842" s="227"/>
      <c r="I842" s="227"/>
      <c r="J842" s="227"/>
      <c r="K842" s="227"/>
      <c r="L842" s="227"/>
      <c r="M842" s="227"/>
      <c r="N842" s="227"/>
      <c r="O842" s="227"/>
    </row>
    <row r="843" spans="4:15">
      <c r="D843" s="227"/>
      <c r="E843" s="227"/>
      <c r="F843" s="227"/>
      <c r="G843" s="227"/>
      <c r="H843" s="227"/>
      <c r="I843" s="227"/>
      <c r="J843" s="227"/>
      <c r="K843" s="227"/>
      <c r="L843" s="227"/>
      <c r="M843" s="227"/>
      <c r="N843" s="227"/>
      <c r="O843" s="227"/>
    </row>
    <row r="844" spans="4:15">
      <c r="D844" s="227"/>
      <c r="E844" s="227"/>
      <c r="F844" s="227"/>
      <c r="G844" s="227"/>
      <c r="H844" s="227"/>
      <c r="I844" s="227"/>
      <c r="J844" s="227"/>
      <c r="K844" s="227"/>
      <c r="L844" s="227"/>
      <c r="M844" s="227"/>
      <c r="N844" s="227"/>
      <c r="O844" s="227"/>
    </row>
    <row r="845" spans="4:15">
      <c r="D845" s="227"/>
      <c r="E845" s="227"/>
      <c r="F845" s="227"/>
      <c r="G845" s="227"/>
      <c r="H845" s="227"/>
      <c r="I845" s="227"/>
      <c r="J845" s="227"/>
      <c r="K845" s="227"/>
      <c r="L845" s="227"/>
      <c r="M845" s="227"/>
      <c r="N845" s="227"/>
      <c r="O845" s="227"/>
    </row>
    <row r="846" spans="4:15">
      <c r="D846" s="227"/>
      <c r="E846" s="227"/>
      <c r="F846" s="227"/>
      <c r="G846" s="227"/>
      <c r="H846" s="227"/>
      <c r="I846" s="227"/>
      <c r="J846" s="227"/>
      <c r="K846" s="227"/>
      <c r="L846" s="227"/>
      <c r="M846" s="227"/>
      <c r="N846" s="227"/>
      <c r="O846" s="227"/>
    </row>
    <row r="847" spans="4:15">
      <c r="D847" s="227"/>
      <c r="E847" s="227"/>
      <c r="F847" s="227"/>
      <c r="G847" s="227"/>
      <c r="H847" s="227"/>
      <c r="I847" s="227"/>
      <c r="J847" s="227"/>
      <c r="K847" s="227"/>
      <c r="L847" s="227"/>
      <c r="M847" s="227"/>
      <c r="N847" s="227"/>
      <c r="O847" s="227"/>
    </row>
    <row r="848" spans="4:15">
      <c r="D848" s="227"/>
      <c r="E848" s="227"/>
      <c r="F848" s="227"/>
      <c r="G848" s="227"/>
      <c r="H848" s="227"/>
      <c r="I848" s="227"/>
      <c r="J848" s="227"/>
      <c r="K848" s="227"/>
      <c r="L848" s="227"/>
      <c r="M848" s="227"/>
      <c r="N848" s="227"/>
      <c r="O848" s="227"/>
    </row>
    <row r="849" spans="4:15">
      <c r="D849" s="227"/>
      <c r="E849" s="227"/>
      <c r="F849" s="227"/>
      <c r="G849" s="227"/>
      <c r="H849" s="227"/>
      <c r="I849" s="227"/>
      <c r="J849" s="227"/>
      <c r="K849" s="227"/>
      <c r="L849" s="227"/>
      <c r="M849" s="227"/>
      <c r="N849" s="227"/>
      <c r="O849" s="227"/>
    </row>
    <row r="850" spans="4:15">
      <c r="D850" s="227"/>
      <c r="E850" s="227"/>
      <c r="F850" s="227"/>
      <c r="G850" s="227"/>
      <c r="H850" s="227"/>
      <c r="I850" s="227"/>
      <c r="J850" s="227"/>
      <c r="K850" s="227"/>
      <c r="L850" s="227"/>
      <c r="M850" s="227"/>
      <c r="N850" s="227"/>
      <c r="O850" s="227"/>
    </row>
    <row r="851" spans="4:15">
      <c r="D851" s="227"/>
      <c r="E851" s="227"/>
      <c r="F851" s="227"/>
      <c r="G851" s="227"/>
      <c r="H851" s="227"/>
      <c r="I851" s="227"/>
      <c r="J851" s="227"/>
      <c r="K851" s="227"/>
      <c r="L851" s="227"/>
      <c r="M851" s="227"/>
      <c r="N851" s="227"/>
      <c r="O851" s="227"/>
    </row>
    <row r="852" spans="4:15">
      <c r="D852" s="227"/>
      <c r="E852" s="227"/>
      <c r="F852" s="227"/>
      <c r="G852" s="227"/>
      <c r="H852" s="227"/>
      <c r="I852" s="227"/>
      <c r="J852" s="227"/>
      <c r="K852" s="227"/>
      <c r="L852" s="227"/>
      <c r="M852" s="227"/>
      <c r="N852" s="227"/>
      <c r="O852" s="227"/>
    </row>
    <row r="853" spans="4:15">
      <c r="D853" s="227"/>
      <c r="E853" s="227"/>
      <c r="F853" s="227"/>
      <c r="G853" s="227"/>
      <c r="H853" s="227"/>
      <c r="I853" s="227"/>
      <c r="J853" s="227"/>
      <c r="K853" s="227"/>
      <c r="L853" s="227"/>
      <c r="M853" s="227"/>
      <c r="N853" s="227"/>
      <c r="O853" s="227"/>
    </row>
    <row r="854" spans="4:15">
      <c r="D854" s="227"/>
      <c r="E854" s="227"/>
      <c r="F854" s="227"/>
      <c r="G854" s="227"/>
      <c r="H854" s="227"/>
      <c r="I854" s="227"/>
      <c r="J854" s="227"/>
      <c r="K854" s="227"/>
      <c r="L854" s="227"/>
      <c r="M854" s="227"/>
      <c r="N854" s="227"/>
      <c r="O854" s="227"/>
    </row>
    <row r="855" spans="4:15">
      <c r="D855" s="227"/>
      <c r="E855" s="227"/>
      <c r="F855" s="227"/>
      <c r="G855" s="227"/>
      <c r="H855" s="227"/>
      <c r="I855" s="227"/>
      <c r="J855" s="227"/>
      <c r="K855" s="227"/>
      <c r="L855" s="227"/>
      <c r="M855" s="227"/>
      <c r="N855" s="227"/>
      <c r="O855" s="227"/>
    </row>
    <row r="856" spans="4:15">
      <c r="D856" s="227"/>
      <c r="E856" s="227"/>
      <c r="F856" s="227"/>
      <c r="G856" s="227"/>
      <c r="H856" s="227"/>
      <c r="I856" s="227"/>
      <c r="J856" s="227"/>
      <c r="K856" s="227"/>
      <c r="L856" s="227"/>
      <c r="M856" s="227"/>
      <c r="N856" s="227"/>
      <c r="O856" s="227"/>
    </row>
    <row r="857" spans="4:15">
      <c r="D857" s="227"/>
      <c r="E857" s="227"/>
      <c r="F857" s="227"/>
      <c r="G857" s="227"/>
      <c r="H857" s="227"/>
      <c r="I857" s="227"/>
      <c r="J857" s="227"/>
      <c r="K857" s="227"/>
      <c r="L857" s="227"/>
      <c r="M857" s="227"/>
      <c r="N857" s="227"/>
      <c r="O857" s="227"/>
    </row>
    <row r="858" spans="4:15">
      <c r="D858" s="227"/>
      <c r="E858" s="227"/>
      <c r="F858" s="227"/>
      <c r="G858" s="227"/>
      <c r="H858" s="227"/>
      <c r="I858" s="227"/>
      <c r="J858" s="227"/>
      <c r="K858" s="227"/>
      <c r="L858" s="227"/>
      <c r="M858" s="227"/>
      <c r="N858" s="227"/>
      <c r="O858" s="227"/>
    </row>
    <row r="859" spans="4:15">
      <c r="D859" s="227"/>
      <c r="E859" s="227"/>
      <c r="F859" s="227"/>
      <c r="G859" s="227"/>
      <c r="H859" s="227"/>
      <c r="I859" s="227"/>
      <c r="J859" s="227"/>
      <c r="K859" s="227"/>
      <c r="L859" s="227"/>
      <c r="M859" s="227"/>
      <c r="N859" s="227"/>
      <c r="O859" s="227"/>
    </row>
    <row r="860" spans="4:15">
      <c r="D860" s="227"/>
      <c r="E860" s="227"/>
      <c r="F860" s="227"/>
      <c r="G860" s="227"/>
      <c r="H860" s="227"/>
      <c r="I860" s="227"/>
      <c r="J860" s="227"/>
      <c r="K860" s="227"/>
      <c r="L860" s="227"/>
      <c r="M860" s="227"/>
      <c r="N860" s="227"/>
      <c r="O860" s="227"/>
    </row>
    <row r="861" spans="4:15">
      <c r="D861" s="227"/>
      <c r="E861" s="227"/>
      <c r="F861" s="227"/>
      <c r="G861" s="227"/>
      <c r="H861" s="227"/>
      <c r="I861" s="227"/>
      <c r="J861" s="227"/>
      <c r="K861" s="227"/>
      <c r="L861" s="227"/>
      <c r="M861" s="227"/>
      <c r="N861" s="227"/>
      <c r="O861" s="227"/>
    </row>
    <row r="862" spans="4:15">
      <c r="D862" s="227"/>
      <c r="E862" s="227"/>
      <c r="F862" s="227"/>
      <c r="G862" s="227"/>
      <c r="H862" s="227"/>
      <c r="I862" s="227"/>
      <c r="J862" s="227"/>
      <c r="K862" s="227"/>
      <c r="L862" s="227"/>
      <c r="M862" s="227"/>
      <c r="N862" s="227"/>
      <c r="O862" s="227"/>
    </row>
    <row r="863" spans="4:15">
      <c r="D863" s="227"/>
      <c r="E863" s="227"/>
      <c r="F863" s="227"/>
      <c r="G863" s="227"/>
      <c r="H863" s="227"/>
      <c r="I863" s="227"/>
      <c r="J863" s="227"/>
      <c r="K863" s="227"/>
      <c r="L863" s="227"/>
      <c r="M863" s="227"/>
      <c r="N863" s="227"/>
      <c r="O863" s="227"/>
    </row>
    <row r="864" spans="4:15">
      <c r="D864" s="227"/>
      <c r="E864" s="227"/>
      <c r="F864" s="227"/>
      <c r="G864" s="227"/>
      <c r="H864" s="227"/>
      <c r="I864" s="227"/>
      <c r="J864" s="227"/>
      <c r="K864" s="227"/>
      <c r="L864" s="227"/>
      <c r="M864" s="227"/>
      <c r="N864" s="227"/>
      <c r="O864" s="227"/>
    </row>
    <row r="865" spans="4:15">
      <c r="D865" s="227"/>
      <c r="E865" s="227"/>
      <c r="F865" s="227"/>
      <c r="G865" s="227"/>
      <c r="H865" s="227"/>
      <c r="I865" s="227"/>
      <c r="J865" s="227"/>
      <c r="K865" s="227"/>
      <c r="L865" s="227"/>
      <c r="M865" s="227"/>
      <c r="N865" s="227"/>
      <c r="O865" s="227"/>
    </row>
    <row r="866" spans="4:15">
      <c r="D866" s="227"/>
      <c r="E866" s="227"/>
      <c r="F866" s="227"/>
      <c r="G866" s="227"/>
      <c r="H866" s="227"/>
      <c r="I866" s="227"/>
      <c r="J866" s="227"/>
      <c r="K866" s="227"/>
      <c r="L866" s="227"/>
      <c r="M866" s="227"/>
      <c r="N866" s="227"/>
      <c r="O866" s="227"/>
    </row>
    <row r="867" spans="4:15">
      <c r="D867" s="227"/>
      <c r="E867" s="227"/>
      <c r="F867" s="227"/>
      <c r="G867" s="227"/>
      <c r="H867" s="227"/>
      <c r="I867" s="227"/>
      <c r="J867" s="227"/>
      <c r="K867" s="227"/>
      <c r="L867" s="227"/>
      <c r="M867" s="227"/>
      <c r="N867" s="227"/>
      <c r="O867" s="227"/>
    </row>
    <row r="868" spans="4:15">
      <c r="D868" s="227"/>
      <c r="E868" s="227"/>
      <c r="F868" s="227"/>
      <c r="G868" s="227"/>
      <c r="H868" s="227"/>
      <c r="I868" s="227"/>
      <c r="J868" s="227"/>
      <c r="K868" s="227"/>
      <c r="L868" s="227"/>
      <c r="M868" s="227"/>
      <c r="N868" s="227"/>
      <c r="O868" s="227"/>
    </row>
    <row r="869" spans="4:15">
      <c r="D869" s="227"/>
      <c r="E869" s="227"/>
      <c r="F869" s="227"/>
      <c r="G869" s="227"/>
      <c r="H869" s="227"/>
      <c r="I869" s="227"/>
      <c r="J869" s="227"/>
      <c r="K869" s="227"/>
      <c r="L869" s="227"/>
      <c r="M869" s="227"/>
      <c r="N869" s="227"/>
      <c r="O869" s="227"/>
    </row>
    <row r="870" spans="4:15">
      <c r="D870" s="227"/>
      <c r="E870" s="227"/>
      <c r="F870" s="227"/>
      <c r="G870" s="227"/>
      <c r="H870" s="227"/>
      <c r="I870" s="227"/>
      <c r="J870" s="227"/>
      <c r="K870" s="227"/>
      <c r="L870" s="227"/>
      <c r="M870" s="227"/>
      <c r="N870" s="227"/>
      <c r="O870" s="227"/>
    </row>
    <row r="871" spans="4:15">
      <c r="D871" s="227"/>
      <c r="E871" s="227"/>
      <c r="F871" s="227"/>
      <c r="G871" s="227"/>
      <c r="H871" s="227"/>
      <c r="I871" s="227"/>
      <c r="J871" s="227"/>
      <c r="K871" s="227"/>
      <c r="L871" s="227"/>
      <c r="M871" s="227"/>
      <c r="N871" s="227"/>
      <c r="O871" s="227"/>
    </row>
    <row r="872" spans="4:15">
      <c r="D872" s="227"/>
      <c r="E872" s="227"/>
      <c r="F872" s="227"/>
      <c r="G872" s="227"/>
      <c r="H872" s="227"/>
      <c r="I872" s="227"/>
      <c r="J872" s="227"/>
      <c r="K872" s="227"/>
      <c r="L872" s="227"/>
      <c r="M872" s="227"/>
      <c r="N872" s="227"/>
      <c r="O872" s="227"/>
    </row>
    <row r="873" spans="4:15">
      <c r="D873" s="227"/>
      <c r="E873" s="227"/>
      <c r="F873" s="227"/>
      <c r="G873" s="227"/>
      <c r="H873" s="227"/>
      <c r="I873" s="227"/>
      <c r="J873" s="227"/>
      <c r="K873" s="227"/>
      <c r="L873" s="227"/>
      <c r="M873" s="227"/>
      <c r="N873" s="227"/>
      <c r="O873" s="227"/>
    </row>
    <row r="874" spans="4:15">
      <c r="D874" s="227"/>
      <c r="E874" s="227"/>
      <c r="F874" s="227"/>
      <c r="G874" s="227"/>
      <c r="H874" s="227"/>
      <c r="I874" s="227"/>
      <c r="J874" s="227"/>
      <c r="K874" s="227"/>
      <c r="L874" s="227"/>
      <c r="M874" s="227"/>
      <c r="N874" s="227"/>
      <c r="O874" s="227"/>
    </row>
    <row r="875" spans="4:15">
      <c r="D875" s="227"/>
      <c r="E875" s="227"/>
      <c r="F875" s="227"/>
      <c r="G875" s="227"/>
      <c r="H875" s="227"/>
      <c r="I875" s="227"/>
      <c r="J875" s="227"/>
      <c r="K875" s="227"/>
      <c r="L875" s="227"/>
      <c r="M875" s="227"/>
      <c r="N875" s="227"/>
      <c r="O875" s="227"/>
    </row>
    <row r="876" spans="4:15">
      <c r="D876" s="227"/>
      <c r="E876" s="227"/>
      <c r="F876" s="227"/>
      <c r="G876" s="227"/>
      <c r="H876" s="227"/>
      <c r="I876" s="227"/>
      <c r="J876" s="227"/>
      <c r="K876" s="227"/>
      <c r="L876" s="227"/>
      <c r="M876" s="227"/>
      <c r="N876" s="227"/>
      <c r="O876" s="227"/>
    </row>
    <row r="877" spans="4:15">
      <c r="D877" s="227"/>
      <c r="E877" s="227"/>
      <c r="F877" s="227"/>
      <c r="G877" s="227"/>
      <c r="H877" s="227"/>
      <c r="I877" s="227"/>
      <c r="J877" s="227"/>
      <c r="K877" s="227"/>
      <c r="L877" s="227"/>
      <c r="M877" s="227"/>
      <c r="N877" s="227"/>
      <c r="O877" s="227"/>
    </row>
    <row r="878" spans="4:15">
      <c r="D878" s="227"/>
      <c r="E878" s="227"/>
      <c r="F878" s="227"/>
      <c r="G878" s="227"/>
      <c r="H878" s="227"/>
      <c r="I878" s="227"/>
      <c r="J878" s="227"/>
      <c r="K878" s="227"/>
      <c r="L878" s="227"/>
      <c r="M878" s="227"/>
      <c r="N878" s="227"/>
      <c r="O878" s="227"/>
    </row>
    <row r="879" spans="4:15">
      <c r="D879" s="227"/>
      <c r="E879" s="227"/>
      <c r="F879" s="227"/>
      <c r="G879" s="227"/>
      <c r="H879" s="227"/>
      <c r="I879" s="227"/>
      <c r="J879" s="227"/>
      <c r="K879" s="227"/>
      <c r="L879" s="227"/>
      <c r="M879" s="227"/>
      <c r="N879" s="227"/>
      <c r="O879" s="227"/>
    </row>
    <row r="880" spans="4:15">
      <c r="D880" s="227"/>
      <c r="E880" s="227"/>
      <c r="F880" s="227"/>
      <c r="G880" s="227"/>
      <c r="H880" s="227"/>
      <c r="I880" s="227"/>
      <c r="J880" s="227"/>
      <c r="K880" s="227"/>
      <c r="L880" s="227"/>
      <c r="M880" s="227"/>
      <c r="N880" s="227"/>
      <c r="O880" s="227"/>
    </row>
    <row r="881" spans="4:15">
      <c r="D881" s="227"/>
      <c r="E881" s="227"/>
      <c r="F881" s="227"/>
      <c r="G881" s="227"/>
      <c r="H881" s="227"/>
      <c r="I881" s="227"/>
      <c r="J881" s="227"/>
      <c r="K881" s="227"/>
      <c r="L881" s="227"/>
      <c r="M881" s="227"/>
      <c r="N881" s="227"/>
      <c r="O881" s="227"/>
    </row>
    <row r="882" spans="4:15">
      <c r="D882" s="227"/>
      <c r="E882" s="227"/>
      <c r="F882" s="227"/>
      <c r="G882" s="227"/>
      <c r="H882" s="227"/>
      <c r="I882" s="227"/>
      <c r="J882" s="227"/>
      <c r="K882" s="227"/>
      <c r="L882" s="227"/>
      <c r="M882" s="227"/>
      <c r="N882" s="227"/>
      <c r="O882" s="227"/>
    </row>
    <row r="883" spans="4:15">
      <c r="D883" s="227"/>
      <c r="E883" s="227"/>
      <c r="F883" s="227"/>
      <c r="G883" s="227"/>
      <c r="H883" s="227"/>
      <c r="I883" s="227"/>
      <c r="J883" s="227"/>
      <c r="K883" s="227"/>
      <c r="L883" s="227"/>
      <c r="M883" s="227"/>
      <c r="N883" s="227"/>
      <c r="O883" s="227"/>
    </row>
    <row r="884" spans="4:15">
      <c r="D884" s="227"/>
      <c r="E884" s="227"/>
      <c r="F884" s="227"/>
      <c r="G884" s="227"/>
      <c r="H884" s="227"/>
      <c r="I884" s="227"/>
      <c r="J884" s="227"/>
      <c r="K884" s="227"/>
      <c r="L884" s="227"/>
      <c r="M884" s="227"/>
      <c r="N884" s="227"/>
      <c r="O884" s="227"/>
    </row>
    <row r="885" spans="4:15">
      <c r="D885" s="227"/>
      <c r="E885" s="227"/>
      <c r="F885" s="227"/>
      <c r="G885" s="227"/>
      <c r="H885" s="227"/>
      <c r="I885" s="227"/>
      <c r="J885" s="227"/>
      <c r="K885" s="227"/>
      <c r="L885" s="227"/>
      <c r="M885" s="227"/>
      <c r="N885" s="227"/>
      <c r="O885" s="227"/>
    </row>
    <row r="886" spans="4:15">
      <c r="D886" s="227"/>
      <c r="E886" s="227"/>
      <c r="F886" s="227"/>
      <c r="G886" s="227"/>
      <c r="H886" s="227"/>
      <c r="I886" s="227"/>
      <c r="J886" s="227"/>
      <c r="K886" s="227"/>
      <c r="L886" s="227"/>
      <c r="M886" s="227"/>
      <c r="N886" s="227"/>
      <c r="O886" s="227"/>
    </row>
    <row r="887" spans="4:15">
      <c r="D887" s="227"/>
      <c r="E887" s="227"/>
      <c r="F887" s="227"/>
      <c r="G887" s="227"/>
      <c r="H887" s="227"/>
      <c r="I887" s="227"/>
      <c r="J887" s="227"/>
      <c r="K887" s="227"/>
      <c r="L887" s="227"/>
      <c r="M887" s="227"/>
      <c r="N887" s="227"/>
      <c r="O887" s="227"/>
    </row>
    <row r="888" spans="4:15">
      <c r="D888" s="227"/>
      <c r="E888" s="227"/>
      <c r="F888" s="227"/>
      <c r="G888" s="227"/>
      <c r="H888" s="227"/>
      <c r="I888" s="227"/>
      <c r="J888" s="227"/>
      <c r="K888" s="227"/>
      <c r="L888" s="227"/>
      <c r="M888" s="227"/>
      <c r="N888" s="227"/>
      <c r="O888" s="227"/>
    </row>
    <row r="889" spans="4:15">
      <c r="D889" s="227"/>
      <c r="E889" s="227"/>
      <c r="F889" s="227"/>
      <c r="G889" s="227"/>
      <c r="H889" s="227"/>
      <c r="I889" s="227"/>
      <c r="J889" s="227"/>
      <c r="K889" s="227"/>
      <c r="L889" s="227"/>
      <c r="M889" s="227"/>
      <c r="N889" s="227"/>
      <c r="O889" s="227"/>
    </row>
    <row r="890" spans="4:15">
      <c r="D890" s="227"/>
      <c r="E890" s="227"/>
      <c r="F890" s="227"/>
      <c r="G890" s="227"/>
      <c r="H890" s="227"/>
      <c r="I890" s="227"/>
      <c r="J890" s="227"/>
      <c r="K890" s="227"/>
      <c r="L890" s="227"/>
      <c r="M890" s="227"/>
      <c r="N890" s="227"/>
      <c r="O890" s="227"/>
    </row>
    <row r="891" spans="4:15">
      <c r="D891" s="227"/>
      <c r="E891" s="227"/>
      <c r="F891" s="227"/>
      <c r="G891" s="227"/>
      <c r="H891" s="227"/>
      <c r="I891" s="227"/>
      <c r="J891" s="227"/>
      <c r="K891" s="227"/>
      <c r="L891" s="227"/>
      <c r="M891" s="227"/>
      <c r="N891" s="227"/>
      <c r="O891" s="227"/>
    </row>
    <row r="892" spans="4:15">
      <c r="D892" s="227"/>
      <c r="E892" s="227"/>
      <c r="F892" s="227"/>
      <c r="G892" s="227"/>
      <c r="H892" s="227"/>
      <c r="I892" s="227"/>
      <c r="J892" s="227"/>
      <c r="K892" s="227"/>
      <c r="L892" s="227"/>
      <c r="M892" s="227"/>
      <c r="N892" s="227"/>
      <c r="O892" s="227"/>
    </row>
    <row r="893" spans="4:15">
      <c r="D893" s="227"/>
      <c r="E893" s="227"/>
      <c r="F893" s="227"/>
      <c r="G893" s="227"/>
      <c r="H893" s="227"/>
      <c r="I893" s="227"/>
      <c r="J893" s="227"/>
      <c r="K893" s="227"/>
      <c r="L893" s="227"/>
      <c r="M893" s="227"/>
      <c r="N893" s="227"/>
      <c r="O893" s="227"/>
    </row>
    <row r="894" spans="4:15">
      <c r="D894" s="227"/>
      <c r="E894" s="227"/>
      <c r="F894" s="227"/>
      <c r="G894" s="227"/>
      <c r="H894" s="227"/>
      <c r="I894" s="227"/>
      <c r="J894" s="227"/>
      <c r="K894" s="227"/>
      <c r="L894" s="227"/>
      <c r="M894" s="227"/>
      <c r="N894" s="227"/>
      <c r="O894" s="227"/>
    </row>
    <row r="895" spans="4:15">
      <c r="D895" s="227"/>
      <c r="E895" s="227"/>
      <c r="F895" s="227"/>
      <c r="G895" s="227"/>
      <c r="H895" s="227"/>
      <c r="I895" s="227"/>
      <c r="J895" s="227"/>
      <c r="K895" s="227"/>
      <c r="L895" s="227"/>
      <c r="M895" s="227"/>
      <c r="N895" s="227"/>
      <c r="O895" s="227"/>
    </row>
    <row r="896" spans="4:15">
      <c r="D896" s="227"/>
      <c r="E896" s="227"/>
      <c r="F896" s="227"/>
      <c r="G896" s="227"/>
      <c r="H896" s="227"/>
      <c r="I896" s="227"/>
      <c r="J896" s="227"/>
      <c r="K896" s="227"/>
      <c r="L896" s="227"/>
      <c r="M896" s="227"/>
      <c r="N896" s="227"/>
      <c r="O896" s="227"/>
    </row>
    <row r="897" spans="4:15">
      <c r="D897" s="227"/>
      <c r="E897" s="227"/>
      <c r="F897" s="227"/>
      <c r="G897" s="227"/>
      <c r="H897" s="227"/>
      <c r="I897" s="227"/>
      <c r="J897" s="227"/>
      <c r="K897" s="227"/>
      <c r="L897" s="227"/>
      <c r="M897" s="227"/>
      <c r="N897" s="227"/>
      <c r="O897" s="227"/>
    </row>
    <row r="898" spans="4:15">
      <c r="D898" s="227"/>
      <c r="E898" s="227"/>
      <c r="F898" s="227"/>
      <c r="G898" s="227"/>
      <c r="H898" s="227"/>
      <c r="I898" s="227"/>
      <c r="J898" s="227"/>
      <c r="K898" s="227"/>
      <c r="L898" s="227"/>
      <c r="M898" s="227"/>
      <c r="N898" s="227"/>
      <c r="O898" s="227"/>
    </row>
    <row r="899" spans="4:15">
      <c r="D899" s="227"/>
      <c r="E899" s="227"/>
      <c r="F899" s="227"/>
      <c r="G899" s="227"/>
      <c r="H899" s="227"/>
      <c r="I899" s="227"/>
      <c r="J899" s="227"/>
      <c r="K899" s="227"/>
      <c r="L899" s="227"/>
      <c r="M899" s="227"/>
      <c r="N899" s="227"/>
      <c r="O899" s="227"/>
    </row>
    <row r="900" spans="4:15">
      <c r="D900" s="227"/>
      <c r="E900" s="227"/>
      <c r="F900" s="227"/>
      <c r="G900" s="227"/>
      <c r="H900" s="227"/>
      <c r="I900" s="227"/>
      <c r="J900" s="227"/>
      <c r="K900" s="227"/>
      <c r="L900" s="227"/>
      <c r="M900" s="227"/>
      <c r="N900" s="227"/>
      <c r="O900" s="227"/>
    </row>
    <row r="901" spans="4:15">
      <c r="D901" s="227"/>
      <c r="E901" s="227"/>
      <c r="F901" s="227"/>
      <c r="G901" s="227"/>
      <c r="H901" s="227"/>
      <c r="I901" s="227"/>
      <c r="J901" s="227"/>
      <c r="K901" s="227"/>
      <c r="L901" s="227"/>
      <c r="M901" s="227"/>
      <c r="N901" s="227"/>
      <c r="O901" s="227"/>
    </row>
    <row r="902" spans="4:15">
      <c r="D902" s="227"/>
      <c r="E902" s="227"/>
      <c r="F902" s="227"/>
      <c r="G902" s="227"/>
      <c r="H902" s="227"/>
      <c r="I902" s="227"/>
      <c r="J902" s="227"/>
      <c r="K902" s="227"/>
      <c r="L902" s="227"/>
      <c r="M902" s="227"/>
      <c r="N902" s="227"/>
      <c r="O902" s="227"/>
    </row>
    <row r="903" spans="4:15">
      <c r="D903" s="227"/>
      <c r="E903" s="227"/>
      <c r="F903" s="227"/>
      <c r="G903" s="227"/>
      <c r="H903" s="227"/>
      <c r="I903" s="227"/>
      <c r="J903" s="227"/>
      <c r="K903" s="227"/>
      <c r="L903" s="227"/>
      <c r="M903" s="227"/>
      <c r="N903" s="227"/>
      <c r="O903" s="227"/>
    </row>
    <row r="904" spans="4:15">
      <c r="D904" s="227"/>
      <c r="E904" s="227"/>
      <c r="F904" s="227"/>
      <c r="G904" s="227"/>
      <c r="H904" s="227"/>
      <c r="I904" s="227"/>
      <c r="J904" s="227"/>
      <c r="K904" s="227"/>
      <c r="L904" s="227"/>
      <c r="M904" s="227"/>
      <c r="N904" s="227"/>
      <c r="O904" s="227"/>
    </row>
    <row r="905" spans="4:15">
      <c r="D905" s="227"/>
      <c r="E905" s="227"/>
      <c r="F905" s="227"/>
      <c r="G905" s="227"/>
      <c r="H905" s="227"/>
      <c r="I905" s="227"/>
      <c r="J905" s="227"/>
      <c r="K905" s="227"/>
      <c r="L905" s="227"/>
      <c r="M905" s="227"/>
      <c r="N905" s="227"/>
      <c r="O905" s="227"/>
    </row>
    <row r="906" spans="4:15">
      <c r="D906" s="227"/>
      <c r="E906" s="227"/>
      <c r="F906" s="227"/>
      <c r="G906" s="227"/>
      <c r="H906" s="227"/>
      <c r="I906" s="227"/>
      <c r="J906" s="227"/>
      <c r="K906" s="227"/>
      <c r="L906" s="227"/>
      <c r="M906" s="227"/>
      <c r="N906" s="227"/>
      <c r="O906" s="227"/>
    </row>
    <row r="907" spans="4:15">
      <c r="D907" s="227"/>
      <c r="E907" s="227"/>
      <c r="F907" s="227"/>
      <c r="G907" s="227"/>
      <c r="H907" s="227"/>
      <c r="I907" s="227"/>
      <c r="J907" s="227"/>
      <c r="K907" s="227"/>
      <c r="L907" s="227"/>
      <c r="M907" s="227"/>
      <c r="N907" s="227"/>
      <c r="O907" s="227"/>
    </row>
    <row r="908" spans="4:15">
      <c r="D908" s="227"/>
      <c r="E908" s="227"/>
      <c r="F908" s="227"/>
      <c r="G908" s="227"/>
      <c r="H908" s="227"/>
      <c r="I908" s="227"/>
      <c r="J908" s="227"/>
      <c r="K908" s="227"/>
      <c r="L908" s="227"/>
      <c r="M908" s="227"/>
      <c r="N908" s="227"/>
      <c r="O908" s="227"/>
    </row>
    <row r="909" spans="4:15">
      <c r="D909" s="227"/>
      <c r="E909" s="227"/>
      <c r="F909" s="227"/>
      <c r="G909" s="227"/>
      <c r="H909" s="227"/>
      <c r="I909" s="227"/>
      <c r="J909" s="227"/>
      <c r="K909" s="227"/>
      <c r="L909" s="227"/>
      <c r="M909" s="227"/>
      <c r="N909" s="227"/>
      <c r="O909" s="227"/>
    </row>
    <row r="910" spans="4:15">
      <c r="D910" s="227"/>
      <c r="E910" s="227"/>
      <c r="F910" s="227"/>
      <c r="G910" s="227"/>
      <c r="H910" s="227"/>
      <c r="I910" s="227"/>
      <c r="J910" s="227"/>
      <c r="K910" s="227"/>
      <c r="L910" s="227"/>
      <c r="M910" s="227"/>
      <c r="N910" s="227"/>
      <c r="O910" s="227"/>
    </row>
    <row r="911" spans="4:15">
      <c r="D911" s="227"/>
      <c r="E911" s="227"/>
      <c r="F911" s="227"/>
      <c r="G911" s="227"/>
      <c r="H911" s="227"/>
      <c r="I911" s="227"/>
      <c r="J911" s="227"/>
      <c r="K911" s="227"/>
      <c r="L911" s="227"/>
      <c r="M911" s="227"/>
      <c r="N911" s="227"/>
      <c r="O911" s="227"/>
    </row>
    <row r="912" spans="4:15">
      <c r="D912" s="227"/>
      <c r="E912" s="227"/>
      <c r="F912" s="227"/>
      <c r="G912" s="227"/>
      <c r="H912" s="227"/>
      <c r="I912" s="227"/>
      <c r="J912" s="227"/>
      <c r="K912" s="227"/>
      <c r="L912" s="227"/>
      <c r="M912" s="227"/>
      <c r="N912" s="227"/>
      <c r="O912" s="227"/>
    </row>
    <row r="913" spans="4:15">
      <c r="D913" s="227"/>
      <c r="E913" s="227"/>
      <c r="F913" s="227"/>
      <c r="G913" s="227"/>
      <c r="H913" s="227"/>
      <c r="I913" s="227"/>
      <c r="J913" s="227"/>
      <c r="K913" s="227"/>
      <c r="L913" s="227"/>
      <c r="M913" s="227"/>
      <c r="N913" s="227"/>
      <c r="O913" s="227"/>
    </row>
    <row r="914" spans="4:15">
      <c r="D914" s="227"/>
      <c r="E914" s="227"/>
      <c r="F914" s="227"/>
      <c r="G914" s="227"/>
      <c r="H914" s="227"/>
      <c r="I914" s="227"/>
      <c r="J914" s="227"/>
      <c r="K914" s="227"/>
      <c r="L914" s="227"/>
      <c r="M914" s="227"/>
      <c r="N914" s="227"/>
      <c r="O914" s="227"/>
    </row>
    <row r="915" spans="4:15">
      <c r="D915" s="227"/>
      <c r="E915" s="227"/>
      <c r="F915" s="227"/>
      <c r="G915" s="227"/>
      <c r="H915" s="227"/>
      <c r="I915" s="227"/>
      <c r="J915" s="227"/>
      <c r="K915" s="227"/>
      <c r="L915" s="227"/>
      <c r="M915" s="227"/>
      <c r="N915" s="227"/>
      <c r="O915" s="227"/>
    </row>
    <row r="916" spans="4:15">
      <c r="D916" s="227"/>
      <c r="E916" s="227"/>
      <c r="F916" s="227"/>
      <c r="G916" s="227"/>
      <c r="H916" s="227"/>
      <c r="I916" s="227"/>
      <c r="J916" s="227"/>
      <c r="K916" s="227"/>
      <c r="L916" s="227"/>
      <c r="M916" s="227"/>
      <c r="N916" s="227"/>
      <c r="O916" s="227"/>
    </row>
    <row r="917" spans="4:15">
      <c r="D917" s="227"/>
      <c r="E917" s="227"/>
      <c r="F917" s="227"/>
      <c r="G917" s="227"/>
      <c r="H917" s="227"/>
      <c r="I917" s="227"/>
      <c r="J917" s="227"/>
      <c r="K917" s="227"/>
      <c r="L917" s="227"/>
      <c r="M917" s="227"/>
      <c r="N917" s="227"/>
      <c r="O917" s="227"/>
    </row>
    <row r="918" spans="4:15">
      <c r="D918" s="227"/>
      <c r="E918" s="227"/>
      <c r="F918" s="227"/>
      <c r="G918" s="227"/>
      <c r="H918" s="227"/>
      <c r="I918" s="227"/>
      <c r="J918" s="227"/>
      <c r="K918" s="227"/>
      <c r="L918" s="227"/>
      <c r="M918" s="227"/>
      <c r="N918" s="227"/>
      <c r="O918" s="227"/>
    </row>
    <row r="919" spans="4:15">
      <c r="D919" s="227"/>
      <c r="E919" s="227"/>
      <c r="F919" s="227"/>
      <c r="G919" s="227"/>
      <c r="H919" s="227"/>
      <c r="I919" s="227"/>
      <c r="J919" s="227"/>
      <c r="K919" s="227"/>
      <c r="L919" s="227"/>
      <c r="M919" s="227"/>
      <c r="N919" s="227"/>
      <c r="O919" s="227"/>
    </row>
    <row r="920" spans="4:15">
      <c r="D920" s="227"/>
      <c r="E920" s="227"/>
      <c r="F920" s="227"/>
      <c r="G920" s="227"/>
      <c r="H920" s="227"/>
      <c r="I920" s="227"/>
      <c r="J920" s="227"/>
      <c r="K920" s="227"/>
      <c r="L920" s="227"/>
      <c r="M920" s="227"/>
      <c r="N920" s="227"/>
      <c r="O920" s="227"/>
    </row>
    <row r="921" spans="4:15">
      <c r="D921" s="227"/>
      <c r="E921" s="227"/>
      <c r="F921" s="227"/>
      <c r="G921" s="227"/>
      <c r="H921" s="227"/>
      <c r="I921" s="227"/>
      <c r="J921" s="227"/>
      <c r="K921" s="227"/>
      <c r="L921" s="227"/>
      <c r="M921" s="227"/>
      <c r="N921" s="227"/>
      <c r="O921" s="227"/>
    </row>
    <row r="922" spans="4:15">
      <c r="D922" s="227"/>
      <c r="E922" s="227"/>
      <c r="F922" s="227"/>
      <c r="G922" s="227"/>
      <c r="H922" s="227"/>
      <c r="I922" s="227"/>
      <c r="J922" s="227"/>
      <c r="K922" s="227"/>
      <c r="L922" s="227"/>
      <c r="M922" s="227"/>
      <c r="N922" s="227"/>
      <c r="O922" s="227"/>
    </row>
    <row r="923" spans="4:15">
      <c r="D923" s="227"/>
      <c r="E923" s="227"/>
      <c r="F923" s="227"/>
      <c r="G923" s="227"/>
      <c r="H923" s="227"/>
      <c r="I923" s="227"/>
      <c r="J923" s="227"/>
      <c r="K923" s="227"/>
      <c r="L923" s="227"/>
      <c r="M923" s="227"/>
      <c r="N923" s="227"/>
      <c r="O923" s="227"/>
    </row>
    <row r="924" spans="4:15">
      <c r="D924" s="227"/>
      <c r="E924" s="227"/>
      <c r="F924" s="227"/>
      <c r="G924" s="227"/>
      <c r="H924" s="227"/>
      <c r="I924" s="227"/>
      <c r="J924" s="227"/>
      <c r="K924" s="227"/>
      <c r="L924" s="227"/>
      <c r="M924" s="227"/>
      <c r="N924" s="227"/>
      <c r="O924" s="227"/>
    </row>
    <row r="925" spans="4:15">
      <c r="D925" s="227"/>
      <c r="E925" s="227"/>
      <c r="F925" s="227"/>
      <c r="G925" s="227"/>
      <c r="H925" s="227"/>
      <c r="I925" s="227"/>
      <c r="J925" s="227"/>
      <c r="K925" s="227"/>
      <c r="L925" s="227"/>
      <c r="M925" s="227"/>
      <c r="N925" s="227"/>
      <c r="O925" s="227"/>
    </row>
    <row r="926" spans="4:15">
      <c r="D926" s="227"/>
      <c r="E926" s="227"/>
      <c r="F926" s="227"/>
      <c r="G926" s="227"/>
      <c r="H926" s="227"/>
      <c r="I926" s="227"/>
      <c r="J926" s="227"/>
      <c r="K926" s="227"/>
      <c r="L926" s="227"/>
      <c r="M926" s="227"/>
      <c r="N926" s="227"/>
      <c r="O926" s="227"/>
    </row>
    <row r="927" spans="4:15">
      <c r="D927" s="227"/>
      <c r="E927" s="227"/>
      <c r="F927" s="227"/>
      <c r="G927" s="227"/>
      <c r="H927" s="227"/>
      <c r="I927" s="227"/>
      <c r="J927" s="227"/>
      <c r="K927" s="227"/>
      <c r="L927" s="227"/>
      <c r="M927" s="227"/>
      <c r="N927" s="227"/>
      <c r="O927" s="227"/>
    </row>
    <row r="928" spans="4:15">
      <c r="D928" s="227"/>
      <c r="E928" s="227"/>
      <c r="F928" s="227"/>
      <c r="G928" s="227"/>
      <c r="H928" s="227"/>
      <c r="I928" s="227"/>
      <c r="J928" s="227"/>
      <c r="K928" s="227"/>
      <c r="L928" s="227"/>
      <c r="M928" s="227"/>
      <c r="N928" s="227"/>
      <c r="O928" s="227"/>
    </row>
    <row r="929" spans="4:15">
      <c r="D929" s="227"/>
      <c r="E929" s="227"/>
      <c r="F929" s="227"/>
      <c r="G929" s="227"/>
      <c r="H929" s="227"/>
      <c r="I929" s="227"/>
      <c r="J929" s="227"/>
      <c r="K929" s="227"/>
      <c r="L929" s="227"/>
      <c r="M929" s="227"/>
      <c r="N929" s="227"/>
      <c r="O929" s="227"/>
    </row>
    <row r="930" spans="4:15">
      <c r="D930" s="227"/>
      <c r="E930" s="227"/>
      <c r="F930" s="227"/>
      <c r="G930" s="227"/>
      <c r="H930" s="227"/>
      <c r="I930" s="227"/>
      <c r="J930" s="227"/>
      <c r="K930" s="227"/>
      <c r="L930" s="227"/>
      <c r="M930" s="227"/>
      <c r="N930" s="227"/>
      <c r="O930" s="227"/>
    </row>
    <row r="931" spans="4:15">
      <c r="D931" s="227"/>
      <c r="E931" s="227"/>
      <c r="F931" s="227"/>
      <c r="G931" s="227"/>
      <c r="H931" s="227"/>
      <c r="I931" s="227"/>
      <c r="J931" s="227"/>
      <c r="K931" s="227"/>
      <c r="L931" s="227"/>
      <c r="M931" s="227"/>
      <c r="N931" s="227"/>
      <c r="O931" s="227"/>
    </row>
    <row r="932" spans="4:15">
      <c r="D932" s="227"/>
      <c r="E932" s="227"/>
      <c r="F932" s="227"/>
      <c r="G932" s="227"/>
      <c r="H932" s="227"/>
      <c r="I932" s="227"/>
      <c r="J932" s="227"/>
      <c r="K932" s="227"/>
      <c r="L932" s="227"/>
      <c r="M932" s="227"/>
      <c r="N932" s="227"/>
      <c r="O932" s="227"/>
    </row>
    <row r="933" spans="4:15">
      <c r="D933" s="227"/>
      <c r="E933" s="227"/>
      <c r="F933" s="227"/>
      <c r="G933" s="227"/>
      <c r="H933" s="227"/>
      <c r="I933" s="227"/>
      <c r="J933" s="227"/>
      <c r="K933" s="227"/>
      <c r="L933" s="227"/>
      <c r="M933" s="227"/>
      <c r="N933" s="227"/>
      <c r="O933" s="227"/>
    </row>
    <row r="934" spans="4:15">
      <c r="D934" s="227"/>
      <c r="E934" s="227"/>
      <c r="F934" s="227"/>
      <c r="G934" s="227"/>
      <c r="H934" s="227"/>
      <c r="I934" s="227"/>
      <c r="J934" s="227"/>
      <c r="K934" s="227"/>
      <c r="L934" s="227"/>
      <c r="M934" s="227"/>
      <c r="N934" s="227"/>
      <c r="O934" s="227"/>
    </row>
    <row r="935" spans="4:15">
      <c r="D935" s="227"/>
      <c r="E935" s="227"/>
      <c r="F935" s="227"/>
      <c r="G935" s="227"/>
      <c r="H935" s="227"/>
      <c r="I935" s="227"/>
      <c r="J935" s="227"/>
      <c r="K935" s="227"/>
      <c r="L935" s="227"/>
      <c r="M935" s="227"/>
      <c r="N935" s="227"/>
      <c r="O935" s="227"/>
    </row>
    <row r="936" spans="4:15">
      <c r="D936" s="227"/>
      <c r="E936" s="227"/>
      <c r="F936" s="227"/>
      <c r="G936" s="227"/>
      <c r="H936" s="227"/>
      <c r="I936" s="227"/>
      <c r="J936" s="227"/>
      <c r="K936" s="227"/>
      <c r="L936" s="227"/>
      <c r="M936" s="227"/>
      <c r="N936" s="227"/>
      <c r="O936" s="227"/>
    </row>
    <row r="937" spans="4:15">
      <c r="D937" s="227"/>
      <c r="E937" s="227"/>
      <c r="F937" s="227"/>
      <c r="G937" s="227"/>
      <c r="H937" s="227"/>
      <c r="I937" s="227"/>
      <c r="J937" s="227"/>
      <c r="K937" s="227"/>
      <c r="L937" s="227"/>
      <c r="M937" s="227"/>
      <c r="N937" s="227"/>
      <c r="O937" s="227"/>
    </row>
    <row r="938" spans="4:15">
      <c r="D938" s="227"/>
      <c r="E938" s="227"/>
      <c r="F938" s="227"/>
      <c r="G938" s="227"/>
      <c r="H938" s="227"/>
      <c r="I938" s="227"/>
      <c r="J938" s="227"/>
      <c r="K938" s="227"/>
      <c r="L938" s="227"/>
      <c r="M938" s="227"/>
      <c r="N938" s="227"/>
      <c r="O938" s="227"/>
    </row>
    <row r="939" spans="4:15">
      <c r="D939" s="227"/>
      <c r="E939" s="227"/>
      <c r="F939" s="227"/>
      <c r="G939" s="227"/>
      <c r="H939" s="227"/>
      <c r="I939" s="227"/>
      <c r="J939" s="227"/>
      <c r="K939" s="227"/>
      <c r="L939" s="227"/>
      <c r="M939" s="227"/>
      <c r="N939" s="227"/>
      <c r="O939" s="227"/>
    </row>
    <row r="940" spans="4:15">
      <c r="D940" s="227"/>
      <c r="E940" s="227"/>
      <c r="F940" s="227"/>
      <c r="G940" s="227"/>
      <c r="H940" s="227"/>
      <c r="I940" s="227"/>
      <c r="J940" s="227"/>
      <c r="K940" s="227"/>
      <c r="L940" s="227"/>
      <c r="M940" s="227"/>
      <c r="N940" s="227"/>
      <c r="O940" s="227"/>
    </row>
    <row r="941" spans="4:15">
      <c r="D941" s="227"/>
      <c r="E941" s="227"/>
      <c r="F941" s="227"/>
      <c r="G941" s="227"/>
      <c r="H941" s="227"/>
      <c r="I941" s="227"/>
      <c r="J941" s="227"/>
      <c r="K941" s="227"/>
      <c r="L941" s="227"/>
      <c r="M941" s="227"/>
      <c r="N941" s="227"/>
      <c r="O941" s="227"/>
    </row>
    <row r="942" spans="4:15">
      <c r="D942" s="227"/>
      <c r="E942" s="227"/>
      <c r="F942" s="227"/>
      <c r="G942" s="227"/>
      <c r="H942" s="227"/>
      <c r="I942" s="227"/>
      <c r="J942" s="227"/>
      <c r="K942" s="227"/>
      <c r="L942" s="227"/>
      <c r="M942" s="227"/>
      <c r="N942" s="227"/>
      <c r="O942" s="227"/>
    </row>
    <row r="943" spans="4:15">
      <c r="D943" s="227"/>
      <c r="E943" s="227"/>
      <c r="F943" s="227"/>
      <c r="G943" s="227"/>
      <c r="H943" s="227"/>
      <c r="I943" s="227"/>
      <c r="J943" s="227"/>
      <c r="K943" s="227"/>
      <c r="L943" s="227"/>
      <c r="M943" s="227"/>
      <c r="N943" s="227"/>
      <c r="O943" s="227"/>
    </row>
    <row r="944" spans="4:15">
      <c r="D944" s="227"/>
      <c r="E944" s="227"/>
      <c r="F944" s="227"/>
      <c r="G944" s="227"/>
      <c r="H944" s="227"/>
      <c r="I944" s="227"/>
      <c r="J944" s="227"/>
      <c r="K944" s="227"/>
      <c r="L944" s="227"/>
      <c r="M944" s="227"/>
      <c r="N944" s="227"/>
      <c r="O944" s="227"/>
    </row>
    <row r="945" spans="4:15">
      <c r="D945" s="227"/>
      <c r="E945" s="227"/>
      <c r="F945" s="227"/>
      <c r="G945" s="227"/>
      <c r="H945" s="227"/>
      <c r="I945" s="227"/>
      <c r="J945" s="227"/>
      <c r="K945" s="227"/>
      <c r="L945" s="227"/>
      <c r="M945" s="227"/>
      <c r="N945" s="227"/>
      <c r="O945" s="227"/>
    </row>
    <row r="946" spans="4:15">
      <c r="D946" s="227"/>
      <c r="E946" s="227"/>
      <c r="F946" s="227"/>
      <c r="G946" s="227"/>
      <c r="H946" s="227"/>
      <c r="I946" s="227"/>
      <c r="J946" s="227"/>
      <c r="K946" s="227"/>
      <c r="L946" s="227"/>
      <c r="M946" s="227"/>
      <c r="N946" s="227"/>
      <c r="O946" s="227"/>
    </row>
    <row r="947" spans="4:15">
      <c r="D947" s="227"/>
      <c r="E947" s="227"/>
      <c r="F947" s="227"/>
      <c r="G947" s="227"/>
      <c r="H947" s="227"/>
      <c r="I947" s="227"/>
      <c r="J947" s="227"/>
      <c r="K947" s="227"/>
      <c r="L947" s="227"/>
      <c r="M947" s="227"/>
      <c r="N947" s="227"/>
      <c r="O947" s="227"/>
    </row>
    <row r="948" spans="4:15">
      <c r="D948" s="227"/>
      <c r="E948" s="227"/>
      <c r="F948" s="227"/>
      <c r="G948" s="227"/>
      <c r="H948" s="227"/>
      <c r="I948" s="227"/>
      <c r="J948" s="227"/>
      <c r="K948" s="227"/>
      <c r="L948" s="227"/>
      <c r="M948" s="227"/>
      <c r="N948" s="227"/>
      <c r="O948" s="227"/>
    </row>
    <row r="949" spans="4:15">
      <c r="D949" s="227"/>
      <c r="E949" s="227"/>
      <c r="F949" s="227"/>
      <c r="G949" s="227"/>
      <c r="H949" s="227"/>
      <c r="I949" s="227"/>
      <c r="J949" s="227"/>
      <c r="K949" s="227"/>
      <c r="L949" s="227"/>
      <c r="M949" s="227"/>
      <c r="N949" s="227"/>
      <c r="O949" s="227"/>
    </row>
    <row r="950" spans="4:15">
      <c r="D950" s="227"/>
      <c r="E950" s="227"/>
      <c r="F950" s="227"/>
      <c r="G950" s="227"/>
      <c r="H950" s="227"/>
      <c r="I950" s="227"/>
      <c r="J950" s="227"/>
      <c r="K950" s="227"/>
      <c r="L950" s="227"/>
      <c r="M950" s="227"/>
      <c r="N950" s="227"/>
      <c r="O950" s="227"/>
    </row>
    <row r="951" spans="4:15">
      <c r="D951" s="227"/>
      <c r="E951" s="227"/>
      <c r="F951" s="227"/>
      <c r="G951" s="227"/>
      <c r="H951" s="227"/>
      <c r="I951" s="227"/>
      <c r="J951" s="227"/>
      <c r="K951" s="227"/>
      <c r="L951" s="227"/>
      <c r="M951" s="227"/>
      <c r="N951" s="227"/>
      <c r="O951" s="227"/>
    </row>
    <row r="952" spans="4:15">
      <c r="D952" s="227"/>
      <c r="E952" s="227"/>
      <c r="F952" s="227"/>
      <c r="G952" s="227"/>
      <c r="H952" s="227"/>
      <c r="I952" s="227"/>
      <c r="J952" s="227"/>
      <c r="K952" s="227"/>
      <c r="L952" s="227"/>
      <c r="M952" s="227"/>
      <c r="N952" s="227"/>
      <c r="O952" s="227"/>
    </row>
    <row r="953" spans="4:15">
      <c r="D953" s="227"/>
      <c r="E953" s="227"/>
      <c r="F953" s="227"/>
      <c r="G953" s="227"/>
      <c r="H953" s="227"/>
      <c r="I953" s="227"/>
      <c r="J953" s="227"/>
      <c r="K953" s="227"/>
      <c r="L953" s="227"/>
      <c r="M953" s="227"/>
      <c r="N953" s="227"/>
      <c r="O953" s="227"/>
    </row>
    <row r="954" spans="4:15">
      <c r="D954" s="227"/>
      <c r="E954" s="227"/>
      <c r="F954" s="227"/>
      <c r="G954" s="227"/>
      <c r="H954" s="227"/>
      <c r="I954" s="227"/>
      <c r="J954" s="227"/>
      <c r="K954" s="227"/>
      <c r="L954" s="227"/>
      <c r="M954" s="227"/>
      <c r="N954" s="227"/>
      <c r="O954" s="227"/>
    </row>
    <row r="955" spans="4:15">
      <c r="D955" s="227"/>
      <c r="E955" s="227"/>
      <c r="F955" s="227"/>
      <c r="G955" s="227"/>
      <c r="H955" s="227"/>
      <c r="I955" s="227"/>
      <c r="J955" s="227"/>
      <c r="K955" s="227"/>
      <c r="L955" s="227"/>
      <c r="M955" s="227"/>
      <c r="N955" s="227"/>
      <c r="O955" s="227"/>
    </row>
    <row r="956" spans="4:15">
      <c r="D956" s="227"/>
      <c r="E956" s="227"/>
      <c r="F956" s="227"/>
      <c r="G956" s="227"/>
      <c r="H956" s="227"/>
      <c r="I956" s="227"/>
      <c r="J956" s="227"/>
      <c r="K956" s="227"/>
      <c r="L956" s="227"/>
      <c r="M956" s="227"/>
      <c r="N956" s="227"/>
      <c r="O956" s="227"/>
    </row>
    <row r="957" spans="4:15">
      <c r="D957" s="227"/>
      <c r="E957" s="227"/>
      <c r="F957" s="227"/>
      <c r="G957" s="227"/>
      <c r="H957" s="227"/>
      <c r="I957" s="227"/>
      <c r="J957" s="227"/>
      <c r="K957" s="227"/>
      <c r="L957" s="227"/>
      <c r="M957" s="227"/>
      <c r="N957" s="227"/>
      <c r="O957" s="227"/>
    </row>
    <row r="958" spans="4:15">
      <c r="D958" s="227"/>
      <c r="E958" s="227"/>
      <c r="F958" s="227"/>
      <c r="G958" s="227"/>
      <c r="H958" s="227"/>
      <c r="I958" s="227"/>
      <c r="J958" s="227"/>
      <c r="K958" s="227"/>
      <c r="L958" s="227"/>
      <c r="M958" s="227"/>
      <c r="N958" s="227"/>
      <c r="O958" s="227"/>
    </row>
    <row r="959" spans="4:15">
      <c r="D959" s="227"/>
      <c r="E959" s="227"/>
      <c r="F959" s="227"/>
      <c r="G959" s="227"/>
      <c r="H959" s="227"/>
      <c r="I959" s="227"/>
      <c r="J959" s="227"/>
      <c r="K959" s="227"/>
      <c r="L959" s="227"/>
      <c r="M959" s="227"/>
      <c r="N959" s="227"/>
      <c r="O959" s="227"/>
    </row>
    <row r="960" spans="4:15">
      <c r="D960" s="227"/>
      <c r="E960" s="227"/>
      <c r="F960" s="227"/>
      <c r="G960" s="227"/>
      <c r="H960" s="227"/>
      <c r="I960" s="227"/>
      <c r="J960" s="227"/>
      <c r="K960" s="227"/>
      <c r="L960" s="227"/>
      <c r="M960" s="227"/>
      <c r="N960" s="227"/>
      <c r="O960" s="227"/>
    </row>
    <row r="961" spans="4:15">
      <c r="D961" s="227"/>
      <c r="E961" s="227"/>
      <c r="F961" s="227"/>
      <c r="G961" s="227"/>
      <c r="H961" s="227"/>
      <c r="I961" s="227"/>
      <c r="J961" s="227"/>
      <c r="K961" s="227"/>
      <c r="L961" s="227"/>
      <c r="M961" s="227"/>
      <c r="N961" s="227"/>
      <c r="O961" s="227"/>
    </row>
    <row r="962" spans="4:15">
      <c r="D962" s="227"/>
      <c r="E962" s="227"/>
      <c r="F962" s="227"/>
      <c r="G962" s="227"/>
      <c r="H962" s="227"/>
      <c r="I962" s="227"/>
      <c r="J962" s="227"/>
      <c r="K962" s="227"/>
      <c r="L962" s="227"/>
      <c r="M962" s="227"/>
      <c r="N962" s="227"/>
      <c r="O962" s="227"/>
    </row>
    <row r="963" spans="4:15">
      <c r="D963" s="227"/>
      <c r="E963" s="227"/>
      <c r="F963" s="227"/>
      <c r="G963" s="227"/>
      <c r="H963" s="227"/>
      <c r="I963" s="227"/>
      <c r="J963" s="227"/>
      <c r="K963" s="227"/>
      <c r="L963" s="227"/>
      <c r="M963" s="227"/>
      <c r="N963" s="227"/>
      <c r="O963" s="227"/>
    </row>
    <row r="964" spans="4:15">
      <c r="D964" s="227"/>
      <c r="E964" s="227"/>
      <c r="F964" s="227"/>
      <c r="G964" s="227"/>
      <c r="H964" s="227"/>
      <c r="I964" s="227"/>
      <c r="J964" s="227"/>
      <c r="K964" s="227"/>
      <c r="L964" s="227"/>
      <c r="M964" s="227"/>
      <c r="N964" s="227"/>
      <c r="O964" s="227"/>
    </row>
    <row r="965" spans="4:15">
      <c r="D965" s="227"/>
      <c r="E965" s="227"/>
      <c r="F965" s="227"/>
      <c r="G965" s="227"/>
      <c r="H965" s="227"/>
      <c r="I965" s="227"/>
      <c r="J965" s="227"/>
      <c r="K965" s="227"/>
      <c r="L965" s="227"/>
      <c r="M965" s="227"/>
      <c r="N965" s="227"/>
      <c r="O965" s="227"/>
    </row>
    <row r="966" spans="4:15">
      <c r="D966" s="227"/>
      <c r="E966" s="227"/>
      <c r="F966" s="227"/>
      <c r="G966" s="227"/>
      <c r="H966" s="227"/>
      <c r="I966" s="227"/>
      <c r="J966" s="227"/>
      <c r="K966" s="227"/>
      <c r="L966" s="227"/>
      <c r="M966" s="227"/>
      <c r="N966" s="227"/>
      <c r="O966" s="227"/>
    </row>
    <row r="967" spans="4:15">
      <c r="D967" s="227"/>
      <c r="E967" s="227"/>
      <c r="F967" s="227"/>
      <c r="G967" s="227"/>
      <c r="H967" s="227"/>
      <c r="I967" s="227"/>
      <c r="J967" s="227"/>
      <c r="K967" s="227"/>
      <c r="L967" s="227"/>
      <c r="M967" s="227"/>
      <c r="N967" s="227"/>
      <c r="O967" s="227"/>
    </row>
    <row r="968" spans="4:15">
      <c r="D968" s="227"/>
      <c r="E968" s="227"/>
      <c r="F968" s="227"/>
      <c r="G968" s="227"/>
      <c r="H968" s="227"/>
      <c r="I968" s="227"/>
      <c r="J968" s="227"/>
      <c r="K968" s="227"/>
      <c r="L968" s="227"/>
      <c r="M968" s="227"/>
      <c r="N968" s="227"/>
      <c r="O968" s="227"/>
    </row>
    <row r="969" spans="4:15">
      <c r="D969" s="227"/>
      <c r="E969" s="227"/>
      <c r="F969" s="227"/>
      <c r="G969" s="227"/>
      <c r="H969" s="227"/>
      <c r="I969" s="227"/>
      <c r="J969" s="227"/>
      <c r="K969" s="227"/>
      <c r="L969" s="227"/>
      <c r="M969" s="227"/>
      <c r="N969" s="227"/>
      <c r="O969" s="227"/>
    </row>
    <row r="970" spans="4:15">
      <c r="D970" s="227"/>
      <c r="E970" s="227"/>
      <c r="F970" s="227"/>
      <c r="G970" s="227"/>
      <c r="H970" s="227"/>
      <c r="I970" s="227"/>
      <c r="J970" s="227"/>
      <c r="K970" s="227"/>
      <c r="L970" s="227"/>
      <c r="M970" s="227"/>
      <c r="N970" s="227"/>
      <c r="O970" s="227"/>
    </row>
    <row r="971" spans="4:15">
      <c r="D971" s="227"/>
      <c r="E971" s="227"/>
      <c r="F971" s="227"/>
      <c r="G971" s="227"/>
      <c r="H971" s="227"/>
      <c r="I971" s="227"/>
      <c r="J971" s="227"/>
      <c r="K971" s="227"/>
      <c r="L971" s="227"/>
      <c r="M971" s="227"/>
      <c r="N971" s="227"/>
      <c r="O971" s="227"/>
    </row>
    <row r="972" spans="4:15">
      <c r="D972" s="227"/>
      <c r="E972" s="227"/>
      <c r="F972" s="227"/>
      <c r="G972" s="227"/>
      <c r="H972" s="227"/>
      <c r="I972" s="227"/>
      <c r="J972" s="227"/>
      <c r="K972" s="227"/>
      <c r="L972" s="227"/>
      <c r="M972" s="227"/>
      <c r="N972" s="227"/>
      <c r="O972" s="227"/>
    </row>
    <row r="973" spans="4:15">
      <c r="D973" s="227"/>
      <c r="E973" s="227"/>
      <c r="F973" s="227"/>
      <c r="G973" s="227"/>
      <c r="H973" s="227"/>
      <c r="I973" s="227"/>
      <c r="J973" s="227"/>
      <c r="K973" s="227"/>
      <c r="L973" s="227"/>
      <c r="M973" s="227"/>
      <c r="N973" s="227"/>
      <c r="O973" s="227"/>
    </row>
    <row r="974" spans="4:15">
      <c r="D974" s="227"/>
      <c r="E974" s="227"/>
      <c r="F974" s="227"/>
      <c r="G974" s="227"/>
      <c r="H974" s="227"/>
      <c r="I974" s="227"/>
      <c r="J974" s="227"/>
      <c r="K974" s="227"/>
      <c r="L974" s="227"/>
      <c r="M974" s="227"/>
      <c r="N974" s="227"/>
      <c r="O974" s="227"/>
    </row>
    <row r="975" spans="4:15">
      <c r="D975" s="227"/>
      <c r="E975" s="227"/>
      <c r="F975" s="227"/>
      <c r="G975" s="227"/>
      <c r="H975" s="227"/>
      <c r="I975" s="227"/>
      <c r="J975" s="227"/>
      <c r="K975" s="227"/>
      <c r="L975" s="227"/>
      <c r="M975" s="227"/>
      <c r="N975" s="227"/>
      <c r="O975" s="227"/>
    </row>
    <row r="976" spans="4:15">
      <c r="D976" s="227"/>
      <c r="E976" s="227"/>
      <c r="F976" s="227"/>
      <c r="G976" s="227"/>
      <c r="H976" s="227"/>
      <c r="I976" s="227"/>
      <c r="J976" s="227"/>
      <c r="K976" s="227"/>
      <c r="L976" s="227"/>
      <c r="M976" s="227"/>
      <c r="N976" s="227"/>
      <c r="O976" s="227"/>
    </row>
    <row r="977" spans="4:15">
      <c r="D977" s="227"/>
      <c r="E977" s="227"/>
      <c r="F977" s="227"/>
      <c r="G977" s="227"/>
      <c r="H977" s="227"/>
      <c r="I977" s="227"/>
      <c r="J977" s="227"/>
      <c r="K977" s="227"/>
      <c r="L977" s="227"/>
      <c r="M977" s="227"/>
      <c r="N977" s="227"/>
      <c r="O977" s="227"/>
    </row>
    <row r="978" spans="4:15">
      <c r="D978" s="227"/>
      <c r="E978" s="227"/>
      <c r="F978" s="227"/>
      <c r="G978" s="227"/>
      <c r="H978" s="227"/>
      <c r="I978" s="227"/>
      <c r="J978" s="227"/>
      <c r="K978" s="227"/>
      <c r="L978" s="227"/>
      <c r="M978" s="227"/>
      <c r="N978" s="227"/>
      <c r="O978" s="227"/>
    </row>
    <row r="979" spans="4:15">
      <c r="D979" s="227"/>
      <c r="E979" s="227"/>
      <c r="F979" s="227"/>
      <c r="G979" s="227"/>
      <c r="H979" s="227"/>
      <c r="I979" s="227"/>
      <c r="J979" s="227"/>
      <c r="K979" s="227"/>
      <c r="L979" s="227"/>
      <c r="M979" s="227"/>
      <c r="N979" s="227"/>
      <c r="O979" s="227"/>
    </row>
    <row r="980" spans="4:15">
      <c r="D980" s="227"/>
      <c r="E980" s="227"/>
      <c r="F980" s="227"/>
      <c r="G980" s="227"/>
      <c r="H980" s="227"/>
      <c r="I980" s="227"/>
      <c r="J980" s="227"/>
      <c r="K980" s="227"/>
      <c r="L980" s="227"/>
      <c r="M980" s="227"/>
      <c r="N980" s="227"/>
      <c r="O980" s="227"/>
    </row>
    <row r="981" spans="4:15">
      <c r="D981" s="227"/>
      <c r="E981" s="227"/>
      <c r="F981" s="227"/>
      <c r="G981" s="227"/>
      <c r="H981" s="227"/>
      <c r="I981" s="227"/>
      <c r="J981" s="227"/>
      <c r="K981" s="227"/>
      <c r="L981" s="227"/>
      <c r="M981" s="227"/>
      <c r="N981" s="227"/>
      <c r="O981" s="227"/>
    </row>
    <row r="982" spans="4:15">
      <c r="D982" s="227"/>
      <c r="E982" s="227"/>
      <c r="F982" s="227"/>
      <c r="G982" s="227"/>
      <c r="H982" s="227"/>
      <c r="I982" s="227"/>
      <c r="J982" s="227"/>
      <c r="K982" s="227"/>
      <c r="L982" s="227"/>
      <c r="M982" s="227"/>
      <c r="N982" s="227"/>
      <c r="O982" s="227"/>
    </row>
    <row r="983" spans="4:15">
      <c r="D983" s="227"/>
      <c r="E983" s="227"/>
      <c r="F983" s="227"/>
      <c r="G983" s="227"/>
      <c r="H983" s="227"/>
      <c r="I983" s="227"/>
      <c r="J983" s="227"/>
      <c r="K983" s="227"/>
      <c r="L983" s="227"/>
      <c r="M983" s="227"/>
      <c r="N983" s="227"/>
      <c r="O983" s="227"/>
    </row>
    <row r="984" spans="4:15">
      <c r="D984" s="227"/>
      <c r="E984" s="227"/>
      <c r="F984" s="227"/>
      <c r="G984" s="227"/>
      <c r="H984" s="227"/>
      <c r="I984" s="227"/>
      <c r="J984" s="227"/>
      <c r="K984" s="227"/>
      <c r="L984" s="227"/>
      <c r="M984" s="227"/>
      <c r="N984" s="227"/>
      <c r="O984" s="227"/>
    </row>
    <row r="985" spans="4:15">
      <c r="D985" s="227"/>
      <c r="E985" s="227"/>
      <c r="F985" s="227"/>
      <c r="G985" s="227"/>
      <c r="H985" s="227"/>
      <c r="I985" s="227"/>
      <c r="J985" s="227"/>
      <c r="K985" s="227"/>
      <c r="L985" s="227"/>
      <c r="M985" s="227"/>
      <c r="N985" s="227"/>
      <c r="O985" s="227"/>
    </row>
    <row r="986" spans="4:15">
      <c r="D986" s="227"/>
      <c r="E986" s="227"/>
      <c r="F986" s="227"/>
      <c r="G986" s="227"/>
      <c r="H986" s="227"/>
      <c r="I986" s="227"/>
      <c r="J986" s="227"/>
      <c r="K986" s="227"/>
      <c r="L986" s="227"/>
      <c r="M986" s="227"/>
      <c r="N986" s="227"/>
      <c r="O986" s="227"/>
    </row>
    <row r="987" spans="4:15">
      <c r="D987" s="227"/>
      <c r="E987" s="227"/>
      <c r="F987" s="227"/>
      <c r="G987" s="227"/>
      <c r="H987" s="227"/>
      <c r="I987" s="227"/>
      <c r="J987" s="227"/>
      <c r="K987" s="227"/>
      <c r="L987" s="227"/>
      <c r="M987" s="227"/>
      <c r="N987" s="227"/>
      <c r="O987" s="227"/>
    </row>
    <row r="988" spans="4:15">
      <c r="D988" s="227"/>
      <c r="E988" s="227"/>
      <c r="F988" s="227"/>
      <c r="G988" s="227"/>
      <c r="H988" s="227"/>
      <c r="I988" s="227"/>
      <c r="J988" s="227"/>
      <c r="K988" s="227"/>
      <c r="L988" s="227"/>
      <c r="M988" s="227"/>
      <c r="N988" s="227"/>
      <c r="O988" s="227"/>
    </row>
    <row r="989" spans="4:15">
      <c r="D989" s="227"/>
      <c r="E989" s="227"/>
      <c r="F989" s="227"/>
      <c r="G989" s="227"/>
      <c r="H989" s="227"/>
      <c r="I989" s="227"/>
      <c r="J989" s="227"/>
      <c r="K989" s="227"/>
      <c r="L989" s="227"/>
      <c r="M989" s="227"/>
      <c r="N989" s="227"/>
      <c r="O989" s="227"/>
    </row>
    <row r="990" spans="4:15">
      <c r="D990" s="227"/>
      <c r="E990" s="227"/>
      <c r="F990" s="227"/>
      <c r="G990" s="227"/>
      <c r="H990" s="227"/>
      <c r="I990" s="227"/>
      <c r="J990" s="227"/>
      <c r="K990" s="227"/>
      <c r="L990" s="227"/>
      <c r="M990" s="227"/>
      <c r="N990" s="227"/>
      <c r="O990" s="22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G991"/>
  <sheetViews>
    <sheetView workbookViewId="0">
      <pane ySplit="1" topLeftCell="A644" activePane="bottomLeft" state="frozen"/>
      <selection pane="bottomLeft" activeCell="I657" sqref="I657"/>
    </sheetView>
  </sheetViews>
  <sheetFormatPr defaultColWidth="11.125" defaultRowHeight="15" customHeight="1"/>
  <cols>
    <col min="3" max="3" width="14.125" customWidth="1"/>
  </cols>
  <sheetData>
    <row r="1" spans="1:33" ht="15.75">
      <c r="A1" s="249" t="s">
        <v>0</v>
      </c>
      <c r="B1" s="249" t="s">
        <v>808</v>
      </c>
      <c r="C1" s="249" t="s">
        <v>628</v>
      </c>
      <c r="D1" s="249" t="s">
        <v>809</v>
      </c>
      <c r="E1" s="249" t="s">
        <v>810</v>
      </c>
      <c r="F1" s="249" t="s">
        <v>811</v>
      </c>
      <c r="G1" s="249" t="s">
        <v>812</v>
      </c>
      <c r="H1" s="249" t="s">
        <v>813</v>
      </c>
      <c r="I1" s="249" t="s">
        <v>814</v>
      </c>
      <c r="J1" s="249" t="s">
        <v>815</v>
      </c>
      <c r="K1" s="249" t="s">
        <v>816</v>
      </c>
      <c r="L1" s="249" t="s">
        <v>817</v>
      </c>
      <c r="M1" s="249" t="s">
        <v>818</v>
      </c>
      <c r="N1" s="249" t="s">
        <v>819</v>
      </c>
      <c r="O1" s="249" t="s">
        <v>820</v>
      </c>
      <c r="P1" s="249" t="s">
        <v>821</v>
      </c>
      <c r="Q1" s="249" t="s">
        <v>822</v>
      </c>
      <c r="R1" s="249" t="s">
        <v>823</v>
      </c>
      <c r="S1" s="249" t="s">
        <v>14</v>
      </c>
      <c r="T1" s="249" t="s">
        <v>824</v>
      </c>
      <c r="U1" s="249" t="s">
        <v>825</v>
      </c>
      <c r="V1" s="249" t="s">
        <v>826</v>
      </c>
      <c r="W1" s="249" t="s">
        <v>827</v>
      </c>
      <c r="X1" s="249" t="s">
        <v>828</v>
      </c>
      <c r="Y1" s="249" t="s">
        <v>829</v>
      </c>
      <c r="Z1" s="249" t="s">
        <v>830</v>
      </c>
      <c r="AA1" s="249" t="s">
        <v>831</v>
      </c>
      <c r="AB1" s="249" t="s">
        <v>832</v>
      </c>
      <c r="AC1" s="249" t="s">
        <v>833</v>
      </c>
      <c r="AD1" s="249" t="s">
        <v>834</v>
      </c>
      <c r="AE1" s="250"/>
      <c r="AF1" s="250"/>
      <c r="AG1" s="240"/>
    </row>
    <row r="2" spans="1:33" ht="15.75">
      <c r="A2" s="250" t="s">
        <v>835</v>
      </c>
      <c r="B2" s="250" t="s">
        <v>836</v>
      </c>
      <c r="C2" s="250" t="s">
        <v>837</v>
      </c>
      <c r="D2" s="250" t="s">
        <v>838</v>
      </c>
      <c r="E2" s="250">
        <v>1</v>
      </c>
      <c r="F2" s="251">
        <v>45077.401747685188</v>
      </c>
      <c r="G2" s="250">
        <v>1</v>
      </c>
      <c r="H2" s="250">
        <v>51.3675</v>
      </c>
      <c r="I2" s="250">
        <v>15.2318</v>
      </c>
      <c r="J2" s="250">
        <v>-1.6012919999999999</v>
      </c>
      <c r="K2" s="250">
        <v>-0.77864699999999998</v>
      </c>
      <c r="L2" s="250">
        <v>947.71799999999996</v>
      </c>
      <c r="M2" s="250">
        <v>91.998441</v>
      </c>
      <c r="N2" s="250">
        <v>12338.419</v>
      </c>
      <c r="O2" s="250">
        <v>12338.419</v>
      </c>
      <c r="P2" s="250">
        <v>1985.0898400000001</v>
      </c>
      <c r="Q2" s="250" t="s">
        <v>18</v>
      </c>
      <c r="R2" s="250" t="s">
        <v>839</v>
      </c>
      <c r="S2" s="250" t="s">
        <v>21</v>
      </c>
      <c r="T2" s="250">
        <v>15</v>
      </c>
      <c r="U2" s="250">
        <v>5</v>
      </c>
      <c r="V2" s="250">
        <v>0.7</v>
      </c>
      <c r="W2" s="250">
        <v>0.7</v>
      </c>
      <c r="X2" s="250">
        <v>0.7</v>
      </c>
      <c r="Y2" s="250">
        <v>1700</v>
      </c>
      <c r="Z2" s="250" t="s">
        <v>840</v>
      </c>
      <c r="AA2" s="250">
        <v>0.85</v>
      </c>
      <c r="AB2" s="250" t="s">
        <v>841</v>
      </c>
      <c r="AC2" s="250" t="s">
        <v>842</v>
      </c>
      <c r="AD2" s="250">
        <v>220</v>
      </c>
      <c r="AE2" s="250"/>
      <c r="AF2" s="250"/>
      <c r="AG2" s="241"/>
    </row>
    <row r="3" spans="1:33" ht="15.75">
      <c r="A3" s="250" t="s">
        <v>843</v>
      </c>
      <c r="B3" s="250" t="s">
        <v>836</v>
      </c>
      <c r="C3" s="250" t="s">
        <v>837</v>
      </c>
      <c r="D3" s="250" t="s">
        <v>838</v>
      </c>
      <c r="E3" s="250">
        <v>1</v>
      </c>
      <c r="F3" s="251">
        <v>45077.404699074075</v>
      </c>
      <c r="G3" s="250">
        <v>1</v>
      </c>
      <c r="H3" s="250">
        <v>51.370800000000003</v>
      </c>
      <c r="I3" s="250">
        <v>10.7782</v>
      </c>
      <c r="J3" s="250">
        <v>-2.318683</v>
      </c>
      <c r="K3" s="250">
        <v>-1.4912559999999999</v>
      </c>
      <c r="L3" s="250">
        <v>933.24900000000002</v>
      </c>
      <c r="M3" s="250">
        <v>114.50003</v>
      </c>
      <c r="N3" s="250">
        <v>12218.8521</v>
      </c>
      <c r="O3" s="250">
        <v>12218.8521</v>
      </c>
      <c r="P3" s="250">
        <v>1965.9022600000001</v>
      </c>
      <c r="Q3" s="250" t="s">
        <v>18</v>
      </c>
      <c r="R3" s="250" t="s">
        <v>839</v>
      </c>
      <c r="S3" s="250" t="s">
        <v>21</v>
      </c>
      <c r="T3" s="250">
        <v>15</v>
      </c>
      <c r="U3" s="250">
        <v>5</v>
      </c>
      <c r="V3" s="250">
        <v>0.7</v>
      </c>
      <c r="W3" s="250">
        <v>0.7</v>
      </c>
      <c r="X3" s="250">
        <v>0.7</v>
      </c>
      <c r="Y3" s="250">
        <v>1700</v>
      </c>
      <c r="Z3" s="250" t="s">
        <v>840</v>
      </c>
      <c r="AA3" s="250">
        <v>0.85</v>
      </c>
      <c r="AB3" s="250" t="s">
        <v>841</v>
      </c>
      <c r="AC3" s="250" t="s">
        <v>842</v>
      </c>
      <c r="AD3" s="250">
        <v>220</v>
      </c>
      <c r="AE3" s="250"/>
      <c r="AF3" s="250"/>
      <c r="AG3" s="241"/>
    </row>
    <row r="4" spans="1:33" ht="15.75">
      <c r="A4" s="250" t="s">
        <v>844</v>
      </c>
      <c r="B4" s="250" t="s">
        <v>836</v>
      </c>
      <c r="C4" s="250" t="s">
        <v>837</v>
      </c>
      <c r="D4" s="250" t="s">
        <v>838</v>
      </c>
      <c r="E4" s="250">
        <v>1</v>
      </c>
      <c r="F4" s="251">
        <v>45077.407881944448</v>
      </c>
      <c r="G4" s="250">
        <v>1</v>
      </c>
      <c r="H4" s="250">
        <v>51.370800000000003</v>
      </c>
      <c r="I4" s="250">
        <v>8.64466</v>
      </c>
      <c r="J4" s="250">
        <v>-2.3436140000000001</v>
      </c>
      <c r="K4" s="250">
        <v>-1.4960389999999999</v>
      </c>
      <c r="L4" s="250">
        <v>939.827</v>
      </c>
      <c r="M4" s="250">
        <v>106.000123</v>
      </c>
      <c r="N4" s="250">
        <v>12221.9136</v>
      </c>
      <c r="O4" s="250">
        <v>12221.9136</v>
      </c>
      <c r="P4" s="250">
        <v>1966.39357</v>
      </c>
      <c r="Q4" s="250" t="s">
        <v>18</v>
      </c>
      <c r="R4" s="250" t="s">
        <v>839</v>
      </c>
      <c r="S4" s="250" t="s">
        <v>21</v>
      </c>
      <c r="T4" s="250">
        <v>15</v>
      </c>
      <c r="U4" s="250">
        <v>5</v>
      </c>
      <c r="V4" s="250">
        <v>0.7</v>
      </c>
      <c r="W4" s="250">
        <v>0.7</v>
      </c>
      <c r="X4" s="250">
        <v>0.7</v>
      </c>
      <c r="Y4" s="250">
        <v>1700</v>
      </c>
      <c r="Z4" s="250" t="s">
        <v>840</v>
      </c>
      <c r="AA4" s="250">
        <v>0.85</v>
      </c>
      <c r="AB4" s="250" t="s">
        <v>841</v>
      </c>
      <c r="AC4" s="250" t="s">
        <v>842</v>
      </c>
      <c r="AD4" s="250">
        <v>220</v>
      </c>
      <c r="AE4" s="250"/>
      <c r="AF4" s="250"/>
      <c r="AG4" s="241"/>
    </row>
    <row r="5" spans="1:33" ht="15.75">
      <c r="A5" s="250" t="s">
        <v>845</v>
      </c>
      <c r="B5" s="250" t="s">
        <v>836</v>
      </c>
      <c r="C5" s="250" t="s">
        <v>837</v>
      </c>
      <c r="D5" s="250" t="s">
        <v>838</v>
      </c>
      <c r="E5" s="250">
        <v>1</v>
      </c>
      <c r="F5" s="251">
        <v>45077.411493055559</v>
      </c>
      <c r="G5" s="250">
        <v>1</v>
      </c>
      <c r="H5" s="250">
        <v>51.3675</v>
      </c>
      <c r="I5" s="250">
        <v>7.9200200000000001</v>
      </c>
      <c r="J5" s="250">
        <v>-2.4796390000000001</v>
      </c>
      <c r="K5" s="250">
        <v>-1.6422890000000001</v>
      </c>
      <c r="L5" s="250">
        <v>953.02300000000002</v>
      </c>
      <c r="M5" s="250">
        <v>103.498456</v>
      </c>
      <c r="N5" s="250">
        <v>12246.399299999999</v>
      </c>
      <c r="O5" s="250">
        <v>12246.399299999999</v>
      </c>
      <c r="P5" s="250">
        <v>1970.3229200000001</v>
      </c>
      <c r="Q5" s="250" t="s">
        <v>18</v>
      </c>
      <c r="R5" s="250" t="s">
        <v>839</v>
      </c>
      <c r="S5" s="250" t="s">
        <v>21</v>
      </c>
      <c r="T5" s="250">
        <v>15</v>
      </c>
      <c r="U5" s="250">
        <v>5</v>
      </c>
      <c r="V5" s="250">
        <v>0.7</v>
      </c>
      <c r="W5" s="250">
        <v>0.7</v>
      </c>
      <c r="X5" s="250">
        <v>0.7</v>
      </c>
      <c r="Y5" s="250">
        <v>1700</v>
      </c>
      <c r="Z5" s="250" t="s">
        <v>840</v>
      </c>
      <c r="AA5" s="250">
        <v>0.85</v>
      </c>
      <c r="AB5" s="250" t="s">
        <v>841</v>
      </c>
      <c r="AC5" s="250" t="s">
        <v>842</v>
      </c>
      <c r="AD5" s="250">
        <v>220</v>
      </c>
      <c r="AE5" s="250"/>
      <c r="AF5" s="250"/>
      <c r="AG5" s="241"/>
    </row>
    <row r="6" spans="1:33" ht="15.75">
      <c r="A6" s="250" t="s">
        <v>846</v>
      </c>
      <c r="B6" s="250" t="s">
        <v>836</v>
      </c>
      <c r="C6" s="250" t="s">
        <v>837</v>
      </c>
      <c r="D6" s="250" t="s">
        <v>838</v>
      </c>
      <c r="E6" s="250">
        <v>1</v>
      </c>
      <c r="F6" s="251">
        <v>45077.414560185185</v>
      </c>
      <c r="G6" s="250">
        <v>1</v>
      </c>
      <c r="H6" s="250">
        <v>51.3675</v>
      </c>
      <c r="I6" s="250">
        <v>7.60623</v>
      </c>
      <c r="J6" s="250">
        <v>-2.592841</v>
      </c>
      <c r="K6" s="250">
        <v>-1.7474719999999999</v>
      </c>
      <c r="L6" s="250">
        <v>954.53599999999994</v>
      </c>
      <c r="M6" s="250">
        <v>106.000646</v>
      </c>
      <c r="N6" s="250">
        <v>12312.520200000001</v>
      </c>
      <c r="O6" s="250">
        <v>12312.520200000001</v>
      </c>
      <c r="P6" s="250">
        <v>1980.93372</v>
      </c>
      <c r="Q6" s="250" t="s">
        <v>18</v>
      </c>
      <c r="R6" s="250" t="s">
        <v>839</v>
      </c>
      <c r="S6" s="250" t="s">
        <v>21</v>
      </c>
      <c r="T6" s="250">
        <v>15</v>
      </c>
      <c r="U6" s="250">
        <v>5</v>
      </c>
      <c r="V6" s="250">
        <v>0.7</v>
      </c>
      <c r="W6" s="250">
        <v>0.7</v>
      </c>
      <c r="X6" s="250">
        <v>0.7</v>
      </c>
      <c r="Y6" s="250">
        <v>1700</v>
      </c>
      <c r="Z6" s="250" t="s">
        <v>840</v>
      </c>
      <c r="AA6" s="250">
        <v>0.85</v>
      </c>
      <c r="AB6" s="250" t="s">
        <v>841</v>
      </c>
      <c r="AC6" s="250" t="s">
        <v>842</v>
      </c>
      <c r="AD6" s="250">
        <v>220</v>
      </c>
      <c r="AE6" s="250"/>
      <c r="AF6" s="250"/>
      <c r="AG6" s="241"/>
    </row>
    <row r="7" spans="1:33" ht="15.75">
      <c r="A7" s="250" t="s">
        <v>847</v>
      </c>
      <c r="B7" s="250" t="s">
        <v>836</v>
      </c>
      <c r="C7" s="250" t="s">
        <v>837</v>
      </c>
      <c r="D7" s="250" t="s">
        <v>838</v>
      </c>
      <c r="E7" s="250">
        <v>1</v>
      </c>
      <c r="F7" s="251">
        <v>45077.417650462965</v>
      </c>
      <c r="G7" s="250">
        <v>1</v>
      </c>
      <c r="H7" s="250">
        <v>51.374099999999999</v>
      </c>
      <c r="I7" s="250">
        <v>7.4615999999999998</v>
      </c>
      <c r="J7" s="250">
        <v>-2.4958490000000002</v>
      </c>
      <c r="K7" s="250">
        <v>-1.6638379999999999</v>
      </c>
      <c r="L7" s="250">
        <v>937.66300000000001</v>
      </c>
      <c r="M7" s="250">
        <v>91.499290000000002</v>
      </c>
      <c r="N7" s="250">
        <v>12283.4324</v>
      </c>
      <c r="O7" s="250">
        <v>12283.4324</v>
      </c>
      <c r="P7" s="250">
        <v>1976.26584</v>
      </c>
      <c r="Q7" s="250" t="s">
        <v>18</v>
      </c>
      <c r="R7" s="250" t="s">
        <v>839</v>
      </c>
      <c r="S7" s="250" t="s">
        <v>21</v>
      </c>
      <c r="T7" s="250">
        <v>15</v>
      </c>
      <c r="U7" s="250">
        <v>5</v>
      </c>
      <c r="V7" s="250">
        <v>0.7</v>
      </c>
      <c r="W7" s="250">
        <v>0.7</v>
      </c>
      <c r="X7" s="250">
        <v>0.7</v>
      </c>
      <c r="Y7" s="250">
        <v>1700</v>
      </c>
      <c r="Z7" s="250" t="s">
        <v>840</v>
      </c>
      <c r="AA7" s="250">
        <v>0.85</v>
      </c>
      <c r="AB7" s="250" t="s">
        <v>841</v>
      </c>
      <c r="AC7" s="250" t="s">
        <v>842</v>
      </c>
      <c r="AD7" s="250">
        <v>220</v>
      </c>
      <c r="AE7" s="250"/>
      <c r="AF7" s="250"/>
      <c r="AG7" s="241"/>
    </row>
    <row r="8" spans="1:33" ht="15.75">
      <c r="A8" s="250" t="s">
        <v>848</v>
      </c>
      <c r="B8" s="250" t="s">
        <v>836</v>
      </c>
      <c r="C8" s="250" t="s">
        <v>837</v>
      </c>
      <c r="D8" s="250" t="s">
        <v>838</v>
      </c>
      <c r="E8" s="250">
        <v>1</v>
      </c>
      <c r="F8" s="251">
        <v>45077.420578703706</v>
      </c>
      <c r="G8" s="250">
        <v>1</v>
      </c>
      <c r="H8" s="250">
        <v>51.370800000000003</v>
      </c>
      <c r="I8" s="250">
        <v>7.3924200000000004</v>
      </c>
      <c r="J8" s="250">
        <v>-2.5742379999999998</v>
      </c>
      <c r="K8" s="250">
        <v>-1.7542260000000001</v>
      </c>
      <c r="L8" s="250">
        <v>957.52300000000002</v>
      </c>
      <c r="M8" s="250">
        <v>104.99952999999999</v>
      </c>
      <c r="N8" s="250">
        <v>12309.8406</v>
      </c>
      <c r="O8" s="250">
        <v>12309.8406</v>
      </c>
      <c r="P8" s="250">
        <v>1980.5037</v>
      </c>
      <c r="Q8" s="250" t="s">
        <v>18</v>
      </c>
      <c r="R8" s="250" t="s">
        <v>839</v>
      </c>
      <c r="S8" s="250" t="s">
        <v>21</v>
      </c>
      <c r="T8" s="250">
        <v>15</v>
      </c>
      <c r="U8" s="250">
        <v>5</v>
      </c>
      <c r="V8" s="250">
        <v>0.7</v>
      </c>
      <c r="W8" s="250">
        <v>0.7</v>
      </c>
      <c r="X8" s="250">
        <v>0.7</v>
      </c>
      <c r="Y8" s="250">
        <v>1700</v>
      </c>
      <c r="Z8" s="250" t="s">
        <v>840</v>
      </c>
      <c r="AA8" s="250">
        <v>0.85</v>
      </c>
      <c r="AB8" s="250" t="s">
        <v>841</v>
      </c>
      <c r="AC8" s="250" t="s">
        <v>842</v>
      </c>
      <c r="AD8" s="250">
        <v>220</v>
      </c>
      <c r="AE8" s="250"/>
      <c r="AF8" s="250"/>
      <c r="AG8" s="241"/>
    </row>
    <row r="9" spans="1:33" ht="15.75">
      <c r="A9" s="250" t="s">
        <v>849</v>
      </c>
      <c r="B9" s="250" t="s">
        <v>836</v>
      </c>
      <c r="C9" s="250" t="s">
        <v>837</v>
      </c>
      <c r="D9" s="250" t="s">
        <v>838</v>
      </c>
      <c r="E9" s="250">
        <v>1</v>
      </c>
      <c r="F9" s="251">
        <v>45077.423692129632</v>
      </c>
      <c r="G9" s="250">
        <v>1</v>
      </c>
      <c r="H9" s="250">
        <v>51.370800000000003</v>
      </c>
      <c r="I9" s="250">
        <v>7.2599499999999999</v>
      </c>
      <c r="J9" s="250">
        <v>-2.5716220000000001</v>
      </c>
      <c r="K9" s="250">
        <v>-1.729115</v>
      </c>
      <c r="L9" s="250">
        <v>950.49699999999996</v>
      </c>
      <c r="M9" s="250">
        <v>110.500789</v>
      </c>
      <c r="N9" s="250">
        <v>12308.6263</v>
      </c>
      <c r="O9" s="250">
        <v>12308.6263</v>
      </c>
      <c r="P9" s="250">
        <v>1980.3088399999999</v>
      </c>
      <c r="Q9" s="250" t="s">
        <v>18</v>
      </c>
      <c r="R9" s="250" t="s">
        <v>839</v>
      </c>
      <c r="S9" s="250" t="s">
        <v>21</v>
      </c>
      <c r="T9" s="250">
        <v>15</v>
      </c>
      <c r="U9" s="250">
        <v>5</v>
      </c>
      <c r="V9" s="250">
        <v>0.7</v>
      </c>
      <c r="W9" s="250">
        <v>0.7</v>
      </c>
      <c r="X9" s="250">
        <v>0.7</v>
      </c>
      <c r="Y9" s="250">
        <v>1700</v>
      </c>
      <c r="Z9" s="250" t="s">
        <v>840</v>
      </c>
      <c r="AA9" s="250">
        <v>0.85</v>
      </c>
      <c r="AB9" s="250" t="s">
        <v>841</v>
      </c>
      <c r="AC9" s="250" t="s">
        <v>842</v>
      </c>
      <c r="AD9" s="250">
        <v>220</v>
      </c>
      <c r="AE9" s="250"/>
      <c r="AF9" s="250"/>
      <c r="AG9" s="241"/>
    </row>
    <row r="10" spans="1:33" ht="15.75">
      <c r="A10" s="250" t="s">
        <v>850</v>
      </c>
      <c r="B10" s="250" t="s">
        <v>836</v>
      </c>
      <c r="C10" s="250" t="s">
        <v>837</v>
      </c>
      <c r="D10" s="250" t="s">
        <v>838</v>
      </c>
      <c r="E10" s="250">
        <v>1</v>
      </c>
      <c r="F10" s="251">
        <v>45077.426828703705</v>
      </c>
      <c r="G10" s="250">
        <v>1</v>
      </c>
      <c r="H10" s="250">
        <v>51.364100000000001</v>
      </c>
      <c r="I10" s="250">
        <v>7.2166199999999998</v>
      </c>
      <c r="J10" s="250">
        <v>-2.5575030000000001</v>
      </c>
      <c r="K10" s="250">
        <v>-1.713614</v>
      </c>
      <c r="L10" s="250">
        <v>949.73500000000001</v>
      </c>
      <c r="M10" s="250">
        <v>101.99955799999999</v>
      </c>
      <c r="N10" s="250">
        <v>12267.417799999999</v>
      </c>
      <c r="O10" s="250">
        <v>12267.417799999999</v>
      </c>
      <c r="P10" s="250">
        <v>1973.69588</v>
      </c>
      <c r="Q10" s="250" t="s">
        <v>18</v>
      </c>
      <c r="R10" s="250" t="s">
        <v>839</v>
      </c>
      <c r="S10" s="250" t="s">
        <v>21</v>
      </c>
      <c r="T10" s="250">
        <v>15</v>
      </c>
      <c r="U10" s="250">
        <v>5</v>
      </c>
      <c r="V10" s="250">
        <v>0.7</v>
      </c>
      <c r="W10" s="250">
        <v>0.7</v>
      </c>
      <c r="X10" s="250">
        <v>0.7</v>
      </c>
      <c r="Y10" s="250">
        <v>1700</v>
      </c>
      <c r="Z10" s="250" t="s">
        <v>840</v>
      </c>
      <c r="AA10" s="250">
        <v>0.85</v>
      </c>
      <c r="AB10" s="250" t="s">
        <v>841</v>
      </c>
      <c r="AC10" s="250" t="s">
        <v>842</v>
      </c>
      <c r="AD10" s="250">
        <v>220</v>
      </c>
      <c r="AE10" s="250"/>
      <c r="AF10" s="250"/>
      <c r="AG10" s="241"/>
    </row>
    <row r="11" spans="1:33" ht="15.75">
      <c r="A11" s="250" t="s">
        <v>851</v>
      </c>
      <c r="B11" s="250" t="s">
        <v>836</v>
      </c>
      <c r="C11" s="250" t="s">
        <v>837</v>
      </c>
      <c r="D11" s="250" t="s">
        <v>838</v>
      </c>
      <c r="E11" s="250">
        <v>1</v>
      </c>
      <c r="F11" s="250"/>
      <c r="G11" s="250">
        <v>1</v>
      </c>
      <c r="H11" s="250">
        <v>0</v>
      </c>
      <c r="I11" s="250">
        <v>0</v>
      </c>
      <c r="J11" s="250">
        <v>0</v>
      </c>
      <c r="K11" s="250">
        <v>0</v>
      </c>
      <c r="L11" s="250">
        <v>0</v>
      </c>
      <c r="M11" s="250">
        <v>0</v>
      </c>
      <c r="N11" s="250">
        <v>0</v>
      </c>
      <c r="O11" s="250">
        <v>0</v>
      </c>
      <c r="P11" s="250">
        <v>0</v>
      </c>
      <c r="Q11" s="250" t="s">
        <v>18</v>
      </c>
      <c r="R11" s="250" t="s">
        <v>852</v>
      </c>
      <c r="S11" s="250" t="s">
        <v>28</v>
      </c>
      <c r="T11" s="250">
        <v>15</v>
      </c>
      <c r="U11" s="250">
        <v>5</v>
      </c>
      <c r="V11" s="250">
        <v>0.7</v>
      </c>
      <c r="W11" s="250">
        <v>0.7</v>
      </c>
      <c r="X11" s="250">
        <v>0.7</v>
      </c>
      <c r="Y11" s="250">
        <v>1700</v>
      </c>
      <c r="Z11" s="250"/>
      <c r="AA11" s="250"/>
      <c r="AB11" s="250" t="s">
        <v>841</v>
      </c>
      <c r="AC11" s="250" t="s">
        <v>842</v>
      </c>
      <c r="AD11" s="250">
        <v>50</v>
      </c>
      <c r="AE11" s="250"/>
      <c r="AF11" s="250"/>
      <c r="AG11" s="241"/>
    </row>
    <row r="12" spans="1:33" ht="15.75">
      <c r="A12" s="250" t="s">
        <v>853</v>
      </c>
      <c r="B12" s="250" t="s">
        <v>836</v>
      </c>
      <c r="C12" s="250" t="s">
        <v>837</v>
      </c>
      <c r="D12" s="250" t="s">
        <v>838</v>
      </c>
      <c r="E12" s="250">
        <v>1</v>
      </c>
      <c r="F12" s="251">
        <v>45077.435081018521</v>
      </c>
      <c r="G12" s="250">
        <v>1</v>
      </c>
      <c r="H12" s="250">
        <v>51.370800000000003</v>
      </c>
      <c r="I12" s="250">
        <v>7.1989599999999996</v>
      </c>
      <c r="J12" s="250">
        <v>-2.5695839999999999</v>
      </c>
      <c r="K12" s="250">
        <v>-1.7257960000000001</v>
      </c>
      <c r="L12" s="250">
        <v>932.75900000000001</v>
      </c>
      <c r="M12" s="250">
        <v>103.998262</v>
      </c>
      <c r="N12" s="250">
        <v>12249.4467</v>
      </c>
      <c r="O12" s="250">
        <v>12249.4467</v>
      </c>
      <c r="P12" s="250">
        <v>1970.81196</v>
      </c>
      <c r="Q12" s="250" t="s">
        <v>18</v>
      </c>
      <c r="R12" s="250" t="s">
        <v>839</v>
      </c>
      <c r="S12" s="250" t="s">
        <v>21</v>
      </c>
      <c r="T12" s="250">
        <v>15</v>
      </c>
      <c r="U12" s="250">
        <v>5</v>
      </c>
      <c r="V12" s="250">
        <v>0.7</v>
      </c>
      <c r="W12" s="250">
        <v>0.7</v>
      </c>
      <c r="X12" s="250">
        <v>0.7</v>
      </c>
      <c r="Y12" s="250">
        <v>1700</v>
      </c>
      <c r="Z12" s="250" t="s">
        <v>840</v>
      </c>
      <c r="AA12" s="250">
        <v>0.85</v>
      </c>
      <c r="AB12" s="250" t="s">
        <v>841</v>
      </c>
      <c r="AC12" s="250" t="s">
        <v>842</v>
      </c>
      <c r="AD12" s="250">
        <v>220</v>
      </c>
      <c r="AE12" s="250"/>
      <c r="AF12" s="250"/>
      <c r="AG12" s="241"/>
    </row>
    <row r="13" spans="1:33" ht="15.75">
      <c r="A13" s="250" t="s">
        <v>854</v>
      </c>
      <c r="B13" s="250" t="s">
        <v>836</v>
      </c>
      <c r="C13" s="250" t="s">
        <v>837</v>
      </c>
      <c r="D13" s="250" t="s">
        <v>838</v>
      </c>
      <c r="E13" s="250">
        <v>1</v>
      </c>
      <c r="F13" s="251">
        <v>45077.438159722224</v>
      </c>
      <c r="G13" s="250">
        <v>1</v>
      </c>
      <c r="H13" s="250">
        <v>51.370800000000003</v>
      </c>
      <c r="I13" s="250">
        <v>7.2064300000000001</v>
      </c>
      <c r="J13" s="250">
        <v>-2.6153360000000001</v>
      </c>
      <c r="K13" s="250">
        <v>-1.7802420000000001</v>
      </c>
      <c r="L13" s="250">
        <v>929.69200000000001</v>
      </c>
      <c r="M13" s="250">
        <v>112.000246</v>
      </c>
      <c r="N13" s="250">
        <v>12301.266100000001</v>
      </c>
      <c r="O13" s="250">
        <v>12301.266100000001</v>
      </c>
      <c r="P13" s="250">
        <v>1979.12772</v>
      </c>
      <c r="Q13" s="250" t="s">
        <v>18</v>
      </c>
      <c r="R13" s="250" t="s">
        <v>839</v>
      </c>
      <c r="S13" s="250" t="s">
        <v>21</v>
      </c>
      <c r="T13" s="250">
        <v>15</v>
      </c>
      <c r="U13" s="250">
        <v>5</v>
      </c>
      <c r="V13" s="250">
        <v>0.7</v>
      </c>
      <c r="W13" s="250">
        <v>0.7</v>
      </c>
      <c r="X13" s="250">
        <v>0.7</v>
      </c>
      <c r="Y13" s="250">
        <v>1700</v>
      </c>
      <c r="Z13" s="250" t="s">
        <v>840</v>
      </c>
      <c r="AA13" s="250">
        <v>0.85</v>
      </c>
      <c r="AB13" s="250" t="s">
        <v>841</v>
      </c>
      <c r="AC13" s="250" t="s">
        <v>842</v>
      </c>
      <c r="AD13" s="250">
        <v>220</v>
      </c>
      <c r="AE13" s="250"/>
      <c r="AF13" s="250"/>
      <c r="AG13" s="241"/>
    </row>
    <row r="14" spans="1:33" ht="15.75">
      <c r="A14" s="250" t="s">
        <v>855</v>
      </c>
      <c r="B14" s="250" t="s">
        <v>836</v>
      </c>
      <c r="C14" s="250" t="s">
        <v>837</v>
      </c>
      <c r="D14" s="250" t="s">
        <v>838</v>
      </c>
      <c r="E14" s="250">
        <v>1</v>
      </c>
      <c r="F14" s="251">
        <v>45077.441342592596</v>
      </c>
      <c r="G14" s="250">
        <v>1</v>
      </c>
      <c r="H14" s="250">
        <v>51.3675</v>
      </c>
      <c r="I14" s="250">
        <v>7.1813000000000002</v>
      </c>
      <c r="J14" s="250">
        <v>-2.4506130000000002</v>
      </c>
      <c r="K14" s="250">
        <v>-1.605737</v>
      </c>
      <c r="L14" s="250">
        <v>951.57399999999996</v>
      </c>
      <c r="M14" s="250">
        <v>94.999341000000001</v>
      </c>
      <c r="N14" s="250">
        <v>12278.376700000001</v>
      </c>
      <c r="O14" s="250">
        <v>12278.376700000001</v>
      </c>
      <c r="P14" s="250">
        <v>1975.45451</v>
      </c>
      <c r="Q14" s="250" t="s">
        <v>18</v>
      </c>
      <c r="R14" s="250" t="s">
        <v>839</v>
      </c>
      <c r="S14" s="250" t="s">
        <v>21</v>
      </c>
      <c r="T14" s="250">
        <v>15</v>
      </c>
      <c r="U14" s="250">
        <v>5</v>
      </c>
      <c r="V14" s="250">
        <v>0.7</v>
      </c>
      <c r="W14" s="250">
        <v>0.7</v>
      </c>
      <c r="X14" s="250">
        <v>0.7</v>
      </c>
      <c r="Y14" s="250">
        <v>1700</v>
      </c>
      <c r="Z14" s="250" t="s">
        <v>840</v>
      </c>
      <c r="AA14" s="250">
        <v>0.85</v>
      </c>
      <c r="AB14" s="250" t="s">
        <v>841</v>
      </c>
      <c r="AC14" s="250" t="s">
        <v>842</v>
      </c>
      <c r="AD14" s="250">
        <v>220</v>
      </c>
      <c r="AE14" s="250"/>
      <c r="AF14" s="250"/>
      <c r="AG14" s="241"/>
    </row>
    <row r="15" spans="1:33" ht="15.75">
      <c r="A15" s="250" t="s">
        <v>856</v>
      </c>
      <c r="B15" s="250" t="s">
        <v>836</v>
      </c>
      <c r="C15" s="250" t="s">
        <v>837</v>
      </c>
      <c r="D15" s="250" t="s">
        <v>838</v>
      </c>
      <c r="E15" s="250">
        <v>1</v>
      </c>
      <c r="F15" s="251">
        <v>45077.444548611114</v>
      </c>
      <c r="G15" s="250">
        <v>1</v>
      </c>
      <c r="H15" s="250">
        <v>51.364100000000001</v>
      </c>
      <c r="I15" s="250">
        <v>7.0889800000000003</v>
      </c>
      <c r="J15" s="250">
        <v>-2.6694640000000001</v>
      </c>
      <c r="K15" s="250">
        <v>-1.8267640000000001</v>
      </c>
      <c r="L15" s="250">
        <v>950.178</v>
      </c>
      <c r="M15" s="250">
        <v>114.499895</v>
      </c>
      <c r="N15" s="250">
        <v>12266.6775</v>
      </c>
      <c r="O15" s="250">
        <v>12266.6775</v>
      </c>
      <c r="P15" s="250">
        <v>1973.57708</v>
      </c>
      <c r="Q15" s="250" t="s">
        <v>18</v>
      </c>
      <c r="R15" s="250" t="s">
        <v>839</v>
      </c>
      <c r="S15" s="250" t="s">
        <v>21</v>
      </c>
      <c r="T15" s="250">
        <v>15</v>
      </c>
      <c r="U15" s="250">
        <v>5</v>
      </c>
      <c r="V15" s="250">
        <v>0.7</v>
      </c>
      <c r="W15" s="250">
        <v>0.7</v>
      </c>
      <c r="X15" s="250">
        <v>0.7</v>
      </c>
      <c r="Y15" s="250">
        <v>1700</v>
      </c>
      <c r="Z15" s="250" t="s">
        <v>840</v>
      </c>
      <c r="AA15" s="250">
        <v>0.85</v>
      </c>
      <c r="AB15" s="250" t="s">
        <v>841</v>
      </c>
      <c r="AC15" s="250" t="s">
        <v>842</v>
      </c>
      <c r="AD15" s="250">
        <v>220</v>
      </c>
      <c r="AE15" s="250"/>
      <c r="AF15" s="250"/>
      <c r="AG15" s="241"/>
    </row>
    <row r="16" spans="1:33" ht="15.75">
      <c r="A16" s="250" t="s">
        <v>857</v>
      </c>
      <c r="B16" s="250" t="s">
        <v>836</v>
      </c>
      <c r="C16" s="250" t="s">
        <v>837</v>
      </c>
      <c r="D16" s="250" t="s">
        <v>838</v>
      </c>
      <c r="E16" s="250">
        <v>1</v>
      </c>
      <c r="F16" s="251">
        <v>45077.447777777779</v>
      </c>
      <c r="G16" s="250">
        <v>1</v>
      </c>
      <c r="H16" s="250">
        <v>51.370800000000003</v>
      </c>
      <c r="I16" s="250">
        <v>7.2218299999999997</v>
      </c>
      <c r="J16" s="250">
        <v>-2.601143</v>
      </c>
      <c r="K16" s="250">
        <v>-1.7602329999999999</v>
      </c>
      <c r="L16" s="250">
        <v>950.50099999999998</v>
      </c>
      <c r="M16" s="250">
        <v>103.001054</v>
      </c>
      <c r="N16" s="250">
        <v>12258.9912</v>
      </c>
      <c r="O16" s="250">
        <v>12258.9912</v>
      </c>
      <c r="P16" s="250">
        <v>1972.3436200000001</v>
      </c>
      <c r="Q16" s="250" t="s">
        <v>18</v>
      </c>
      <c r="R16" s="250" t="s">
        <v>839</v>
      </c>
      <c r="S16" s="250" t="s">
        <v>21</v>
      </c>
      <c r="T16" s="250">
        <v>15</v>
      </c>
      <c r="U16" s="250">
        <v>5</v>
      </c>
      <c r="V16" s="250">
        <v>0.7</v>
      </c>
      <c r="W16" s="250">
        <v>0.7</v>
      </c>
      <c r="X16" s="250">
        <v>0.7</v>
      </c>
      <c r="Y16" s="250">
        <v>1700</v>
      </c>
      <c r="Z16" s="250" t="s">
        <v>840</v>
      </c>
      <c r="AA16" s="250">
        <v>0.85</v>
      </c>
      <c r="AB16" s="250" t="s">
        <v>841</v>
      </c>
      <c r="AC16" s="250" t="s">
        <v>842</v>
      </c>
      <c r="AD16" s="250">
        <v>220</v>
      </c>
      <c r="AE16" s="250"/>
      <c r="AF16" s="250"/>
      <c r="AG16" s="241"/>
    </row>
    <row r="17" spans="1:33" ht="15.75">
      <c r="A17" s="250" t="s">
        <v>858</v>
      </c>
      <c r="B17" s="250" t="s">
        <v>836</v>
      </c>
      <c r="C17" s="250" t="s">
        <v>837</v>
      </c>
      <c r="D17" s="250" t="s">
        <v>838</v>
      </c>
      <c r="E17" s="250">
        <v>1</v>
      </c>
      <c r="F17" s="251">
        <v>45077.451064814813</v>
      </c>
      <c r="G17" s="250">
        <v>1</v>
      </c>
      <c r="H17" s="250">
        <v>51.364100000000001</v>
      </c>
      <c r="I17" s="250">
        <v>6.9703099999999996</v>
      </c>
      <c r="J17" s="250">
        <v>-2.7587419999999998</v>
      </c>
      <c r="K17" s="250">
        <v>-1.960256</v>
      </c>
      <c r="L17" s="250">
        <v>942.27599999999995</v>
      </c>
      <c r="M17" s="250">
        <v>122.001018</v>
      </c>
      <c r="N17" s="250">
        <v>12279.9804</v>
      </c>
      <c r="O17" s="250">
        <v>12279.9804</v>
      </c>
      <c r="P17" s="250">
        <v>1975.7118700000001</v>
      </c>
      <c r="Q17" s="250" t="s">
        <v>18</v>
      </c>
      <c r="R17" s="250" t="s">
        <v>839</v>
      </c>
      <c r="S17" s="250" t="s">
        <v>21</v>
      </c>
      <c r="T17" s="250">
        <v>15</v>
      </c>
      <c r="U17" s="250">
        <v>5</v>
      </c>
      <c r="V17" s="250">
        <v>0.7</v>
      </c>
      <c r="W17" s="250">
        <v>0.7</v>
      </c>
      <c r="X17" s="250">
        <v>0.7</v>
      </c>
      <c r="Y17" s="250">
        <v>1700</v>
      </c>
      <c r="Z17" s="250" t="s">
        <v>840</v>
      </c>
      <c r="AA17" s="250">
        <v>0.85</v>
      </c>
      <c r="AB17" s="250" t="s">
        <v>841</v>
      </c>
      <c r="AC17" s="250" t="s">
        <v>842</v>
      </c>
      <c r="AD17" s="250">
        <v>220</v>
      </c>
      <c r="AE17" s="250"/>
      <c r="AF17" s="250"/>
      <c r="AG17" s="241"/>
    </row>
    <row r="18" spans="1:33" ht="15.75">
      <c r="A18" s="250" t="s">
        <v>859</v>
      </c>
      <c r="B18" s="250" t="s">
        <v>836</v>
      </c>
      <c r="C18" s="250" t="s">
        <v>837</v>
      </c>
      <c r="D18" s="250" t="s">
        <v>838</v>
      </c>
      <c r="E18" s="250">
        <v>1</v>
      </c>
      <c r="F18" s="251">
        <v>45077.454386574071</v>
      </c>
      <c r="G18" s="250">
        <v>1</v>
      </c>
      <c r="H18" s="250">
        <v>51.370800000000003</v>
      </c>
      <c r="I18" s="250">
        <v>6.97553</v>
      </c>
      <c r="J18" s="250">
        <v>-2.7115589999999998</v>
      </c>
      <c r="K18" s="250">
        <v>-1.8695329999999999</v>
      </c>
      <c r="L18" s="250">
        <v>949.06299999999999</v>
      </c>
      <c r="M18" s="250">
        <v>106.999313</v>
      </c>
      <c r="N18" s="250">
        <v>12297.691500000001</v>
      </c>
      <c r="O18" s="250">
        <v>12297.691500000001</v>
      </c>
      <c r="P18" s="250">
        <v>1978.5540699999999</v>
      </c>
      <c r="Q18" s="250" t="s">
        <v>18</v>
      </c>
      <c r="R18" s="250" t="s">
        <v>839</v>
      </c>
      <c r="S18" s="250" t="s">
        <v>21</v>
      </c>
      <c r="T18" s="250">
        <v>15</v>
      </c>
      <c r="U18" s="250">
        <v>5</v>
      </c>
      <c r="V18" s="250">
        <v>0.7</v>
      </c>
      <c r="W18" s="250">
        <v>0.7</v>
      </c>
      <c r="X18" s="250">
        <v>0.7</v>
      </c>
      <c r="Y18" s="250">
        <v>1700</v>
      </c>
      <c r="Z18" s="250" t="s">
        <v>840</v>
      </c>
      <c r="AA18" s="250">
        <v>0.85</v>
      </c>
      <c r="AB18" s="250" t="s">
        <v>841</v>
      </c>
      <c r="AC18" s="250" t="s">
        <v>842</v>
      </c>
      <c r="AD18" s="250">
        <v>220</v>
      </c>
      <c r="AE18" s="250"/>
      <c r="AF18" s="250"/>
      <c r="AG18" s="241"/>
    </row>
    <row r="19" spans="1:33" ht="15.75">
      <c r="A19" s="250" t="s">
        <v>860</v>
      </c>
      <c r="B19" s="250" t="s">
        <v>836</v>
      </c>
      <c r="C19" s="250" t="s">
        <v>837</v>
      </c>
      <c r="D19" s="250" t="s">
        <v>838</v>
      </c>
      <c r="E19" s="250">
        <v>1</v>
      </c>
      <c r="F19" s="251">
        <v>45077.459189814814</v>
      </c>
      <c r="G19" s="250">
        <v>1</v>
      </c>
      <c r="H19" s="250">
        <v>51.370800000000003</v>
      </c>
      <c r="I19" s="250">
        <v>6.9593499999999997</v>
      </c>
      <c r="J19" s="250">
        <v>-2.657149</v>
      </c>
      <c r="K19" s="250">
        <v>-1.823661</v>
      </c>
      <c r="L19" s="250">
        <v>952.02800000000002</v>
      </c>
      <c r="M19" s="250">
        <v>113.99998100000001</v>
      </c>
      <c r="N19" s="250">
        <v>12242.1032</v>
      </c>
      <c r="O19" s="250">
        <v>12242.1032</v>
      </c>
      <c r="P19" s="250">
        <v>1969.6334899999999</v>
      </c>
      <c r="Q19" s="250" t="s">
        <v>18</v>
      </c>
      <c r="R19" s="250" t="s">
        <v>839</v>
      </c>
      <c r="S19" s="250" t="s">
        <v>21</v>
      </c>
      <c r="T19" s="250">
        <v>15</v>
      </c>
      <c r="U19" s="250">
        <v>5</v>
      </c>
      <c r="V19" s="250">
        <v>0.7</v>
      </c>
      <c r="W19" s="250">
        <v>0.7</v>
      </c>
      <c r="X19" s="250">
        <v>0.7</v>
      </c>
      <c r="Y19" s="250">
        <v>1700</v>
      </c>
      <c r="Z19" s="250" t="s">
        <v>840</v>
      </c>
      <c r="AA19" s="250">
        <v>0.85</v>
      </c>
      <c r="AB19" s="250" t="s">
        <v>841</v>
      </c>
      <c r="AC19" s="250" t="s">
        <v>842</v>
      </c>
      <c r="AD19" s="250">
        <v>220</v>
      </c>
      <c r="AE19" s="250"/>
      <c r="AF19" s="250"/>
      <c r="AG19" s="241"/>
    </row>
    <row r="20" spans="1:33" ht="15.75">
      <c r="A20" s="250" t="s">
        <v>861</v>
      </c>
      <c r="B20" s="250" t="s">
        <v>836</v>
      </c>
      <c r="C20" s="250" t="s">
        <v>837</v>
      </c>
      <c r="D20" s="250" t="s">
        <v>838</v>
      </c>
      <c r="E20" s="250">
        <v>1</v>
      </c>
      <c r="F20" s="251">
        <v>45077.462384259263</v>
      </c>
      <c r="G20" s="250">
        <v>1</v>
      </c>
      <c r="H20" s="250">
        <v>51.370800000000003</v>
      </c>
      <c r="I20" s="250">
        <v>7.0543699999999996</v>
      </c>
      <c r="J20" s="250">
        <v>-2.7823340000000001</v>
      </c>
      <c r="K20" s="250">
        <v>-1.9337629999999999</v>
      </c>
      <c r="L20" s="250">
        <v>954.14099999999996</v>
      </c>
      <c r="M20" s="250">
        <v>104.999899</v>
      </c>
      <c r="N20" s="250">
        <v>12276.610699999999</v>
      </c>
      <c r="O20" s="250">
        <v>12276.610699999999</v>
      </c>
      <c r="P20" s="250">
        <v>1975.17112</v>
      </c>
      <c r="Q20" s="250" t="s">
        <v>18</v>
      </c>
      <c r="R20" s="250" t="s">
        <v>839</v>
      </c>
      <c r="S20" s="250" t="s">
        <v>21</v>
      </c>
      <c r="T20" s="250">
        <v>15</v>
      </c>
      <c r="U20" s="250">
        <v>5</v>
      </c>
      <c r="V20" s="250">
        <v>0.7</v>
      </c>
      <c r="W20" s="250">
        <v>0.7</v>
      </c>
      <c r="X20" s="250">
        <v>0.7</v>
      </c>
      <c r="Y20" s="250">
        <v>1700</v>
      </c>
      <c r="Z20" s="250" t="s">
        <v>840</v>
      </c>
      <c r="AA20" s="250">
        <v>0.85</v>
      </c>
      <c r="AB20" s="250" t="s">
        <v>841</v>
      </c>
      <c r="AC20" s="250" t="s">
        <v>842</v>
      </c>
      <c r="AD20" s="250">
        <v>220</v>
      </c>
      <c r="AE20" s="250"/>
      <c r="AF20" s="250"/>
      <c r="AG20" s="241"/>
    </row>
    <row r="21" spans="1:33" ht="15.75">
      <c r="A21" s="250" t="s">
        <v>862</v>
      </c>
      <c r="B21" s="250" t="s">
        <v>836</v>
      </c>
      <c r="C21" s="250" t="s">
        <v>837</v>
      </c>
      <c r="D21" s="250" t="s">
        <v>838</v>
      </c>
      <c r="E21" s="250">
        <v>1</v>
      </c>
      <c r="F21" s="251">
        <v>45077.465497685182</v>
      </c>
      <c r="G21" s="250">
        <v>1</v>
      </c>
      <c r="H21" s="250">
        <v>51.3675</v>
      </c>
      <c r="I21" s="250">
        <v>6.9880199999999997</v>
      </c>
      <c r="J21" s="250">
        <v>-2.8453460000000002</v>
      </c>
      <c r="K21" s="250">
        <v>-2.0060959999999999</v>
      </c>
      <c r="L21" s="250">
        <v>942.99199999999996</v>
      </c>
      <c r="M21" s="250">
        <v>104.00050899999999</v>
      </c>
      <c r="N21" s="250">
        <v>12280.8243</v>
      </c>
      <c r="O21" s="250">
        <v>12280.8243</v>
      </c>
      <c r="P21" s="250">
        <v>1975.8472999999999</v>
      </c>
      <c r="Q21" s="250" t="s">
        <v>18</v>
      </c>
      <c r="R21" s="250" t="s">
        <v>839</v>
      </c>
      <c r="S21" s="250" t="s">
        <v>21</v>
      </c>
      <c r="T21" s="250">
        <v>15</v>
      </c>
      <c r="U21" s="250">
        <v>5</v>
      </c>
      <c r="V21" s="250">
        <v>0.7</v>
      </c>
      <c r="W21" s="250">
        <v>0.7</v>
      </c>
      <c r="X21" s="250">
        <v>0.7</v>
      </c>
      <c r="Y21" s="250">
        <v>1700</v>
      </c>
      <c r="Z21" s="250" t="s">
        <v>840</v>
      </c>
      <c r="AA21" s="250">
        <v>0.85</v>
      </c>
      <c r="AB21" s="250" t="s">
        <v>841</v>
      </c>
      <c r="AC21" s="250" t="s">
        <v>842</v>
      </c>
      <c r="AD21" s="250">
        <v>220</v>
      </c>
      <c r="AE21" s="250"/>
      <c r="AF21" s="250"/>
      <c r="AG21" s="241"/>
    </row>
    <row r="22" spans="1:33" ht="15.75">
      <c r="A22" s="250" t="s">
        <v>863</v>
      </c>
      <c r="B22" s="250" t="s">
        <v>836</v>
      </c>
      <c r="C22" s="250" t="s">
        <v>837</v>
      </c>
      <c r="D22" s="250" t="s">
        <v>838</v>
      </c>
      <c r="E22" s="250">
        <v>1</v>
      </c>
      <c r="F22" s="251">
        <v>45077.468611111108</v>
      </c>
      <c r="G22" s="250">
        <v>1</v>
      </c>
      <c r="H22" s="250">
        <v>51.3675</v>
      </c>
      <c r="I22" s="250">
        <v>6.9601199999999999</v>
      </c>
      <c r="J22" s="250">
        <v>-2.7942109999999998</v>
      </c>
      <c r="K22" s="250">
        <v>-1.9493640000000001</v>
      </c>
      <c r="L22" s="250">
        <v>952.90200000000004</v>
      </c>
      <c r="M22" s="250">
        <v>111.999889</v>
      </c>
      <c r="N22" s="250">
        <v>12293.897999999999</v>
      </c>
      <c r="O22" s="250">
        <v>12293.897999999999</v>
      </c>
      <c r="P22" s="250">
        <v>1977.9453000000001</v>
      </c>
      <c r="Q22" s="250" t="s">
        <v>18</v>
      </c>
      <c r="R22" s="250" t="s">
        <v>839</v>
      </c>
      <c r="S22" s="250" t="s">
        <v>21</v>
      </c>
      <c r="T22" s="250">
        <v>15</v>
      </c>
      <c r="U22" s="250">
        <v>5</v>
      </c>
      <c r="V22" s="250">
        <v>0.7</v>
      </c>
      <c r="W22" s="250">
        <v>0.7</v>
      </c>
      <c r="X22" s="250">
        <v>0.7</v>
      </c>
      <c r="Y22" s="250">
        <v>1700</v>
      </c>
      <c r="Z22" s="250" t="s">
        <v>840</v>
      </c>
      <c r="AA22" s="250">
        <v>0.85</v>
      </c>
      <c r="AB22" s="250" t="s">
        <v>841</v>
      </c>
      <c r="AC22" s="250" t="s">
        <v>842</v>
      </c>
      <c r="AD22" s="250">
        <v>220</v>
      </c>
      <c r="AE22" s="250"/>
      <c r="AF22" s="250"/>
      <c r="AG22" s="241"/>
    </row>
    <row r="23" spans="1:33" ht="15.75">
      <c r="A23" s="250" t="s">
        <v>864</v>
      </c>
      <c r="B23" s="250" t="s">
        <v>836</v>
      </c>
      <c r="C23" s="250" t="s">
        <v>837</v>
      </c>
      <c r="D23" s="250" t="s">
        <v>838</v>
      </c>
      <c r="E23" s="250">
        <v>1</v>
      </c>
      <c r="F23" s="251">
        <v>45077.471782407411</v>
      </c>
      <c r="G23" s="250">
        <v>1</v>
      </c>
      <c r="H23" s="250">
        <v>51.364100000000001</v>
      </c>
      <c r="I23" s="250">
        <v>7.0202400000000003</v>
      </c>
      <c r="J23" s="250">
        <v>-2.829002</v>
      </c>
      <c r="K23" s="250">
        <v>-1.9999769999999999</v>
      </c>
      <c r="L23" s="250">
        <v>942.04100000000005</v>
      </c>
      <c r="M23" s="250">
        <v>111.499961</v>
      </c>
      <c r="N23" s="250">
        <v>12265.0918</v>
      </c>
      <c r="O23" s="250">
        <v>12265.0918</v>
      </c>
      <c r="P23" s="250">
        <v>1973.3226199999999</v>
      </c>
      <c r="Q23" s="250" t="s">
        <v>18</v>
      </c>
      <c r="R23" s="250" t="s">
        <v>839</v>
      </c>
      <c r="S23" s="250" t="s">
        <v>21</v>
      </c>
      <c r="T23" s="250">
        <v>15</v>
      </c>
      <c r="U23" s="250">
        <v>5</v>
      </c>
      <c r="V23" s="250">
        <v>0.7</v>
      </c>
      <c r="W23" s="250">
        <v>0.7</v>
      </c>
      <c r="X23" s="250">
        <v>0.7</v>
      </c>
      <c r="Y23" s="250">
        <v>1700</v>
      </c>
      <c r="Z23" s="250" t="s">
        <v>840</v>
      </c>
      <c r="AA23" s="250">
        <v>0.85</v>
      </c>
      <c r="AB23" s="250" t="s">
        <v>841</v>
      </c>
      <c r="AC23" s="250" t="s">
        <v>842</v>
      </c>
      <c r="AD23" s="250">
        <v>220</v>
      </c>
      <c r="AE23" s="250"/>
      <c r="AF23" s="250"/>
      <c r="AG23" s="241"/>
    </row>
    <row r="24" spans="1:33" ht="15.75">
      <c r="A24" s="250" t="s">
        <v>865</v>
      </c>
      <c r="B24" s="250" t="s">
        <v>836</v>
      </c>
      <c r="C24" s="250" t="s">
        <v>837</v>
      </c>
      <c r="D24" s="250" t="s">
        <v>838</v>
      </c>
      <c r="E24" s="250">
        <v>1</v>
      </c>
      <c r="F24" s="251">
        <v>45077.474965277775</v>
      </c>
      <c r="G24" s="250">
        <v>1</v>
      </c>
      <c r="H24" s="250">
        <v>51.370800000000003</v>
      </c>
      <c r="I24" s="250">
        <v>7.1310200000000004</v>
      </c>
      <c r="J24" s="250">
        <v>-2.7537250000000002</v>
      </c>
      <c r="K24" s="250">
        <v>-1.9045620000000001</v>
      </c>
      <c r="L24" s="250">
        <v>954.48500000000001</v>
      </c>
      <c r="M24" s="250">
        <v>95.500782000000001</v>
      </c>
      <c r="N24" s="250">
        <v>12256.606</v>
      </c>
      <c r="O24" s="250">
        <v>12256.606</v>
      </c>
      <c r="P24" s="250">
        <v>1971.9608599999999</v>
      </c>
      <c r="Q24" s="250" t="s">
        <v>18</v>
      </c>
      <c r="R24" s="250" t="s">
        <v>839</v>
      </c>
      <c r="S24" s="250" t="s">
        <v>21</v>
      </c>
      <c r="T24" s="250">
        <v>15</v>
      </c>
      <c r="U24" s="250">
        <v>5</v>
      </c>
      <c r="V24" s="250">
        <v>0.7</v>
      </c>
      <c r="W24" s="250">
        <v>0.7</v>
      </c>
      <c r="X24" s="250">
        <v>0.7</v>
      </c>
      <c r="Y24" s="250">
        <v>1700</v>
      </c>
      <c r="Z24" s="250" t="s">
        <v>840</v>
      </c>
      <c r="AA24" s="250">
        <v>0.85</v>
      </c>
      <c r="AB24" s="250" t="s">
        <v>841</v>
      </c>
      <c r="AC24" s="250" t="s">
        <v>842</v>
      </c>
      <c r="AD24" s="250">
        <v>220</v>
      </c>
      <c r="AE24" s="250"/>
      <c r="AF24" s="250"/>
      <c r="AG24" s="241"/>
    </row>
    <row r="25" spans="1:33" ht="15.75">
      <c r="A25" s="250" t="s">
        <v>866</v>
      </c>
      <c r="B25" s="250" t="s">
        <v>836</v>
      </c>
      <c r="C25" s="250" t="s">
        <v>837</v>
      </c>
      <c r="D25" s="250" t="s">
        <v>838</v>
      </c>
      <c r="E25" s="250">
        <v>1</v>
      </c>
      <c r="F25" s="251">
        <v>45077.488518518519</v>
      </c>
      <c r="G25" s="250">
        <v>1</v>
      </c>
      <c r="H25" s="250">
        <v>51.370800000000003</v>
      </c>
      <c r="I25" s="250">
        <v>7.0676100000000002</v>
      </c>
      <c r="J25" s="250">
        <v>-2.747474</v>
      </c>
      <c r="K25" s="250">
        <v>-1.9000699999999999</v>
      </c>
      <c r="L25" s="250">
        <v>921.5</v>
      </c>
      <c r="M25" s="250">
        <v>103.000005</v>
      </c>
      <c r="N25" s="250">
        <v>11982.917600000001</v>
      </c>
      <c r="O25" s="250">
        <v>11982.917600000001</v>
      </c>
      <c r="P25" s="250">
        <v>1928.04051</v>
      </c>
      <c r="Q25" s="250" t="s">
        <v>18</v>
      </c>
      <c r="R25" s="250" t="s">
        <v>839</v>
      </c>
      <c r="S25" s="250" t="s">
        <v>21</v>
      </c>
      <c r="T25" s="250">
        <v>15</v>
      </c>
      <c r="U25" s="250">
        <v>5</v>
      </c>
      <c r="V25" s="250">
        <v>0.7</v>
      </c>
      <c r="W25" s="250">
        <v>0.7</v>
      </c>
      <c r="X25" s="250">
        <v>0.7</v>
      </c>
      <c r="Y25" s="250">
        <v>1700</v>
      </c>
      <c r="Z25" s="250" t="s">
        <v>840</v>
      </c>
      <c r="AA25" s="250">
        <v>0.85</v>
      </c>
      <c r="AB25" s="250" t="s">
        <v>841</v>
      </c>
      <c r="AC25" s="250" t="s">
        <v>842</v>
      </c>
      <c r="AD25" s="250">
        <v>220</v>
      </c>
      <c r="AE25" s="250"/>
      <c r="AF25" s="250"/>
      <c r="AG25" s="241"/>
    </row>
    <row r="26" spans="1:33" ht="15.75">
      <c r="A26" s="250" t="s">
        <v>867</v>
      </c>
      <c r="B26" s="250" t="s">
        <v>836</v>
      </c>
      <c r="C26" s="250" t="s">
        <v>837</v>
      </c>
      <c r="D26" s="250" t="s">
        <v>838</v>
      </c>
      <c r="E26" s="250">
        <v>1</v>
      </c>
      <c r="F26" s="251">
        <v>45077.491608796299</v>
      </c>
      <c r="G26" s="250">
        <v>1</v>
      </c>
      <c r="H26" s="250">
        <v>51.364100000000001</v>
      </c>
      <c r="I26" s="250">
        <v>7.1406000000000001</v>
      </c>
      <c r="J26" s="250">
        <v>-2.8116120000000002</v>
      </c>
      <c r="K26" s="250">
        <v>-1.993115</v>
      </c>
      <c r="L26" s="250">
        <v>933.51400000000001</v>
      </c>
      <c r="M26" s="250">
        <v>109.500027</v>
      </c>
      <c r="N26" s="250">
        <v>11932.2017</v>
      </c>
      <c r="O26" s="250">
        <v>11932.2017</v>
      </c>
      <c r="P26" s="250">
        <v>1919.90184</v>
      </c>
      <c r="Q26" s="250" t="s">
        <v>18</v>
      </c>
      <c r="R26" s="250" t="s">
        <v>839</v>
      </c>
      <c r="S26" s="250" t="s">
        <v>21</v>
      </c>
      <c r="T26" s="250">
        <v>15</v>
      </c>
      <c r="U26" s="250">
        <v>5</v>
      </c>
      <c r="V26" s="250">
        <v>0.7</v>
      </c>
      <c r="W26" s="250">
        <v>0.7</v>
      </c>
      <c r="X26" s="250">
        <v>0.7</v>
      </c>
      <c r="Y26" s="250">
        <v>1700</v>
      </c>
      <c r="Z26" s="250" t="s">
        <v>840</v>
      </c>
      <c r="AA26" s="250">
        <v>0.85</v>
      </c>
      <c r="AB26" s="250" t="s">
        <v>841</v>
      </c>
      <c r="AC26" s="250" t="s">
        <v>842</v>
      </c>
      <c r="AD26" s="250">
        <v>220</v>
      </c>
      <c r="AE26" s="250"/>
      <c r="AF26" s="250"/>
      <c r="AG26" s="241"/>
    </row>
    <row r="27" spans="1:33" ht="15.75">
      <c r="A27" s="250" t="s">
        <v>868</v>
      </c>
      <c r="B27" s="250" t="s">
        <v>836</v>
      </c>
      <c r="C27" s="250" t="s">
        <v>837</v>
      </c>
      <c r="D27" s="250" t="s">
        <v>838</v>
      </c>
      <c r="E27" s="250">
        <v>1</v>
      </c>
      <c r="F27" s="251">
        <v>45077.494780092595</v>
      </c>
      <c r="G27" s="250">
        <v>1</v>
      </c>
      <c r="H27" s="250">
        <v>51.374099999999999</v>
      </c>
      <c r="I27" s="250">
        <v>7.1648800000000001</v>
      </c>
      <c r="J27" s="250">
        <v>-2.9532799999999999</v>
      </c>
      <c r="K27" s="250">
        <v>-2.1052970000000002</v>
      </c>
      <c r="L27" s="250">
        <v>941.83100000000002</v>
      </c>
      <c r="M27" s="250">
        <v>110.49884299999999</v>
      </c>
      <c r="N27" s="250">
        <v>11944.882100000001</v>
      </c>
      <c r="O27" s="250">
        <v>11944.882100000001</v>
      </c>
      <c r="P27" s="250">
        <v>1921.9367400000001</v>
      </c>
      <c r="Q27" s="250" t="s">
        <v>18</v>
      </c>
      <c r="R27" s="250" t="s">
        <v>839</v>
      </c>
      <c r="S27" s="250" t="s">
        <v>21</v>
      </c>
      <c r="T27" s="250">
        <v>15</v>
      </c>
      <c r="U27" s="250">
        <v>5</v>
      </c>
      <c r="V27" s="250">
        <v>0.7</v>
      </c>
      <c r="W27" s="250">
        <v>0.7</v>
      </c>
      <c r="X27" s="250">
        <v>0.7</v>
      </c>
      <c r="Y27" s="250">
        <v>1700</v>
      </c>
      <c r="Z27" s="250" t="s">
        <v>840</v>
      </c>
      <c r="AA27" s="250">
        <v>0.85</v>
      </c>
      <c r="AB27" s="250" t="s">
        <v>841</v>
      </c>
      <c r="AC27" s="250" t="s">
        <v>842</v>
      </c>
      <c r="AD27" s="250">
        <v>220</v>
      </c>
      <c r="AE27" s="250"/>
      <c r="AF27" s="250"/>
      <c r="AG27" s="241"/>
    </row>
    <row r="28" spans="1:33" ht="15.75">
      <c r="A28" s="250" t="s">
        <v>869</v>
      </c>
      <c r="B28" s="250" t="s">
        <v>836</v>
      </c>
      <c r="C28" s="250" t="s">
        <v>837</v>
      </c>
      <c r="D28" s="250" t="s">
        <v>838</v>
      </c>
      <c r="E28" s="250">
        <v>1</v>
      </c>
      <c r="F28" s="251">
        <v>45077.497916666667</v>
      </c>
      <c r="G28" s="250">
        <v>1</v>
      </c>
      <c r="H28" s="250">
        <v>51.3675</v>
      </c>
      <c r="I28" s="250">
        <v>7.2260099999999996</v>
      </c>
      <c r="J28" s="250">
        <v>-2.7947739999999999</v>
      </c>
      <c r="K28" s="250">
        <v>-1.9505170000000001</v>
      </c>
      <c r="L28" s="250">
        <v>940.61400000000003</v>
      </c>
      <c r="M28" s="250">
        <v>101.99892699999999</v>
      </c>
      <c r="N28" s="250">
        <v>11921.0975</v>
      </c>
      <c r="O28" s="250">
        <v>11921.0975</v>
      </c>
      <c r="P28" s="250">
        <v>1918.1198899999999</v>
      </c>
      <c r="Q28" s="250" t="s">
        <v>18</v>
      </c>
      <c r="R28" s="250" t="s">
        <v>839</v>
      </c>
      <c r="S28" s="250" t="s">
        <v>21</v>
      </c>
      <c r="T28" s="250">
        <v>15</v>
      </c>
      <c r="U28" s="250">
        <v>5</v>
      </c>
      <c r="V28" s="250">
        <v>0.7</v>
      </c>
      <c r="W28" s="250">
        <v>0.7</v>
      </c>
      <c r="X28" s="250">
        <v>0.7</v>
      </c>
      <c r="Y28" s="250">
        <v>1700</v>
      </c>
      <c r="Z28" s="250" t="s">
        <v>840</v>
      </c>
      <c r="AA28" s="250">
        <v>0.85</v>
      </c>
      <c r="AB28" s="250" t="s">
        <v>841</v>
      </c>
      <c r="AC28" s="250" t="s">
        <v>842</v>
      </c>
      <c r="AD28" s="250">
        <v>220</v>
      </c>
      <c r="AE28" s="250"/>
      <c r="AF28" s="250"/>
      <c r="AG28" s="241"/>
    </row>
    <row r="29" spans="1:33" ht="15.75">
      <c r="A29" s="250" t="s">
        <v>870</v>
      </c>
      <c r="B29" s="250" t="s">
        <v>836</v>
      </c>
      <c r="C29" s="250" t="s">
        <v>837</v>
      </c>
      <c r="D29" s="250" t="s">
        <v>838</v>
      </c>
      <c r="E29" s="250">
        <v>1</v>
      </c>
      <c r="F29" s="251">
        <v>45077.50099537037</v>
      </c>
      <c r="G29" s="250">
        <v>1</v>
      </c>
      <c r="H29" s="250">
        <v>51.3675</v>
      </c>
      <c r="I29" s="250">
        <v>7.1455399999999996</v>
      </c>
      <c r="J29" s="250">
        <v>-2.770778</v>
      </c>
      <c r="K29" s="250">
        <v>-1.9232590000000001</v>
      </c>
      <c r="L29" s="250">
        <v>938.72799999999995</v>
      </c>
      <c r="M29" s="250">
        <v>132.500112</v>
      </c>
      <c r="N29" s="250">
        <v>11923.587299999999</v>
      </c>
      <c r="O29" s="250">
        <v>11923.587299999999</v>
      </c>
      <c r="P29" s="250">
        <v>1918.51945</v>
      </c>
      <c r="Q29" s="250" t="s">
        <v>18</v>
      </c>
      <c r="R29" s="250" t="s">
        <v>839</v>
      </c>
      <c r="S29" s="250" t="s">
        <v>21</v>
      </c>
      <c r="T29" s="250">
        <v>15</v>
      </c>
      <c r="U29" s="250">
        <v>5</v>
      </c>
      <c r="V29" s="250">
        <v>0.7</v>
      </c>
      <c r="W29" s="250">
        <v>0.7</v>
      </c>
      <c r="X29" s="250">
        <v>0.7</v>
      </c>
      <c r="Y29" s="250">
        <v>1700</v>
      </c>
      <c r="Z29" s="250" t="s">
        <v>840</v>
      </c>
      <c r="AA29" s="250">
        <v>0.85</v>
      </c>
      <c r="AB29" s="250" t="s">
        <v>841</v>
      </c>
      <c r="AC29" s="250" t="s">
        <v>842</v>
      </c>
      <c r="AD29" s="250">
        <v>220</v>
      </c>
      <c r="AE29" s="250"/>
      <c r="AF29" s="250"/>
      <c r="AG29" s="241"/>
    </row>
    <row r="30" spans="1:33" ht="15.75">
      <c r="A30" s="250" t="s">
        <v>871</v>
      </c>
      <c r="B30" s="250" t="s">
        <v>836</v>
      </c>
      <c r="C30" s="250" t="s">
        <v>837</v>
      </c>
      <c r="D30" s="250" t="s">
        <v>838</v>
      </c>
      <c r="E30" s="250">
        <v>1</v>
      </c>
      <c r="F30" s="251">
        <v>45077.504432870373</v>
      </c>
      <c r="G30" s="250">
        <v>1</v>
      </c>
      <c r="H30" s="250">
        <v>51.370800000000003</v>
      </c>
      <c r="I30" s="250">
        <v>7.1558599999999997</v>
      </c>
      <c r="J30" s="250">
        <v>-2.9025159999999999</v>
      </c>
      <c r="K30" s="250">
        <v>-2.1088260000000001</v>
      </c>
      <c r="L30" s="250">
        <v>937.43899999999996</v>
      </c>
      <c r="M30" s="250">
        <v>117.500912</v>
      </c>
      <c r="N30" s="250">
        <v>11949.8588</v>
      </c>
      <c r="O30" s="250">
        <v>11949.8588</v>
      </c>
      <c r="P30" s="250">
        <v>1922.7353800000001</v>
      </c>
      <c r="Q30" s="250" t="s">
        <v>18</v>
      </c>
      <c r="R30" s="250" t="s">
        <v>839</v>
      </c>
      <c r="S30" s="250" t="s">
        <v>21</v>
      </c>
      <c r="T30" s="250">
        <v>15</v>
      </c>
      <c r="U30" s="250">
        <v>5</v>
      </c>
      <c r="V30" s="250">
        <v>0.7</v>
      </c>
      <c r="W30" s="250">
        <v>0.7</v>
      </c>
      <c r="X30" s="250">
        <v>0.7</v>
      </c>
      <c r="Y30" s="250">
        <v>1700</v>
      </c>
      <c r="Z30" s="250" t="s">
        <v>840</v>
      </c>
      <c r="AA30" s="250">
        <v>0.85</v>
      </c>
      <c r="AB30" s="250" t="s">
        <v>841</v>
      </c>
      <c r="AC30" s="250" t="s">
        <v>842</v>
      </c>
      <c r="AD30" s="250">
        <v>220</v>
      </c>
      <c r="AE30" s="250"/>
      <c r="AF30" s="250"/>
      <c r="AG30" s="241"/>
    </row>
    <row r="31" spans="1:33" ht="15.75">
      <c r="A31" s="250" t="s">
        <v>872</v>
      </c>
      <c r="B31" s="250" t="s">
        <v>836</v>
      </c>
      <c r="C31" s="250" t="s">
        <v>837</v>
      </c>
      <c r="D31" s="250" t="s">
        <v>838</v>
      </c>
      <c r="E31" s="250">
        <v>1</v>
      </c>
      <c r="F31" s="251">
        <v>45077.508888888886</v>
      </c>
      <c r="G31" s="250">
        <v>1</v>
      </c>
      <c r="H31" s="250">
        <v>51.370800000000003</v>
      </c>
      <c r="I31" s="250">
        <v>7.2542799999999996</v>
      </c>
      <c r="J31" s="250">
        <v>-2.8359649999999998</v>
      </c>
      <c r="K31" s="250">
        <v>-1.9989030000000001</v>
      </c>
      <c r="L31" s="250">
        <v>940.76400000000001</v>
      </c>
      <c r="M31" s="250">
        <v>102.99912999999999</v>
      </c>
      <c r="N31" s="250">
        <v>11894.260899999999</v>
      </c>
      <c r="O31" s="250">
        <v>11894.260899999999</v>
      </c>
      <c r="P31" s="250">
        <v>1913.8132700000001</v>
      </c>
      <c r="Q31" s="250" t="s">
        <v>18</v>
      </c>
      <c r="R31" s="250" t="s">
        <v>839</v>
      </c>
      <c r="S31" s="250" t="s">
        <v>21</v>
      </c>
      <c r="T31" s="250">
        <v>15</v>
      </c>
      <c r="U31" s="250">
        <v>5</v>
      </c>
      <c r="V31" s="250">
        <v>0.7</v>
      </c>
      <c r="W31" s="250">
        <v>0.7</v>
      </c>
      <c r="X31" s="250">
        <v>0.7</v>
      </c>
      <c r="Y31" s="250">
        <v>1700</v>
      </c>
      <c r="Z31" s="250" t="s">
        <v>840</v>
      </c>
      <c r="AA31" s="250">
        <v>0.85</v>
      </c>
      <c r="AB31" s="250" t="s">
        <v>841</v>
      </c>
      <c r="AC31" s="250" t="s">
        <v>842</v>
      </c>
      <c r="AD31" s="250">
        <v>220</v>
      </c>
      <c r="AE31" s="250"/>
      <c r="AF31" s="250"/>
      <c r="AG31" s="241"/>
    </row>
    <row r="32" spans="1:33" ht="15.75">
      <c r="A32" s="250" t="s">
        <v>873</v>
      </c>
      <c r="B32" s="250" t="s">
        <v>836</v>
      </c>
      <c r="C32" s="250" t="s">
        <v>837</v>
      </c>
      <c r="D32" s="250" t="s">
        <v>838</v>
      </c>
      <c r="E32" s="250">
        <v>1</v>
      </c>
      <c r="F32" s="251">
        <v>45077.511944444443</v>
      </c>
      <c r="G32" s="250">
        <v>1</v>
      </c>
      <c r="H32" s="250">
        <v>51.364100000000001</v>
      </c>
      <c r="I32" s="250">
        <v>7.1953500000000004</v>
      </c>
      <c r="J32" s="250">
        <v>-2.8238940000000001</v>
      </c>
      <c r="K32" s="250">
        <v>-1.9822219999999999</v>
      </c>
      <c r="L32" s="250">
        <v>938.18399999999997</v>
      </c>
      <c r="M32" s="250">
        <v>101.499257</v>
      </c>
      <c r="N32" s="250">
        <v>11923.865</v>
      </c>
      <c r="O32" s="250">
        <v>11923.865</v>
      </c>
      <c r="P32" s="250">
        <v>1918.5640100000001</v>
      </c>
      <c r="Q32" s="250" t="s">
        <v>18</v>
      </c>
      <c r="R32" s="250" t="s">
        <v>839</v>
      </c>
      <c r="S32" s="250" t="s">
        <v>21</v>
      </c>
      <c r="T32" s="250">
        <v>15</v>
      </c>
      <c r="U32" s="250">
        <v>5</v>
      </c>
      <c r="V32" s="250">
        <v>0.7</v>
      </c>
      <c r="W32" s="250">
        <v>0.7</v>
      </c>
      <c r="X32" s="250">
        <v>0.7</v>
      </c>
      <c r="Y32" s="250">
        <v>1700</v>
      </c>
      <c r="Z32" s="250" t="s">
        <v>840</v>
      </c>
      <c r="AA32" s="250">
        <v>0.85</v>
      </c>
      <c r="AB32" s="250" t="s">
        <v>841</v>
      </c>
      <c r="AC32" s="250" t="s">
        <v>842</v>
      </c>
      <c r="AD32" s="250">
        <v>220</v>
      </c>
      <c r="AE32" s="250"/>
      <c r="AF32" s="250"/>
      <c r="AG32" s="241"/>
    </row>
    <row r="33" spans="1:33" ht="15.75">
      <c r="A33" s="250" t="s">
        <v>874</v>
      </c>
      <c r="B33" s="250" t="s">
        <v>836</v>
      </c>
      <c r="C33" s="250" t="s">
        <v>837</v>
      </c>
      <c r="D33" s="250" t="s">
        <v>838</v>
      </c>
      <c r="E33" s="250">
        <v>1</v>
      </c>
      <c r="F33" s="251">
        <v>45077.514988425923</v>
      </c>
      <c r="G33" s="250">
        <v>1</v>
      </c>
      <c r="H33" s="250">
        <v>51.374099999999999</v>
      </c>
      <c r="I33" s="250">
        <v>7.1377300000000004</v>
      </c>
      <c r="J33" s="250">
        <v>-2.8424130000000001</v>
      </c>
      <c r="K33" s="250">
        <v>-1.994529</v>
      </c>
      <c r="L33" s="250">
        <v>940.90800000000002</v>
      </c>
      <c r="M33" s="250">
        <v>103.49750299999999</v>
      </c>
      <c r="N33" s="250">
        <v>11894.3585</v>
      </c>
      <c r="O33" s="250">
        <v>11894.3585</v>
      </c>
      <c r="P33" s="250">
        <v>1913.8289400000001</v>
      </c>
      <c r="Q33" s="250" t="s">
        <v>18</v>
      </c>
      <c r="R33" s="250" t="s">
        <v>839</v>
      </c>
      <c r="S33" s="250" t="s">
        <v>21</v>
      </c>
      <c r="T33" s="250">
        <v>15</v>
      </c>
      <c r="U33" s="250">
        <v>5</v>
      </c>
      <c r="V33" s="250">
        <v>0.7</v>
      </c>
      <c r="W33" s="250">
        <v>0.7</v>
      </c>
      <c r="X33" s="250">
        <v>0.7</v>
      </c>
      <c r="Y33" s="250">
        <v>1700</v>
      </c>
      <c r="Z33" s="250" t="s">
        <v>840</v>
      </c>
      <c r="AA33" s="250">
        <v>0.85</v>
      </c>
      <c r="AB33" s="250" t="s">
        <v>841</v>
      </c>
      <c r="AC33" s="250" t="s">
        <v>842</v>
      </c>
      <c r="AD33" s="250">
        <v>220</v>
      </c>
      <c r="AE33" s="250"/>
      <c r="AF33" s="250"/>
      <c r="AG33" s="241"/>
    </row>
    <row r="34" spans="1:33" ht="15.75">
      <c r="A34" s="250" t="s">
        <v>875</v>
      </c>
      <c r="B34" s="250" t="s">
        <v>836</v>
      </c>
      <c r="C34" s="250" t="s">
        <v>837</v>
      </c>
      <c r="D34" s="250" t="s">
        <v>838</v>
      </c>
      <c r="E34" s="250">
        <v>1</v>
      </c>
      <c r="F34" s="251">
        <v>45077.518078703702</v>
      </c>
      <c r="G34" s="250">
        <v>1</v>
      </c>
      <c r="H34" s="250">
        <v>51.370800000000003</v>
      </c>
      <c r="I34" s="250">
        <v>7.0306899999999999</v>
      </c>
      <c r="J34" s="250">
        <v>-2.8685179999999999</v>
      </c>
      <c r="K34" s="250">
        <v>-2.0193490000000001</v>
      </c>
      <c r="L34" s="250">
        <v>942.76199999999994</v>
      </c>
      <c r="M34" s="250">
        <v>108.998694</v>
      </c>
      <c r="N34" s="250">
        <v>11929.4293</v>
      </c>
      <c r="O34" s="250">
        <v>11929.4293</v>
      </c>
      <c r="P34" s="250">
        <v>1919.45694</v>
      </c>
      <c r="Q34" s="250" t="s">
        <v>18</v>
      </c>
      <c r="R34" s="250" t="s">
        <v>839</v>
      </c>
      <c r="S34" s="250" t="s">
        <v>21</v>
      </c>
      <c r="T34" s="250">
        <v>15</v>
      </c>
      <c r="U34" s="250">
        <v>5</v>
      </c>
      <c r="V34" s="250">
        <v>0.7</v>
      </c>
      <c r="W34" s="250">
        <v>0.7</v>
      </c>
      <c r="X34" s="250">
        <v>0.7</v>
      </c>
      <c r="Y34" s="250">
        <v>1700</v>
      </c>
      <c r="Z34" s="250" t="s">
        <v>840</v>
      </c>
      <c r="AA34" s="250">
        <v>0.85</v>
      </c>
      <c r="AB34" s="250" t="s">
        <v>841</v>
      </c>
      <c r="AC34" s="250" t="s">
        <v>842</v>
      </c>
      <c r="AD34" s="250">
        <v>220</v>
      </c>
      <c r="AE34" s="250"/>
      <c r="AF34" s="250"/>
      <c r="AG34" s="241"/>
    </row>
    <row r="35" spans="1:33" ht="15.75">
      <c r="A35" s="250" t="s">
        <v>876</v>
      </c>
      <c r="B35" s="250" t="s">
        <v>836</v>
      </c>
      <c r="C35" s="250" t="s">
        <v>837</v>
      </c>
      <c r="D35" s="250" t="s">
        <v>838</v>
      </c>
      <c r="E35" s="250">
        <v>1</v>
      </c>
      <c r="F35" s="251">
        <v>45077.521203703705</v>
      </c>
      <c r="G35" s="250">
        <v>1</v>
      </c>
      <c r="H35" s="250">
        <v>51.370800000000003</v>
      </c>
      <c r="I35" s="250">
        <v>6.9788199999999998</v>
      </c>
      <c r="J35" s="250">
        <v>-2.9488859999999999</v>
      </c>
      <c r="K35" s="250">
        <v>-2.1218110000000001</v>
      </c>
      <c r="L35" s="250">
        <v>918.21100000000001</v>
      </c>
      <c r="M35" s="250">
        <v>105.500474</v>
      </c>
      <c r="N35" s="250">
        <v>11950.385700000001</v>
      </c>
      <c r="O35" s="250">
        <v>11950.385700000001</v>
      </c>
      <c r="P35" s="250">
        <v>1922.8199400000001</v>
      </c>
      <c r="Q35" s="250" t="s">
        <v>18</v>
      </c>
      <c r="R35" s="250" t="s">
        <v>839</v>
      </c>
      <c r="S35" s="250" t="s">
        <v>21</v>
      </c>
      <c r="T35" s="250">
        <v>15</v>
      </c>
      <c r="U35" s="250">
        <v>5</v>
      </c>
      <c r="V35" s="250">
        <v>0.7</v>
      </c>
      <c r="W35" s="250">
        <v>0.7</v>
      </c>
      <c r="X35" s="250">
        <v>0.7</v>
      </c>
      <c r="Y35" s="250">
        <v>1700</v>
      </c>
      <c r="Z35" s="250" t="s">
        <v>840</v>
      </c>
      <c r="AA35" s="250">
        <v>0.85</v>
      </c>
      <c r="AB35" s="250" t="s">
        <v>841</v>
      </c>
      <c r="AC35" s="250" t="s">
        <v>842</v>
      </c>
      <c r="AD35" s="250">
        <v>220</v>
      </c>
      <c r="AE35" s="250"/>
      <c r="AF35" s="250"/>
      <c r="AG35" s="241"/>
    </row>
    <row r="36" spans="1:33" ht="15.75">
      <c r="A36" s="250" t="s">
        <v>877</v>
      </c>
      <c r="B36" s="250" t="s">
        <v>836</v>
      </c>
      <c r="C36" s="250" t="s">
        <v>837</v>
      </c>
      <c r="D36" s="250" t="s">
        <v>838</v>
      </c>
      <c r="E36" s="250">
        <v>1</v>
      </c>
      <c r="F36" s="251">
        <v>45077.524317129632</v>
      </c>
      <c r="G36" s="250">
        <v>1</v>
      </c>
      <c r="H36" s="250">
        <v>51.374099999999999</v>
      </c>
      <c r="I36" s="250">
        <v>6.9579500000000003</v>
      </c>
      <c r="J36" s="250">
        <v>-2.9651139999999998</v>
      </c>
      <c r="K36" s="250">
        <v>-2.1345139999999998</v>
      </c>
      <c r="L36" s="250">
        <v>945.07500000000005</v>
      </c>
      <c r="M36" s="250">
        <v>99.499771999999993</v>
      </c>
      <c r="N36" s="250">
        <v>11922.463</v>
      </c>
      <c r="O36" s="250">
        <v>11922.463</v>
      </c>
      <c r="P36" s="250">
        <v>1918.3390300000001</v>
      </c>
      <c r="Q36" s="250" t="s">
        <v>18</v>
      </c>
      <c r="R36" s="250" t="s">
        <v>839</v>
      </c>
      <c r="S36" s="250" t="s">
        <v>21</v>
      </c>
      <c r="T36" s="250">
        <v>15</v>
      </c>
      <c r="U36" s="250">
        <v>5</v>
      </c>
      <c r="V36" s="250">
        <v>0.7</v>
      </c>
      <c r="W36" s="250">
        <v>0.7</v>
      </c>
      <c r="X36" s="250">
        <v>0.7</v>
      </c>
      <c r="Y36" s="250">
        <v>1700</v>
      </c>
      <c r="Z36" s="250" t="s">
        <v>840</v>
      </c>
      <c r="AA36" s="250">
        <v>0.85</v>
      </c>
      <c r="AB36" s="250" t="s">
        <v>841</v>
      </c>
      <c r="AC36" s="250" t="s">
        <v>842</v>
      </c>
      <c r="AD36" s="250">
        <v>220</v>
      </c>
      <c r="AE36" s="250"/>
      <c r="AF36" s="250"/>
      <c r="AG36" s="241"/>
    </row>
    <row r="37" spans="1:33" ht="15.75">
      <c r="A37" s="250" t="s">
        <v>878</v>
      </c>
      <c r="B37" s="250" t="s">
        <v>836</v>
      </c>
      <c r="C37" s="250" t="s">
        <v>837</v>
      </c>
      <c r="D37" s="250" t="s">
        <v>838</v>
      </c>
      <c r="E37" s="250">
        <v>1</v>
      </c>
      <c r="F37" s="251">
        <v>45077.527361111112</v>
      </c>
      <c r="G37" s="250">
        <v>1</v>
      </c>
      <c r="H37" s="250">
        <v>51.360799999999998</v>
      </c>
      <c r="I37" s="250">
        <v>7.0578399999999997</v>
      </c>
      <c r="J37" s="250">
        <v>-2.8832970000000002</v>
      </c>
      <c r="K37" s="250">
        <v>-2.050643</v>
      </c>
      <c r="L37" s="250">
        <v>944.78599999999994</v>
      </c>
      <c r="M37" s="250">
        <v>93.500152</v>
      </c>
      <c r="N37" s="250">
        <v>11919.0026</v>
      </c>
      <c r="O37" s="250">
        <v>11919.0026</v>
      </c>
      <c r="P37" s="250">
        <v>1917.7837</v>
      </c>
      <c r="Q37" s="250" t="s">
        <v>18</v>
      </c>
      <c r="R37" s="250" t="s">
        <v>839</v>
      </c>
      <c r="S37" s="250" t="s">
        <v>21</v>
      </c>
      <c r="T37" s="250">
        <v>15</v>
      </c>
      <c r="U37" s="250">
        <v>5</v>
      </c>
      <c r="V37" s="250">
        <v>0.7</v>
      </c>
      <c r="W37" s="250">
        <v>0.7</v>
      </c>
      <c r="X37" s="250">
        <v>0.7</v>
      </c>
      <c r="Y37" s="250">
        <v>1700</v>
      </c>
      <c r="Z37" s="250" t="s">
        <v>840</v>
      </c>
      <c r="AA37" s="250">
        <v>0.85</v>
      </c>
      <c r="AB37" s="250" t="s">
        <v>841</v>
      </c>
      <c r="AC37" s="250" t="s">
        <v>842</v>
      </c>
      <c r="AD37" s="250">
        <v>220</v>
      </c>
      <c r="AE37" s="250"/>
      <c r="AF37" s="250"/>
      <c r="AG37" s="241"/>
    </row>
    <row r="38" spans="1:33" ht="15.75">
      <c r="A38" s="250" t="s">
        <v>879</v>
      </c>
      <c r="B38" s="250" t="s">
        <v>836</v>
      </c>
      <c r="C38" s="250" t="s">
        <v>837</v>
      </c>
      <c r="D38" s="250" t="s">
        <v>838</v>
      </c>
      <c r="E38" s="250">
        <v>1</v>
      </c>
      <c r="F38" s="251">
        <v>45077.530312499999</v>
      </c>
      <c r="G38" s="250">
        <v>1</v>
      </c>
      <c r="H38" s="250">
        <v>51.3675</v>
      </c>
      <c r="I38" s="250">
        <v>6.9310799999999997</v>
      </c>
      <c r="J38" s="250">
        <v>-2.8810579999999999</v>
      </c>
      <c r="K38" s="250">
        <v>-2.0436329999999998</v>
      </c>
      <c r="L38" s="250">
        <v>955.58199999999999</v>
      </c>
      <c r="M38" s="250">
        <v>99.997956000000002</v>
      </c>
      <c r="N38" s="250">
        <v>11934.588400000001</v>
      </c>
      <c r="O38" s="250">
        <v>11934.588400000001</v>
      </c>
      <c r="P38" s="250">
        <v>1920.28485</v>
      </c>
      <c r="Q38" s="250" t="s">
        <v>18</v>
      </c>
      <c r="R38" s="250" t="s">
        <v>839</v>
      </c>
      <c r="S38" s="250" t="s">
        <v>21</v>
      </c>
      <c r="T38" s="250">
        <v>15</v>
      </c>
      <c r="U38" s="250">
        <v>5</v>
      </c>
      <c r="V38" s="250">
        <v>0.7</v>
      </c>
      <c r="W38" s="250">
        <v>0.7</v>
      </c>
      <c r="X38" s="250">
        <v>0.7</v>
      </c>
      <c r="Y38" s="250">
        <v>1700</v>
      </c>
      <c r="Z38" s="250" t="s">
        <v>840</v>
      </c>
      <c r="AA38" s="250">
        <v>0.85</v>
      </c>
      <c r="AB38" s="250" t="s">
        <v>841</v>
      </c>
      <c r="AC38" s="250" t="s">
        <v>842</v>
      </c>
      <c r="AD38" s="250">
        <v>220</v>
      </c>
      <c r="AE38" s="250"/>
      <c r="AF38" s="250"/>
      <c r="AG38" s="241"/>
    </row>
    <row r="39" spans="1:33" ht="15.75">
      <c r="A39" s="250" t="s">
        <v>880</v>
      </c>
      <c r="B39" s="250" t="s">
        <v>881</v>
      </c>
      <c r="C39" s="250" t="s">
        <v>882</v>
      </c>
      <c r="D39" s="250" t="s">
        <v>838</v>
      </c>
      <c r="E39" s="250">
        <v>1.2</v>
      </c>
      <c r="F39" s="251">
        <v>45077.535011574073</v>
      </c>
      <c r="G39" s="250">
        <v>1</v>
      </c>
      <c r="H39" s="250">
        <v>51.3675</v>
      </c>
      <c r="I39" s="250">
        <v>7.0376899999999996</v>
      </c>
      <c r="J39" s="250">
        <v>-2.9549430000000001</v>
      </c>
      <c r="K39" s="250">
        <v>-2.1233399999999998</v>
      </c>
      <c r="L39" s="250">
        <v>1041.73</v>
      </c>
      <c r="M39" s="250">
        <v>117.499994</v>
      </c>
      <c r="N39" s="250">
        <v>14754.299000000001</v>
      </c>
      <c r="O39" s="250">
        <v>14899.515299999999</v>
      </c>
      <c r="P39" s="250">
        <v>2028.23</v>
      </c>
      <c r="Q39" s="250" t="s">
        <v>18</v>
      </c>
      <c r="R39" s="250" t="s">
        <v>647</v>
      </c>
      <c r="S39" s="250" t="s">
        <v>21</v>
      </c>
      <c r="T39" s="250">
        <v>15</v>
      </c>
      <c r="U39" s="250">
        <v>5</v>
      </c>
      <c r="V39" s="250">
        <v>0.7</v>
      </c>
      <c r="W39" s="250">
        <v>0.7</v>
      </c>
      <c r="X39" s="250">
        <v>0.7</v>
      </c>
      <c r="Y39" s="250">
        <v>1700</v>
      </c>
      <c r="Z39" s="250" t="s">
        <v>840</v>
      </c>
      <c r="AA39" s="250">
        <v>0.85</v>
      </c>
      <c r="AB39" s="250" t="s">
        <v>841</v>
      </c>
      <c r="AC39" s="250" t="s">
        <v>842</v>
      </c>
      <c r="AD39" s="250">
        <v>220</v>
      </c>
      <c r="AE39" s="250"/>
      <c r="AF39" s="250"/>
      <c r="AG39" s="241"/>
    </row>
    <row r="40" spans="1:33" ht="15.75">
      <c r="A40" s="250" t="s">
        <v>883</v>
      </c>
      <c r="B40" s="250" t="s">
        <v>881</v>
      </c>
      <c r="C40" s="250" t="s">
        <v>882</v>
      </c>
      <c r="D40" s="250" t="s">
        <v>838</v>
      </c>
      <c r="E40" s="250">
        <v>1.2</v>
      </c>
      <c r="F40" s="251">
        <v>45077.538472222222</v>
      </c>
      <c r="G40" s="250">
        <v>1</v>
      </c>
      <c r="H40" s="250">
        <v>51.3675</v>
      </c>
      <c r="I40" s="250">
        <v>6.9982199999999999</v>
      </c>
      <c r="J40" s="250">
        <v>-3.0084759999999999</v>
      </c>
      <c r="K40" s="250">
        <v>-2.1941899999999999</v>
      </c>
      <c r="L40" s="250">
        <v>1035.32</v>
      </c>
      <c r="M40" s="250">
        <v>101.99992399999999</v>
      </c>
      <c r="N40" s="250">
        <v>14888.995699999999</v>
      </c>
      <c r="O40" s="250">
        <v>14899.515299999999</v>
      </c>
      <c r="P40" s="250">
        <v>2028.23</v>
      </c>
      <c r="Q40" s="250" t="s">
        <v>18</v>
      </c>
      <c r="R40" s="250" t="s">
        <v>839</v>
      </c>
      <c r="S40" s="250" t="s">
        <v>21</v>
      </c>
      <c r="T40" s="250">
        <v>15</v>
      </c>
      <c r="U40" s="250">
        <v>5</v>
      </c>
      <c r="V40" s="250">
        <v>0.7</v>
      </c>
      <c r="W40" s="250">
        <v>0.7</v>
      </c>
      <c r="X40" s="250">
        <v>0.7</v>
      </c>
      <c r="Y40" s="250">
        <v>1700</v>
      </c>
      <c r="Z40" s="250" t="s">
        <v>840</v>
      </c>
      <c r="AA40" s="250">
        <v>0.85</v>
      </c>
      <c r="AB40" s="250" t="s">
        <v>841</v>
      </c>
      <c r="AC40" s="250" t="s">
        <v>842</v>
      </c>
      <c r="AD40" s="250">
        <v>220</v>
      </c>
      <c r="AE40" s="250"/>
      <c r="AF40" s="250"/>
      <c r="AG40" s="241"/>
    </row>
    <row r="41" spans="1:33" ht="15.75">
      <c r="A41" s="250" t="s">
        <v>884</v>
      </c>
      <c r="B41" s="250" t="s">
        <v>881</v>
      </c>
      <c r="C41" s="250" t="s">
        <v>882</v>
      </c>
      <c r="D41" s="250" t="s">
        <v>838</v>
      </c>
      <c r="E41" s="250">
        <v>1.2</v>
      </c>
      <c r="F41" s="251">
        <v>45077.541759259257</v>
      </c>
      <c r="G41" s="250">
        <v>1</v>
      </c>
      <c r="H41" s="250">
        <v>51.370800000000003</v>
      </c>
      <c r="I41" s="250">
        <v>6.9479800000000003</v>
      </c>
      <c r="J41" s="250">
        <v>-3.0431789999999999</v>
      </c>
      <c r="K41" s="250">
        <v>-2.1947380000000001</v>
      </c>
      <c r="L41" s="250">
        <v>1040.99</v>
      </c>
      <c r="M41" s="250">
        <v>112.99980100000001</v>
      </c>
      <c r="N41" s="250">
        <v>14867.851199999999</v>
      </c>
      <c r="O41" s="250">
        <v>14899.515299999999</v>
      </c>
      <c r="P41" s="250">
        <v>2028.23</v>
      </c>
      <c r="Q41" s="250" t="s">
        <v>18</v>
      </c>
      <c r="R41" s="250" t="s">
        <v>647</v>
      </c>
      <c r="S41" s="250" t="s">
        <v>21</v>
      </c>
      <c r="T41" s="250">
        <v>15</v>
      </c>
      <c r="U41" s="250">
        <v>5</v>
      </c>
      <c r="V41" s="250">
        <v>0.7</v>
      </c>
      <c r="W41" s="250">
        <v>0.7</v>
      </c>
      <c r="X41" s="250">
        <v>0.7</v>
      </c>
      <c r="Y41" s="250">
        <v>1700</v>
      </c>
      <c r="Z41" s="250" t="s">
        <v>840</v>
      </c>
      <c r="AA41" s="250">
        <v>0.85</v>
      </c>
      <c r="AB41" s="250" t="s">
        <v>841</v>
      </c>
      <c r="AC41" s="250" t="s">
        <v>842</v>
      </c>
      <c r="AD41" s="250">
        <v>220</v>
      </c>
      <c r="AE41" s="250"/>
      <c r="AF41" s="250"/>
      <c r="AG41" s="241"/>
    </row>
    <row r="42" spans="1:33" ht="15.75">
      <c r="A42" s="250" t="s">
        <v>885</v>
      </c>
      <c r="B42" s="250" t="s">
        <v>881</v>
      </c>
      <c r="C42" s="250" t="s">
        <v>882</v>
      </c>
      <c r="D42" s="250" t="s">
        <v>838</v>
      </c>
      <c r="E42" s="250">
        <v>1.2</v>
      </c>
      <c r="F42" s="251">
        <v>45077.54519675926</v>
      </c>
      <c r="G42" s="250">
        <v>1</v>
      </c>
      <c r="H42" s="250">
        <v>51.3675</v>
      </c>
      <c r="I42" s="250">
        <v>7.0672199999999998</v>
      </c>
      <c r="J42" s="250">
        <v>-3.027399</v>
      </c>
      <c r="K42" s="250">
        <v>-2.184329</v>
      </c>
      <c r="L42" s="250">
        <v>1035.31</v>
      </c>
      <c r="M42" s="250">
        <v>115.000595</v>
      </c>
      <c r="N42" s="250">
        <v>14910.0723</v>
      </c>
      <c r="O42" s="250">
        <v>14899.515299999999</v>
      </c>
      <c r="P42" s="250">
        <v>2028.23</v>
      </c>
      <c r="Q42" s="250" t="s">
        <v>18</v>
      </c>
      <c r="R42" s="250" t="s">
        <v>839</v>
      </c>
      <c r="S42" s="250" t="s">
        <v>21</v>
      </c>
      <c r="T42" s="250">
        <v>15</v>
      </c>
      <c r="U42" s="250">
        <v>5</v>
      </c>
      <c r="V42" s="250">
        <v>0.7</v>
      </c>
      <c r="W42" s="250">
        <v>0.7</v>
      </c>
      <c r="X42" s="250">
        <v>0.7</v>
      </c>
      <c r="Y42" s="250">
        <v>1700</v>
      </c>
      <c r="Z42" s="250" t="s">
        <v>840</v>
      </c>
      <c r="AA42" s="250">
        <v>0.85</v>
      </c>
      <c r="AB42" s="250" t="s">
        <v>841</v>
      </c>
      <c r="AC42" s="250" t="s">
        <v>842</v>
      </c>
      <c r="AD42" s="250">
        <v>220</v>
      </c>
      <c r="AE42" s="250"/>
      <c r="AF42" s="250"/>
      <c r="AG42" s="241"/>
    </row>
    <row r="43" spans="1:33" ht="15.75">
      <c r="A43" s="250" t="s">
        <v>886</v>
      </c>
      <c r="B43" s="250" t="s">
        <v>881</v>
      </c>
      <c r="C43" s="250" t="s">
        <v>882</v>
      </c>
      <c r="D43" s="250" t="s">
        <v>838</v>
      </c>
      <c r="E43" s="250">
        <v>1.2</v>
      </c>
      <c r="F43" s="251">
        <v>45077.548622685186</v>
      </c>
      <c r="G43" s="250">
        <v>1</v>
      </c>
      <c r="H43" s="250">
        <v>51.374099999999999</v>
      </c>
      <c r="I43" s="250">
        <v>7.1822100000000004</v>
      </c>
      <c r="J43" s="250">
        <v>-3.1648610000000001</v>
      </c>
      <c r="K43" s="250">
        <v>-2.344004</v>
      </c>
      <c r="L43" s="250">
        <v>1030.33</v>
      </c>
      <c r="M43" s="250">
        <v>107.500704</v>
      </c>
      <c r="N43" s="250">
        <v>14899.477800000001</v>
      </c>
      <c r="O43" s="250">
        <v>14899.515299999999</v>
      </c>
      <c r="P43" s="250">
        <v>2028.23</v>
      </c>
      <c r="Q43" s="250" t="s">
        <v>18</v>
      </c>
      <c r="R43" s="250" t="s">
        <v>839</v>
      </c>
      <c r="S43" s="250" t="s">
        <v>21</v>
      </c>
      <c r="T43" s="250">
        <v>15</v>
      </c>
      <c r="U43" s="250">
        <v>5</v>
      </c>
      <c r="V43" s="250">
        <v>0.7</v>
      </c>
      <c r="W43" s="250">
        <v>0.7</v>
      </c>
      <c r="X43" s="250">
        <v>0.7</v>
      </c>
      <c r="Y43" s="250">
        <v>1700</v>
      </c>
      <c r="Z43" s="250" t="s">
        <v>840</v>
      </c>
      <c r="AA43" s="250">
        <v>0.85</v>
      </c>
      <c r="AB43" s="250" t="s">
        <v>841</v>
      </c>
      <c r="AC43" s="250" t="s">
        <v>842</v>
      </c>
      <c r="AD43" s="250">
        <v>220</v>
      </c>
      <c r="AE43" s="250"/>
      <c r="AF43" s="250"/>
      <c r="AG43" s="241"/>
    </row>
    <row r="44" spans="1:33" ht="15.75">
      <c r="A44" s="250" t="s">
        <v>887</v>
      </c>
      <c r="B44" s="250" t="s">
        <v>888</v>
      </c>
      <c r="C44" s="250" t="s">
        <v>882</v>
      </c>
      <c r="D44" s="250" t="s">
        <v>838</v>
      </c>
      <c r="E44" s="250">
        <v>1.5</v>
      </c>
      <c r="F44" s="251">
        <v>45077.552025462966</v>
      </c>
      <c r="G44" s="250">
        <v>1</v>
      </c>
      <c r="H44" s="250">
        <v>51.370800000000003</v>
      </c>
      <c r="I44" s="250">
        <v>7.1146799999999999</v>
      </c>
      <c r="J44" s="250">
        <v>-3.1220789999999998</v>
      </c>
      <c r="K44" s="250">
        <v>-2.2885260000000001</v>
      </c>
      <c r="L44" s="250">
        <v>1037.17</v>
      </c>
      <c r="M44" s="250">
        <v>122.99972</v>
      </c>
      <c r="N44" s="250">
        <v>18646.8871</v>
      </c>
      <c r="O44" s="250">
        <v>18647.491399999999</v>
      </c>
      <c r="P44" s="250">
        <v>2028.23</v>
      </c>
      <c r="Q44" s="250" t="s">
        <v>18</v>
      </c>
      <c r="R44" s="250" t="s">
        <v>839</v>
      </c>
      <c r="S44" s="250" t="s">
        <v>21</v>
      </c>
      <c r="T44" s="250">
        <v>15</v>
      </c>
      <c r="U44" s="250">
        <v>5</v>
      </c>
      <c r="V44" s="250">
        <v>0.7</v>
      </c>
      <c r="W44" s="250">
        <v>0.7</v>
      </c>
      <c r="X44" s="250">
        <v>0.7</v>
      </c>
      <c r="Y44" s="250">
        <v>1700</v>
      </c>
      <c r="Z44" s="250" t="s">
        <v>840</v>
      </c>
      <c r="AA44" s="250">
        <v>0.85</v>
      </c>
      <c r="AB44" s="250" t="s">
        <v>841</v>
      </c>
      <c r="AC44" s="250" t="s">
        <v>842</v>
      </c>
      <c r="AD44" s="250">
        <v>220</v>
      </c>
      <c r="AE44" s="250"/>
      <c r="AF44" s="250"/>
      <c r="AG44" s="241"/>
    </row>
    <row r="45" spans="1:33" ht="15.75">
      <c r="A45" s="250" t="s">
        <v>889</v>
      </c>
      <c r="B45" s="250" t="s">
        <v>888</v>
      </c>
      <c r="C45" s="250" t="s">
        <v>882</v>
      </c>
      <c r="D45" s="250" t="s">
        <v>838</v>
      </c>
      <c r="E45" s="250">
        <v>1.5</v>
      </c>
      <c r="F45" s="251">
        <v>45077.555636574078</v>
      </c>
      <c r="G45" s="250">
        <v>1</v>
      </c>
      <c r="H45" s="250">
        <v>51.370800000000003</v>
      </c>
      <c r="I45" s="250">
        <v>7.1363300000000001</v>
      </c>
      <c r="J45" s="250">
        <v>-3.177737</v>
      </c>
      <c r="K45" s="250">
        <v>-2.3290229999999998</v>
      </c>
      <c r="L45" s="250">
        <v>1040.8</v>
      </c>
      <c r="M45" s="250">
        <v>122.499779</v>
      </c>
      <c r="N45" s="250">
        <v>18613.636999999999</v>
      </c>
      <c r="O45" s="250">
        <v>18647.491399999999</v>
      </c>
      <c r="P45" s="250">
        <v>2028.23</v>
      </c>
      <c r="Q45" s="250" t="s">
        <v>18</v>
      </c>
      <c r="R45" s="250" t="s">
        <v>647</v>
      </c>
      <c r="S45" s="250" t="s">
        <v>21</v>
      </c>
      <c r="T45" s="250">
        <v>15</v>
      </c>
      <c r="U45" s="250">
        <v>5</v>
      </c>
      <c r="V45" s="250">
        <v>0.7</v>
      </c>
      <c r="W45" s="250">
        <v>0.7</v>
      </c>
      <c r="X45" s="250">
        <v>0.7</v>
      </c>
      <c r="Y45" s="250">
        <v>1700</v>
      </c>
      <c r="Z45" s="250" t="s">
        <v>840</v>
      </c>
      <c r="AA45" s="250">
        <v>0.85</v>
      </c>
      <c r="AB45" s="250" t="s">
        <v>841</v>
      </c>
      <c r="AC45" s="250" t="s">
        <v>842</v>
      </c>
      <c r="AD45" s="250">
        <v>220</v>
      </c>
      <c r="AE45" s="250"/>
      <c r="AF45" s="250"/>
      <c r="AG45" s="241"/>
    </row>
    <row r="46" spans="1:33" ht="15.75">
      <c r="A46" s="250" t="s">
        <v>890</v>
      </c>
      <c r="B46" s="250" t="s">
        <v>888</v>
      </c>
      <c r="C46" s="250" t="s">
        <v>882</v>
      </c>
      <c r="D46" s="250" t="s">
        <v>838</v>
      </c>
      <c r="E46" s="250">
        <v>1.5</v>
      </c>
      <c r="F46" s="251">
        <v>45077.559201388889</v>
      </c>
      <c r="G46" s="250">
        <v>1</v>
      </c>
      <c r="H46" s="250">
        <v>51.370800000000003</v>
      </c>
      <c r="I46" s="250">
        <v>7.0934100000000004</v>
      </c>
      <c r="J46" s="250">
        <v>-3.2500979999999999</v>
      </c>
      <c r="K46" s="250">
        <v>-2.4119929999999998</v>
      </c>
      <c r="L46" s="250">
        <v>1049.33</v>
      </c>
      <c r="M46" s="250">
        <v>112.500384</v>
      </c>
      <c r="N46" s="250">
        <v>18650.322100000001</v>
      </c>
      <c r="O46" s="250">
        <v>18647.491399999999</v>
      </c>
      <c r="P46" s="250">
        <v>2028.23</v>
      </c>
      <c r="Q46" s="250" t="s">
        <v>18</v>
      </c>
      <c r="R46" s="250" t="s">
        <v>839</v>
      </c>
      <c r="S46" s="250" t="s">
        <v>21</v>
      </c>
      <c r="T46" s="250">
        <v>15</v>
      </c>
      <c r="U46" s="250">
        <v>5</v>
      </c>
      <c r="V46" s="250">
        <v>0.7</v>
      </c>
      <c r="W46" s="250">
        <v>0.7</v>
      </c>
      <c r="X46" s="250">
        <v>0.7</v>
      </c>
      <c r="Y46" s="250">
        <v>1700</v>
      </c>
      <c r="Z46" s="250" t="s">
        <v>840</v>
      </c>
      <c r="AA46" s="250">
        <v>0.85</v>
      </c>
      <c r="AB46" s="250" t="s">
        <v>841</v>
      </c>
      <c r="AC46" s="250" t="s">
        <v>842</v>
      </c>
      <c r="AD46" s="250">
        <v>220</v>
      </c>
      <c r="AE46" s="250"/>
      <c r="AF46" s="250"/>
      <c r="AG46" s="241"/>
    </row>
    <row r="47" spans="1:33" ht="15.75">
      <c r="A47" s="250" t="s">
        <v>891</v>
      </c>
      <c r="B47" s="250" t="s">
        <v>888</v>
      </c>
      <c r="C47" s="250" t="s">
        <v>882</v>
      </c>
      <c r="D47" s="250" t="s">
        <v>838</v>
      </c>
      <c r="E47" s="250">
        <v>1.5</v>
      </c>
      <c r="F47" s="251">
        <v>45077.562650462962</v>
      </c>
      <c r="G47" s="250">
        <v>1</v>
      </c>
      <c r="H47" s="250">
        <v>51.3675</v>
      </c>
      <c r="I47" s="250">
        <v>7.0253899999999998</v>
      </c>
      <c r="J47" s="250">
        <v>-3.3916369999999998</v>
      </c>
      <c r="K47" s="250">
        <v>-2.5474700000000001</v>
      </c>
      <c r="L47" s="250">
        <v>1055.46</v>
      </c>
      <c r="M47" s="250">
        <v>135.99938900000001</v>
      </c>
      <c r="N47" s="250">
        <v>18645.264999999999</v>
      </c>
      <c r="O47" s="250">
        <v>18647.491399999999</v>
      </c>
      <c r="P47" s="250">
        <v>2028.23</v>
      </c>
      <c r="Q47" s="250" t="s">
        <v>18</v>
      </c>
      <c r="R47" s="250" t="s">
        <v>839</v>
      </c>
      <c r="S47" s="250" t="s">
        <v>21</v>
      </c>
      <c r="T47" s="250">
        <v>15</v>
      </c>
      <c r="U47" s="250">
        <v>5</v>
      </c>
      <c r="V47" s="250">
        <v>0.7</v>
      </c>
      <c r="W47" s="250">
        <v>0.7</v>
      </c>
      <c r="X47" s="250">
        <v>0.7</v>
      </c>
      <c r="Y47" s="250">
        <v>1700</v>
      </c>
      <c r="Z47" s="250" t="s">
        <v>840</v>
      </c>
      <c r="AA47" s="250">
        <v>0.85</v>
      </c>
      <c r="AB47" s="250" t="s">
        <v>841</v>
      </c>
      <c r="AC47" s="250" t="s">
        <v>842</v>
      </c>
      <c r="AD47" s="250">
        <v>220</v>
      </c>
      <c r="AE47" s="250"/>
      <c r="AF47" s="250"/>
      <c r="AG47" s="241"/>
    </row>
    <row r="48" spans="1:33" ht="15.75">
      <c r="A48" s="250" t="s">
        <v>892</v>
      </c>
      <c r="B48" s="250" t="s">
        <v>893</v>
      </c>
      <c r="C48" s="250" t="s">
        <v>882</v>
      </c>
      <c r="D48" s="250" t="s">
        <v>838</v>
      </c>
      <c r="E48" s="250">
        <v>1.8</v>
      </c>
      <c r="F48" s="251">
        <v>45077.566446759258</v>
      </c>
      <c r="G48" s="250">
        <v>1</v>
      </c>
      <c r="H48" s="250">
        <v>51.3675</v>
      </c>
      <c r="I48" s="250">
        <v>6.9481200000000003</v>
      </c>
      <c r="J48" s="250">
        <v>-3.3954390000000001</v>
      </c>
      <c r="K48" s="250">
        <v>-2.5489130000000002</v>
      </c>
      <c r="L48" s="250">
        <v>1065.42</v>
      </c>
      <c r="M48" s="250">
        <v>145.000001</v>
      </c>
      <c r="N48" s="250">
        <v>22341.433700000001</v>
      </c>
      <c r="O48" s="250">
        <v>22344.864099999999</v>
      </c>
      <c r="P48" s="250">
        <v>2028.23</v>
      </c>
      <c r="Q48" s="250" t="s">
        <v>18</v>
      </c>
      <c r="R48" s="250" t="s">
        <v>839</v>
      </c>
      <c r="S48" s="250" t="s">
        <v>21</v>
      </c>
      <c r="T48" s="250">
        <v>15</v>
      </c>
      <c r="U48" s="250">
        <v>5</v>
      </c>
      <c r="V48" s="250">
        <v>0.7</v>
      </c>
      <c r="W48" s="250">
        <v>0.7</v>
      </c>
      <c r="X48" s="250">
        <v>0.7</v>
      </c>
      <c r="Y48" s="250">
        <v>1700</v>
      </c>
      <c r="Z48" s="250" t="s">
        <v>840</v>
      </c>
      <c r="AA48" s="250">
        <v>0.85</v>
      </c>
      <c r="AB48" s="250" t="s">
        <v>841</v>
      </c>
      <c r="AC48" s="250" t="s">
        <v>842</v>
      </c>
      <c r="AD48" s="250">
        <v>220</v>
      </c>
      <c r="AE48" s="250"/>
      <c r="AF48" s="250"/>
      <c r="AG48" s="241"/>
    </row>
    <row r="49" spans="1:33" ht="15.75">
      <c r="A49" s="250" t="s">
        <v>894</v>
      </c>
      <c r="B49" s="250" t="s">
        <v>893</v>
      </c>
      <c r="C49" s="250" t="s">
        <v>882</v>
      </c>
      <c r="D49" s="250" t="s">
        <v>838</v>
      </c>
      <c r="E49" s="250">
        <v>1.8</v>
      </c>
      <c r="F49" s="251">
        <v>45077.5703587963</v>
      </c>
      <c r="G49" s="250">
        <v>1</v>
      </c>
      <c r="H49" s="250">
        <v>51.3675</v>
      </c>
      <c r="I49" s="250">
        <v>6.9395300000000004</v>
      </c>
      <c r="J49" s="250">
        <v>-3.3981460000000001</v>
      </c>
      <c r="K49" s="250">
        <v>-2.558074</v>
      </c>
      <c r="L49" s="250">
        <v>1068.75</v>
      </c>
      <c r="M49" s="250">
        <v>149.50089600000001</v>
      </c>
      <c r="N49" s="250">
        <v>22352.707999999999</v>
      </c>
      <c r="O49" s="250">
        <v>22344.864099999999</v>
      </c>
      <c r="P49" s="250">
        <v>2028.23</v>
      </c>
      <c r="Q49" s="250" t="s">
        <v>18</v>
      </c>
      <c r="R49" s="250" t="s">
        <v>839</v>
      </c>
      <c r="S49" s="250" t="s">
        <v>21</v>
      </c>
      <c r="T49" s="250">
        <v>15</v>
      </c>
      <c r="U49" s="250">
        <v>5</v>
      </c>
      <c r="V49" s="250">
        <v>0.7</v>
      </c>
      <c r="W49" s="250">
        <v>0.7</v>
      </c>
      <c r="X49" s="250">
        <v>0.7</v>
      </c>
      <c r="Y49" s="250">
        <v>1700</v>
      </c>
      <c r="Z49" s="250" t="s">
        <v>840</v>
      </c>
      <c r="AA49" s="250">
        <v>0.85</v>
      </c>
      <c r="AB49" s="250" t="s">
        <v>841</v>
      </c>
      <c r="AC49" s="250" t="s">
        <v>842</v>
      </c>
      <c r="AD49" s="250">
        <v>220</v>
      </c>
      <c r="AE49" s="250"/>
      <c r="AF49" s="250"/>
      <c r="AG49" s="241"/>
    </row>
    <row r="50" spans="1:33" ht="15.75">
      <c r="A50" s="250" t="s">
        <v>895</v>
      </c>
      <c r="B50" s="250" t="s">
        <v>893</v>
      </c>
      <c r="C50" s="250" t="s">
        <v>882</v>
      </c>
      <c r="D50" s="250" t="s">
        <v>838</v>
      </c>
      <c r="E50" s="250">
        <v>1.8</v>
      </c>
      <c r="F50" s="251">
        <v>45077.57435185185</v>
      </c>
      <c r="G50" s="250">
        <v>1</v>
      </c>
      <c r="H50" s="250">
        <v>51.3675</v>
      </c>
      <c r="I50" s="250">
        <v>6.9617199999999997</v>
      </c>
      <c r="J50" s="250">
        <v>-3.3473730000000002</v>
      </c>
      <c r="K50" s="250">
        <v>-2.5017140000000002</v>
      </c>
      <c r="L50" s="250">
        <v>1055.1600000000001</v>
      </c>
      <c r="M50" s="250">
        <v>149.99978100000001</v>
      </c>
      <c r="N50" s="250">
        <v>22308.9231</v>
      </c>
      <c r="O50" s="250">
        <v>22344.864099999999</v>
      </c>
      <c r="P50" s="250">
        <v>2028.23</v>
      </c>
      <c r="Q50" s="250" t="s">
        <v>18</v>
      </c>
      <c r="R50" s="250" t="s">
        <v>647</v>
      </c>
      <c r="S50" s="250" t="s">
        <v>21</v>
      </c>
      <c r="T50" s="250">
        <v>15</v>
      </c>
      <c r="U50" s="250">
        <v>5</v>
      </c>
      <c r="V50" s="250">
        <v>0.7</v>
      </c>
      <c r="W50" s="250">
        <v>0.7</v>
      </c>
      <c r="X50" s="250">
        <v>0.7</v>
      </c>
      <c r="Y50" s="250">
        <v>1700</v>
      </c>
      <c r="Z50" s="250" t="s">
        <v>840</v>
      </c>
      <c r="AA50" s="250">
        <v>0.85</v>
      </c>
      <c r="AB50" s="250" t="s">
        <v>841</v>
      </c>
      <c r="AC50" s="250" t="s">
        <v>842</v>
      </c>
      <c r="AD50" s="250">
        <v>220</v>
      </c>
      <c r="AE50" s="250"/>
      <c r="AF50" s="250"/>
      <c r="AG50" s="241"/>
    </row>
    <row r="51" spans="1:33" ht="15.75">
      <c r="A51" s="250" t="s">
        <v>896</v>
      </c>
      <c r="B51" s="250" t="s">
        <v>893</v>
      </c>
      <c r="C51" s="250" t="s">
        <v>882</v>
      </c>
      <c r="D51" s="250" t="s">
        <v>838</v>
      </c>
      <c r="E51" s="250">
        <v>1.8</v>
      </c>
      <c r="F51" s="251">
        <v>45077.578344907408</v>
      </c>
      <c r="G51" s="250">
        <v>1</v>
      </c>
      <c r="H51" s="250">
        <v>51.370800000000003</v>
      </c>
      <c r="I51" s="250">
        <v>6.9451099999999997</v>
      </c>
      <c r="J51" s="250">
        <v>-3.3953609999999999</v>
      </c>
      <c r="K51" s="250">
        <v>-2.5459000000000001</v>
      </c>
      <c r="L51" s="250">
        <v>1073.0999999999999</v>
      </c>
      <c r="M51" s="250">
        <v>157.998425</v>
      </c>
      <c r="N51" s="250">
        <v>22340.4506</v>
      </c>
      <c r="O51" s="250">
        <v>22344.864099999999</v>
      </c>
      <c r="P51" s="250">
        <v>2028.23</v>
      </c>
      <c r="Q51" s="250" t="s">
        <v>18</v>
      </c>
      <c r="R51" s="250" t="s">
        <v>839</v>
      </c>
      <c r="S51" s="250" t="s">
        <v>21</v>
      </c>
      <c r="T51" s="250">
        <v>15</v>
      </c>
      <c r="U51" s="250">
        <v>5</v>
      </c>
      <c r="V51" s="250">
        <v>0.7</v>
      </c>
      <c r="W51" s="250">
        <v>0.7</v>
      </c>
      <c r="X51" s="250">
        <v>0.7</v>
      </c>
      <c r="Y51" s="250">
        <v>1700</v>
      </c>
      <c r="Z51" s="250" t="s">
        <v>840</v>
      </c>
      <c r="AA51" s="250">
        <v>0.85</v>
      </c>
      <c r="AB51" s="250" t="s">
        <v>841</v>
      </c>
      <c r="AC51" s="250" t="s">
        <v>842</v>
      </c>
      <c r="AD51" s="250">
        <v>220</v>
      </c>
      <c r="AE51" s="250"/>
      <c r="AF51" s="250"/>
      <c r="AG51" s="241"/>
    </row>
    <row r="52" spans="1:33" ht="15.75">
      <c r="A52" s="250" t="s">
        <v>897</v>
      </c>
      <c r="B52" s="250">
        <v>2</v>
      </c>
      <c r="C52" s="250">
        <v>73</v>
      </c>
      <c r="D52" s="250" t="s">
        <v>898</v>
      </c>
      <c r="E52" s="250">
        <v>1.5</v>
      </c>
      <c r="F52" s="251">
        <v>45077.582870370374</v>
      </c>
      <c r="G52" s="250">
        <v>1</v>
      </c>
      <c r="H52" s="250">
        <v>51.3675</v>
      </c>
      <c r="I52" s="250">
        <v>7.0941200000000002</v>
      </c>
      <c r="J52" s="250">
        <v>-3.4674610000000001</v>
      </c>
      <c r="K52" s="250">
        <v>-2.6425839999999998</v>
      </c>
      <c r="L52" s="250">
        <v>1031.55</v>
      </c>
      <c r="M52" s="250">
        <v>140.499717</v>
      </c>
      <c r="N52" s="250">
        <v>18431.281500000001</v>
      </c>
      <c r="O52" s="250">
        <v>18446.738300000001</v>
      </c>
      <c r="P52" s="250">
        <v>2006.50236</v>
      </c>
      <c r="Q52" s="250" t="s">
        <v>18</v>
      </c>
      <c r="R52" s="250" t="s">
        <v>839</v>
      </c>
      <c r="S52" s="250" t="s">
        <v>21</v>
      </c>
      <c r="T52" s="250">
        <v>15</v>
      </c>
      <c r="U52" s="250">
        <v>5</v>
      </c>
      <c r="V52" s="250">
        <v>0.7</v>
      </c>
      <c r="W52" s="250">
        <v>0.7</v>
      </c>
      <c r="X52" s="250">
        <v>0.7</v>
      </c>
      <c r="Y52" s="250">
        <v>1700</v>
      </c>
      <c r="Z52" s="250" t="s">
        <v>840</v>
      </c>
      <c r="AA52" s="250">
        <v>0.85</v>
      </c>
      <c r="AB52" s="250" t="s">
        <v>841</v>
      </c>
      <c r="AC52" s="250" t="s">
        <v>842</v>
      </c>
      <c r="AD52" s="250">
        <v>220</v>
      </c>
      <c r="AE52" s="250"/>
      <c r="AF52" s="250"/>
      <c r="AG52" s="241"/>
    </row>
    <row r="53" spans="1:33" ht="15.75">
      <c r="A53" s="250" t="s">
        <v>899</v>
      </c>
      <c r="B53" s="250">
        <v>2</v>
      </c>
      <c r="C53" s="250">
        <v>73</v>
      </c>
      <c r="D53" s="250" t="s">
        <v>898</v>
      </c>
      <c r="E53" s="250">
        <v>1.5</v>
      </c>
      <c r="F53" s="251">
        <v>45077.586678240739</v>
      </c>
      <c r="G53" s="250">
        <v>1</v>
      </c>
      <c r="H53" s="250">
        <v>51.3675</v>
      </c>
      <c r="I53" s="250">
        <v>6.9824900000000003</v>
      </c>
      <c r="J53" s="250">
        <v>-3.5234779999999999</v>
      </c>
      <c r="K53" s="250">
        <v>-2.6982689999999998</v>
      </c>
      <c r="L53" s="250">
        <v>1037.78</v>
      </c>
      <c r="M53" s="250">
        <v>146.49731299999999</v>
      </c>
      <c r="N53" s="250">
        <v>18442.3809</v>
      </c>
      <c r="O53" s="250">
        <v>18446.738300000001</v>
      </c>
      <c r="P53" s="250">
        <v>2006.50236</v>
      </c>
      <c r="Q53" s="250" t="s">
        <v>18</v>
      </c>
      <c r="R53" s="250" t="s">
        <v>839</v>
      </c>
      <c r="S53" s="250" t="s">
        <v>21</v>
      </c>
      <c r="T53" s="250">
        <v>15</v>
      </c>
      <c r="U53" s="250">
        <v>5</v>
      </c>
      <c r="V53" s="250">
        <v>0.7</v>
      </c>
      <c r="W53" s="250">
        <v>0.7</v>
      </c>
      <c r="X53" s="250">
        <v>0.7</v>
      </c>
      <c r="Y53" s="250">
        <v>1700</v>
      </c>
      <c r="Z53" s="250" t="s">
        <v>840</v>
      </c>
      <c r="AA53" s="250">
        <v>0.85</v>
      </c>
      <c r="AB53" s="250" t="s">
        <v>841</v>
      </c>
      <c r="AC53" s="250" t="s">
        <v>842</v>
      </c>
      <c r="AD53" s="250">
        <v>220</v>
      </c>
      <c r="AE53" s="250"/>
      <c r="AF53" s="250"/>
      <c r="AG53" s="241"/>
    </row>
    <row r="54" spans="1:33" ht="15.75">
      <c r="A54" s="250" t="s">
        <v>900</v>
      </c>
      <c r="B54" s="250">
        <v>2</v>
      </c>
      <c r="C54" s="250">
        <v>73</v>
      </c>
      <c r="D54" s="250" t="s">
        <v>898</v>
      </c>
      <c r="E54" s="250">
        <v>1.5</v>
      </c>
      <c r="F54" s="251">
        <v>45077.590543981481</v>
      </c>
      <c r="G54" s="250">
        <v>1</v>
      </c>
      <c r="H54" s="250">
        <v>51.370800000000003</v>
      </c>
      <c r="I54" s="250">
        <v>7.0900999999999996</v>
      </c>
      <c r="J54" s="250">
        <v>-3.4741249999999999</v>
      </c>
      <c r="K54" s="250">
        <v>-2.6572840000000002</v>
      </c>
      <c r="L54" s="250">
        <v>1036.52</v>
      </c>
      <c r="M54" s="250">
        <v>147.49929</v>
      </c>
      <c r="N54" s="250">
        <v>18466.552599999999</v>
      </c>
      <c r="O54" s="250">
        <v>18446.738300000001</v>
      </c>
      <c r="P54" s="250">
        <v>2006.50236</v>
      </c>
      <c r="Q54" s="250" t="s">
        <v>18</v>
      </c>
      <c r="R54" s="250" t="s">
        <v>839</v>
      </c>
      <c r="S54" s="250" t="s">
        <v>21</v>
      </c>
      <c r="T54" s="250">
        <v>15</v>
      </c>
      <c r="U54" s="250">
        <v>5</v>
      </c>
      <c r="V54" s="250">
        <v>0.7</v>
      </c>
      <c r="W54" s="250">
        <v>0.7</v>
      </c>
      <c r="X54" s="250">
        <v>0.7</v>
      </c>
      <c r="Y54" s="250">
        <v>1700</v>
      </c>
      <c r="Z54" s="250" t="s">
        <v>840</v>
      </c>
      <c r="AA54" s="250">
        <v>0.85</v>
      </c>
      <c r="AB54" s="250" t="s">
        <v>841</v>
      </c>
      <c r="AC54" s="250" t="s">
        <v>842</v>
      </c>
      <c r="AD54" s="250">
        <v>220</v>
      </c>
      <c r="AE54" s="250"/>
      <c r="AF54" s="250"/>
      <c r="AG54" s="241"/>
    </row>
    <row r="55" spans="1:33" ht="15.75">
      <c r="A55" s="250" t="s">
        <v>901</v>
      </c>
      <c r="B55" s="250">
        <v>3</v>
      </c>
      <c r="C55" s="250">
        <v>87</v>
      </c>
      <c r="D55" s="250" t="s">
        <v>902</v>
      </c>
      <c r="E55" s="250">
        <v>1.5</v>
      </c>
      <c r="F55" s="251">
        <v>45077.594965277778</v>
      </c>
      <c r="G55" s="250">
        <v>1</v>
      </c>
      <c r="H55" s="250">
        <v>51.3675</v>
      </c>
      <c r="I55" s="250">
        <v>6.9832200000000002</v>
      </c>
      <c r="J55" s="250">
        <v>-3.452051</v>
      </c>
      <c r="K55" s="250">
        <v>-2.604187</v>
      </c>
      <c r="L55" s="250">
        <v>1054.06</v>
      </c>
      <c r="M55" s="250">
        <v>113.499225</v>
      </c>
      <c r="N55" s="250">
        <v>18449.9558</v>
      </c>
      <c r="O55" s="250">
        <v>18453.975999999999</v>
      </c>
      <c r="P55" s="250">
        <v>2007.2856999999999</v>
      </c>
      <c r="Q55" s="250" t="s">
        <v>18</v>
      </c>
      <c r="R55" s="250" t="s">
        <v>839</v>
      </c>
      <c r="S55" s="250" t="s">
        <v>21</v>
      </c>
      <c r="T55" s="250">
        <v>15</v>
      </c>
      <c r="U55" s="250">
        <v>5</v>
      </c>
      <c r="V55" s="250">
        <v>0.7</v>
      </c>
      <c r="W55" s="250">
        <v>0.7</v>
      </c>
      <c r="X55" s="250">
        <v>0.7</v>
      </c>
      <c r="Y55" s="250">
        <v>1700</v>
      </c>
      <c r="Z55" s="250" t="s">
        <v>840</v>
      </c>
      <c r="AA55" s="250">
        <v>0.85</v>
      </c>
      <c r="AB55" s="250" t="s">
        <v>841</v>
      </c>
      <c r="AC55" s="250" t="s">
        <v>842</v>
      </c>
      <c r="AD55" s="250">
        <v>220</v>
      </c>
      <c r="AE55" s="250"/>
      <c r="AF55" s="250"/>
      <c r="AG55" s="241"/>
    </row>
    <row r="56" spans="1:33" ht="15.75">
      <c r="A56" s="250" t="s">
        <v>903</v>
      </c>
      <c r="B56" s="250">
        <v>3</v>
      </c>
      <c r="C56" s="250">
        <v>87</v>
      </c>
      <c r="D56" s="250" t="s">
        <v>902</v>
      </c>
      <c r="E56" s="250">
        <v>1.5</v>
      </c>
      <c r="F56" s="251">
        <v>45077.598425925928</v>
      </c>
      <c r="G56" s="250">
        <v>1</v>
      </c>
      <c r="H56" s="250">
        <v>51.374099999999999</v>
      </c>
      <c r="I56" s="250">
        <v>6.9638999999999998</v>
      </c>
      <c r="J56" s="250">
        <v>-3.5815959999999998</v>
      </c>
      <c r="K56" s="250">
        <v>-2.744294</v>
      </c>
      <c r="L56" s="250">
        <v>1036.71</v>
      </c>
      <c r="M56" s="250">
        <v>137.499786</v>
      </c>
      <c r="N56" s="250">
        <v>18449.760699999999</v>
      </c>
      <c r="O56" s="250">
        <v>18453.975999999999</v>
      </c>
      <c r="P56" s="250">
        <v>2007.2856999999999</v>
      </c>
      <c r="Q56" s="250" t="s">
        <v>18</v>
      </c>
      <c r="R56" s="250" t="s">
        <v>839</v>
      </c>
      <c r="S56" s="250" t="s">
        <v>21</v>
      </c>
      <c r="T56" s="250">
        <v>15</v>
      </c>
      <c r="U56" s="250">
        <v>5</v>
      </c>
      <c r="V56" s="250">
        <v>0.7</v>
      </c>
      <c r="W56" s="250">
        <v>0.7</v>
      </c>
      <c r="X56" s="250">
        <v>0.7</v>
      </c>
      <c r="Y56" s="250">
        <v>1700</v>
      </c>
      <c r="Z56" s="250" t="s">
        <v>840</v>
      </c>
      <c r="AA56" s="250">
        <v>0.85</v>
      </c>
      <c r="AB56" s="250" t="s">
        <v>841</v>
      </c>
      <c r="AC56" s="250" t="s">
        <v>842</v>
      </c>
      <c r="AD56" s="250">
        <v>220</v>
      </c>
      <c r="AE56" s="250"/>
      <c r="AF56" s="250"/>
      <c r="AG56" s="241"/>
    </row>
    <row r="57" spans="1:33" ht="15.75">
      <c r="A57" s="250" t="s">
        <v>904</v>
      </c>
      <c r="B57" s="250">
        <v>3</v>
      </c>
      <c r="C57" s="250">
        <v>87</v>
      </c>
      <c r="D57" s="250" t="s">
        <v>902</v>
      </c>
      <c r="E57" s="250">
        <v>1.5</v>
      </c>
      <c r="F57" s="251">
        <v>45077.602152777778</v>
      </c>
      <c r="G57" s="250">
        <v>1</v>
      </c>
      <c r="H57" s="250">
        <v>51.370800000000003</v>
      </c>
      <c r="I57" s="250">
        <v>6.9344700000000001</v>
      </c>
      <c r="J57" s="250">
        <v>-3.5259239999999998</v>
      </c>
      <c r="K57" s="250">
        <v>-2.6836519999999999</v>
      </c>
      <c r="L57" s="250">
        <v>1039.4100000000001</v>
      </c>
      <c r="M57" s="250">
        <v>137.999807</v>
      </c>
      <c r="N57" s="250">
        <v>18462.211599999999</v>
      </c>
      <c r="O57" s="250">
        <v>18453.975999999999</v>
      </c>
      <c r="P57" s="250">
        <v>2007.2856999999999</v>
      </c>
      <c r="Q57" s="250" t="s">
        <v>18</v>
      </c>
      <c r="R57" s="250" t="s">
        <v>839</v>
      </c>
      <c r="S57" s="250" t="s">
        <v>21</v>
      </c>
      <c r="T57" s="250">
        <v>15</v>
      </c>
      <c r="U57" s="250">
        <v>5</v>
      </c>
      <c r="V57" s="250">
        <v>0.7</v>
      </c>
      <c r="W57" s="250">
        <v>0.7</v>
      </c>
      <c r="X57" s="250">
        <v>0.7</v>
      </c>
      <c r="Y57" s="250">
        <v>1700</v>
      </c>
      <c r="Z57" s="250" t="s">
        <v>840</v>
      </c>
      <c r="AA57" s="250">
        <v>0.85</v>
      </c>
      <c r="AB57" s="250" t="s">
        <v>841</v>
      </c>
      <c r="AC57" s="250" t="s">
        <v>842</v>
      </c>
      <c r="AD57" s="250">
        <v>220</v>
      </c>
      <c r="AE57" s="250"/>
      <c r="AF57" s="250"/>
      <c r="AG57" s="241"/>
    </row>
    <row r="58" spans="1:33" ht="15.75">
      <c r="A58" s="250" t="s">
        <v>905</v>
      </c>
      <c r="B58" s="250">
        <v>4</v>
      </c>
      <c r="C58" s="250">
        <v>97</v>
      </c>
      <c r="D58" s="250" t="s">
        <v>906</v>
      </c>
      <c r="E58" s="250">
        <v>1.5</v>
      </c>
      <c r="F58" s="251">
        <v>45077.606458333335</v>
      </c>
      <c r="G58" s="250">
        <v>1</v>
      </c>
      <c r="H58" s="250">
        <v>51.3675</v>
      </c>
      <c r="I58" s="250">
        <v>6.95913</v>
      </c>
      <c r="J58" s="250">
        <v>-3.4536690000000001</v>
      </c>
      <c r="K58" s="250">
        <v>-2.6158519999999998</v>
      </c>
      <c r="L58" s="250">
        <v>1045.1199999999999</v>
      </c>
      <c r="M58" s="250">
        <v>143.49924300000001</v>
      </c>
      <c r="N58" s="250">
        <v>18443.011299999998</v>
      </c>
      <c r="O58" s="250">
        <v>18515.234400000001</v>
      </c>
      <c r="P58" s="250">
        <v>2013.9157299999999</v>
      </c>
      <c r="Q58" s="250" t="s">
        <v>18</v>
      </c>
      <c r="R58" s="250" t="s">
        <v>647</v>
      </c>
      <c r="S58" s="250" t="s">
        <v>21</v>
      </c>
      <c r="T58" s="250">
        <v>15</v>
      </c>
      <c r="U58" s="250">
        <v>5</v>
      </c>
      <c r="V58" s="250">
        <v>0.7</v>
      </c>
      <c r="W58" s="250">
        <v>0.7</v>
      </c>
      <c r="X58" s="250">
        <v>0.7</v>
      </c>
      <c r="Y58" s="250">
        <v>1700</v>
      </c>
      <c r="Z58" s="250" t="s">
        <v>840</v>
      </c>
      <c r="AA58" s="250">
        <v>0.85</v>
      </c>
      <c r="AB58" s="250" t="s">
        <v>841</v>
      </c>
      <c r="AC58" s="250" t="s">
        <v>842</v>
      </c>
      <c r="AD58" s="250">
        <v>220</v>
      </c>
      <c r="AE58" s="250"/>
      <c r="AF58" s="250"/>
      <c r="AG58" s="241"/>
    </row>
    <row r="59" spans="1:33" ht="15.75">
      <c r="A59" s="250" t="s">
        <v>907</v>
      </c>
      <c r="B59" s="250">
        <v>4</v>
      </c>
      <c r="C59" s="250">
        <v>97</v>
      </c>
      <c r="D59" s="250" t="s">
        <v>906</v>
      </c>
      <c r="E59" s="250">
        <v>1.5</v>
      </c>
      <c r="F59" s="251">
        <v>45077.610277777778</v>
      </c>
      <c r="G59" s="250">
        <v>1</v>
      </c>
      <c r="H59" s="250">
        <v>51.3675</v>
      </c>
      <c r="I59" s="250">
        <v>7.0728999999999997</v>
      </c>
      <c r="J59" s="250">
        <v>-3.4414910000000001</v>
      </c>
      <c r="K59" s="250">
        <v>-2.6002730000000001</v>
      </c>
      <c r="L59" s="250">
        <v>1059.6300000000001</v>
      </c>
      <c r="M59" s="250">
        <v>143.99924999999999</v>
      </c>
      <c r="N59" s="250">
        <v>18501.590400000001</v>
      </c>
      <c r="O59" s="250">
        <v>18515.234400000001</v>
      </c>
      <c r="P59" s="250">
        <v>2013.9157299999999</v>
      </c>
      <c r="Q59" s="250" t="s">
        <v>18</v>
      </c>
      <c r="R59" s="250" t="s">
        <v>839</v>
      </c>
      <c r="S59" s="250" t="s">
        <v>21</v>
      </c>
      <c r="T59" s="250">
        <v>15</v>
      </c>
      <c r="U59" s="250">
        <v>5</v>
      </c>
      <c r="V59" s="250">
        <v>0.7</v>
      </c>
      <c r="W59" s="250">
        <v>0.7</v>
      </c>
      <c r="X59" s="250">
        <v>0.7</v>
      </c>
      <c r="Y59" s="250">
        <v>1700</v>
      </c>
      <c r="Z59" s="250" t="s">
        <v>840</v>
      </c>
      <c r="AA59" s="250">
        <v>0.85</v>
      </c>
      <c r="AB59" s="250" t="s">
        <v>841</v>
      </c>
      <c r="AC59" s="250" t="s">
        <v>842</v>
      </c>
      <c r="AD59" s="250">
        <v>220</v>
      </c>
      <c r="AE59" s="250"/>
      <c r="AF59" s="250"/>
      <c r="AG59" s="241"/>
    </row>
    <row r="60" spans="1:33" ht="15.75">
      <c r="A60" s="250" t="s">
        <v>908</v>
      </c>
      <c r="B60" s="250">
        <v>4</v>
      </c>
      <c r="C60" s="250">
        <v>97</v>
      </c>
      <c r="D60" s="250" t="s">
        <v>906</v>
      </c>
      <c r="E60" s="250">
        <v>1.5</v>
      </c>
      <c r="F60" s="251">
        <v>45077.614120370374</v>
      </c>
      <c r="G60" s="250">
        <v>1</v>
      </c>
      <c r="H60" s="250">
        <v>51.3675</v>
      </c>
      <c r="I60" s="250">
        <v>7.0072599999999996</v>
      </c>
      <c r="J60" s="250">
        <v>-3.4539360000000001</v>
      </c>
      <c r="K60" s="250">
        <v>-2.6294749999999998</v>
      </c>
      <c r="L60" s="250">
        <v>1047.53</v>
      </c>
      <c r="M60" s="250">
        <v>129.499965</v>
      </c>
      <c r="N60" s="250">
        <v>18512.806799999998</v>
      </c>
      <c r="O60" s="250">
        <v>18515.234400000001</v>
      </c>
      <c r="P60" s="250">
        <v>2013.9157299999999</v>
      </c>
      <c r="Q60" s="250" t="s">
        <v>18</v>
      </c>
      <c r="R60" s="250" t="s">
        <v>839</v>
      </c>
      <c r="S60" s="250" t="s">
        <v>21</v>
      </c>
      <c r="T60" s="250">
        <v>15</v>
      </c>
      <c r="U60" s="250">
        <v>5</v>
      </c>
      <c r="V60" s="250">
        <v>0.7</v>
      </c>
      <c r="W60" s="250">
        <v>0.7</v>
      </c>
      <c r="X60" s="250">
        <v>0.7</v>
      </c>
      <c r="Y60" s="250">
        <v>1700</v>
      </c>
      <c r="Z60" s="250" t="s">
        <v>840</v>
      </c>
      <c r="AA60" s="250">
        <v>0.85</v>
      </c>
      <c r="AB60" s="250" t="s">
        <v>841</v>
      </c>
      <c r="AC60" s="250" t="s">
        <v>842</v>
      </c>
      <c r="AD60" s="250">
        <v>220</v>
      </c>
      <c r="AE60" s="250"/>
      <c r="AF60" s="250"/>
      <c r="AG60" s="241"/>
    </row>
    <row r="61" spans="1:33" ht="15.75">
      <c r="A61" s="250" t="s">
        <v>909</v>
      </c>
      <c r="B61" s="250">
        <v>4</v>
      </c>
      <c r="C61" s="250">
        <v>97</v>
      </c>
      <c r="D61" s="250" t="s">
        <v>906</v>
      </c>
      <c r="E61" s="250">
        <v>1.5</v>
      </c>
      <c r="F61" s="251">
        <v>45077.617789351854</v>
      </c>
      <c r="G61" s="250">
        <v>1</v>
      </c>
      <c r="H61" s="250">
        <v>51.374099999999999</v>
      </c>
      <c r="I61" s="250">
        <v>6.9599299999999999</v>
      </c>
      <c r="J61" s="250">
        <v>-3.5701749999999999</v>
      </c>
      <c r="K61" s="250">
        <v>-2.7212239999999999</v>
      </c>
      <c r="L61" s="250">
        <v>1047.19</v>
      </c>
      <c r="M61" s="250">
        <v>115.499548</v>
      </c>
      <c r="N61" s="250">
        <v>18531.306</v>
      </c>
      <c r="O61" s="250">
        <v>18515.234400000001</v>
      </c>
      <c r="P61" s="250">
        <v>2013.9157299999999</v>
      </c>
      <c r="Q61" s="250" t="s">
        <v>18</v>
      </c>
      <c r="R61" s="250" t="s">
        <v>839</v>
      </c>
      <c r="S61" s="250" t="s">
        <v>21</v>
      </c>
      <c r="T61" s="250">
        <v>15</v>
      </c>
      <c r="U61" s="250">
        <v>5</v>
      </c>
      <c r="V61" s="250">
        <v>0.7</v>
      </c>
      <c r="W61" s="250">
        <v>0.7</v>
      </c>
      <c r="X61" s="250">
        <v>0.7</v>
      </c>
      <c r="Y61" s="250">
        <v>1700</v>
      </c>
      <c r="Z61" s="250" t="s">
        <v>840</v>
      </c>
      <c r="AA61" s="250">
        <v>0.85</v>
      </c>
      <c r="AB61" s="250" t="s">
        <v>841</v>
      </c>
      <c r="AC61" s="250" t="s">
        <v>842</v>
      </c>
      <c r="AD61" s="250">
        <v>220</v>
      </c>
      <c r="AE61" s="250"/>
      <c r="AF61" s="250"/>
      <c r="AG61" s="241"/>
    </row>
    <row r="62" spans="1:33" ht="15.75">
      <c r="A62" s="250" t="s">
        <v>910</v>
      </c>
      <c r="B62" s="250">
        <v>5</v>
      </c>
      <c r="C62" s="250">
        <v>96</v>
      </c>
      <c r="D62" s="250" t="s">
        <v>911</v>
      </c>
      <c r="E62" s="250">
        <v>1.5</v>
      </c>
      <c r="F62" s="251">
        <v>45077.621782407405</v>
      </c>
      <c r="G62" s="250">
        <v>1</v>
      </c>
      <c r="H62" s="250">
        <v>51.3675</v>
      </c>
      <c r="I62" s="250">
        <v>7.0126600000000003</v>
      </c>
      <c r="J62" s="250">
        <v>-3.540476</v>
      </c>
      <c r="K62" s="250">
        <v>-2.694782</v>
      </c>
      <c r="L62" s="250">
        <v>1051.58</v>
      </c>
      <c r="M62" s="250">
        <v>135.499593</v>
      </c>
      <c r="N62" s="250">
        <v>18465.723699999999</v>
      </c>
      <c r="O62" s="250">
        <v>18455.694299999999</v>
      </c>
      <c r="P62" s="250">
        <v>2007.4716599999999</v>
      </c>
      <c r="Q62" s="250" t="s">
        <v>18</v>
      </c>
      <c r="R62" s="250" t="s">
        <v>839</v>
      </c>
      <c r="S62" s="250" t="s">
        <v>21</v>
      </c>
      <c r="T62" s="250">
        <v>15</v>
      </c>
      <c r="U62" s="250">
        <v>5</v>
      </c>
      <c r="V62" s="250">
        <v>0.7</v>
      </c>
      <c r="W62" s="250">
        <v>0.7</v>
      </c>
      <c r="X62" s="250">
        <v>0.7</v>
      </c>
      <c r="Y62" s="250">
        <v>1700</v>
      </c>
      <c r="Z62" s="250" t="s">
        <v>840</v>
      </c>
      <c r="AA62" s="250">
        <v>0.85</v>
      </c>
      <c r="AB62" s="250" t="s">
        <v>841</v>
      </c>
      <c r="AC62" s="250" t="s">
        <v>842</v>
      </c>
      <c r="AD62" s="250">
        <v>220</v>
      </c>
      <c r="AE62" s="250"/>
      <c r="AF62" s="250"/>
      <c r="AG62" s="241"/>
    </row>
    <row r="63" spans="1:33" ht="15.75">
      <c r="A63" s="250" t="s">
        <v>912</v>
      </c>
      <c r="B63" s="250">
        <v>5</v>
      </c>
      <c r="C63" s="250">
        <v>96</v>
      </c>
      <c r="D63" s="250" t="s">
        <v>911</v>
      </c>
      <c r="E63" s="250">
        <v>1.5</v>
      </c>
      <c r="F63" s="251">
        <v>45077.625509259262</v>
      </c>
      <c r="G63" s="250">
        <v>1</v>
      </c>
      <c r="H63" s="250">
        <v>51.364100000000001</v>
      </c>
      <c r="I63" s="250">
        <v>7.0232400000000004</v>
      </c>
      <c r="J63" s="250">
        <v>-3.5467179999999998</v>
      </c>
      <c r="K63" s="250">
        <v>-2.7129219999999998</v>
      </c>
      <c r="L63" s="250">
        <v>1040.4100000000001</v>
      </c>
      <c r="M63" s="250">
        <v>129.49907300000001</v>
      </c>
      <c r="N63" s="250">
        <v>18461.288</v>
      </c>
      <c r="O63" s="250">
        <v>18455.694299999999</v>
      </c>
      <c r="P63" s="250">
        <v>2007.4716599999999</v>
      </c>
      <c r="Q63" s="250" t="s">
        <v>18</v>
      </c>
      <c r="R63" s="250" t="s">
        <v>839</v>
      </c>
      <c r="S63" s="250" t="s">
        <v>21</v>
      </c>
      <c r="T63" s="250">
        <v>15</v>
      </c>
      <c r="U63" s="250">
        <v>5</v>
      </c>
      <c r="V63" s="250">
        <v>0.7</v>
      </c>
      <c r="W63" s="250">
        <v>0.7</v>
      </c>
      <c r="X63" s="250">
        <v>0.7</v>
      </c>
      <c r="Y63" s="250">
        <v>1700</v>
      </c>
      <c r="Z63" s="250" t="s">
        <v>840</v>
      </c>
      <c r="AA63" s="250">
        <v>0.85</v>
      </c>
      <c r="AB63" s="250" t="s">
        <v>841</v>
      </c>
      <c r="AC63" s="250" t="s">
        <v>842</v>
      </c>
      <c r="AD63" s="250">
        <v>220</v>
      </c>
      <c r="AE63" s="250"/>
      <c r="AF63" s="250"/>
      <c r="AG63" s="241"/>
    </row>
    <row r="64" spans="1:33" ht="15.75">
      <c r="A64" s="250" t="s">
        <v>913</v>
      </c>
      <c r="B64" s="250">
        <v>5</v>
      </c>
      <c r="C64" s="250">
        <v>96</v>
      </c>
      <c r="D64" s="250" t="s">
        <v>911</v>
      </c>
      <c r="E64" s="250">
        <v>1.5</v>
      </c>
      <c r="F64" s="251">
        <v>45077.629155092596</v>
      </c>
      <c r="G64" s="250">
        <v>1</v>
      </c>
      <c r="H64" s="250">
        <v>51.3675</v>
      </c>
      <c r="I64" s="250">
        <v>6.9701300000000002</v>
      </c>
      <c r="J64" s="250">
        <v>-3.4223129999999999</v>
      </c>
      <c r="K64" s="250">
        <v>-2.5772539999999999</v>
      </c>
      <c r="L64" s="250">
        <v>1044.3399999999999</v>
      </c>
      <c r="M64" s="250">
        <v>128.50005899999999</v>
      </c>
      <c r="N64" s="250">
        <v>18440.071100000001</v>
      </c>
      <c r="O64" s="250">
        <v>18455.694299999999</v>
      </c>
      <c r="P64" s="250">
        <v>2007.4716599999999</v>
      </c>
      <c r="Q64" s="250" t="s">
        <v>18</v>
      </c>
      <c r="R64" s="250" t="s">
        <v>839</v>
      </c>
      <c r="S64" s="250" t="s">
        <v>21</v>
      </c>
      <c r="T64" s="250">
        <v>15</v>
      </c>
      <c r="U64" s="250">
        <v>5</v>
      </c>
      <c r="V64" s="250">
        <v>0.7</v>
      </c>
      <c r="W64" s="250">
        <v>0.7</v>
      </c>
      <c r="X64" s="250">
        <v>0.7</v>
      </c>
      <c r="Y64" s="250">
        <v>1700</v>
      </c>
      <c r="Z64" s="250" t="s">
        <v>840</v>
      </c>
      <c r="AA64" s="250">
        <v>0.85</v>
      </c>
      <c r="AB64" s="250" t="s">
        <v>841</v>
      </c>
      <c r="AC64" s="250" t="s">
        <v>842</v>
      </c>
      <c r="AD64" s="250">
        <v>220</v>
      </c>
      <c r="AE64" s="250"/>
      <c r="AF64" s="250"/>
      <c r="AG64" s="241"/>
    </row>
    <row r="65" spans="1:33" ht="15.75">
      <c r="A65" s="250" t="s">
        <v>914</v>
      </c>
      <c r="B65" s="250">
        <v>6</v>
      </c>
      <c r="C65" s="250">
        <v>83</v>
      </c>
      <c r="D65" s="250" t="s">
        <v>915</v>
      </c>
      <c r="E65" s="250">
        <v>1.5</v>
      </c>
      <c r="F65" s="251">
        <v>45077.633310185185</v>
      </c>
      <c r="G65" s="250">
        <v>1</v>
      </c>
      <c r="H65" s="250">
        <v>51.3675</v>
      </c>
      <c r="I65" s="250">
        <v>6.9604100000000004</v>
      </c>
      <c r="J65" s="250">
        <v>-3.4982869999999999</v>
      </c>
      <c r="K65" s="250">
        <v>-2.6621009999999998</v>
      </c>
      <c r="L65" s="250">
        <v>1065.44</v>
      </c>
      <c r="M65" s="250">
        <v>144.001205</v>
      </c>
      <c r="N65" s="250">
        <v>18598.186799999999</v>
      </c>
      <c r="O65" s="250">
        <v>0</v>
      </c>
      <c r="P65" s="250">
        <v>0</v>
      </c>
      <c r="Q65" s="250" t="s">
        <v>18</v>
      </c>
      <c r="R65" s="250" t="s">
        <v>916</v>
      </c>
      <c r="S65" s="250" t="s">
        <v>28</v>
      </c>
      <c r="T65" s="250">
        <v>15</v>
      </c>
      <c r="U65" s="250">
        <v>5</v>
      </c>
      <c r="V65" s="250">
        <v>0.7</v>
      </c>
      <c r="W65" s="250">
        <v>0.7</v>
      </c>
      <c r="X65" s="250">
        <v>0.7</v>
      </c>
      <c r="Y65" s="250">
        <v>1700</v>
      </c>
      <c r="Z65" s="250" t="s">
        <v>840</v>
      </c>
      <c r="AA65" s="250">
        <v>0.85</v>
      </c>
      <c r="AB65" s="250" t="s">
        <v>841</v>
      </c>
      <c r="AC65" s="250" t="s">
        <v>842</v>
      </c>
      <c r="AD65" s="250">
        <v>220</v>
      </c>
      <c r="AE65" s="250"/>
      <c r="AF65" s="250"/>
      <c r="AG65" s="241"/>
    </row>
    <row r="66" spans="1:33" ht="15.75">
      <c r="A66" s="250" t="s">
        <v>917</v>
      </c>
      <c r="B66" s="250">
        <v>6</v>
      </c>
      <c r="C66" s="250">
        <v>83</v>
      </c>
      <c r="D66" s="250" t="s">
        <v>915</v>
      </c>
      <c r="E66" s="250">
        <v>1.5</v>
      </c>
      <c r="F66" s="251">
        <v>45077.637118055558</v>
      </c>
      <c r="G66" s="250">
        <v>1</v>
      </c>
      <c r="H66" s="250">
        <v>51.370800000000003</v>
      </c>
      <c r="I66" s="250">
        <v>7.04366</v>
      </c>
      <c r="J66" s="250">
        <v>-3.4654180000000001</v>
      </c>
      <c r="K66" s="250">
        <v>-2.6160380000000001</v>
      </c>
      <c r="L66" s="250">
        <v>1030.25</v>
      </c>
      <c r="M66" s="250">
        <v>133.00161600000001</v>
      </c>
      <c r="N66" s="250">
        <v>18636.560000000001</v>
      </c>
      <c r="O66" s="250">
        <v>0</v>
      </c>
      <c r="P66" s="250">
        <v>0</v>
      </c>
      <c r="Q66" s="250" t="s">
        <v>18</v>
      </c>
      <c r="R66" s="250" t="s">
        <v>916</v>
      </c>
      <c r="S66" s="250" t="s">
        <v>28</v>
      </c>
      <c r="T66" s="250">
        <v>15</v>
      </c>
      <c r="U66" s="250">
        <v>5</v>
      </c>
      <c r="V66" s="250">
        <v>0.7</v>
      </c>
      <c r="W66" s="250">
        <v>0.7</v>
      </c>
      <c r="X66" s="250">
        <v>0.7</v>
      </c>
      <c r="Y66" s="250">
        <v>1700</v>
      </c>
      <c r="Z66" s="250" t="s">
        <v>840</v>
      </c>
      <c r="AA66" s="250">
        <v>0.85</v>
      </c>
      <c r="AB66" s="250" t="s">
        <v>841</v>
      </c>
      <c r="AC66" s="250" t="s">
        <v>842</v>
      </c>
      <c r="AD66" s="250">
        <v>220</v>
      </c>
      <c r="AE66" s="250"/>
      <c r="AF66" s="250"/>
      <c r="AG66" s="241"/>
    </row>
    <row r="67" spans="1:33" ht="15.75">
      <c r="A67" s="250" t="s">
        <v>918</v>
      </c>
      <c r="B67" s="250">
        <v>6</v>
      </c>
      <c r="C67" s="250">
        <v>83</v>
      </c>
      <c r="D67" s="250" t="s">
        <v>915</v>
      </c>
      <c r="E67" s="250">
        <v>1.5</v>
      </c>
      <c r="F67" s="251">
        <v>45077.640844907408</v>
      </c>
      <c r="G67" s="250">
        <v>1</v>
      </c>
      <c r="H67" s="250">
        <v>51.370800000000003</v>
      </c>
      <c r="I67" s="250">
        <v>7.0068799999999998</v>
      </c>
      <c r="J67" s="250">
        <v>-3.4642119999999998</v>
      </c>
      <c r="K67" s="250">
        <v>-2.6160749999999999</v>
      </c>
      <c r="L67" s="250">
        <v>1059.24</v>
      </c>
      <c r="M67" s="250">
        <v>119.00098699999999</v>
      </c>
      <c r="N67" s="250">
        <v>18638.420900000001</v>
      </c>
      <c r="O67" s="250">
        <v>0</v>
      </c>
      <c r="P67" s="250">
        <v>0</v>
      </c>
      <c r="Q67" s="250" t="s">
        <v>18</v>
      </c>
      <c r="R67" s="250" t="s">
        <v>916</v>
      </c>
      <c r="S67" s="250" t="s">
        <v>28</v>
      </c>
      <c r="T67" s="250">
        <v>15</v>
      </c>
      <c r="U67" s="250">
        <v>5</v>
      </c>
      <c r="V67" s="250">
        <v>0.7</v>
      </c>
      <c r="W67" s="250">
        <v>0.7</v>
      </c>
      <c r="X67" s="250">
        <v>0.7</v>
      </c>
      <c r="Y67" s="250">
        <v>1700</v>
      </c>
      <c r="Z67" s="250" t="s">
        <v>840</v>
      </c>
      <c r="AA67" s="250">
        <v>0.85</v>
      </c>
      <c r="AB67" s="250" t="s">
        <v>841</v>
      </c>
      <c r="AC67" s="250" t="s">
        <v>842</v>
      </c>
      <c r="AD67" s="250">
        <v>220</v>
      </c>
      <c r="AE67" s="250"/>
      <c r="AF67" s="250"/>
      <c r="AG67" s="241"/>
    </row>
    <row r="68" spans="1:33" ht="15.75">
      <c r="A68" s="250" t="s">
        <v>919</v>
      </c>
      <c r="B68" s="250">
        <v>6</v>
      </c>
      <c r="C68" s="250">
        <v>83</v>
      </c>
      <c r="D68" s="250" t="s">
        <v>915</v>
      </c>
      <c r="E68" s="250">
        <v>1.5</v>
      </c>
      <c r="F68" s="251">
        <v>45077.644375000003</v>
      </c>
      <c r="G68" s="250">
        <v>1</v>
      </c>
      <c r="H68" s="250">
        <v>51.3675</v>
      </c>
      <c r="I68" s="250">
        <v>6.9863499999999998</v>
      </c>
      <c r="J68" s="250">
        <v>-3.4615840000000002</v>
      </c>
      <c r="K68" s="250">
        <v>-2.6143939999999999</v>
      </c>
      <c r="L68" s="250">
        <v>1041.1300000000001</v>
      </c>
      <c r="M68" s="250">
        <v>141.99864099999999</v>
      </c>
      <c r="N68" s="250">
        <v>18591.245500000001</v>
      </c>
      <c r="O68" s="250">
        <v>0</v>
      </c>
      <c r="P68" s="250">
        <v>0</v>
      </c>
      <c r="Q68" s="250" t="s">
        <v>18</v>
      </c>
      <c r="R68" s="250" t="s">
        <v>916</v>
      </c>
      <c r="S68" s="250" t="s">
        <v>28</v>
      </c>
      <c r="T68" s="250">
        <v>15</v>
      </c>
      <c r="U68" s="250">
        <v>5</v>
      </c>
      <c r="V68" s="250">
        <v>0.7</v>
      </c>
      <c r="W68" s="250">
        <v>0.7</v>
      </c>
      <c r="X68" s="250">
        <v>0.7</v>
      </c>
      <c r="Y68" s="250">
        <v>1700</v>
      </c>
      <c r="Z68" s="250" t="s">
        <v>840</v>
      </c>
      <c r="AA68" s="250">
        <v>0.85</v>
      </c>
      <c r="AB68" s="250" t="s">
        <v>841</v>
      </c>
      <c r="AC68" s="250" t="s">
        <v>842</v>
      </c>
      <c r="AD68" s="250">
        <v>220</v>
      </c>
      <c r="AE68" s="250"/>
      <c r="AF68" s="250"/>
      <c r="AG68" s="241"/>
    </row>
    <row r="69" spans="1:33" ht="15.75">
      <c r="A69" s="250" t="s">
        <v>920</v>
      </c>
      <c r="B69" s="250">
        <v>6</v>
      </c>
      <c r="C69" s="250">
        <v>83</v>
      </c>
      <c r="D69" s="250" t="s">
        <v>915</v>
      </c>
      <c r="E69" s="250">
        <v>1.5</v>
      </c>
      <c r="F69" s="251">
        <v>45077.648194444446</v>
      </c>
      <c r="G69" s="250">
        <v>1</v>
      </c>
      <c r="H69" s="250">
        <v>51.370800000000003</v>
      </c>
      <c r="I69" s="250">
        <v>6.8944799999999997</v>
      </c>
      <c r="J69" s="250">
        <v>-3.411114</v>
      </c>
      <c r="K69" s="250">
        <v>-2.5718920000000001</v>
      </c>
      <c r="L69" s="250">
        <v>1043.6300000000001</v>
      </c>
      <c r="M69" s="250">
        <v>121.000443</v>
      </c>
      <c r="N69" s="250">
        <v>18533.127799999998</v>
      </c>
      <c r="O69" s="250">
        <v>0</v>
      </c>
      <c r="P69" s="250">
        <v>0</v>
      </c>
      <c r="Q69" s="250" t="s">
        <v>18</v>
      </c>
      <c r="R69" s="250" t="s">
        <v>916</v>
      </c>
      <c r="S69" s="250" t="s">
        <v>28</v>
      </c>
      <c r="T69" s="250">
        <v>15</v>
      </c>
      <c r="U69" s="250">
        <v>5</v>
      </c>
      <c r="V69" s="250">
        <v>0.7</v>
      </c>
      <c r="W69" s="250">
        <v>0.7</v>
      </c>
      <c r="X69" s="250">
        <v>0.7</v>
      </c>
      <c r="Y69" s="250">
        <v>1700</v>
      </c>
      <c r="Z69" s="250" t="s">
        <v>840</v>
      </c>
      <c r="AA69" s="250">
        <v>0.85</v>
      </c>
      <c r="AB69" s="250" t="s">
        <v>841</v>
      </c>
      <c r="AC69" s="250" t="s">
        <v>842</v>
      </c>
      <c r="AD69" s="250">
        <v>220</v>
      </c>
      <c r="AE69" s="250"/>
      <c r="AF69" s="250"/>
      <c r="AG69" s="241"/>
    </row>
    <row r="70" spans="1:33" ht="15.75">
      <c r="A70" s="250" t="s">
        <v>921</v>
      </c>
      <c r="B70" s="250">
        <v>6</v>
      </c>
      <c r="C70" s="250">
        <v>83</v>
      </c>
      <c r="D70" s="250" t="s">
        <v>915</v>
      </c>
      <c r="E70" s="250">
        <v>1.5</v>
      </c>
      <c r="F70" s="251">
        <v>45077.651736111111</v>
      </c>
      <c r="G70" s="250">
        <v>2</v>
      </c>
      <c r="H70" s="250">
        <v>51.360799999999998</v>
      </c>
      <c r="I70" s="250">
        <v>6.8891099999999996</v>
      </c>
      <c r="J70" s="250">
        <v>-3.45621</v>
      </c>
      <c r="K70" s="250">
        <v>-2.6093350000000002</v>
      </c>
      <c r="L70" s="250">
        <v>1049.02</v>
      </c>
      <c r="M70" s="250">
        <v>123.499917</v>
      </c>
      <c r="N70" s="250">
        <v>18617.026099999999</v>
      </c>
      <c r="O70" s="250">
        <v>18615.805100000001</v>
      </c>
      <c r="P70" s="250">
        <v>2024.8005700000001</v>
      </c>
      <c r="Q70" s="250" t="s">
        <v>18</v>
      </c>
      <c r="R70" s="250" t="s">
        <v>839</v>
      </c>
      <c r="S70" s="250" t="s">
        <v>21</v>
      </c>
      <c r="T70" s="250">
        <v>15</v>
      </c>
      <c r="U70" s="250">
        <v>5</v>
      </c>
      <c r="V70" s="250">
        <v>0.7</v>
      </c>
      <c r="W70" s="250">
        <v>0.7</v>
      </c>
      <c r="X70" s="250">
        <v>0.7</v>
      </c>
      <c r="Y70" s="250">
        <v>1700</v>
      </c>
      <c r="Z70" s="250" t="s">
        <v>840</v>
      </c>
      <c r="AA70" s="250">
        <v>0.85</v>
      </c>
      <c r="AB70" s="250" t="s">
        <v>841</v>
      </c>
      <c r="AC70" s="250" t="s">
        <v>842</v>
      </c>
      <c r="AD70" s="250">
        <v>220</v>
      </c>
      <c r="AE70" s="250"/>
      <c r="AF70" s="250"/>
      <c r="AG70" s="241"/>
    </row>
    <row r="71" spans="1:33" ht="15.75">
      <c r="A71" s="250" t="s">
        <v>922</v>
      </c>
      <c r="B71" s="250">
        <v>6</v>
      </c>
      <c r="C71" s="250">
        <v>83</v>
      </c>
      <c r="D71" s="250" t="s">
        <v>915</v>
      </c>
      <c r="E71" s="250">
        <v>1.5</v>
      </c>
      <c r="F71" s="251">
        <v>45077.655358796299</v>
      </c>
      <c r="G71" s="250">
        <v>2</v>
      </c>
      <c r="H71" s="250">
        <v>51.374099999999999</v>
      </c>
      <c r="I71" s="250">
        <v>6.923</v>
      </c>
      <c r="J71" s="250">
        <v>-3.460877</v>
      </c>
      <c r="K71" s="250">
        <v>-2.6261169999999998</v>
      </c>
      <c r="L71" s="250">
        <v>1039.8</v>
      </c>
      <c r="M71" s="250">
        <v>119.500119</v>
      </c>
      <c r="N71" s="250">
        <v>18572.8236</v>
      </c>
      <c r="O71" s="250">
        <v>18615.805100000001</v>
      </c>
      <c r="P71" s="250">
        <v>2024.8005700000001</v>
      </c>
      <c r="Q71" s="250" t="s">
        <v>18</v>
      </c>
      <c r="R71" s="250" t="s">
        <v>647</v>
      </c>
      <c r="S71" s="250" t="s">
        <v>21</v>
      </c>
      <c r="T71" s="250">
        <v>15</v>
      </c>
      <c r="U71" s="250">
        <v>5</v>
      </c>
      <c r="V71" s="250">
        <v>0.7</v>
      </c>
      <c r="W71" s="250">
        <v>0.7</v>
      </c>
      <c r="X71" s="250">
        <v>0.7</v>
      </c>
      <c r="Y71" s="250">
        <v>1700</v>
      </c>
      <c r="Z71" s="250" t="s">
        <v>840</v>
      </c>
      <c r="AA71" s="250">
        <v>0.85</v>
      </c>
      <c r="AB71" s="250" t="s">
        <v>841</v>
      </c>
      <c r="AC71" s="250" t="s">
        <v>842</v>
      </c>
      <c r="AD71" s="250">
        <v>220</v>
      </c>
      <c r="AE71" s="250"/>
      <c r="AF71" s="250"/>
      <c r="AG71" s="241"/>
    </row>
    <row r="72" spans="1:33" ht="15.75">
      <c r="A72" s="250" t="s">
        <v>923</v>
      </c>
      <c r="B72" s="250">
        <v>6</v>
      </c>
      <c r="C72" s="250">
        <v>83</v>
      </c>
      <c r="D72" s="250" t="s">
        <v>915</v>
      </c>
      <c r="E72" s="250">
        <v>1.5</v>
      </c>
      <c r="F72" s="251">
        <v>45077.65892361111</v>
      </c>
      <c r="G72" s="250">
        <v>2</v>
      </c>
      <c r="H72" s="250">
        <v>51.370800000000003</v>
      </c>
      <c r="I72" s="250">
        <v>6.9783799999999996</v>
      </c>
      <c r="J72" s="250">
        <v>-3.4930400000000001</v>
      </c>
      <c r="K72" s="250">
        <v>-2.6536029999999999</v>
      </c>
      <c r="L72" s="250">
        <v>1040.01</v>
      </c>
      <c r="M72" s="250">
        <v>112.499233</v>
      </c>
      <c r="N72" s="250">
        <v>18601.690500000001</v>
      </c>
      <c r="O72" s="250">
        <v>18615.805100000001</v>
      </c>
      <c r="P72" s="250">
        <v>2024.8005700000001</v>
      </c>
      <c r="Q72" s="250" t="s">
        <v>18</v>
      </c>
      <c r="R72" s="250" t="s">
        <v>839</v>
      </c>
      <c r="S72" s="250" t="s">
        <v>21</v>
      </c>
      <c r="T72" s="250">
        <v>15</v>
      </c>
      <c r="U72" s="250">
        <v>5</v>
      </c>
      <c r="V72" s="250">
        <v>0.7</v>
      </c>
      <c r="W72" s="250">
        <v>0.7</v>
      </c>
      <c r="X72" s="250">
        <v>0.7</v>
      </c>
      <c r="Y72" s="250">
        <v>1700</v>
      </c>
      <c r="Z72" s="250" t="s">
        <v>840</v>
      </c>
      <c r="AA72" s="250">
        <v>0.85</v>
      </c>
      <c r="AB72" s="250" t="s">
        <v>841</v>
      </c>
      <c r="AC72" s="250" t="s">
        <v>842</v>
      </c>
      <c r="AD72" s="250">
        <v>220</v>
      </c>
      <c r="AE72" s="250"/>
      <c r="AF72" s="250"/>
      <c r="AG72" s="241"/>
    </row>
    <row r="73" spans="1:33" ht="15.75">
      <c r="A73" s="250" t="s">
        <v>924</v>
      </c>
      <c r="B73" s="250">
        <v>6</v>
      </c>
      <c r="C73" s="250">
        <v>83</v>
      </c>
      <c r="D73" s="250" t="s">
        <v>915</v>
      </c>
      <c r="E73" s="250">
        <v>1.5</v>
      </c>
      <c r="F73" s="251">
        <v>45077.662372685183</v>
      </c>
      <c r="G73" s="250">
        <v>2</v>
      </c>
      <c r="H73" s="250">
        <v>51.374099999999999</v>
      </c>
      <c r="I73" s="250">
        <v>6.9794400000000003</v>
      </c>
      <c r="J73" s="250">
        <v>-3.4799000000000002</v>
      </c>
      <c r="K73" s="250">
        <v>-2.6605340000000002</v>
      </c>
      <c r="L73" s="250">
        <v>1040.4000000000001</v>
      </c>
      <c r="M73" s="250">
        <v>110.49990699999999</v>
      </c>
      <c r="N73" s="250">
        <v>18628.698700000001</v>
      </c>
      <c r="O73" s="250">
        <v>18615.805100000001</v>
      </c>
      <c r="P73" s="250">
        <v>2024.8005700000001</v>
      </c>
      <c r="Q73" s="250" t="s">
        <v>18</v>
      </c>
      <c r="R73" s="250" t="s">
        <v>839</v>
      </c>
      <c r="S73" s="250" t="s">
        <v>21</v>
      </c>
      <c r="T73" s="250">
        <v>15</v>
      </c>
      <c r="U73" s="250">
        <v>5</v>
      </c>
      <c r="V73" s="250">
        <v>0.7</v>
      </c>
      <c r="W73" s="250">
        <v>0.7</v>
      </c>
      <c r="X73" s="250">
        <v>0.7</v>
      </c>
      <c r="Y73" s="250">
        <v>1700</v>
      </c>
      <c r="Z73" s="250" t="s">
        <v>840</v>
      </c>
      <c r="AA73" s="250">
        <v>0.85</v>
      </c>
      <c r="AB73" s="250" t="s">
        <v>841</v>
      </c>
      <c r="AC73" s="250" t="s">
        <v>842</v>
      </c>
      <c r="AD73" s="250">
        <v>220</v>
      </c>
      <c r="AE73" s="250"/>
      <c r="AF73" s="250"/>
      <c r="AG73" s="241"/>
    </row>
    <row r="74" spans="1:33" ht="15.75">
      <c r="A74" s="250" t="s">
        <v>925</v>
      </c>
      <c r="B74" s="250">
        <v>7</v>
      </c>
      <c r="C74" s="250">
        <v>77</v>
      </c>
      <c r="D74" s="250" t="s">
        <v>926</v>
      </c>
      <c r="E74" s="250">
        <v>1.5</v>
      </c>
      <c r="F74" s="251">
        <v>45077.666307870371</v>
      </c>
      <c r="G74" s="250">
        <v>1</v>
      </c>
      <c r="H74" s="250">
        <v>51.370800000000003</v>
      </c>
      <c r="I74" s="250">
        <v>6.9317500000000001</v>
      </c>
      <c r="J74" s="250">
        <v>-3.4975019999999999</v>
      </c>
      <c r="K74" s="250">
        <v>-2.653705</v>
      </c>
      <c r="L74" s="250">
        <v>1062.25</v>
      </c>
      <c r="M74" s="250">
        <v>220.50165799999999</v>
      </c>
      <c r="N74" s="250">
        <v>18633.352699999999</v>
      </c>
      <c r="O74" s="250">
        <v>18620.460899999998</v>
      </c>
      <c r="P74" s="250">
        <v>2025.30447</v>
      </c>
      <c r="Q74" s="250" t="s">
        <v>18</v>
      </c>
      <c r="R74" s="250" t="s">
        <v>839</v>
      </c>
      <c r="S74" s="250" t="s">
        <v>21</v>
      </c>
      <c r="T74" s="250">
        <v>15</v>
      </c>
      <c r="U74" s="250">
        <v>5</v>
      </c>
      <c r="V74" s="250">
        <v>0.7</v>
      </c>
      <c r="W74" s="250">
        <v>0.7</v>
      </c>
      <c r="X74" s="250">
        <v>0.7</v>
      </c>
      <c r="Y74" s="250">
        <v>1700</v>
      </c>
      <c r="Z74" s="250" t="s">
        <v>840</v>
      </c>
      <c r="AA74" s="250">
        <v>0.85</v>
      </c>
      <c r="AB74" s="250" t="s">
        <v>841</v>
      </c>
      <c r="AC74" s="250" t="s">
        <v>842</v>
      </c>
      <c r="AD74" s="250">
        <v>220</v>
      </c>
      <c r="AE74" s="250"/>
      <c r="AF74" s="250"/>
      <c r="AG74" s="241"/>
    </row>
    <row r="75" spans="1:33" ht="15.75">
      <c r="A75" s="250" t="s">
        <v>927</v>
      </c>
      <c r="B75" s="250">
        <v>7</v>
      </c>
      <c r="C75" s="250">
        <v>77</v>
      </c>
      <c r="D75" s="250" t="s">
        <v>926</v>
      </c>
      <c r="E75" s="250">
        <v>1.5</v>
      </c>
      <c r="F75" s="251">
        <v>45077.671018518522</v>
      </c>
      <c r="G75" s="250">
        <v>1</v>
      </c>
      <c r="H75" s="250">
        <v>51.364100000000001</v>
      </c>
      <c r="I75" s="250">
        <v>7.0676100000000002</v>
      </c>
      <c r="J75" s="250">
        <v>-3.4536470000000001</v>
      </c>
      <c r="K75" s="250">
        <v>-2.617966</v>
      </c>
      <c r="L75" s="250">
        <v>1041.8900000000001</v>
      </c>
      <c r="M75" s="250">
        <v>116.49848299999999</v>
      </c>
      <c r="N75" s="250">
        <v>18616.929599999999</v>
      </c>
      <c r="O75" s="250">
        <v>18620.460899999998</v>
      </c>
      <c r="P75" s="250">
        <v>2025.30447</v>
      </c>
      <c r="Q75" s="250" t="s">
        <v>18</v>
      </c>
      <c r="R75" s="250" t="s">
        <v>839</v>
      </c>
      <c r="S75" s="250" t="s">
        <v>21</v>
      </c>
      <c r="T75" s="250">
        <v>15</v>
      </c>
      <c r="U75" s="250">
        <v>5</v>
      </c>
      <c r="V75" s="250">
        <v>0.7</v>
      </c>
      <c r="W75" s="250">
        <v>0.7</v>
      </c>
      <c r="X75" s="250">
        <v>0.7</v>
      </c>
      <c r="Y75" s="250">
        <v>1700</v>
      </c>
      <c r="Z75" s="250" t="s">
        <v>840</v>
      </c>
      <c r="AA75" s="250">
        <v>0.85</v>
      </c>
      <c r="AB75" s="250" t="s">
        <v>841</v>
      </c>
      <c r="AC75" s="250" t="s">
        <v>842</v>
      </c>
      <c r="AD75" s="250">
        <v>220</v>
      </c>
      <c r="AE75" s="250"/>
      <c r="AF75" s="250"/>
      <c r="AG75" s="241"/>
    </row>
    <row r="76" spans="1:33" ht="15.75">
      <c r="A76" s="250" t="s">
        <v>928</v>
      </c>
      <c r="B76" s="250">
        <v>7</v>
      </c>
      <c r="C76" s="250">
        <v>77</v>
      </c>
      <c r="D76" s="250" t="s">
        <v>926</v>
      </c>
      <c r="E76" s="250">
        <v>1.5</v>
      </c>
      <c r="F76" s="251">
        <v>45077.67454861111</v>
      </c>
      <c r="G76" s="250">
        <v>1</v>
      </c>
      <c r="H76" s="250">
        <v>51.3675</v>
      </c>
      <c r="I76" s="250">
        <v>7.03362</v>
      </c>
      <c r="J76" s="250">
        <v>-3.5606360000000001</v>
      </c>
      <c r="K76" s="250">
        <v>-2.7126769999999998</v>
      </c>
      <c r="L76" s="250">
        <v>1063.43</v>
      </c>
      <c r="M76" s="250">
        <v>133.50077999999999</v>
      </c>
      <c r="N76" s="250">
        <v>18611.1005</v>
      </c>
      <c r="O76" s="250">
        <v>18620.460899999998</v>
      </c>
      <c r="P76" s="250">
        <v>2025.30447</v>
      </c>
      <c r="Q76" s="250" t="s">
        <v>18</v>
      </c>
      <c r="R76" s="250" t="s">
        <v>839</v>
      </c>
      <c r="S76" s="250" t="s">
        <v>21</v>
      </c>
      <c r="T76" s="250">
        <v>15</v>
      </c>
      <c r="U76" s="250">
        <v>5</v>
      </c>
      <c r="V76" s="250">
        <v>0.7</v>
      </c>
      <c r="W76" s="250">
        <v>0.7</v>
      </c>
      <c r="X76" s="250">
        <v>0.7</v>
      </c>
      <c r="Y76" s="250">
        <v>1700</v>
      </c>
      <c r="Z76" s="250" t="s">
        <v>840</v>
      </c>
      <c r="AA76" s="250">
        <v>0.85</v>
      </c>
      <c r="AB76" s="250" t="s">
        <v>841</v>
      </c>
      <c r="AC76" s="250" t="s">
        <v>842</v>
      </c>
      <c r="AD76" s="250">
        <v>220</v>
      </c>
      <c r="AE76" s="250"/>
      <c r="AF76" s="250"/>
      <c r="AG76" s="241"/>
    </row>
    <row r="77" spans="1:33" ht="15.75">
      <c r="A77" s="250" t="s">
        <v>929</v>
      </c>
      <c r="B77" s="250">
        <v>8</v>
      </c>
      <c r="C77" s="250">
        <v>85</v>
      </c>
      <c r="D77" s="250" t="s">
        <v>930</v>
      </c>
      <c r="E77" s="250">
        <v>1.5</v>
      </c>
      <c r="F77" s="251">
        <v>45077.678796296299</v>
      </c>
      <c r="G77" s="250">
        <v>1</v>
      </c>
      <c r="H77" s="250">
        <v>51.374099999999999</v>
      </c>
      <c r="I77" s="250">
        <v>7.0633600000000003</v>
      </c>
      <c r="J77" s="250">
        <v>-3.5452509999999999</v>
      </c>
      <c r="K77" s="250">
        <v>-2.7054230000000001</v>
      </c>
      <c r="L77" s="250">
        <v>1065.81</v>
      </c>
      <c r="M77" s="250">
        <v>123.498379</v>
      </c>
      <c r="N77" s="250">
        <v>18670.1721</v>
      </c>
      <c r="O77" s="250">
        <v>18667.286400000001</v>
      </c>
      <c r="P77" s="250">
        <v>2030.40175</v>
      </c>
      <c r="Q77" s="250" t="s">
        <v>18</v>
      </c>
      <c r="R77" s="250" t="s">
        <v>839</v>
      </c>
      <c r="S77" s="250" t="s">
        <v>21</v>
      </c>
      <c r="T77" s="250">
        <v>15</v>
      </c>
      <c r="U77" s="250">
        <v>5</v>
      </c>
      <c r="V77" s="250">
        <v>0.7</v>
      </c>
      <c r="W77" s="250">
        <v>0.7</v>
      </c>
      <c r="X77" s="250">
        <v>0.7</v>
      </c>
      <c r="Y77" s="250">
        <v>1700</v>
      </c>
      <c r="Z77" s="250" t="s">
        <v>840</v>
      </c>
      <c r="AA77" s="250">
        <v>0.85</v>
      </c>
      <c r="AB77" s="250" t="s">
        <v>841</v>
      </c>
      <c r="AC77" s="250" t="s">
        <v>842</v>
      </c>
      <c r="AD77" s="250">
        <v>220</v>
      </c>
      <c r="AE77" s="250"/>
      <c r="AF77" s="250"/>
      <c r="AG77" s="241"/>
    </row>
    <row r="78" spans="1:33" ht="15.75">
      <c r="A78" s="250" t="s">
        <v>931</v>
      </c>
      <c r="B78" s="250">
        <v>8</v>
      </c>
      <c r="C78" s="250">
        <v>85</v>
      </c>
      <c r="D78" s="250" t="s">
        <v>930</v>
      </c>
      <c r="E78" s="250">
        <v>1.5</v>
      </c>
      <c r="F78" s="251">
        <v>45077.68240740741</v>
      </c>
      <c r="G78" s="250">
        <v>1</v>
      </c>
      <c r="H78" s="250">
        <v>51.370800000000003</v>
      </c>
      <c r="I78" s="250">
        <v>6.7848100000000002</v>
      </c>
      <c r="J78" s="250">
        <v>-3.5614780000000001</v>
      </c>
      <c r="K78" s="250">
        <v>-2.7212299999999998</v>
      </c>
      <c r="L78" s="250">
        <v>1071.77</v>
      </c>
      <c r="M78" s="250">
        <v>142.49928</v>
      </c>
      <c r="N78" s="250">
        <v>18712.4928</v>
      </c>
      <c r="O78" s="250">
        <v>18667.286400000001</v>
      </c>
      <c r="P78" s="250">
        <v>2030.40175</v>
      </c>
      <c r="Q78" s="250" t="s">
        <v>18</v>
      </c>
      <c r="R78" s="250" t="s">
        <v>647</v>
      </c>
      <c r="S78" s="250" t="s">
        <v>21</v>
      </c>
      <c r="T78" s="250">
        <v>15</v>
      </c>
      <c r="U78" s="250">
        <v>5</v>
      </c>
      <c r="V78" s="250">
        <v>0.7</v>
      </c>
      <c r="W78" s="250">
        <v>0.7</v>
      </c>
      <c r="X78" s="250">
        <v>0.7</v>
      </c>
      <c r="Y78" s="250">
        <v>1700</v>
      </c>
      <c r="Z78" s="250" t="s">
        <v>840</v>
      </c>
      <c r="AA78" s="250">
        <v>0.85</v>
      </c>
      <c r="AB78" s="250" t="s">
        <v>841</v>
      </c>
      <c r="AC78" s="250" t="s">
        <v>842</v>
      </c>
      <c r="AD78" s="250">
        <v>220</v>
      </c>
      <c r="AE78" s="250"/>
      <c r="AF78" s="250"/>
      <c r="AG78" s="241"/>
    </row>
    <row r="79" spans="1:33" ht="15.75">
      <c r="A79" s="250" t="s">
        <v>932</v>
      </c>
      <c r="B79" s="250">
        <v>8</v>
      </c>
      <c r="C79" s="250">
        <v>85</v>
      </c>
      <c r="D79" s="250" t="s">
        <v>930</v>
      </c>
      <c r="E79" s="250">
        <v>1.5</v>
      </c>
      <c r="F79" s="251">
        <v>45077.686215277776</v>
      </c>
      <c r="G79" s="250">
        <v>1</v>
      </c>
      <c r="H79" s="250">
        <v>51.370800000000003</v>
      </c>
      <c r="I79" s="250">
        <v>6.9145500000000002</v>
      </c>
      <c r="J79" s="250">
        <v>-3.5312420000000002</v>
      </c>
      <c r="K79" s="250">
        <v>-2.6864810000000001</v>
      </c>
      <c r="L79" s="250">
        <v>1062.92</v>
      </c>
      <c r="M79" s="250">
        <v>152.499484</v>
      </c>
      <c r="N79" s="250">
        <v>18681.2886</v>
      </c>
      <c r="O79" s="250">
        <v>18667.286400000001</v>
      </c>
      <c r="P79" s="250">
        <v>2030.40175</v>
      </c>
      <c r="Q79" s="250" t="s">
        <v>18</v>
      </c>
      <c r="R79" s="250" t="s">
        <v>839</v>
      </c>
      <c r="S79" s="250" t="s">
        <v>21</v>
      </c>
      <c r="T79" s="250">
        <v>15</v>
      </c>
      <c r="U79" s="250">
        <v>5</v>
      </c>
      <c r="V79" s="250">
        <v>0.7</v>
      </c>
      <c r="W79" s="250">
        <v>0.7</v>
      </c>
      <c r="X79" s="250">
        <v>0.7</v>
      </c>
      <c r="Y79" s="250">
        <v>1700</v>
      </c>
      <c r="Z79" s="250" t="s">
        <v>840</v>
      </c>
      <c r="AA79" s="250">
        <v>0.85</v>
      </c>
      <c r="AB79" s="250" t="s">
        <v>841</v>
      </c>
      <c r="AC79" s="250" t="s">
        <v>842</v>
      </c>
      <c r="AD79" s="250">
        <v>220</v>
      </c>
      <c r="AE79" s="250"/>
      <c r="AF79" s="250"/>
      <c r="AG79" s="241"/>
    </row>
    <row r="80" spans="1:33" ht="15.75">
      <c r="A80" s="250" t="s">
        <v>933</v>
      </c>
      <c r="B80" s="250">
        <v>8</v>
      </c>
      <c r="C80" s="250">
        <v>85</v>
      </c>
      <c r="D80" s="250" t="s">
        <v>930</v>
      </c>
      <c r="E80" s="250">
        <v>1.5</v>
      </c>
      <c r="F80" s="251">
        <v>45077.690150462964</v>
      </c>
      <c r="G80" s="250">
        <v>1</v>
      </c>
      <c r="H80" s="250">
        <v>51.370800000000003</v>
      </c>
      <c r="I80" s="250">
        <v>7.0922200000000002</v>
      </c>
      <c r="J80" s="250">
        <v>-3.485646</v>
      </c>
      <c r="K80" s="250">
        <v>-2.6356480000000002</v>
      </c>
      <c r="L80" s="250">
        <v>1050.6600000000001</v>
      </c>
      <c r="M80" s="250">
        <v>122.999703</v>
      </c>
      <c r="N80" s="250">
        <v>18611.895400000001</v>
      </c>
      <c r="O80" s="250">
        <v>18667.286400000001</v>
      </c>
      <c r="P80" s="250">
        <v>2030.40175</v>
      </c>
      <c r="Q80" s="250" t="s">
        <v>18</v>
      </c>
      <c r="R80" s="250" t="s">
        <v>647</v>
      </c>
      <c r="S80" s="250" t="s">
        <v>21</v>
      </c>
      <c r="T80" s="250">
        <v>15</v>
      </c>
      <c r="U80" s="250">
        <v>5</v>
      </c>
      <c r="V80" s="250">
        <v>0.7</v>
      </c>
      <c r="W80" s="250">
        <v>0.7</v>
      </c>
      <c r="X80" s="250">
        <v>0.7</v>
      </c>
      <c r="Y80" s="250">
        <v>1700</v>
      </c>
      <c r="Z80" s="250" t="s">
        <v>840</v>
      </c>
      <c r="AA80" s="250">
        <v>0.85</v>
      </c>
      <c r="AB80" s="250" t="s">
        <v>841</v>
      </c>
      <c r="AC80" s="250" t="s">
        <v>842</v>
      </c>
      <c r="AD80" s="250">
        <v>220</v>
      </c>
      <c r="AE80" s="250"/>
      <c r="AF80" s="250"/>
      <c r="AG80" s="241"/>
    </row>
    <row r="81" spans="1:33" ht="15.75">
      <c r="A81" s="250" t="s">
        <v>934</v>
      </c>
      <c r="B81" s="250">
        <v>8</v>
      </c>
      <c r="C81" s="250">
        <v>85</v>
      </c>
      <c r="D81" s="250" t="s">
        <v>930</v>
      </c>
      <c r="E81" s="250">
        <v>1.5</v>
      </c>
      <c r="F81" s="251">
        <v>45077.693749999999</v>
      </c>
      <c r="G81" s="250">
        <v>1</v>
      </c>
      <c r="H81" s="250">
        <v>51.3675</v>
      </c>
      <c r="I81" s="250">
        <v>7.0486399999999998</v>
      </c>
      <c r="J81" s="250">
        <v>-3.5465909999999998</v>
      </c>
      <c r="K81" s="250">
        <v>-2.7018550000000001</v>
      </c>
      <c r="L81" s="250">
        <v>1045.8699999999999</v>
      </c>
      <c r="M81" s="250">
        <v>159.99987899999999</v>
      </c>
      <c r="N81" s="250">
        <v>18650.398399999998</v>
      </c>
      <c r="O81" s="250">
        <v>18667.286400000001</v>
      </c>
      <c r="P81" s="250">
        <v>2030.40175</v>
      </c>
      <c r="Q81" s="250" t="s">
        <v>18</v>
      </c>
      <c r="R81" s="250" t="s">
        <v>839</v>
      </c>
      <c r="S81" s="250" t="s">
        <v>21</v>
      </c>
      <c r="T81" s="250">
        <v>15</v>
      </c>
      <c r="U81" s="250">
        <v>5</v>
      </c>
      <c r="V81" s="250">
        <v>0.7</v>
      </c>
      <c r="W81" s="250">
        <v>0.7</v>
      </c>
      <c r="X81" s="250">
        <v>0.7</v>
      </c>
      <c r="Y81" s="250">
        <v>1700</v>
      </c>
      <c r="Z81" s="250" t="s">
        <v>840</v>
      </c>
      <c r="AA81" s="250">
        <v>0.85</v>
      </c>
      <c r="AB81" s="250" t="s">
        <v>841</v>
      </c>
      <c r="AC81" s="250" t="s">
        <v>842</v>
      </c>
      <c r="AD81" s="250">
        <v>220</v>
      </c>
      <c r="AE81" s="250"/>
      <c r="AF81" s="250"/>
      <c r="AG81" s="241"/>
    </row>
    <row r="82" spans="1:33" ht="15.75">
      <c r="A82" s="250" t="s">
        <v>935</v>
      </c>
      <c r="B82" s="250">
        <v>9</v>
      </c>
      <c r="C82" s="250">
        <v>84</v>
      </c>
      <c r="D82" s="250" t="s">
        <v>936</v>
      </c>
      <c r="E82" s="250">
        <v>1.5</v>
      </c>
      <c r="F82" s="251">
        <v>45077.698287037034</v>
      </c>
      <c r="G82" s="250">
        <v>1</v>
      </c>
      <c r="H82" s="250">
        <v>51.3675</v>
      </c>
      <c r="I82" s="250">
        <v>7.0143199999999997</v>
      </c>
      <c r="J82" s="250">
        <v>-3.4805450000000002</v>
      </c>
      <c r="K82" s="250">
        <v>-2.637067</v>
      </c>
      <c r="L82" s="250">
        <v>1052.8</v>
      </c>
      <c r="M82" s="250">
        <v>140.00039699999999</v>
      </c>
      <c r="N82" s="250">
        <v>18630.2003</v>
      </c>
      <c r="O82" s="250">
        <v>18731.365900000001</v>
      </c>
      <c r="P82" s="250">
        <v>2037.4320299999999</v>
      </c>
      <c r="Q82" s="250" t="s">
        <v>18</v>
      </c>
      <c r="R82" s="250" t="s">
        <v>647</v>
      </c>
      <c r="S82" s="250" t="s">
        <v>21</v>
      </c>
      <c r="T82" s="250">
        <v>15</v>
      </c>
      <c r="U82" s="250">
        <v>5</v>
      </c>
      <c r="V82" s="250">
        <v>0.7</v>
      </c>
      <c r="W82" s="250">
        <v>0.7</v>
      </c>
      <c r="X82" s="250">
        <v>0.7</v>
      </c>
      <c r="Y82" s="250">
        <v>1700</v>
      </c>
      <c r="Z82" s="250" t="s">
        <v>840</v>
      </c>
      <c r="AA82" s="250">
        <v>0.85</v>
      </c>
      <c r="AB82" s="250" t="s">
        <v>841</v>
      </c>
      <c r="AC82" s="250" t="s">
        <v>842</v>
      </c>
      <c r="AD82" s="250">
        <v>220</v>
      </c>
      <c r="AE82" s="250"/>
      <c r="AF82" s="250"/>
      <c r="AG82" s="241"/>
    </row>
    <row r="83" spans="1:33" ht="15.75">
      <c r="A83" s="250" t="s">
        <v>937</v>
      </c>
      <c r="B83" s="250">
        <v>9</v>
      </c>
      <c r="C83" s="250">
        <v>84</v>
      </c>
      <c r="D83" s="250" t="s">
        <v>936</v>
      </c>
      <c r="E83" s="250">
        <v>1.5</v>
      </c>
      <c r="F83" s="251">
        <v>45077.702094907407</v>
      </c>
      <c r="G83" s="250">
        <v>1</v>
      </c>
      <c r="H83" s="250">
        <v>51.374099999999999</v>
      </c>
      <c r="I83" s="250">
        <v>7.0058600000000002</v>
      </c>
      <c r="J83" s="250">
        <v>-3.4658579999999999</v>
      </c>
      <c r="K83" s="250">
        <v>-2.6206659999999999</v>
      </c>
      <c r="L83" s="250">
        <v>1050.27</v>
      </c>
      <c r="M83" s="250">
        <v>120.99938899999999</v>
      </c>
      <c r="N83" s="250">
        <v>18748.0098</v>
      </c>
      <c r="O83" s="250">
        <v>18731.365900000001</v>
      </c>
      <c r="P83" s="250">
        <v>2037.4320299999999</v>
      </c>
      <c r="Q83" s="250" t="s">
        <v>18</v>
      </c>
      <c r="R83" s="250" t="s">
        <v>839</v>
      </c>
      <c r="S83" s="250" t="s">
        <v>21</v>
      </c>
      <c r="T83" s="250">
        <v>15</v>
      </c>
      <c r="U83" s="250">
        <v>5</v>
      </c>
      <c r="V83" s="250">
        <v>0.7</v>
      </c>
      <c r="W83" s="250">
        <v>0.7</v>
      </c>
      <c r="X83" s="250">
        <v>0.7</v>
      </c>
      <c r="Y83" s="250">
        <v>1700</v>
      </c>
      <c r="Z83" s="250" t="s">
        <v>840</v>
      </c>
      <c r="AA83" s="250">
        <v>0.85</v>
      </c>
      <c r="AB83" s="250" t="s">
        <v>841</v>
      </c>
      <c r="AC83" s="250" t="s">
        <v>842</v>
      </c>
      <c r="AD83" s="250">
        <v>220</v>
      </c>
      <c r="AE83" s="250"/>
      <c r="AF83" s="250"/>
      <c r="AG83" s="241"/>
    </row>
    <row r="84" spans="1:33" ht="15.75">
      <c r="A84" s="250" t="s">
        <v>938</v>
      </c>
      <c r="B84" s="250">
        <v>9</v>
      </c>
      <c r="C84" s="250">
        <v>84</v>
      </c>
      <c r="D84" s="250" t="s">
        <v>936</v>
      </c>
      <c r="E84" s="250">
        <v>1.5</v>
      </c>
      <c r="F84" s="251">
        <v>45077.705636574072</v>
      </c>
      <c r="G84" s="250">
        <v>1</v>
      </c>
      <c r="H84" s="250">
        <v>51.370800000000003</v>
      </c>
      <c r="I84" s="250">
        <v>7.1436700000000002</v>
      </c>
      <c r="J84" s="250">
        <v>-3.4783780000000002</v>
      </c>
      <c r="K84" s="250">
        <v>-2.6379809999999999</v>
      </c>
      <c r="L84" s="250">
        <v>1057.4000000000001</v>
      </c>
      <c r="M84" s="250">
        <v>120.00115</v>
      </c>
      <c r="N84" s="250">
        <v>18714.4388</v>
      </c>
      <c r="O84" s="250">
        <v>18731.365900000001</v>
      </c>
      <c r="P84" s="250">
        <v>2037.4320299999999</v>
      </c>
      <c r="Q84" s="250" t="s">
        <v>18</v>
      </c>
      <c r="R84" s="250" t="s">
        <v>839</v>
      </c>
      <c r="S84" s="250" t="s">
        <v>21</v>
      </c>
      <c r="T84" s="250">
        <v>15</v>
      </c>
      <c r="U84" s="250">
        <v>5</v>
      </c>
      <c r="V84" s="250">
        <v>0.7</v>
      </c>
      <c r="W84" s="250">
        <v>0.7</v>
      </c>
      <c r="X84" s="250">
        <v>0.7</v>
      </c>
      <c r="Y84" s="250">
        <v>1700</v>
      </c>
      <c r="Z84" s="250" t="s">
        <v>840</v>
      </c>
      <c r="AA84" s="250">
        <v>0.85</v>
      </c>
      <c r="AB84" s="250" t="s">
        <v>841</v>
      </c>
      <c r="AC84" s="250" t="s">
        <v>842</v>
      </c>
      <c r="AD84" s="250">
        <v>220</v>
      </c>
      <c r="AE84" s="250"/>
      <c r="AF84" s="250"/>
      <c r="AG84" s="241"/>
    </row>
    <row r="85" spans="1:33" ht="15.75">
      <c r="A85" s="250" t="s">
        <v>939</v>
      </c>
      <c r="B85" s="250">
        <v>9</v>
      </c>
      <c r="C85" s="250">
        <v>84</v>
      </c>
      <c r="D85" s="250" t="s">
        <v>936</v>
      </c>
      <c r="E85" s="250">
        <v>1.5</v>
      </c>
      <c r="F85" s="251">
        <v>45077.709166666667</v>
      </c>
      <c r="G85" s="250">
        <v>1</v>
      </c>
      <c r="H85" s="250">
        <v>51.370800000000003</v>
      </c>
      <c r="I85" s="250">
        <v>7.0163799999999998</v>
      </c>
      <c r="J85" s="250">
        <v>-3.4700359999999999</v>
      </c>
      <c r="K85" s="250">
        <v>-2.6358519999999999</v>
      </c>
      <c r="L85" s="250">
        <v>1068.46</v>
      </c>
      <c r="M85" s="250">
        <v>116.999364</v>
      </c>
      <c r="N85" s="250">
        <v>18675.615099999999</v>
      </c>
      <c r="O85" s="250">
        <v>18731.365900000001</v>
      </c>
      <c r="P85" s="250">
        <v>2037.4320299999999</v>
      </c>
      <c r="Q85" s="250" t="s">
        <v>18</v>
      </c>
      <c r="R85" s="250" t="s">
        <v>647</v>
      </c>
      <c r="S85" s="250" t="s">
        <v>21</v>
      </c>
      <c r="T85" s="250">
        <v>15</v>
      </c>
      <c r="U85" s="250">
        <v>5</v>
      </c>
      <c r="V85" s="250">
        <v>0.7</v>
      </c>
      <c r="W85" s="250">
        <v>0.7</v>
      </c>
      <c r="X85" s="250">
        <v>0.7</v>
      </c>
      <c r="Y85" s="250">
        <v>1700</v>
      </c>
      <c r="Z85" s="250" t="s">
        <v>840</v>
      </c>
      <c r="AA85" s="250">
        <v>0.85</v>
      </c>
      <c r="AB85" s="250" t="s">
        <v>841</v>
      </c>
      <c r="AC85" s="250" t="s">
        <v>842</v>
      </c>
      <c r="AD85" s="250">
        <v>220</v>
      </c>
      <c r="AE85" s="250"/>
      <c r="AF85" s="250"/>
      <c r="AG85" s="241"/>
    </row>
    <row r="86" spans="1:33" ht="15.75">
      <c r="A86" s="250" t="s">
        <v>940</v>
      </c>
      <c r="B86" s="250">
        <v>9</v>
      </c>
      <c r="C86" s="250">
        <v>84</v>
      </c>
      <c r="D86" s="250" t="s">
        <v>936</v>
      </c>
      <c r="E86" s="250">
        <v>1.5</v>
      </c>
      <c r="F86" s="251">
        <v>45077.712685185186</v>
      </c>
      <c r="G86" s="250">
        <v>1</v>
      </c>
      <c r="H86" s="250">
        <v>51.370800000000003</v>
      </c>
      <c r="I86" s="250">
        <v>6.9201199999999998</v>
      </c>
      <c r="J86" s="250">
        <v>-3.4895130000000001</v>
      </c>
      <c r="K86" s="250">
        <v>-2.6402079999999999</v>
      </c>
      <c r="L86" s="250">
        <v>1063.47</v>
      </c>
      <c r="M86" s="250">
        <v>129.998718</v>
      </c>
      <c r="N86" s="250">
        <v>18731.649000000001</v>
      </c>
      <c r="O86" s="250">
        <v>18731.365900000001</v>
      </c>
      <c r="P86" s="250">
        <v>2037.4320299999999</v>
      </c>
      <c r="Q86" s="250" t="s">
        <v>18</v>
      </c>
      <c r="R86" s="250" t="s">
        <v>839</v>
      </c>
      <c r="S86" s="250" t="s">
        <v>21</v>
      </c>
      <c r="T86" s="250">
        <v>15</v>
      </c>
      <c r="U86" s="250">
        <v>5</v>
      </c>
      <c r="V86" s="250">
        <v>0.7</v>
      </c>
      <c r="W86" s="250">
        <v>0.7</v>
      </c>
      <c r="X86" s="250">
        <v>0.7</v>
      </c>
      <c r="Y86" s="250">
        <v>1700</v>
      </c>
      <c r="Z86" s="250" t="s">
        <v>840</v>
      </c>
      <c r="AA86" s="250">
        <v>0.85</v>
      </c>
      <c r="AB86" s="250" t="s">
        <v>841</v>
      </c>
      <c r="AC86" s="250" t="s">
        <v>842</v>
      </c>
      <c r="AD86" s="250">
        <v>220</v>
      </c>
      <c r="AE86" s="250"/>
      <c r="AF86" s="250"/>
      <c r="AG86" s="241"/>
    </row>
    <row r="87" spans="1:33" ht="15.75">
      <c r="A87" s="250" t="s">
        <v>941</v>
      </c>
      <c r="B87" s="250" t="s">
        <v>836</v>
      </c>
      <c r="C87" s="250" t="s">
        <v>882</v>
      </c>
      <c r="D87" s="250" t="s">
        <v>838</v>
      </c>
      <c r="E87" s="250">
        <v>1.5</v>
      </c>
      <c r="F87" s="251">
        <v>45077.716805555552</v>
      </c>
      <c r="G87" s="250">
        <v>1</v>
      </c>
      <c r="H87" s="250">
        <v>51.370800000000003</v>
      </c>
      <c r="I87" s="250">
        <v>7.0590000000000002</v>
      </c>
      <c r="J87" s="250">
        <v>-3.555955</v>
      </c>
      <c r="K87" s="250">
        <v>-2.7164109999999999</v>
      </c>
      <c r="L87" s="250">
        <v>1051.5899999999999</v>
      </c>
      <c r="M87" s="250">
        <v>119.499381</v>
      </c>
      <c r="N87" s="250">
        <v>18647.193899999998</v>
      </c>
      <c r="O87" s="250">
        <v>18647.193899999998</v>
      </c>
      <c r="P87" s="250">
        <v>2028.1977999999999</v>
      </c>
      <c r="Q87" s="250" t="s">
        <v>18</v>
      </c>
      <c r="R87" s="250" t="s">
        <v>839</v>
      </c>
      <c r="S87" s="250" t="s">
        <v>21</v>
      </c>
      <c r="T87" s="250">
        <v>15</v>
      </c>
      <c r="U87" s="250">
        <v>5</v>
      </c>
      <c r="V87" s="250">
        <v>0.7</v>
      </c>
      <c r="W87" s="250">
        <v>0.7</v>
      </c>
      <c r="X87" s="250">
        <v>0.7</v>
      </c>
      <c r="Y87" s="250">
        <v>1700</v>
      </c>
      <c r="Z87" s="250" t="s">
        <v>840</v>
      </c>
      <c r="AA87" s="250">
        <v>0.85</v>
      </c>
      <c r="AB87" s="250" t="s">
        <v>841</v>
      </c>
      <c r="AC87" s="250" t="s">
        <v>842</v>
      </c>
      <c r="AD87" s="250">
        <v>220</v>
      </c>
      <c r="AE87" s="250"/>
      <c r="AF87" s="250"/>
      <c r="AG87" s="241"/>
    </row>
    <row r="88" spans="1:33" ht="15.75">
      <c r="A88" s="250" t="s">
        <v>942</v>
      </c>
      <c r="B88" s="250" t="s">
        <v>836</v>
      </c>
      <c r="C88" s="250" t="s">
        <v>882</v>
      </c>
      <c r="D88" s="250" t="s">
        <v>838</v>
      </c>
      <c r="E88" s="250">
        <v>1.5</v>
      </c>
      <c r="F88" s="251">
        <v>45077.720185185186</v>
      </c>
      <c r="G88" s="250">
        <v>1</v>
      </c>
      <c r="H88" s="250">
        <v>51.3675</v>
      </c>
      <c r="I88" s="250">
        <v>6.9983300000000002</v>
      </c>
      <c r="J88" s="250">
        <v>-3.5627209999999998</v>
      </c>
      <c r="K88" s="250">
        <v>-2.7184460000000001</v>
      </c>
      <c r="L88" s="250">
        <v>1042.83</v>
      </c>
      <c r="M88" s="250">
        <v>124.49909100000001</v>
      </c>
      <c r="N88" s="250">
        <v>18608.763999999999</v>
      </c>
      <c r="O88" s="250">
        <v>18608.763999999999</v>
      </c>
      <c r="P88" s="250">
        <v>2024.0385000000001</v>
      </c>
      <c r="Q88" s="250" t="s">
        <v>18</v>
      </c>
      <c r="R88" s="250" t="s">
        <v>839</v>
      </c>
      <c r="S88" s="250" t="s">
        <v>21</v>
      </c>
      <c r="T88" s="250">
        <v>15</v>
      </c>
      <c r="U88" s="250">
        <v>5</v>
      </c>
      <c r="V88" s="250">
        <v>0.7</v>
      </c>
      <c r="W88" s="250">
        <v>0.7</v>
      </c>
      <c r="X88" s="250">
        <v>0.7</v>
      </c>
      <c r="Y88" s="250">
        <v>1700</v>
      </c>
      <c r="Z88" s="250" t="s">
        <v>840</v>
      </c>
      <c r="AA88" s="250">
        <v>0.85</v>
      </c>
      <c r="AB88" s="250" t="s">
        <v>841</v>
      </c>
      <c r="AC88" s="250" t="s">
        <v>842</v>
      </c>
      <c r="AD88" s="250">
        <v>220</v>
      </c>
      <c r="AE88" s="250"/>
      <c r="AF88" s="250"/>
      <c r="AG88" s="241"/>
    </row>
    <row r="89" spans="1:33" ht="15.75">
      <c r="A89" s="250" t="s">
        <v>943</v>
      </c>
      <c r="B89" s="250" t="s">
        <v>836</v>
      </c>
      <c r="C89" s="250" t="s">
        <v>882</v>
      </c>
      <c r="D89" s="250" t="s">
        <v>838</v>
      </c>
      <c r="E89" s="250">
        <v>1.5</v>
      </c>
      <c r="F89" s="251">
        <v>45077.723587962966</v>
      </c>
      <c r="G89" s="250">
        <v>1</v>
      </c>
      <c r="H89" s="250">
        <v>51.364100000000001</v>
      </c>
      <c r="I89" s="250">
        <v>7.1104399999999996</v>
      </c>
      <c r="J89" s="250">
        <v>-3.5795669999999999</v>
      </c>
      <c r="K89" s="250">
        <v>-2.7540170000000002</v>
      </c>
      <c r="L89" s="250">
        <v>1060.19</v>
      </c>
      <c r="M89" s="250">
        <v>113.000225</v>
      </c>
      <c r="N89" s="250">
        <v>18638.7438</v>
      </c>
      <c r="O89" s="250">
        <v>18638.7438</v>
      </c>
      <c r="P89" s="250">
        <v>2027.28324</v>
      </c>
      <c r="Q89" s="250" t="s">
        <v>18</v>
      </c>
      <c r="R89" s="250" t="s">
        <v>839</v>
      </c>
      <c r="S89" s="250" t="s">
        <v>21</v>
      </c>
      <c r="T89" s="250">
        <v>15</v>
      </c>
      <c r="U89" s="250">
        <v>5</v>
      </c>
      <c r="V89" s="250">
        <v>0.7</v>
      </c>
      <c r="W89" s="250">
        <v>0.7</v>
      </c>
      <c r="X89" s="250">
        <v>0.7</v>
      </c>
      <c r="Y89" s="250">
        <v>1700</v>
      </c>
      <c r="Z89" s="250" t="s">
        <v>840</v>
      </c>
      <c r="AA89" s="250">
        <v>0.85</v>
      </c>
      <c r="AB89" s="250" t="s">
        <v>841</v>
      </c>
      <c r="AC89" s="250" t="s">
        <v>842</v>
      </c>
      <c r="AD89" s="250">
        <v>220</v>
      </c>
      <c r="AE89" s="250"/>
      <c r="AF89" s="250"/>
      <c r="AG89" s="241"/>
    </row>
    <row r="90" spans="1:33" ht="15.75">
      <c r="A90" s="250" t="s">
        <v>835</v>
      </c>
      <c r="B90" s="250" t="s">
        <v>836</v>
      </c>
      <c r="C90" s="250"/>
      <c r="D90" s="250" t="s">
        <v>838</v>
      </c>
      <c r="E90" s="250">
        <v>1</v>
      </c>
      <c r="F90" s="250"/>
      <c r="G90" s="250">
        <v>1</v>
      </c>
      <c r="H90" s="250">
        <v>0</v>
      </c>
      <c r="I90" s="250">
        <v>0</v>
      </c>
      <c r="J90" s="250">
        <v>0</v>
      </c>
      <c r="K90" s="250">
        <v>0</v>
      </c>
      <c r="L90" s="250">
        <v>0</v>
      </c>
      <c r="M90" s="250">
        <v>0</v>
      </c>
      <c r="N90" s="250">
        <v>0</v>
      </c>
      <c r="O90" s="250">
        <v>0</v>
      </c>
      <c r="P90" s="250">
        <v>0</v>
      </c>
      <c r="Q90" s="250" t="s">
        <v>18</v>
      </c>
      <c r="R90" s="250" t="s">
        <v>852</v>
      </c>
      <c r="S90" s="250" t="s">
        <v>28</v>
      </c>
      <c r="T90" s="250"/>
      <c r="U90" s="250"/>
      <c r="V90" s="250"/>
      <c r="W90" s="250"/>
      <c r="X90" s="250"/>
      <c r="Y90" s="250"/>
      <c r="Z90" s="250"/>
      <c r="AA90" s="250"/>
      <c r="AB90" s="250"/>
      <c r="AC90" s="250"/>
      <c r="AD90" s="250"/>
      <c r="AE90" s="250"/>
      <c r="AF90" s="250"/>
      <c r="AG90" s="241"/>
    </row>
    <row r="91" spans="1:33" ht="15.75">
      <c r="A91" s="250" t="s">
        <v>843</v>
      </c>
      <c r="B91" s="250" t="s">
        <v>836</v>
      </c>
      <c r="C91" s="250" t="s">
        <v>837</v>
      </c>
      <c r="D91" s="250" t="s">
        <v>838</v>
      </c>
      <c r="E91" s="250">
        <v>1</v>
      </c>
      <c r="F91" s="251">
        <v>45078.380486111113</v>
      </c>
      <c r="G91" s="250">
        <v>1</v>
      </c>
      <c r="H91" s="250">
        <v>51.3675</v>
      </c>
      <c r="I91" s="250">
        <v>9.5677299999999992</v>
      </c>
      <c r="J91" s="250">
        <v>-3.0397259999999999</v>
      </c>
      <c r="K91" s="250">
        <v>-2.200507</v>
      </c>
      <c r="L91" s="250">
        <v>939.13699999999994</v>
      </c>
      <c r="M91" s="250">
        <v>92.499174999999994</v>
      </c>
      <c r="N91" s="250">
        <v>11871.1394</v>
      </c>
      <c r="O91" s="250">
        <v>11871.1394</v>
      </c>
      <c r="P91" s="250">
        <v>1942.23125</v>
      </c>
      <c r="Q91" s="250" t="s">
        <v>18</v>
      </c>
      <c r="R91" s="250" t="s">
        <v>839</v>
      </c>
      <c r="S91" s="250" t="s">
        <v>21</v>
      </c>
      <c r="T91" s="250">
        <v>15</v>
      </c>
      <c r="U91" s="250">
        <v>5</v>
      </c>
      <c r="V91" s="250">
        <v>0.7</v>
      </c>
      <c r="W91" s="250">
        <v>0.7</v>
      </c>
      <c r="X91" s="250">
        <v>0.7</v>
      </c>
      <c r="Y91" s="250">
        <v>1700</v>
      </c>
      <c r="Z91" s="250" t="s">
        <v>840</v>
      </c>
      <c r="AA91" s="250">
        <v>0.85</v>
      </c>
      <c r="AB91" s="250" t="s">
        <v>841</v>
      </c>
      <c r="AC91" s="250" t="s">
        <v>842</v>
      </c>
      <c r="AD91" s="250">
        <v>220</v>
      </c>
      <c r="AE91" s="250"/>
      <c r="AF91" s="250"/>
      <c r="AG91" s="241"/>
    </row>
    <row r="92" spans="1:33" ht="15.75">
      <c r="A92" s="250" t="s">
        <v>844</v>
      </c>
      <c r="B92" s="250" t="s">
        <v>836</v>
      </c>
      <c r="C92" s="250" t="s">
        <v>837</v>
      </c>
      <c r="D92" s="250" t="s">
        <v>838</v>
      </c>
      <c r="E92" s="250">
        <v>1</v>
      </c>
      <c r="F92" s="251">
        <v>45078.383472222224</v>
      </c>
      <c r="G92" s="250">
        <v>1</v>
      </c>
      <c r="H92" s="250">
        <v>51.364100000000001</v>
      </c>
      <c r="I92" s="250">
        <v>7.8313699999999997</v>
      </c>
      <c r="J92" s="250">
        <v>-3.2340429999999998</v>
      </c>
      <c r="K92" s="250">
        <v>-2.3937970000000002</v>
      </c>
      <c r="L92" s="250">
        <v>938.83100000000002</v>
      </c>
      <c r="M92" s="250">
        <v>92.500011000000001</v>
      </c>
      <c r="N92" s="250">
        <v>11905.8719</v>
      </c>
      <c r="O92" s="250">
        <v>11905.8719</v>
      </c>
      <c r="P92" s="250">
        <v>1947.8699300000001</v>
      </c>
      <c r="Q92" s="250" t="s">
        <v>18</v>
      </c>
      <c r="R92" s="250" t="s">
        <v>839</v>
      </c>
      <c r="S92" s="250" t="s">
        <v>21</v>
      </c>
      <c r="T92" s="250">
        <v>15</v>
      </c>
      <c r="U92" s="250">
        <v>5</v>
      </c>
      <c r="V92" s="250">
        <v>0.7</v>
      </c>
      <c r="W92" s="250">
        <v>0.7</v>
      </c>
      <c r="X92" s="250">
        <v>0.7</v>
      </c>
      <c r="Y92" s="250">
        <v>1700</v>
      </c>
      <c r="Z92" s="250" t="s">
        <v>840</v>
      </c>
      <c r="AA92" s="250">
        <v>0.85</v>
      </c>
      <c r="AB92" s="250" t="s">
        <v>841</v>
      </c>
      <c r="AC92" s="250" t="s">
        <v>842</v>
      </c>
      <c r="AD92" s="250">
        <v>220</v>
      </c>
      <c r="AE92" s="250"/>
      <c r="AF92" s="250"/>
      <c r="AG92" s="241"/>
    </row>
    <row r="93" spans="1:33" ht="15.75">
      <c r="A93" s="250" t="s">
        <v>845</v>
      </c>
      <c r="B93" s="250" t="s">
        <v>836</v>
      </c>
      <c r="C93" s="250" t="s">
        <v>837</v>
      </c>
      <c r="D93" s="250" t="s">
        <v>838</v>
      </c>
      <c r="E93" s="250">
        <v>1</v>
      </c>
      <c r="F93" s="251">
        <v>45078.386458333334</v>
      </c>
      <c r="G93" s="250">
        <v>1</v>
      </c>
      <c r="H93" s="250">
        <v>51.370800000000003</v>
      </c>
      <c r="I93" s="250">
        <v>7.3832800000000001</v>
      </c>
      <c r="J93" s="250">
        <v>-3.2754470000000002</v>
      </c>
      <c r="K93" s="250">
        <v>-2.4498920000000002</v>
      </c>
      <c r="L93" s="250">
        <v>935.59100000000001</v>
      </c>
      <c r="M93" s="250">
        <v>102.500274</v>
      </c>
      <c r="N93" s="250">
        <v>11916.503199999999</v>
      </c>
      <c r="O93" s="250">
        <v>11916.503199999999</v>
      </c>
      <c r="P93" s="250">
        <v>1949.5958900000001</v>
      </c>
      <c r="Q93" s="250" t="s">
        <v>18</v>
      </c>
      <c r="R93" s="250" t="s">
        <v>839</v>
      </c>
      <c r="S93" s="250" t="s">
        <v>21</v>
      </c>
      <c r="T93" s="250">
        <v>15</v>
      </c>
      <c r="U93" s="250">
        <v>5</v>
      </c>
      <c r="V93" s="250">
        <v>0.7</v>
      </c>
      <c r="W93" s="250">
        <v>0.7</v>
      </c>
      <c r="X93" s="250">
        <v>0.7</v>
      </c>
      <c r="Y93" s="250">
        <v>1700</v>
      </c>
      <c r="Z93" s="250" t="s">
        <v>840</v>
      </c>
      <c r="AA93" s="250">
        <v>0.85</v>
      </c>
      <c r="AB93" s="250" t="s">
        <v>841</v>
      </c>
      <c r="AC93" s="250" t="s">
        <v>842</v>
      </c>
      <c r="AD93" s="250">
        <v>220</v>
      </c>
      <c r="AE93" s="250"/>
      <c r="AF93" s="250"/>
      <c r="AG93" s="241"/>
    </row>
    <row r="94" spans="1:33" ht="15.75">
      <c r="A94" s="250" t="s">
        <v>846</v>
      </c>
      <c r="B94" s="250" t="s">
        <v>836</v>
      </c>
      <c r="C94" s="250" t="s">
        <v>837</v>
      </c>
      <c r="D94" s="250" t="s">
        <v>838</v>
      </c>
      <c r="E94" s="250">
        <v>1</v>
      </c>
      <c r="F94" s="251">
        <v>45078.389537037037</v>
      </c>
      <c r="G94" s="250">
        <v>1</v>
      </c>
      <c r="H94" s="250">
        <v>51.374099999999999</v>
      </c>
      <c r="I94" s="250">
        <v>7.2363099999999996</v>
      </c>
      <c r="J94" s="250">
        <v>-3.442275</v>
      </c>
      <c r="K94" s="250">
        <v>-2.6068820000000001</v>
      </c>
      <c r="L94" s="250">
        <v>928.51300000000003</v>
      </c>
      <c r="M94" s="250">
        <v>103.00009900000001</v>
      </c>
      <c r="N94" s="250">
        <v>11931.9</v>
      </c>
      <c r="O94" s="250">
        <v>11931.9</v>
      </c>
      <c r="P94" s="250">
        <v>1952.0954899999999</v>
      </c>
      <c r="Q94" s="250" t="s">
        <v>18</v>
      </c>
      <c r="R94" s="250" t="s">
        <v>839</v>
      </c>
      <c r="S94" s="250" t="s">
        <v>21</v>
      </c>
      <c r="T94" s="250">
        <v>15</v>
      </c>
      <c r="U94" s="250">
        <v>5</v>
      </c>
      <c r="V94" s="250">
        <v>0.7</v>
      </c>
      <c r="W94" s="250">
        <v>0.7</v>
      </c>
      <c r="X94" s="250">
        <v>0.7</v>
      </c>
      <c r="Y94" s="250">
        <v>1700</v>
      </c>
      <c r="Z94" s="250" t="s">
        <v>840</v>
      </c>
      <c r="AA94" s="250">
        <v>0.85</v>
      </c>
      <c r="AB94" s="250" t="s">
        <v>841</v>
      </c>
      <c r="AC94" s="250" t="s">
        <v>842</v>
      </c>
      <c r="AD94" s="250">
        <v>220</v>
      </c>
      <c r="AE94" s="250"/>
      <c r="AF94" s="250"/>
      <c r="AG94" s="241"/>
    </row>
    <row r="95" spans="1:33" ht="15.75">
      <c r="A95" s="250" t="s">
        <v>847</v>
      </c>
      <c r="B95" s="250" t="s">
        <v>836</v>
      </c>
      <c r="C95" s="250" t="s">
        <v>837</v>
      </c>
      <c r="D95" s="250" t="s">
        <v>838</v>
      </c>
      <c r="E95" s="250">
        <v>1</v>
      </c>
      <c r="F95" s="251">
        <v>45078.395486111112</v>
      </c>
      <c r="G95" s="250">
        <v>1</v>
      </c>
      <c r="H95" s="250">
        <v>51.3675</v>
      </c>
      <c r="I95" s="250">
        <v>7.1564100000000002</v>
      </c>
      <c r="J95" s="250">
        <v>-3.530554</v>
      </c>
      <c r="K95" s="250">
        <v>-2.7238449999999998</v>
      </c>
      <c r="L95" s="250">
        <v>939.10900000000004</v>
      </c>
      <c r="M95" s="250">
        <v>127.500832</v>
      </c>
      <c r="N95" s="250">
        <v>11898.6842</v>
      </c>
      <c r="O95" s="250">
        <v>11898.6842</v>
      </c>
      <c r="P95" s="250">
        <v>1946.7030299999999</v>
      </c>
      <c r="Q95" s="250" t="s">
        <v>18</v>
      </c>
      <c r="R95" s="250" t="s">
        <v>839</v>
      </c>
      <c r="S95" s="250" t="s">
        <v>21</v>
      </c>
      <c r="T95" s="250">
        <v>15</v>
      </c>
      <c r="U95" s="250">
        <v>5</v>
      </c>
      <c r="V95" s="250">
        <v>0.7</v>
      </c>
      <c r="W95" s="250">
        <v>0.7</v>
      </c>
      <c r="X95" s="250">
        <v>0.7</v>
      </c>
      <c r="Y95" s="250">
        <v>1700</v>
      </c>
      <c r="Z95" s="250" t="s">
        <v>840</v>
      </c>
      <c r="AA95" s="250">
        <v>0.85</v>
      </c>
      <c r="AB95" s="250" t="s">
        <v>841</v>
      </c>
      <c r="AC95" s="250" t="s">
        <v>842</v>
      </c>
      <c r="AD95" s="250">
        <v>220</v>
      </c>
      <c r="AE95" s="250"/>
      <c r="AF95" s="250"/>
      <c r="AG95" s="241"/>
    </row>
    <row r="96" spans="1:33" ht="15.75">
      <c r="A96" s="250" t="s">
        <v>848</v>
      </c>
      <c r="B96" s="250" t="s">
        <v>836</v>
      </c>
      <c r="C96" s="250" t="s">
        <v>837</v>
      </c>
      <c r="D96" s="250" t="s">
        <v>838</v>
      </c>
      <c r="E96" s="250">
        <v>1</v>
      </c>
      <c r="F96" s="251">
        <v>45078.400381944448</v>
      </c>
      <c r="G96" s="250">
        <v>1</v>
      </c>
      <c r="H96" s="250">
        <v>51.3675</v>
      </c>
      <c r="I96" s="250">
        <v>7.2016099999999996</v>
      </c>
      <c r="J96" s="250">
        <v>-3.6189140000000002</v>
      </c>
      <c r="K96" s="250">
        <v>-2.783579</v>
      </c>
      <c r="L96" s="250">
        <v>914.577</v>
      </c>
      <c r="M96" s="250">
        <v>98.500031000000007</v>
      </c>
      <c r="N96" s="250">
        <v>11903.937099999999</v>
      </c>
      <c r="O96" s="250">
        <v>11903.937099999999</v>
      </c>
      <c r="P96" s="250">
        <v>1947.5558100000001</v>
      </c>
      <c r="Q96" s="250" t="s">
        <v>18</v>
      </c>
      <c r="R96" s="250" t="s">
        <v>839</v>
      </c>
      <c r="S96" s="250" t="s">
        <v>21</v>
      </c>
      <c r="T96" s="250">
        <v>15</v>
      </c>
      <c r="U96" s="250">
        <v>5</v>
      </c>
      <c r="V96" s="250">
        <v>0.7</v>
      </c>
      <c r="W96" s="250">
        <v>0.7</v>
      </c>
      <c r="X96" s="250">
        <v>0.7</v>
      </c>
      <c r="Y96" s="250">
        <v>1700</v>
      </c>
      <c r="Z96" s="250" t="s">
        <v>840</v>
      </c>
      <c r="AA96" s="250">
        <v>0.85</v>
      </c>
      <c r="AB96" s="250" t="s">
        <v>841</v>
      </c>
      <c r="AC96" s="250" t="s">
        <v>842</v>
      </c>
      <c r="AD96" s="250">
        <v>220</v>
      </c>
      <c r="AE96" s="250"/>
      <c r="AF96" s="250"/>
      <c r="AG96" s="241"/>
    </row>
    <row r="97" spans="1:33" ht="15.75">
      <c r="A97" s="250" t="s">
        <v>849</v>
      </c>
      <c r="B97" s="250" t="s">
        <v>836</v>
      </c>
      <c r="C97" s="250" t="s">
        <v>837</v>
      </c>
      <c r="D97" s="250" t="s">
        <v>838</v>
      </c>
      <c r="E97" s="250">
        <v>1</v>
      </c>
      <c r="F97" s="251">
        <v>45078.403425925928</v>
      </c>
      <c r="G97" s="250">
        <v>1</v>
      </c>
      <c r="H97" s="250">
        <v>51.3675</v>
      </c>
      <c r="I97" s="250">
        <v>7.2384199999999996</v>
      </c>
      <c r="J97" s="250">
        <v>-3.5510380000000001</v>
      </c>
      <c r="K97" s="250">
        <v>-2.704863</v>
      </c>
      <c r="L97" s="250">
        <v>931.09699999999998</v>
      </c>
      <c r="M97" s="250">
        <v>92.000639000000007</v>
      </c>
      <c r="N97" s="250">
        <v>11869.0633</v>
      </c>
      <c r="O97" s="250">
        <v>11869.0633</v>
      </c>
      <c r="P97" s="250">
        <v>1941.8942</v>
      </c>
      <c r="Q97" s="250" t="s">
        <v>18</v>
      </c>
      <c r="R97" s="250" t="s">
        <v>839</v>
      </c>
      <c r="S97" s="250" t="s">
        <v>21</v>
      </c>
      <c r="T97" s="250">
        <v>15</v>
      </c>
      <c r="U97" s="250">
        <v>5</v>
      </c>
      <c r="V97" s="250">
        <v>0.7</v>
      </c>
      <c r="W97" s="250">
        <v>0.7</v>
      </c>
      <c r="X97" s="250">
        <v>0.7</v>
      </c>
      <c r="Y97" s="250">
        <v>1700</v>
      </c>
      <c r="Z97" s="250" t="s">
        <v>840</v>
      </c>
      <c r="AA97" s="250">
        <v>0.85</v>
      </c>
      <c r="AB97" s="250" t="s">
        <v>841</v>
      </c>
      <c r="AC97" s="250" t="s">
        <v>842</v>
      </c>
      <c r="AD97" s="250">
        <v>220</v>
      </c>
      <c r="AE97" s="250"/>
      <c r="AF97" s="250"/>
      <c r="AG97" s="241"/>
    </row>
    <row r="98" spans="1:33" ht="15.75">
      <c r="A98" s="250" t="s">
        <v>850</v>
      </c>
      <c r="B98" s="250" t="s">
        <v>836</v>
      </c>
      <c r="C98" s="250" t="s">
        <v>837</v>
      </c>
      <c r="D98" s="250" t="s">
        <v>838</v>
      </c>
      <c r="E98" s="250">
        <v>1</v>
      </c>
      <c r="F98" s="251">
        <v>45078.406365740739</v>
      </c>
      <c r="G98" s="250">
        <v>1</v>
      </c>
      <c r="H98" s="250">
        <v>51.374099999999999</v>
      </c>
      <c r="I98" s="250">
        <v>7.10921</v>
      </c>
      <c r="J98" s="250">
        <v>-3.6287970000000001</v>
      </c>
      <c r="K98" s="250">
        <v>-2.7789090000000001</v>
      </c>
      <c r="L98" s="250">
        <v>932.92499999999995</v>
      </c>
      <c r="M98" s="250">
        <v>95.500574999999998</v>
      </c>
      <c r="N98" s="250">
        <v>11876.277599999999</v>
      </c>
      <c r="O98" s="250">
        <v>11876.277599999999</v>
      </c>
      <c r="P98" s="250">
        <v>1943.0654099999999</v>
      </c>
      <c r="Q98" s="250" t="s">
        <v>18</v>
      </c>
      <c r="R98" s="250" t="s">
        <v>839</v>
      </c>
      <c r="S98" s="250" t="s">
        <v>21</v>
      </c>
      <c r="T98" s="250">
        <v>15</v>
      </c>
      <c r="U98" s="250">
        <v>5</v>
      </c>
      <c r="V98" s="250">
        <v>0.7</v>
      </c>
      <c r="W98" s="250">
        <v>0.7</v>
      </c>
      <c r="X98" s="250">
        <v>0.7</v>
      </c>
      <c r="Y98" s="250">
        <v>1700</v>
      </c>
      <c r="Z98" s="250" t="s">
        <v>840</v>
      </c>
      <c r="AA98" s="250">
        <v>0.85</v>
      </c>
      <c r="AB98" s="250" t="s">
        <v>841</v>
      </c>
      <c r="AC98" s="250" t="s">
        <v>842</v>
      </c>
      <c r="AD98" s="250">
        <v>220</v>
      </c>
      <c r="AE98" s="250"/>
      <c r="AF98" s="250"/>
      <c r="AG98" s="241"/>
    </row>
    <row r="99" spans="1:33" ht="15.75">
      <c r="A99" s="250" t="s">
        <v>851</v>
      </c>
      <c r="B99" s="250" t="s">
        <v>836</v>
      </c>
      <c r="C99" s="250" t="s">
        <v>837</v>
      </c>
      <c r="D99" s="250" t="s">
        <v>838</v>
      </c>
      <c r="E99" s="250">
        <v>1</v>
      </c>
      <c r="F99" s="251">
        <v>45078.411180555559</v>
      </c>
      <c r="G99" s="250">
        <v>1</v>
      </c>
      <c r="H99" s="250">
        <v>51.370800000000003</v>
      </c>
      <c r="I99" s="250">
        <v>7.1492199999999997</v>
      </c>
      <c r="J99" s="250">
        <v>-3.6107200000000002</v>
      </c>
      <c r="K99" s="250">
        <v>-2.7649370000000002</v>
      </c>
      <c r="L99" s="250">
        <v>927.548</v>
      </c>
      <c r="M99" s="250">
        <v>98.000838000000002</v>
      </c>
      <c r="N99" s="250">
        <v>11879.2611</v>
      </c>
      <c r="O99" s="250">
        <v>11879.2611</v>
      </c>
      <c r="P99" s="250">
        <v>1943.5497800000001</v>
      </c>
      <c r="Q99" s="250" t="s">
        <v>18</v>
      </c>
      <c r="R99" s="250" t="s">
        <v>839</v>
      </c>
      <c r="S99" s="250" t="s">
        <v>21</v>
      </c>
      <c r="T99" s="250">
        <v>15</v>
      </c>
      <c r="U99" s="250">
        <v>5</v>
      </c>
      <c r="V99" s="250">
        <v>0.7</v>
      </c>
      <c r="W99" s="250">
        <v>0.7</v>
      </c>
      <c r="X99" s="250">
        <v>0.7</v>
      </c>
      <c r="Y99" s="250">
        <v>1700</v>
      </c>
      <c r="Z99" s="250" t="s">
        <v>840</v>
      </c>
      <c r="AA99" s="250">
        <v>0.85</v>
      </c>
      <c r="AB99" s="250" t="s">
        <v>841</v>
      </c>
      <c r="AC99" s="250" t="s">
        <v>842</v>
      </c>
      <c r="AD99" s="250">
        <v>220</v>
      </c>
      <c r="AE99" s="250"/>
      <c r="AF99" s="250"/>
      <c r="AG99" s="241"/>
    </row>
    <row r="100" spans="1:33" ht="15.75">
      <c r="A100" s="250" t="s">
        <v>944</v>
      </c>
      <c r="B100" s="250" t="s">
        <v>881</v>
      </c>
      <c r="C100" s="250" t="s">
        <v>667</v>
      </c>
      <c r="D100" s="250" t="s">
        <v>838</v>
      </c>
      <c r="E100" s="250">
        <v>1.2</v>
      </c>
      <c r="F100" s="251">
        <v>45078.422256944446</v>
      </c>
      <c r="G100" s="250">
        <v>1</v>
      </c>
      <c r="H100" s="250">
        <v>51.370800000000003</v>
      </c>
      <c r="I100" s="250">
        <v>7.2420900000000001</v>
      </c>
      <c r="J100" s="250">
        <v>-3.5260310000000001</v>
      </c>
      <c r="K100" s="250">
        <v>-2.6777639999999998</v>
      </c>
      <c r="L100" s="250">
        <v>1044.76</v>
      </c>
      <c r="M100" s="250">
        <v>120.000006</v>
      </c>
      <c r="N100" s="250">
        <v>14730.156199999999</v>
      </c>
      <c r="O100" s="250">
        <v>14874.937900000001</v>
      </c>
      <c r="P100" s="250">
        <v>2028.23</v>
      </c>
      <c r="Q100" s="250" t="s">
        <v>18</v>
      </c>
      <c r="R100" s="250" t="s">
        <v>647</v>
      </c>
      <c r="S100" s="250" t="s">
        <v>21</v>
      </c>
      <c r="T100" s="250">
        <v>15</v>
      </c>
      <c r="U100" s="250">
        <v>5</v>
      </c>
      <c r="V100" s="250">
        <v>0.7</v>
      </c>
      <c r="W100" s="250">
        <v>0.7</v>
      </c>
      <c r="X100" s="250">
        <v>0.7</v>
      </c>
      <c r="Y100" s="250">
        <v>1700</v>
      </c>
      <c r="Z100" s="250" t="s">
        <v>840</v>
      </c>
      <c r="AA100" s="250">
        <v>0.85</v>
      </c>
      <c r="AB100" s="250" t="s">
        <v>841</v>
      </c>
      <c r="AC100" s="250" t="s">
        <v>842</v>
      </c>
      <c r="AD100" s="250">
        <v>220</v>
      </c>
      <c r="AE100" s="250"/>
      <c r="AF100" s="250"/>
      <c r="AG100" s="241"/>
    </row>
    <row r="101" spans="1:33" ht="15.75">
      <c r="A101" s="250" t="s">
        <v>945</v>
      </c>
      <c r="B101" s="250" t="s">
        <v>881</v>
      </c>
      <c r="C101" s="250" t="s">
        <v>667</v>
      </c>
      <c r="D101" s="250" t="s">
        <v>838</v>
      </c>
      <c r="E101" s="250">
        <v>1.2</v>
      </c>
      <c r="F101" s="251">
        <v>45078.425775462965</v>
      </c>
      <c r="G101" s="250">
        <v>1</v>
      </c>
      <c r="H101" s="250">
        <v>51.3675</v>
      </c>
      <c r="I101" s="250">
        <v>7.1575800000000003</v>
      </c>
      <c r="J101" s="250">
        <v>-3.6158679999999999</v>
      </c>
      <c r="K101" s="250">
        <v>-2.7902640000000001</v>
      </c>
      <c r="L101" s="250">
        <v>1037.23</v>
      </c>
      <c r="M101" s="250">
        <v>99.499779000000004</v>
      </c>
      <c r="N101" s="250">
        <v>14871.760899999999</v>
      </c>
      <c r="O101" s="250">
        <v>14874.937900000001</v>
      </c>
      <c r="P101" s="250">
        <v>2028.23</v>
      </c>
      <c r="Q101" s="250" t="s">
        <v>18</v>
      </c>
      <c r="R101" s="250" t="s">
        <v>839</v>
      </c>
      <c r="S101" s="250" t="s">
        <v>21</v>
      </c>
      <c r="T101" s="250">
        <v>15</v>
      </c>
      <c r="U101" s="250">
        <v>5</v>
      </c>
      <c r="V101" s="250">
        <v>0.7</v>
      </c>
      <c r="W101" s="250">
        <v>0.7</v>
      </c>
      <c r="X101" s="250">
        <v>0.7</v>
      </c>
      <c r="Y101" s="250">
        <v>1700</v>
      </c>
      <c r="Z101" s="250" t="s">
        <v>840</v>
      </c>
      <c r="AA101" s="250">
        <v>0.85</v>
      </c>
      <c r="AB101" s="250" t="s">
        <v>841</v>
      </c>
      <c r="AC101" s="250" t="s">
        <v>842</v>
      </c>
      <c r="AD101" s="250">
        <v>220</v>
      </c>
      <c r="AE101" s="250"/>
      <c r="AF101" s="250"/>
      <c r="AG101" s="241"/>
    </row>
    <row r="102" spans="1:33" ht="15.75">
      <c r="A102" s="250" t="s">
        <v>946</v>
      </c>
      <c r="B102" s="250" t="s">
        <v>881</v>
      </c>
      <c r="C102" s="250" t="s">
        <v>667</v>
      </c>
      <c r="D102" s="250" t="s">
        <v>838</v>
      </c>
      <c r="E102" s="250">
        <v>1.2</v>
      </c>
      <c r="F102" s="251">
        <v>45078.429027777776</v>
      </c>
      <c r="G102" s="250">
        <v>1</v>
      </c>
      <c r="H102" s="250">
        <v>51.3675</v>
      </c>
      <c r="I102" s="250">
        <v>6.97776</v>
      </c>
      <c r="J102" s="250">
        <v>-3.5394939999999999</v>
      </c>
      <c r="K102" s="250">
        <v>-2.7030620000000001</v>
      </c>
      <c r="L102" s="250">
        <v>1033.5899999999999</v>
      </c>
      <c r="M102" s="250">
        <v>99.000448000000006</v>
      </c>
      <c r="N102" s="250">
        <v>14875.0527</v>
      </c>
      <c r="O102" s="250">
        <v>14874.937900000001</v>
      </c>
      <c r="P102" s="250">
        <v>2028.23</v>
      </c>
      <c r="Q102" s="250" t="s">
        <v>18</v>
      </c>
      <c r="R102" s="250" t="s">
        <v>839</v>
      </c>
      <c r="S102" s="250" t="s">
        <v>21</v>
      </c>
      <c r="T102" s="250">
        <v>15</v>
      </c>
      <c r="U102" s="250">
        <v>5</v>
      </c>
      <c r="V102" s="250">
        <v>0.7</v>
      </c>
      <c r="W102" s="250">
        <v>0.7</v>
      </c>
      <c r="X102" s="250">
        <v>0.7</v>
      </c>
      <c r="Y102" s="250">
        <v>1700</v>
      </c>
      <c r="Z102" s="250" t="s">
        <v>840</v>
      </c>
      <c r="AA102" s="250">
        <v>0.85</v>
      </c>
      <c r="AB102" s="250" t="s">
        <v>841</v>
      </c>
      <c r="AC102" s="250" t="s">
        <v>842</v>
      </c>
      <c r="AD102" s="250">
        <v>220</v>
      </c>
      <c r="AE102" s="250"/>
      <c r="AF102" s="250"/>
      <c r="AG102" s="241"/>
    </row>
    <row r="103" spans="1:33" ht="15.75">
      <c r="A103" s="250" t="s">
        <v>947</v>
      </c>
      <c r="B103" s="250" t="s">
        <v>881</v>
      </c>
      <c r="C103" s="250" t="s">
        <v>667</v>
      </c>
      <c r="D103" s="250" t="s">
        <v>838</v>
      </c>
      <c r="E103" s="250">
        <v>1.2</v>
      </c>
      <c r="F103" s="251">
        <v>45078.432268518518</v>
      </c>
      <c r="G103" s="250">
        <v>1</v>
      </c>
      <c r="H103" s="250">
        <v>51.374099999999999</v>
      </c>
      <c r="I103" s="250">
        <v>7.0541999999999998</v>
      </c>
      <c r="J103" s="250">
        <v>-3.682029</v>
      </c>
      <c r="K103" s="250">
        <v>-2.8569119999999999</v>
      </c>
      <c r="L103" s="250">
        <v>1022.86</v>
      </c>
      <c r="M103" s="250">
        <v>122.999465</v>
      </c>
      <c r="N103" s="250">
        <v>14900.052900000001</v>
      </c>
      <c r="O103" s="250">
        <v>14874.937900000001</v>
      </c>
      <c r="P103" s="250">
        <v>2028.23</v>
      </c>
      <c r="Q103" s="250" t="s">
        <v>18</v>
      </c>
      <c r="R103" s="250" t="s">
        <v>647</v>
      </c>
      <c r="S103" s="250" t="s">
        <v>21</v>
      </c>
      <c r="T103" s="250">
        <v>15</v>
      </c>
      <c r="U103" s="250">
        <v>5</v>
      </c>
      <c r="V103" s="250">
        <v>0.7</v>
      </c>
      <c r="W103" s="250">
        <v>0.7</v>
      </c>
      <c r="X103" s="250">
        <v>0.7</v>
      </c>
      <c r="Y103" s="250">
        <v>1700</v>
      </c>
      <c r="Z103" s="250" t="s">
        <v>840</v>
      </c>
      <c r="AA103" s="250">
        <v>0.85</v>
      </c>
      <c r="AB103" s="250" t="s">
        <v>841</v>
      </c>
      <c r="AC103" s="250" t="s">
        <v>842</v>
      </c>
      <c r="AD103" s="250">
        <v>220</v>
      </c>
      <c r="AE103" s="250"/>
      <c r="AF103" s="250"/>
      <c r="AG103" s="241"/>
    </row>
    <row r="104" spans="1:33" ht="15.75">
      <c r="A104" s="250" t="s">
        <v>948</v>
      </c>
      <c r="B104" s="250" t="s">
        <v>881</v>
      </c>
      <c r="C104" s="250" t="s">
        <v>667</v>
      </c>
      <c r="D104" s="250" t="s">
        <v>838</v>
      </c>
      <c r="E104" s="250">
        <v>1.2</v>
      </c>
      <c r="F104" s="251">
        <v>45078.435810185183</v>
      </c>
      <c r="G104" s="250">
        <v>1</v>
      </c>
      <c r="H104" s="250">
        <v>51.364100000000001</v>
      </c>
      <c r="I104" s="250">
        <v>7.1899800000000003</v>
      </c>
      <c r="J104" s="250">
        <v>-3.707894</v>
      </c>
      <c r="K104" s="250">
        <v>-2.8637519999999999</v>
      </c>
      <c r="L104" s="250">
        <v>1027.77</v>
      </c>
      <c r="M104" s="250">
        <v>111.500463</v>
      </c>
      <c r="N104" s="250">
        <v>14878.0002</v>
      </c>
      <c r="O104" s="250">
        <v>14874.937900000001</v>
      </c>
      <c r="P104" s="250">
        <v>2028.23</v>
      </c>
      <c r="Q104" s="250" t="s">
        <v>18</v>
      </c>
      <c r="R104" s="250" t="s">
        <v>839</v>
      </c>
      <c r="S104" s="250" t="s">
        <v>21</v>
      </c>
      <c r="T104" s="250">
        <v>15</v>
      </c>
      <c r="U104" s="250">
        <v>5</v>
      </c>
      <c r="V104" s="250">
        <v>0.7</v>
      </c>
      <c r="W104" s="250">
        <v>0.7</v>
      </c>
      <c r="X104" s="250">
        <v>0.7</v>
      </c>
      <c r="Y104" s="250">
        <v>1700</v>
      </c>
      <c r="Z104" s="250" t="s">
        <v>840</v>
      </c>
      <c r="AA104" s="250">
        <v>0.85</v>
      </c>
      <c r="AB104" s="250" t="s">
        <v>841</v>
      </c>
      <c r="AC104" s="250" t="s">
        <v>842</v>
      </c>
      <c r="AD104" s="250">
        <v>220</v>
      </c>
      <c r="AE104" s="250"/>
      <c r="AF104" s="250"/>
      <c r="AG104" s="241"/>
    </row>
    <row r="105" spans="1:33" ht="15.75">
      <c r="A105" s="250" t="s">
        <v>949</v>
      </c>
      <c r="B105" s="250" t="s">
        <v>888</v>
      </c>
      <c r="C105" s="250" t="s">
        <v>667</v>
      </c>
      <c r="D105" s="250" t="s">
        <v>838</v>
      </c>
      <c r="E105" s="250">
        <v>1.5</v>
      </c>
      <c r="F105" s="251">
        <v>45078.439282407409</v>
      </c>
      <c r="G105" s="250">
        <v>1</v>
      </c>
      <c r="H105" s="250">
        <v>51.370800000000003</v>
      </c>
      <c r="I105" s="250">
        <v>7.0439800000000004</v>
      </c>
      <c r="J105" s="250">
        <v>-3.7965019999999998</v>
      </c>
      <c r="K105" s="250">
        <v>-2.9466730000000001</v>
      </c>
      <c r="L105" s="250">
        <v>1047.74</v>
      </c>
      <c r="M105" s="250">
        <v>120.001272</v>
      </c>
      <c r="N105" s="250">
        <v>18618.2641</v>
      </c>
      <c r="O105" s="250">
        <v>18607.6325</v>
      </c>
      <c r="P105" s="250">
        <v>2028.23</v>
      </c>
      <c r="Q105" s="250" t="s">
        <v>18</v>
      </c>
      <c r="R105" s="250" t="s">
        <v>839</v>
      </c>
      <c r="S105" s="250" t="s">
        <v>21</v>
      </c>
      <c r="T105" s="250">
        <v>15</v>
      </c>
      <c r="U105" s="250">
        <v>5</v>
      </c>
      <c r="V105" s="250">
        <v>0.7</v>
      </c>
      <c r="W105" s="250">
        <v>0.7</v>
      </c>
      <c r="X105" s="250">
        <v>0.7</v>
      </c>
      <c r="Y105" s="250">
        <v>1700</v>
      </c>
      <c r="Z105" s="250" t="s">
        <v>840</v>
      </c>
      <c r="AA105" s="250">
        <v>0.85</v>
      </c>
      <c r="AB105" s="250" t="s">
        <v>841</v>
      </c>
      <c r="AC105" s="250" t="s">
        <v>842</v>
      </c>
      <c r="AD105" s="250">
        <v>220</v>
      </c>
      <c r="AE105" s="250"/>
      <c r="AF105" s="250"/>
      <c r="AG105" s="241"/>
    </row>
    <row r="106" spans="1:33" ht="15.75">
      <c r="A106" s="250" t="s">
        <v>950</v>
      </c>
      <c r="B106" s="250" t="s">
        <v>888</v>
      </c>
      <c r="C106" s="250" t="s">
        <v>667</v>
      </c>
      <c r="D106" s="250" t="s">
        <v>838</v>
      </c>
      <c r="E106" s="250">
        <v>1.5</v>
      </c>
      <c r="F106" s="251">
        <v>45078.442824074074</v>
      </c>
      <c r="G106" s="250">
        <v>1</v>
      </c>
      <c r="H106" s="250">
        <v>51.370800000000003</v>
      </c>
      <c r="I106" s="250">
        <v>7.1216699999999999</v>
      </c>
      <c r="J106" s="250">
        <v>-3.7044619999999999</v>
      </c>
      <c r="K106" s="250">
        <v>-2.8673440000000001</v>
      </c>
      <c r="L106" s="250">
        <v>1049.78</v>
      </c>
      <c r="M106" s="250">
        <v>106.500685</v>
      </c>
      <c r="N106" s="250">
        <v>18608.334699999999</v>
      </c>
      <c r="O106" s="250">
        <v>18607.6325</v>
      </c>
      <c r="P106" s="250">
        <v>2028.23</v>
      </c>
      <c r="Q106" s="250" t="s">
        <v>18</v>
      </c>
      <c r="R106" s="250" t="s">
        <v>839</v>
      </c>
      <c r="S106" s="250" t="s">
        <v>21</v>
      </c>
      <c r="T106" s="250">
        <v>15</v>
      </c>
      <c r="U106" s="250">
        <v>5</v>
      </c>
      <c r="V106" s="250">
        <v>0.7</v>
      </c>
      <c r="W106" s="250">
        <v>0.7</v>
      </c>
      <c r="X106" s="250">
        <v>0.7</v>
      </c>
      <c r="Y106" s="250">
        <v>1700</v>
      </c>
      <c r="Z106" s="250" t="s">
        <v>840</v>
      </c>
      <c r="AA106" s="250">
        <v>0.85</v>
      </c>
      <c r="AB106" s="250" t="s">
        <v>841</v>
      </c>
      <c r="AC106" s="250" t="s">
        <v>842</v>
      </c>
      <c r="AD106" s="250">
        <v>220</v>
      </c>
      <c r="AE106" s="250"/>
      <c r="AF106" s="250"/>
      <c r="AG106" s="241"/>
    </row>
    <row r="107" spans="1:33" ht="15.75">
      <c r="A107" s="250" t="s">
        <v>951</v>
      </c>
      <c r="B107" s="250" t="s">
        <v>888</v>
      </c>
      <c r="C107" s="250" t="s">
        <v>667</v>
      </c>
      <c r="D107" s="250" t="s">
        <v>838</v>
      </c>
      <c r="E107" s="250">
        <v>1.5</v>
      </c>
      <c r="F107" s="251">
        <v>45078.446215277778</v>
      </c>
      <c r="G107" s="250">
        <v>1</v>
      </c>
      <c r="H107" s="250">
        <v>51.370800000000003</v>
      </c>
      <c r="I107" s="250">
        <v>6.9349800000000004</v>
      </c>
      <c r="J107" s="250">
        <v>-3.7954759999999998</v>
      </c>
      <c r="K107" s="250">
        <v>-2.9692270000000001</v>
      </c>
      <c r="L107" s="250">
        <v>1050.52</v>
      </c>
      <c r="M107" s="250">
        <v>131.99994599999999</v>
      </c>
      <c r="N107" s="250">
        <v>18596.298599999998</v>
      </c>
      <c r="O107" s="250">
        <v>18607.6325</v>
      </c>
      <c r="P107" s="250">
        <v>2028.23</v>
      </c>
      <c r="Q107" s="250" t="s">
        <v>18</v>
      </c>
      <c r="R107" s="250" t="s">
        <v>839</v>
      </c>
      <c r="S107" s="250" t="s">
        <v>21</v>
      </c>
      <c r="T107" s="250">
        <v>15</v>
      </c>
      <c r="U107" s="250">
        <v>5</v>
      </c>
      <c r="V107" s="250">
        <v>0.7</v>
      </c>
      <c r="W107" s="250">
        <v>0.7</v>
      </c>
      <c r="X107" s="250">
        <v>0.7</v>
      </c>
      <c r="Y107" s="250">
        <v>1700</v>
      </c>
      <c r="Z107" s="250" t="s">
        <v>840</v>
      </c>
      <c r="AA107" s="250">
        <v>0.85</v>
      </c>
      <c r="AB107" s="250" t="s">
        <v>841</v>
      </c>
      <c r="AC107" s="250" t="s">
        <v>842</v>
      </c>
      <c r="AD107" s="250">
        <v>220</v>
      </c>
      <c r="AE107" s="250"/>
      <c r="AF107" s="250"/>
      <c r="AG107" s="241"/>
    </row>
    <row r="108" spans="1:33" ht="15.75">
      <c r="A108" s="250" t="s">
        <v>952</v>
      </c>
      <c r="B108" s="250" t="s">
        <v>893</v>
      </c>
      <c r="C108" s="250" t="s">
        <v>667</v>
      </c>
      <c r="D108" s="250" t="s">
        <v>838</v>
      </c>
      <c r="E108" s="250">
        <v>1.8</v>
      </c>
      <c r="F108" s="251">
        <v>45078.449976851851</v>
      </c>
      <c r="G108" s="250">
        <v>1</v>
      </c>
      <c r="H108" s="250">
        <v>51.370800000000003</v>
      </c>
      <c r="I108" s="250">
        <v>6.8468999999999998</v>
      </c>
      <c r="J108" s="250">
        <v>-3.8479079999999999</v>
      </c>
      <c r="K108" s="250">
        <v>-3.0282100000000001</v>
      </c>
      <c r="L108" s="250">
        <v>1062.28</v>
      </c>
      <c r="M108" s="250">
        <v>138.000271</v>
      </c>
      <c r="N108" s="250">
        <v>22337.280299999999</v>
      </c>
      <c r="O108" s="250">
        <v>22314.4002</v>
      </c>
      <c r="P108" s="250">
        <v>2028.23</v>
      </c>
      <c r="Q108" s="250" t="s">
        <v>18</v>
      </c>
      <c r="R108" s="250" t="s">
        <v>839</v>
      </c>
      <c r="S108" s="250" t="s">
        <v>21</v>
      </c>
      <c r="T108" s="250">
        <v>15</v>
      </c>
      <c r="U108" s="250">
        <v>5</v>
      </c>
      <c r="V108" s="250">
        <v>0.7</v>
      </c>
      <c r="W108" s="250">
        <v>0.7</v>
      </c>
      <c r="X108" s="250">
        <v>0.7</v>
      </c>
      <c r="Y108" s="250">
        <v>1700</v>
      </c>
      <c r="Z108" s="250" t="s">
        <v>840</v>
      </c>
      <c r="AA108" s="250">
        <v>0.85</v>
      </c>
      <c r="AB108" s="250" t="s">
        <v>841</v>
      </c>
      <c r="AC108" s="250" t="s">
        <v>842</v>
      </c>
      <c r="AD108" s="250">
        <v>220</v>
      </c>
      <c r="AE108" s="250"/>
      <c r="AF108" s="250"/>
      <c r="AG108" s="241"/>
    </row>
    <row r="109" spans="1:33" ht="15.75">
      <c r="A109" s="250" t="s">
        <v>953</v>
      </c>
      <c r="B109" s="250" t="s">
        <v>893</v>
      </c>
      <c r="C109" s="250" t="s">
        <v>667</v>
      </c>
      <c r="D109" s="250" t="s">
        <v>838</v>
      </c>
      <c r="E109" s="250">
        <v>1.8</v>
      </c>
      <c r="F109" s="251">
        <v>45078.453819444447</v>
      </c>
      <c r="G109" s="250">
        <v>1</v>
      </c>
      <c r="H109" s="250">
        <v>51.370800000000003</v>
      </c>
      <c r="I109" s="250">
        <v>6.8885699999999996</v>
      </c>
      <c r="J109" s="250">
        <v>-3.8375140000000001</v>
      </c>
      <c r="K109" s="250">
        <v>-2.9961609999999999</v>
      </c>
      <c r="L109" s="250">
        <v>1050.3</v>
      </c>
      <c r="M109" s="250">
        <v>151.49925999999999</v>
      </c>
      <c r="N109" s="250">
        <v>22352.686900000001</v>
      </c>
      <c r="O109" s="250">
        <v>22314.4002</v>
      </c>
      <c r="P109" s="250">
        <v>2028.23</v>
      </c>
      <c r="Q109" s="250" t="s">
        <v>18</v>
      </c>
      <c r="R109" s="250" t="s">
        <v>647</v>
      </c>
      <c r="S109" s="250" t="s">
        <v>21</v>
      </c>
      <c r="T109" s="250">
        <v>15</v>
      </c>
      <c r="U109" s="250">
        <v>5</v>
      </c>
      <c r="V109" s="250">
        <v>0.7</v>
      </c>
      <c r="W109" s="250">
        <v>0.7</v>
      </c>
      <c r="X109" s="250">
        <v>0.7</v>
      </c>
      <c r="Y109" s="250">
        <v>1700</v>
      </c>
      <c r="Z109" s="250" t="s">
        <v>840</v>
      </c>
      <c r="AA109" s="250">
        <v>0.85</v>
      </c>
      <c r="AB109" s="250" t="s">
        <v>841</v>
      </c>
      <c r="AC109" s="250" t="s">
        <v>842</v>
      </c>
      <c r="AD109" s="250">
        <v>220</v>
      </c>
      <c r="AE109" s="250"/>
      <c r="AF109" s="250"/>
      <c r="AG109" s="241"/>
    </row>
    <row r="110" spans="1:33" ht="15.75">
      <c r="A110" s="250" t="s">
        <v>954</v>
      </c>
      <c r="B110" s="250" t="s">
        <v>893</v>
      </c>
      <c r="C110" s="250" t="s">
        <v>667</v>
      </c>
      <c r="D110" s="250" t="s">
        <v>838</v>
      </c>
      <c r="E110" s="250">
        <v>1.8</v>
      </c>
      <c r="F110" s="251">
        <v>45078.457824074074</v>
      </c>
      <c r="G110" s="250">
        <v>1</v>
      </c>
      <c r="H110" s="250">
        <v>51.370800000000003</v>
      </c>
      <c r="I110" s="250">
        <v>6.9266399999999999</v>
      </c>
      <c r="J110" s="250">
        <v>-3.948868</v>
      </c>
      <c r="K110" s="250">
        <v>-3.103345</v>
      </c>
      <c r="L110" s="250">
        <v>1049.6199999999999</v>
      </c>
      <c r="M110" s="250">
        <v>158.99999299999999</v>
      </c>
      <c r="N110" s="250">
        <v>22295.914799999999</v>
      </c>
      <c r="O110" s="250">
        <v>22314.4002</v>
      </c>
      <c r="P110" s="250">
        <v>2028.23</v>
      </c>
      <c r="Q110" s="250" t="s">
        <v>18</v>
      </c>
      <c r="R110" s="250" t="s">
        <v>839</v>
      </c>
      <c r="S110" s="250" t="s">
        <v>21</v>
      </c>
      <c r="T110" s="250">
        <v>15</v>
      </c>
      <c r="U110" s="250">
        <v>5</v>
      </c>
      <c r="V110" s="250">
        <v>0.7</v>
      </c>
      <c r="W110" s="250">
        <v>0.7</v>
      </c>
      <c r="X110" s="250">
        <v>0.7</v>
      </c>
      <c r="Y110" s="250">
        <v>1700</v>
      </c>
      <c r="Z110" s="250" t="s">
        <v>840</v>
      </c>
      <c r="AA110" s="250">
        <v>0.85</v>
      </c>
      <c r="AB110" s="250" t="s">
        <v>841</v>
      </c>
      <c r="AC110" s="250" t="s">
        <v>842</v>
      </c>
      <c r="AD110" s="250">
        <v>220</v>
      </c>
      <c r="AE110" s="250"/>
      <c r="AF110" s="250"/>
      <c r="AG110" s="241"/>
    </row>
    <row r="111" spans="1:33" ht="15.75">
      <c r="A111" s="250" t="s">
        <v>955</v>
      </c>
      <c r="B111" s="250" t="s">
        <v>893</v>
      </c>
      <c r="C111" s="250" t="s">
        <v>667</v>
      </c>
      <c r="D111" s="250" t="s">
        <v>838</v>
      </c>
      <c r="E111" s="250">
        <v>1.8</v>
      </c>
      <c r="F111" s="251">
        <v>45078.461921296293</v>
      </c>
      <c r="G111" s="250">
        <v>1</v>
      </c>
      <c r="H111" s="250">
        <v>51.374099999999999</v>
      </c>
      <c r="I111" s="250">
        <v>7.0072099999999997</v>
      </c>
      <c r="J111" s="250">
        <v>-3.9266619999999999</v>
      </c>
      <c r="K111" s="250">
        <v>-3.0847769999999999</v>
      </c>
      <c r="L111" s="250">
        <v>1057.47</v>
      </c>
      <c r="M111" s="250">
        <v>132.500789</v>
      </c>
      <c r="N111" s="250">
        <v>22310.005499999999</v>
      </c>
      <c r="O111" s="250">
        <v>22314.4002</v>
      </c>
      <c r="P111" s="250">
        <v>2028.23</v>
      </c>
      <c r="Q111" s="250" t="s">
        <v>18</v>
      </c>
      <c r="R111" s="250" t="s">
        <v>839</v>
      </c>
      <c r="S111" s="250" t="s">
        <v>21</v>
      </c>
      <c r="T111" s="250">
        <v>15</v>
      </c>
      <c r="U111" s="250">
        <v>5</v>
      </c>
      <c r="V111" s="250">
        <v>0.7</v>
      </c>
      <c r="W111" s="250">
        <v>0.7</v>
      </c>
      <c r="X111" s="250">
        <v>0.7</v>
      </c>
      <c r="Y111" s="250">
        <v>1700</v>
      </c>
      <c r="Z111" s="250" t="s">
        <v>840</v>
      </c>
      <c r="AA111" s="250">
        <v>0.85</v>
      </c>
      <c r="AB111" s="250" t="s">
        <v>841</v>
      </c>
      <c r="AC111" s="250" t="s">
        <v>842</v>
      </c>
      <c r="AD111" s="250">
        <v>220</v>
      </c>
      <c r="AE111" s="250"/>
      <c r="AF111" s="250"/>
      <c r="AG111" s="241"/>
    </row>
    <row r="112" spans="1:33" ht="15.75">
      <c r="A112" s="250" t="s">
        <v>855</v>
      </c>
      <c r="B112" s="250">
        <v>2</v>
      </c>
      <c r="C112" s="250">
        <v>100</v>
      </c>
      <c r="D112" s="250" t="s">
        <v>898</v>
      </c>
      <c r="E112" s="250">
        <v>1.5</v>
      </c>
      <c r="F112" s="251">
        <v>45078.466168981482</v>
      </c>
      <c r="G112" s="250">
        <v>1</v>
      </c>
      <c r="H112" s="250">
        <v>51.374099999999999</v>
      </c>
      <c r="I112" s="250">
        <v>7.0062199999999999</v>
      </c>
      <c r="J112" s="250">
        <v>-3.9256129999999998</v>
      </c>
      <c r="K112" s="250">
        <v>-3.0830310000000001</v>
      </c>
      <c r="L112" s="250">
        <v>1047.06</v>
      </c>
      <c r="M112" s="250">
        <v>125.498656</v>
      </c>
      <c r="N112" s="250">
        <v>18560.919600000001</v>
      </c>
      <c r="O112" s="250">
        <v>18568.530500000001</v>
      </c>
      <c r="P112" s="250">
        <v>2023.98064</v>
      </c>
      <c r="Q112" s="250" t="s">
        <v>18</v>
      </c>
      <c r="R112" s="250" t="s">
        <v>839</v>
      </c>
      <c r="S112" s="250" t="s">
        <v>21</v>
      </c>
      <c r="T112" s="250">
        <v>15</v>
      </c>
      <c r="U112" s="250">
        <v>5</v>
      </c>
      <c r="V112" s="250">
        <v>0.7</v>
      </c>
      <c r="W112" s="250">
        <v>0.7</v>
      </c>
      <c r="X112" s="250">
        <v>0.7</v>
      </c>
      <c r="Y112" s="250">
        <v>1700</v>
      </c>
      <c r="Z112" s="250" t="s">
        <v>840</v>
      </c>
      <c r="AA112" s="250">
        <v>0.85</v>
      </c>
      <c r="AB112" s="250" t="s">
        <v>841</v>
      </c>
      <c r="AC112" s="250" t="s">
        <v>842</v>
      </c>
      <c r="AD112" s="250">
        <v>220</v>
      </c>
      <c r="AE112" s="250"/>
      <c r="AF112" s="250"/>
      <c r="AG112" s="241"/>
    </row>
    <row r="113" spans="1:33" ht="15.75">
      <c r="A113" s="250" t="s">
        <v>956</v>
      </c>
      <c r="B113" s="250">
        <v>2</v>
      </c>
      <c r="C113" s="250">
        <v>100</v>
      </c>
      <c r="D113" s="250" t="s">
        <v>898</v>
      </c>
      <c r="E113" s="250">
        <v>1.5</v>
      </c>
      <c r="F113" s="251">
        <v>45078.469814814816</v>
      </c>
      <c r="G113" s="250">
        <v>1</v>
      </c>
      <c r="H113" s="250">
        <v>51.370800000000003</v>
      </c>
      <c r="I113" s="250">
        <v>6.9453300000000002</v>
      </c>
      <c r="J113" s="250">
        <v>-3.9735</v>
      </c>
      <c r="K113" s="250">
        <v>-3.134309</v>
      </c>
      <c r="L113" s="250">
        <v>1050.8499999999999</v>
      </c>
      <c r="M113" s="250">
        <v>123.00154999999999</v>
      </c>
      <c r="N113" s="250">
        <v>18613.079399999999</v>
      </c>
      <c r="O113" s="250">
        <v>18568.530500000001</v>
      </c>
      <c r="P113" s="250">
        <v>2023.98064</v>
      </c>
      <c r="Q113" s="250" t="s">
        <v>18</v>
      </c>
      <c r="R113" s="250" t="s">
        <v>647</v>
      </c>
      <c r="S113" s="250" t="s">
        <v>21</v>
      </c>
      <c r="T113" s="250">
        <v>15</v>
      </c>
      <c r="U113" s="250">
        <v>5</v>
      </c>
      <c r="V113" s="250">
        <v>0.7</v>
      </c>
      <c r="W113" s="250">
        <v>0.7</v>
      </c>
      <c r="X113" s="250">
        <v>0.7</v>
      </c>
      <c r="Y113" s="250">
        <v>1700</v>
      </c>
      <c r="Z113" s="250" t="s">
        <v>840</v>
      </c>
      <c r="AA113" s="250">
        <v>0.85</v>
      </c>
      <c r="AB113" s="250" t="s">
        <v>841</v>
      </c>
      <c r="AC113" s="250" t="s">
        <v>842</v>
      </c>
      <c r="AD113" s="250">
        <v>220</v>
      </c>
      <c r="AE113" s="250"/>
      <c r="AF113" s="250"/>
      <c r="AG113" s="241"/>
    </row>
    <row r="114" spans="1:33" ht="15.75">
      <c r="A114" s="250" t="s">
        <v>957</v>
      </c>
      <c r="B114" s="250">
        <v>2</v>
      </c>
      <c r="C114" s="250">
        <v>100</v>
      </c>
      <c r="D114" s="250" t="s">
        <v>898</v>
      </c>
      <c r="E114" s="250">
        <v>1.5</v>
      </c>
      <c r="F114" s="251">
        <v>45078.473368055558</v>
      </c>
      <c r="G114" s="250">
        <v>1</v>
      </c>
      <c r="H114" s="250">
        <v>51.370800000000003</v>
      </c>
      <c r="I114" s="250">
        <v>7.0310800000000002</v>
      </c>
      <c r="J114" s="250">
        <v>-3.9152960000000001</v>
      </c>
      <c r="K114" s="250">
        <v>-3.0696409999999998</v>
      </c>
      <c r="L114" s="250">
        <v>1062.49</v>
      </c>
      <c r="M114" s="250">
        <v>120.500439</v>
      </c>
      <c r="N114" s="250">
        <v>18571.511299999998</v>
      </c>
      <c r="O114" s="250">
        <v>18568.530500000001</v>
      </c>
      <c r="P114" s="250">
        <v>2023.98064</v>
      </c>
      <c r="Q114" s="250" t="s">
        <v>18</v>
      </c>
      <c r="R114" s="250" t="s">
        <v>839</v>
      </c>
      <c r="S114" s="250" t="s">
        <v>21</v>
      </c>
      <c r="T114" s="250">
        <v>15</v>
      </c>
      <c r="U114" s="250">
        <v>5</v>
      </c>
      <c r="V114" s="250">
        <v>0.7</v>
      </c>
      <c r="W114" s="250">
        <v>0.7</v>
      </c>
      <c r="X114" s="250">
        <v>0.7</v>
      </c>
      <c r="Y114" s="250">
        <v>1700</v>
      </c>
      <c r="Z114" s="250" t="s">
        <v>840</v>
      </c>
      <c r="AA114" s="250">
        <v>0.85</v>
      </c>
      <c r="AB114" s="250" t="s">
        <v>841</v>
      </c>
      <c r="AC114" s="250" t="s">
        <v>842</v>
      </c>
      <c r="AD114" s="250">
        <v>220</v>
      </c>
      <c r="AE114" s="250"/>
      <c r="AF114" s="250"/>
      <c r="AG114" s="241"/>
    </row>
    <row r="115" spans="1:33" ht="15.75">
      <c r="A115" s="250" t="s">
        <v>958</v>
      </c>
      <c r="B115" s="250">
        <v>2</v>
      </c>
      <c r="C115" s="250">
        <v>100</v>
      </c>
      <c r="D115" s="250" t="s">
        <v>898</v>
      </c>
      <c r="E115" s="250">
        <v>1.5</v>
      </c>
      <c r="F115" s="251">
        <v>45078.47693287037</v>
      </c>
      <c r="G115" s="250">
        <v>1</v>
      </c>
      <c r="H115" s="250">
        <v>51.370800000000003</v>
      </c>
      <c r="I115" s="250">
        <v>6.9508000000000001</v>
      </c>
      <c r="J115" s="250">
        <v>-3.9160349999999999</v>
      </c>
      <c r="K115" s="250">
        <v>-3.081423</v>
      </c>
      <c r="L115" s="250">
        <v>1043.23</v>
      </c>
      <c r="M115" s="250">
        <v>127.499537</v>
      </c>
      <c r="N115" s="250">
        <v>18573.160599999999</v>
      </c>
      <c r="O115" s="250">
        <v>18568.530500000001</v>
      </c>
      <c r="P115" s="250">
        <v>2023.98064</v>
      </c>
      <c r="Q115" s="250" t="s">
        <v>18</v>
      </c>
      <c r="R115" s="250" t="s">
        <v>839</v>
      </c>
      <c r="S115" s="250" t="s">
        <v>21</v>
      </c>
      <c r="T115" s="250">
        <v>15</v>
      </c>
      <c r="U115" s="250">
        <v>5</v>
      </c>
      <c r="V115" s="250">
        <v>0.7</v>
      </c>
      <c r="W115" s="250">
        <v>0.7</v>
      </c>
      <c r="X115" s="250">
        <v>0.7</v>
      </c>
      <c r="Y115" s="250">
        <v>1700</v>
      </c>
      <c r="Z115" s="250" t="s">
        <v>840</v>
      </c>
      <c r="AA115" s="250">
        <v>0.85</v>
      </c>
      <c r="AB115" s="250" t="s">
        <v>841</v>
      </c>
      <c r="AC115" s="250" t="s">
        <v>842</v>
      </c>
      <c r="AD115" s="250">
        <v>220</v>
      </c>
      <c r="AE115" s="250"/>
      <c r="AF115" s="250"/>
      <c r="AG115" s="241"/>
    </row>
    <row r="116" spans="1:33" ht="15.75">
      <c r="A116" s="250" t="s">
        <v>856</v>
      </c>
      <c r="B116" s="250">
        <v>3</v>
      </c>
      <c r="C116" s="250">
        <v>95</v>
      </c>
      <c r="D116" s="250" t="s">
        <v>902</v>
      </c>
      <c r="E116" s="250">
        <v>1.5</v>
      </c>
      <c r="F116" s="251">
        <v>45078.481064814812</v>
      </c>
      <c r="G116" s="250">
        <v>1</v>
      </c>
      <c r="H116" s="250">
        <v>51.3675</v>
      </c>
      <c r="I116" s="250">
        <v>6.8668100000000001</v>
      </c>
      <c r="J116" s="250">
        <v>-3.9227159999999999</v>
      </c>
      <c r="K116" s="250">
        <v>-3.1023399999999999</v>
      </c>
      <c r="L116" s="250">
        <v>1055.6199999999999</v>
      </c>
      <c r="M116" s="250">
        <v>138.50065900000001</v>
      </c>
      <c r="N116" s="250">
        <v>18679.818299999999</v>
      </c>
      <c r="O116" s="250">
        <v>18675.703799999999</v>
      </c>
      <c r="P116" s="250">
        <v>2035.67931</v>
      </c>
      <c r="Q116" s="250" t="s">
        <v>18</v>
      </c>
      <c r="R116" s="250" t="s">
        <v>839</v>
      </c>
      <c r="S116" s="250" t="s">
        <v>21</v>
      </c>
      <c r="T116" s="250">
        <v>15</v>
      </c>
      <c r="U116" s="250">
        <v>5</v>
      </c>
      <c r="V116" s="250">
        <v>0.7</v>
      </c>
      <c r="W116" s="250">
        <v>0.7</v>
      </c>
      <c r="X116" s="250">
        <v>0.7</v>
      </c>
      <c r="Y116" s="250">
        <v>1700</v>
      </c>
      <c r="Z116" s="250" t="s">
        <v>840</v>
      </c>
      <c r="AA116" s="250">
        <v>0.85</v>
      </c>
      <c r="AB116" s="250" t="s">
        <v>841</v>
      </c>
      <c r="AC116" s="250" t="s">
        <v>842</v>
      </c>
      <c r="AD116" s="250">
        <v>220</v>
      </c>
      <c r="AE116" s="250"/>
      <c r="AF116" s="250"/>
      <c r="AG116" s="241"/>
    </row>
    <row r="117" spans="1:33" ht="15.75">
      <c r="A117" s="250" t="s">
        <v>959</v>
      </c>
      <c r="B117" s="250">
        <v>3</v>
      </c>
      <c r="C117" s="250">
        <v>95</v>
      </c>
      <c r="D117" s="250" t="s">
        <v>902</v>
      </c>
      <c r="E117" s="250">
        <v>1.5</v>
      </c>
      <c r="F117" s="251">
        <v>45078.484803240739</v>
      </c>
      <c r="G117" s="250">
        <v>1</v>
      </c>
      <c r="H117" s="250">
        <v>51.364100000000001</v>
      </c>
      <c r="I117" s="250">
        <v>6.9422300000000003</v>
      </c>
      <c r="J117" s="250">
        <v>-3.9880309999999999</v>
      </c>
      <c r="K117" s="250">
        <v>-3.1393749999999998</v>
      </c>
      <c r="L117" s="250">
        <v>1055.21</v>
      </c>
      <c r="M117" s="250">
        <v>121.499104</v>
      </c>
      <c r="N117" s="250">
        <v>18679.876100000001</v>
      </c>
      <c r="O117" s="250">
        <v>18675.703799999999</v>
      </c>
      <c r="P117" s="250">
        <v>2035.67931</v>
      </c>
      <c r="Q117" s="250" t="s">
        <v>18</v>
      </c>
      <c r="R117" s="250" t="s">
        <v>839</v>
      </c>
      <c r="S117" s="250" t="s">
        <v>21</v>
      </c>
      <c r="T117" s="250">
        <v>15</v>
      </c>
      <c r="U117" s="250">
        <v>5</v>
      </c>
      <c r="V117" s="250">
        <v>0.7</v>
      </c>
      <c r="W117" s="250">
        <v>0.7</v>
      </c>
      <c r="X117" s="250">
        <v>0.7</v>
      </c>
      <c r="Y117" s="250">
        <v>1700</v>
      </c>
      <c r="Z117" s="250" t="s">
        <v>840</v>
      </c>
      <c r="AA117" s="250">
        <v>0.85</v>
      </c>
      <c r="AB117" s="250" t="s">
        <v>841</v>
      </c>
      <c r="AC117" s="250" t="s">
        <v>842</v>
      </c>
      <c r="AD117" s="250">
        <v>220</v>
      </c>
      <c r="AE117" s="250"/>
      <c r="AF117" s="250"/>
      <c r="AG117" s="241"/>
    </row>
    <row r="118" spans="1:33" ht="15.75">
      <c r="A118" s="250" t="s">
        <v>960</v>
      </c>
      <c r="B118" s="250">
        <v>3</v>
      </c>
      <c r="C118" s="250">
        <v>95</v>
      </c>
      <c r="D118" s="250" t="s">
        <v>902</v>
      </c>
      <c r="E118" s="250">
        <v>1.5</v>
      </c>
      <c r="F118" s="251">
        <v>45078.488368055558</v>
      </c>
      <c r="G118" s="250">
        <v>1</v>
      </c>
      <c r="H118" s="250">
        <v>51.364100000000001</v>
      </c>
      <c r="I118" s="250">
        <v>6.8670099999999996</v>
      </c>
      <c r="J118" s="250">
        <v>-3.8827029999999998</v>
      </c>
      <c r="K118" s="250">
        <v>-3.0333130000000001</v>
      </c>
      <c r="L118" s="250">
        <v>1046.6500000000001</v>
      </c>
      <c r="M118" s="250">
        <v>147.499976</v>
      </c>
      <c r="N118" s="250">
        <v>18714.894899999999</v>
      </c>
      <c r="O118" s="250">
        <v>18675.703799999999</v>
      </c>
      <c r="P118" s="250">
        <v>2035.67931</v>
      </c>
      <c r="Q118" s="250" t="s">
        <v>18</v>
      </c>
      <c r="R118" s="250" t="s">
        <v>647</v>
      </c>
      <c r="S118" s="250" t="s">
        <v>21</v>
      </c>
      <c r="T118" s="250">
        <v>15</v>
      </c>
      <c r="U118" s="250">
        <v>5</v>
      </c>
      <c r="V118" s="250">
        <v>0.7</v>
      </c>
      <c r="W118" s="250">
        <v>0.7</v>
      </c>
      <c r="X118" s="250">
        <v>0.7</v>
      </c>
      <c r="Y118" s="250">
        <v>1700</v>
      </c>
      <c r="Z118" s="250" t="s">
        <v>840</v>
      </c>
      <c r="AA118" s="250">
        <v>0.85</v>
      </c>
      <c r="AB118" s="250" t="s">
        <v>841</v>
      </c>
      <c r="AC118" s="250" t="s">
        <v>842</v>
      </c>
      <c r="AD118" s="250">
        <v>220</v>
      </c>
      <c r="AE118" s="250"/>
      <c r="AF118" s="250"/>
      <c r="AG118" s="241"/>
    </row>
    <row r="119" spans="1:33" ht="15.75">
      <c r="A119" s="250" t="s">
        <v>961</v>
      </c>
      <c r="B119" s="250">
        <v>3</v>
      </c>
      <c r="C119" s="250">
        <v>95</v>
      </c>
      <c r="D119" s="250" t="s">
        <v>902</v>
      </c>
      <c r="E119" s="250">
        <v>1.5</v>
      </c>
      <c r="F119" s="251">
        <v>45078.492256944446</v>
      </c>
      <c r="G119" s="250">
        <v>1</v>
      </c>
      <c r="H119" s="250">
        <v>51.374099999999999</v>
      </c>
      <c r="I119" s="250">
        <v>6.8571499999999999</v>
      </c>
      <c r="J119" s="250">
        <v>-3.9072779999999998</v>
      </c>
      <c r="K119" s="250">
        <v>-3.0592980000000001</v>
      </c>
      <c r="L119" s="250">
        <v>1054.8699999999999</v>
      </c>
      <c r="M119" s="250">
        <v>137.00002699999999</v>
      </c>
      <c r="N119" s="250">
        <v>18667.4169</v>
      </c>
      <c r="O119" s="250">
        <v>18675.703799999999</v>
      </c>
      <c r="P119" s="250">
        <v>2035.67931</v>
      </c>
      <c r="Q119" s="250" t="s">
        <v>18</v>
      </c>
      <c r="R119" s="250" t="s">
        <v>839</v>
      </c>
      <c r="S119" s="250" t="s">
        <v>21</v>
      </c>
      <c r="T119" s="250">
        <v>15</v>
      </c>
      <c r="U119" s="250">
        <v>5</v>
      </c>
      <c r="V119" s="250">
        <v>0.7</v>
      </c>
      <c r="W119" s="250">
        <v>0.7</v>
      </c>
      <c r="X119" s="250">
        <v>0.7</v>
      </c>
      <c r="Y119" s="250">
        <v>1700</v>
      </c>
      <c r="Z119" s="250" t="s">
        <v>840</v>
      </c>
      <c r="AA119" s="250">
        <v>0.85</v>
      </c>
      <c r="AB119" s="250" t="s">
        <v>841</v>
      </c>
      <c r="AC119" s="250" t="s">
        <v>842</v>
      </c>
      <c r="AD119" s="250">
        <v>220</v>
      </c>
      <c r="AE119" s="250"/>
      <c r="AF119" s="250"/>
      <c r="AG119" s="241"/>
    </row>
    <row r="120" spans="1:33" ht="15.75">
      <c r="A120" s="250" t="s">
        <v>857</v>
      </c>
      <c r="B120" s="250">
        <v>4</v>
      </c>
      <c r="C120" s="250">
        <v>99</v>
      </c>
      <c r="D120" s="250" t="s">
        <v>906</v>
      </c>
      <c r="E120" s="250">
        <v>1.5</v>
      </c>
      <c r="F120" s="251">
        <v>45078.496516203704</v>
      </c>
      <c r="G120" s="250">
        <v>1</v>
      </c>
      <c r="H120" s="250">
        <v>51.370800000000003</v>
      </c>
      <c r="I120" s="250">
        <v>6.8480800000000004</v>
      </c>
      <c r="J120" s="250">
        <v>-3.8980990000000002</v>
      </c>
      <c r="K120" s="250">
        <v>-3.1009440000000001</v>
      </c>
      <c r="L120" s="250">
        <v>1038.27</v>
      </c>
      <c r="M120" s="250">
        <v>212.49938399999999</v>
      </c>
      <c r="N120" s="250">
        <v>18389.788100000002</v>
      </c>
      <c r="O120" s="250">
        <v>18326.8704</v>
      </c>
      <c r="P120" s="250">
        <v>1997.7185199999999</v>
      </c>
      <c r="Q120" s="250" t="s">
        <v>18</v>
      </c>
      <c r="R120" s="250" t="s">
        <v>647</v>
      </c>
      <c r="S120" s="250" t="s">
        <v>21</v>
      </c>
      <c r="T120" s="250">
        <v>15</v>
      </c>
      <c r="U120" s="250">
        <v>5</v>
      </c>
      <c r="V120" s="250">
        <v>0.7</v>
      </c>
      <c r="W120" s="250">
        <v>0.7</v>
      </c>
      <c r="X120" s="250">
        <v>0.7</v>
      </c>
      <c r="Y120" s="250">
        <v>1700</v>
      </c>
      <c r="Z120" s="250" t="s">
        <v>840</v>
      </c>
      <c r="AA120" s="250">
        <v>0.85</v>
      </c>
      <c r="AB120" s="250" t="s">
        <v>841</v>
      </c>
      <c r="AC120" s="250" t="s">
        <v>842</v>
      </c>
      <c r="AD120" s="250">
        <v>220</v>
      </c>
      <c r="AE120" s="250"/>
      <c r="AF120" s="250"/>
      <c r="AG120" s="241"/>
    </row>
    <row r="121" spans="1:33" ht="15.75">
      <c r="A121" s="250" t="s">
        <v>962</v>
      </c>
      <c r="B121" s="250">
        <v>4</v>
      </c>
      <c r="C121" s="250">
        <v>99</v>
      </c>
      <c r="D121" s="250" t="s">
        <v>906</v>
      </c>
      <c r="E121" s="250">
        <v>1.5</v>
      </c>
      <c r="F121" s="251">
        <v>45078.501134259262</v>
      </c>
      <c r="G121" s="250">
        <v>1</v>
      </c>
      <c r="H121" s="250">
        <v>51.374099999999999</v>
      </c>
      <c r="I121" s="250">
        <v>6.85745</v>
      </c>
      <c r="J121" s="250">
        <v>-3.713403</v>
      </c>
      <c r="K121" s="250">
        <v>-2.8762639999999999</v>
      </c>
      <c r="L121" s="250">
        <v>1059.3699999999999</v>
      </c>
      <c r="M121" s="250">
        <v>129.500936</v>
      </c>
      <c r="N121" s="250">
        <v>18342.0452</v>
      </c>
      <c r="O121" s="250">
        <v>18326.8704</v>
      </c>
      <c r="P121" s="250">
        <v>1997.7185199999999</v>
      </c>
      <c r="Q121" s="250" t="s">
        <v>18</v>
      </c>
      <c r="R121" s="250" t="s">
        <v>839</v>
      </c>
      <c r="S121" s="250" t="s">
        <v>21</v>
      </c>
      <c r="T121" s="250">
        <v>15</v>
      </c>
      <c r="U121" s="250">
        <v>5</v>
      </c>
      <c r="V121" s="250">
        <v>0.7</v>
      </c>
      <c r="W121" s="250">
        <v>0.7</v>
      </c>
      <c r="X121" s="250">
        <v>0.7</v>
      </c>
      <c r="Y121" s="250">
        <v>1700</v>
      </c>
      <c r="Z121" s="250" t="s">
        <v>840</v>
      </c>
      <c r="AA121" s="250">
        <v>0.85</v>
      </c>
      <c r="AB121" s="250" t="s">
        <v>841</v>
      </c>
      <c r="AC121" s="250" t="s">
        <v>842</v>
      </c>
      <c r="AD121" s="250">
        <v>220</v>
      </c>
      <c r="AE121" s="250"/>
      <c r="AF121" s="250"/>
      <c r="AG121" s="241"/>
    </row>
    <row r="122" spans="1:33" ht="15.75">
      <c r="A122" s="250" t="s">
        <v>963</v>
      </c>
      <c r="B122" s="250">
        <v>4</v>
      </c>
      <c r="C122" s="250">
        <v>99</v>
      </c>
      <c r="D122" s="250" t="s">
        <v>906</v>
      </c>
      <c r="E122" s="250">
        <v>1.5</v>
      </c>
      <c r="F122" s="251">
        <v>45078.504780092589</v>
      </c>
      <c r="G122" s="250">
        <v>1</v>
      </c>
      <c r="H122" s="250">
        <v>51.370800000000003</v>
      </c>
      <c r="I122" s="250">
        <v>6.9378200000000003</v>
      </c>
      <c r="J122" s="250">
        <v>-3.7425660000000001</v>
      </c>
      <c r="K122" s="250">
        <v>-2.8951210000000001</v>
      </c>
      <c r="L122" s="250">
        <v>1012.45</v>
      </c>
      <c r="M122" s="250">
        <v>115.99952</v>
      </c>
      <c r="N122" s="250">
        <v>18331.085500000001</v>
      </c>
      <c r="O122" s="250">
        <v>18326.8704</v>
      </c>
      <c r="P122" s="250">
        <v>1997.7185199999999</v>
      </c>
      <c r="Q122" s="250" t="s">
        <v>18</v>
      </c>
      <c r="R122" s="250" t="s">
        <v>839</v>
      </c>
      <c r="S122" s="250" t="s">
        <v>21</v>
      </c>
      <c r="T122" s="250">
        <v>15</v>
      </c>
      <c r="U122" s="250">
        <v>5</v>
      </c>
      <c r="V122" s="250">
        <v>0.7</v>
      </c>
      <c r="W122" s="250">
        <v>0.7</v>
      </c>
      <c r="X122" s="250">
        <v>0.7</v>
      </c>
      <c r="Y122" s="250">
        <v>1700</v>
      </c>
      <c r="Z122" s="250" t="s">
        <v>840</v>
      </c>
      <c r="AA122" s="250">
        <v>0.85</v>
      </c>
      <c r="AB122" s="250" t="s">
        <v>841</v>
      </c>
      <c r="AC122" s="250" t="s">
        <v>842</v>
      </c>
      <c r="AD122" s="250">
        <v>220</v>
      </c>
      <c r="AE122" s="250"/>
      <c r="AF122" s="250"/>
      <c r="AG122" s="241"/>
    </row>
    <row r="123" spans="1:33" ht="15.75">
      <c r="A123" s="250" t="s">
        <v>964</v>
      </c>
      <c r="B123" s="250">
        <v>4</v>
      </c>
      <c r="C123" s="250">
        <v>99</v>
      </c>
      <c r="D123" s="250" t="s">
        <v>906</v>
      </c>
      <c r="E123" s="250">
        <v>1.5</v>
      </c>
      <c r="F123" s="251">
        <v>45078.508298611108</v>
      </c>
      <c r="G123" s="250">
        <v>1</v>
      </c>
      <c r="H123" s="250">
        <v>51.370800000000003</v>
      </c>
      <c r="I123" s="250">
        <v>6.9026199999999998</v>
      </c>
      <c r="J123" s="250">
        <v>-3.7846820000000001</v>
      </c>
      <c r="K123" s="250">
        <v>-2.9415619999999998</v>
      </c>
      <c r="L123" s="250">
        <v>1024.76</v>
      </c>
      <c r="M123" s="250">
        <v>123.001698</v>
      </c>
      <c r="N123" s="250">
        <v>18307.4804</v>
      </c>
      <c r="O123" s="250">
        <v>18326.8704</v>
      </c>
      <c r="P123" s="250">
        <v>1997.7185199999999</v>
      </c>
      <c r="Q123" s="250" t="s">
        <v>18</v>
      </c>
      <c r="R123" s="250" t="s">
        <v>839</v>
      </c>
      <c r="S123" s="250" t="s">
        <v>21</v>
      </c>
      <c r="T123" s="250">
        <v>15</v>
      </c>
      <c r="U123" s="250">
        <v>5</v>
      </c>
      <c r="V123" s="250">
        <v>0.7</v>
      </c>
      <c r="W123" s="250">
        <v>0.7</v>
      </c>
      <c r="X123" s="250">
        <v>0.7</v>
      </c>
      <c r="Y123" s="250">
        <v>1700</v>
      </c>
      <c r="Z123" s="250" t="s">
        <v>840</v>
      </c>
      <c r="AA123" s="250">
        <v>0.85</v>
      </c>
      <c r="AB123" s="250" t="s">
        <v>841</v>
      </c>
      <c r="AC123" s="250" t="s">
        <v>842</v>
      </c>
      <c r="AD123" s="250">
        <v>220</v>
      </c>
      <c r="AE123" s="250"/>
      <c r="AF123" s="250"/>
      <c r="AG123" s="241"/>
    </row>
    <row r="124" spans="1:33" ht="15.75">
      <c r="A124" s="250" t="s">
        <v>858</v>
      </c>
      <c r="B124" s="250">
        <v>5</v>
      </c>
      <c r="C124" s="250">
        <v>86</v>
      </c>
      <c r="D124" s="250" t="s">
        <v>911</v>
      </c>
      <c r="E124" s="250">
        <v>1.5</v>
      </c>
      <c r="F124" s="251">
        <v>45078.512395833335</v>
      </c>
      <c r="G124" s="250">
        <v>1</v>
      </c>
      <c r="H124" s="250">
        <v>51.374099999999999</v>
      </c>
      <c r="I124" s="250">
        <v>6.8919499999999996</v>
      </c>
      <c r="J124" s="250">
        <v>-3.802308</v>
      </c>
      <c r="K124" s="250">
        <v>-2.9600970000000002</v>
      </c>
      <c r="L124" s="250">
        <v>987.21299999999997</v>
      </c>
      <c r="M124" s="250">
        <v>133.49891299999999</v>
      </c>
      <c r="N124" s="250">
        <v>17884.497299999999</v>
      </c>
      <c r="O124" s="250">
        <v>17871.235799999999</v>
      </c>
      <c r="P124" s="250">
        <v>1948.20299</v>
      </c>
      <c r="Q124" s="250" t="s">
        <v>18</v>
      </c>
      <c r="R124" s="250" t="s">
        <v>839</v>
      </c>
      <c r="S124" s="250" t="s">
        <v>28</v>
      </c>
      <c r="T124" s="250">
        <v>15</v>
      </c>
      <c r="U124" s="250">
        <v>5</v>
      </c>
      <c r="V124" s="250">
        <v>0.7</v>
      </c>
      <c r="W124" s="250">
        <v>0.7</v>
      </c>
      <c r="X124" s="250">
        <v>0.7</v>
      </c>
      <c r="Y124" s="250">
        <v>1700</v>
      </c>
      <c r="Z124" s="250" t="s">
        <v>840</v>
      </c>
      <c r="AA124" s="250">
        <v>0.85</v>
      </c>
      <c r="AB124" s="250" t="s">
        <v>841</v>
      </c>
      <c r="AC124" s="250" t="s">
        <v>842</v>
      </c>
      <c r="AD124" s="250">
        <v>220</v>
      </c>
      <c r="AE124" s="250"/>
      <c r="AF124" s="250" t="s">
        <v>965</v>
      </c>
      <c r="AG124" s="241"/>
    </row>
    <row r="125" spans="1:33" ht="15.75">
      <c r="A125" s="250" t="s">
        <v>966</v>
      </c>
      <c r="B125" s="250">
        <v>5</v>
      </c>
      <c r="C125" s="250">
        <v>86</v>
      </c>
      <c r="D125" s="250" t="s">
        <v>911</v>
      </c>
      <c r="E125" s="250">
        <v>1.5</v>
      </c>
      <c r="F125" s="251">
        <v>45078.516099537039</v>
      </c>
      <c r="G125" s="250">
        <v>1</v>
      </c>
      <c r="H125" s="250">
        <v>51.370800000000003</v>
      </c>
      <c r="I125" s="250">
        <v>6.8727200000000002</v>
      </c>
      <c r="J125" s="250">
        <v>-3.7168040000000002</v>
      </c>
      <c r="K125" s="250">
        <v>-2.8772489999999999</v>
      </c>
      <c r="L125" s="250">
        <v>989.279</v>
      </c>
      <c r="M125" s="250">
        <v>126.49992399999999</v>
      </c>
      <c r="N125" s="250">
        <v>17863.348600000001</v>
      </c>
      <c r="O125" s="250">
        <v>17871.235799999999</v>
      </c>
      <c r="P125" s="250">
        <v>1948.20299</v>
      </c>
      <c r="Q125" s="250" t="s">
        <v>18</v>
      </c>
      <c r="R125" s="250" t="s">
        <v>839</v>
      </c>
      <c r="S125" s="250" t="s">
        <v>28</v>
      </c>
      <c r="T125" s="250">
        <v>15</v>
      </c>
      <c r="U125" s="250">
        <v>5</v>
      </c>
      <c r="V125" s="250">
        <v>0.7</v>
      </c>
      <c r="W125" s="250">
        <v>0.7</v>
      </c>
      <c r="X125" s="250">
        <v>0.7</v>
      </c>
      <c r="Y125" s="250">
        <v>1700</v>
      </c>
      <c r="Z125" s="250" t="s">
        <v>840</v>
      </c>
      <c r="AA125" s="250">
        <v>0.85</v>
      </c>
      <c r="AB125" s="250" t="s">
        <v>841</v>
      </c>
      <c r="AC125" s="250" t="s">
        <v>842</v>
      </c>
      <c r="AD125" s="250">
        <v>220</v>
      </c>
      <c r="AE125" s="250"/>
      <c r="AG125" s="241"/>
    </row>
    <row r="126" spans="1:33" ht="15.75">
      <c r="A126" s="250" t="s">
        <v>967</v>
      </c>
      <c r="B126" s="250">
        <v>5</v>
      </c>
      <c r="C126" s="250">
        <v>86</v>
      </c>
      <c r="D126" s="250" t="s">
        <v>911</v>
      </c>
      <c r="E126" s="250">
        <v>1.5</v>
      </c>
      <c r="F126" s="251">
        <v>45078.51972222222</v>
      </c>
      <c r="G126" s="250">
        <v>1</v>
      </c>
      <c r="H126" s="250">
        <v>51.374099999999999</v>
      </c>
      <c r="I126" s="250">
        <v>6.9601600000000001</v>
      </c>
      <c r="J126" s="250">
        <v>-3.8032360000000001</v>
      </c>
      <c r="K126" s="250">
        <v>-2.9567260000000002</v>
      </c>
      <c r="L126" s="250">
        <v>981.06200000000001</v>
      </c>
      <c r="M126" s="250">
        <v>131.99999700000001</v>
      </c>
      <c r="N126" s="250">
        <v>17865.8613</v>
      </c>
      <c r="O126" s="250">
        <v>17871.235799999999</v>
      </c>
      <c r="P126" s="250">
        <v>1948.20299</v>
      </c>
      <c r="Q126" s="250" t="s">
        <v>18</v>
      </c>
      <c r="R126" s="250" t="s">
        <v>839</v>
      </c>
      <c r="S126" s="250" t="s">
        <v>28</v>
      </c>
      <c r="T126" s="250">
        <v>15</v>
      </c>
      <c r="U126" s="250">
        <v>5</v>
      </c>
      <c r="V126" s="250">
        <v>0.7</v>
      </c>
      <c r="W126" s="250">
        <v>0.7</v>
      </c>
      <c r="X126" s="250">
        <v>0.7</v>
      </c>
      <c r="Y126" s="250">
        <v>1700</v>
      </c>
      <c r="Z126" s="250" t="s">
        <v>840</v>
      </c>
      <c r="AA126" s="250">
        <v>0.85</v>
      </c>
      <c r="AB126" s="250" t="s">
        <v>841</v>
      </c>
      <c r="AC126" s="250" t="s">
        <v>842</v>
      </c>
      <c r="AD126" s="250">
        <v>220</v>
      </c>
      <c r="AE126" s="250"/>
      <c r="AG126" s="241"/>
    </row>
    <row r="127" spans="1:33" ht="15.75">
      <c r="A127" s="250" t="s">
        <v>859</v>
      </c>
      <c r="B127" s="250">
        <v>6</v>
      </c>
      <c r="C127" s="250">
        <v>106</v>
      </c>
      <c r="D127" s="250" t="s">
        <v>915</v>
      </c>
      <c r="E127" s="250">
        <v>1.5</v>
      </c>
      <c r="F127" s="251">
        <v>45078.523958333331</v>
      </c>
      <c r="G127" s="250">
        <v>1</v>
      </c>
      <c r="H127" s="250">
        <v>51.370800000000003</v>
      </c>
      <c r="I127" s="250">
        <v>7.0040500000000003</v>
      </c>
      <c r="J127" s="250">
        <v>-3.7504080000000002</v>
      </c>
      <c r="K127" s="250">
        <v>-2.9038089999999999</v>
      </c>
      <c r="L127" s="250">
        <v>1002.31</v>
      </c>
      <c r="M127" s="250">
        <v>144.499561</v>
      </c>
      <c r="N127" s="250">
        <v>17903.821199999998</v>
      </c>
      <c r="O127" s="250">
        <v>17919.480800000001</v>
      </c>
      <c r="P127" s="250">
        <v>1953.44596</v>
      </c>
      <c r="Q127" s="250" t="s">
        <v>18</v>
      </c>
      <c r="R127" s="250" t="s">
        <v>839</v>
      </c>
      <c r="S127" s="250" t="s">
        <v>21</v>
      </c>
      <c r="T127" s="250">
        <v>15</v>
      </c>
      <c r="U127" s="250">
        <v>5</v>
      </c>
      <c r="V127" s="250">
        <v>0.7</v>
      </c>
      <c r="W127" s="250">
        <v>0.7</v>
      </c>
      <c r="X127" s="250">
        <v>0.7</v>
      </c>
      <c r="Y127" s="250">
        <v>1700</v>
      </c>
      <c r="Z127" s="250" t="s">
        <v>840</v>
      </c>
      <c r="AA127" s="250">
        <v>0.85</v>
      </c>
      <c r="AB127" s="250" t="s">
        <v>841</v>
      </c>
      <c r="AC127" s="250" t="s">
        <v>842</v>
      </c>
      <c r="AD127" s="250">
        <v>220</v>
      </c>
      <c r="AE127" s="250"/>
      <c r="AF127" s="250"/>
      <c r="AG127" s="241"/>
    </row>
    <row r="128" spans="1:33" ht="15.75">
      <c r="A128" s="250" t="s">
        <v>968</v>
      </c>
      <c r="B128" s="250">
        <v>6</v>
      </c>
      <c r="C128" s="250">
        <v>106</v>
      </c>
      <c r="D128" s="250" t="s">
        <v>915</v>
      </c>
      <c r="E128" s="250">
        <v>1.5</v>
      </c>
      <c r="F128" s="251">
        <v>45078.527777777781</v>
      </c>
      <c r="G128" s="250">
        <v>1</v>
      </c>
      <c r="H128" s="250">
        <v>51.374099999999999</v>
      </c>
      <c r="I128" s="250">
        <v>7.11313</v>
      </c>
      <c r="J128" s="250">
        <v>-3.8068219999999999</v>
      </c>
      <c r="K128" s="250">
        <v>-2.9668030000000001</v>
      </c>
      <c r="L128" s="250">
        <v>1012.04</v>
      </c>
      <c r="M128" s="250">
        <v>120.50059400000001</v>
      </c>
      <c r="N128" s="250">
        <v>17933.050599999999</v>
      </c>
      <c r="O128" s="250">
        <v>17919.480800000001</v>
      </c>
      <c r="P128" s="250">
        <v>1953.44596</v>
      </c>
      <c r="Q128" s="250" t="s">
        <v>18</v>
      </c>
      <c r="R128" s="250" t="s">
        <v>839</v>
      </c>
      <c r="S128" s="250" t="s">
        <v>21</v>
      </c>
      <c r="T128" s="250">
        <v>15</v>
      </c>
      <c r="U128" s="250">
        <v>5</v>
      </c>
      <c r="V128" s="250">
        <v>0.7</v>
      </c>
      <c r="W128" s="250">
        <v>0.7</v>
      </c>
      <c r="X128" s="250">
        <v>0.7</v>
      </c>
      <c r="Y128" s="250">
        <v>1700</v>
      </c>
      <c r="Z128" s="250" t="s">
        <v>840</v>
      </c>
      <c r="AA128" s="250">
        <v>0.85</v>
      </c>
      <c r="AB128" s="250" t="s">
        <v>841</v>
      </c>
      <c r="AC128" s="250" t="s">
        <v>842</v>
      </c>
      <c r="AD128" s="250">
        <v>220</v>
      </c>
      <c r="AE128" s="250"/>
      <c r="AF128" s="250"/>
      <c r="AG128" s="241"/>
    </row>
    <row r="129" spans="1:33" ht="15.75">
      <c r="A129" s="250" t="s">
        <v>969</v>
      </c>
      <c r="B129" s="250">
        <v>6</v>
      </c>
      <c r="C129" s="250">
        <v>106</v>
      </c>
      <c r="D129" s="250" t="s">
        <v>915</v>
      </c>
      <c r="E129" s="250">
        <v>1.5</v>
      </c>
      <c r="F129" s="251">
        <v>45078.531342592592</v>
      </c>
      <c r="G129" s="250">
        <v>1</v>
      </c>
      <c r="H129" s="250">
        <v>51.3675</v>
      </c>
      <c r="I129" s="250">
        <v>7.11</v>
      </c>
      <c r="J129" s="250">
        <v>-3.768742</v>
      </c>
      <c r="K129" s="250">
        <v>-2.9346779999999999</v>
      </c>
      <c r="L129" s="250">
        <v>998.17399999999998</v>
      </c>
      <c r="M129" s="250">
        <v>119.499543</v>
      </c>
      <c r="N129" s="250">
        <v>17921.570500000002</v>
      </c>
      <c r="O129" s="250">
        <v>17919.480800000001</v>
      </c>
      <c r="P129" s="250">
        <v>1953.44596</v>
      </c>
      <c r="Q129" s="250" t="s">
        <v>18</v>
      </c>
      <c r="R129" s="250" t="s">
        <v>839</v>
      </c>
      <c r="S129" s="250" t="s">
        <v>21</v>
      </c>
      <c r="T129" s="250">
        <v>15</v>
      </c>
      <c r="U129" s="250">
        <v>5</v>
      </c>
      <c r="V129" s="250">
        <v>0.7</v>
      </c>
      <c r="W129" s="250">
        <v>0.7</v>
      </c>
      <c r="X129" s="250">
        <v>0.7</v>
      </c>
      <c r="Y129" s="250">
        <v>1700</v>
      </c>
      <c r="Z129" s="250" t="s">
        <v>840</v>
      </c>
      <c r="AA129" s="250">
        <v>0.85</v>
      </c>
      <c r="AB129" s="250" t="s">
        <v>841</v>
      </c>
      <c r="AC129" s="250" t="s">
        <v>842</v>
      </c>
      <c r="AD129" s="250">
        <v>220</v>
      </c>
      <c r="AE129" s="250"/>
      <c r="AF129" s="250"/>
      <c r="AG129" s="241"/>
    </row>
    <row r="130" spans="1:33" ht="15.75">
      <c r="A130" s="250" t="s">
        <v>860</v>
      </c>
      <c r="B130" s="250">
        <v>7</v>
      </c>
      <c r="C130" s="250">
        <v>105</v>
      </c>
      <c r="D130" s="250" t="s">
        <v>926</v>
      </c>
      <c r="E130" s="250">
        <v>1.5</v>
      </c>
      <c r="F130" s="251">
        <v>45078.535428240742</v>
      </c>
      <c r="G130" s="250">
        <v>1</v>
      </c>
      <c r="H130" s="250">
        <v>51.370800000000003</v>
      </c>
      <c r="I130" s="250">
        <v>7.1363000000000003</v>
      </c>
      <c r="J130" s="250">
        <v>-3.7341500000000001</v>
      </c>
      <c r="K130" s="250">
        <v>-2.8884210000000001</v>
      </c>
      <c r="L130" s="250">
        <v>1046.05</v>
      </c>
      <c r="M130" s="250">
        <v>122.999968</v>
      </c>
      <c r="N130" s="250">
        <v>18456.824100000002</v>
      </c>
      <c r="O130" s="250">
        <v>18500.701499999999</v>
      </c>
      <c r="P130" s="250">
        <v>2016.60941</v>
      </c>
      <c r="Q130" s="250" t="s">
        <v>18</v>
      </c>
      <c r="R130" s="250" t="s">
        <v>647</v>
      </c>
      <c r="S130" s="250" t="s">
        <v>21</v>
      </c>
      <c r="T130" s="250">
        <v>15</v>
      </c>
      <c r="U130" s="250">
        <v>5</v>
      </c>
      <c r="V130" s="250">
        <v>0.7</v>
      </c>
      <c r="W130" s="250">
        <v>0.7</v>
      </c>
      <c r="X130" s="250">
        <v>0.7</v>
      </c>
      <c r="Y130" s="250">
        <v>1700</v>
      </c>
      <c r="Z130" s="250" t="s">
        <v>840</v>
      </c>
      <c r="AA130" s="250">
        <v>0.85</v>
      </c>
      <c r="AB130" s="250" t="s">
        <v>841</v>
      </c>
      <c r="AC130" s="250" t="s">
        <v>842</v>
      </c>
      <c r="AD130" s="250">
        <v>220</v>
      </c>
      <c r="AE130" s="250"/>
      <c r="AF130" s="250"/>
      <c r="AG130" s="241"/>
    </row>
    <row r="131" spans="1:33" ht="15.75">
      <c r="A131" s="250" t="s">
        <v>970</v>
      </c>
      <c r="B131" s="250">
        <v>7</v>
      </c>
      <c r="C131" s="250">
        <v>105</v>
      </c>
      <c r="D131" s="250" t="s">
        <v>926</v>
      </c>
      <c r="E131" s="250">
        <v>1.5</v>
      </c>
      <c r="F131" s="251">
        <v>45078.539039351854</v>
      </c>
      <c r="G131" s="250">
        <v>1</v>
      </c>
      <c r="H131" s="250">
        <v>51.364100000000001</v>
      </c>
      <c r="I131" s="250">
        <v>6.8879400000000004</v>
      </c>
      <c r="J131" s="250">
        <v>-3.7792940000000002</v>
      </c>
      <c r="K131" s="250">
        <v>-2.9296570000000002</v>
      </c>
      <c r="L131" s="250">
        <v>1061.6199999999999</v>
      </c>
      <c r="M131" s="250">
        <v>129.49990199999999</v>
      </c>
      <c r="N131" s="250">
        <v>18512.541099999999</v>
      </c>
      <c r="O131" s="250">
        <v>18500.701499999999</v>
      </c>
      <c r="P131" s="250">
        <v>2016.60941</v>
      </c>
      <c r="Q131" s="250" t="s">
        <v>18</v>
      </c>
      <c r="R131" s="250" t="s">
        <v>839</v>
      </c>
      <c r="S131" s="250" t="s">
        <v>21</v>
      </c>
      <c r="T131" s="250">
        <v>15</v>
      </c>
      <c r="U131" s="250">
        <v>5</v>
      </c>
      <c r="V131" s="250">
        <v>0.7</v>
      </c>
      <c r="W131" s="250">
        <v>0.7</v>
      </c>
      <c r="X131" s="250">
        <v>0.7</v>
      </c>
      <c r="Y131" s="250">
        <v>1700</v>
      </c>
      <c r="Z131" s="250" t="s">
        <v>840</v>
      </c>
      <c r="AA131" s="250">
        <v>0.85</v>
      </c>
      <c r="AB131" s="250" t="s">
        <v>841</v>
      </c>
      <c r="AC131" s="250" t="s">
        <v>842</v>
      </c>
      <c r="AD131" s="250">
        <v>220</v>
      </c>
      <c r="AE131" s="250"/>
      <c r="AF131" s="250"/>
      <c r="AG131" s="241"/>
    </row>
    <row r="132" spans="1:33" ht="15.75">
      <c r="A132" s="250" t="s">
        <v>971</v>
      </c>
      <c r="B132" s="250">
        <v>7</v>
      </c>
      <c r="C132" s="250">
        <v>105</v>
      </c>
      <c r="D132" s="250" t="s">
        <v>926</v>
      </c>
      <c r="E132" s="250">
        <v>1.5</v>
      </c>
      <c r="F132" s="251">
        <v>45078.542708333334</v>
      </c>
      <c r="G132" s="250">
        <v>1</v>
      </c>
      <c r="H132" s="250">
        <v>51.3675</v>
      </c>
      <c r="I132" s="250">
        <v>6.8167799999999996</v>
      </c>
      <c r="J132" s="250">
        <v>-3.7418559999999998</v>
      </c>
      <c r="K132" s="250">
        <v>-2.9008069999999999</v>
      </c>
      <c r="L132" s="250">
        <v>1043.42</v>
      </c>
      <c r="M132" s="250">
        <v>164.99909700000001</v>
      </c>
      <c r="N132" s="250">
        <v>18546.484700000001</v>
      </c>
      <c r="O132" s="250">
        <v>18500.701499999999</v>
      </c>
      <c r="P132" s="250">
        <v>2016.60941</v>
      </c>
      <c r="Q132" s="250" t="s">
        <v>18</v>
      </c>
      <c r="R132" s="250" t="s">
        <v>647</v>
      </c>
      <c r="S132" s="250" t="s">
        <v>21</v>
      </c>
      <c r="T132" s="250">
        <v>15</v>
      </c>
      <c r="U132" s="250">
        <v>5</v>
      </c>
      <c r="V132" s="250">
        <v>0.7</v>
      </c>
      <c r="W132" s="250">
        <v>0.7</v>
      </c>
      <c r="X132" s="250">
        <v>0.7</v>
      </c>
      <c r="Y132" s="250">
        <v>1700</v>
      </c>
      <c r="Z132" s="250" t="s">
        <v>840</v>
      </c>
      <c r="AA132" s="250">
        <v>0.85</v>
      </c>
      <c r="AB132" s="250" t="s">
        <v>841</v>
      </c>
      <c r="AC132" s="250" t="s">
        <v>842</v>
      </c>
      <c r="AD132" s="250">
        <v>220</v>
      </c>
      <c r="AE132" s="250"/>
      <c r="AF132" s="250"/>
      <c r="AG132" s="241"/>
    </row>
    <row r="133" spans="1:33" ht="15.75">
      <c r="A133" s="250" t="s">
        <v>972</v>
      </c>
      <c r="B133" s="250">
        <v>7</v>
      </c>
      <c r="C133" s="250">
        <v>105</v>
      </c>
      <c r="D133" s="250" t="s">
        <v>926</v>
      </c>
      <c r="E133" s="250">
        <v>1.5</v>
      </c>
      <c r="F133" s="251">
        <v>45078.546782407408</v>
      </c>
      <c r="G133" s="250">
        <v>1</v>
      </c>
      <c r="H133" s="250">
        <v>51.374099999999999</v>
      </c>
      <c r="I133" s="250">
        <v>6.9623499999999998</v>
      </c>
      <c r="J133" s="250">
        <v>-3.6794099999999998</v>
      </c>
      <c r="K133" s="250">
        <v>-2.837663</v>
      </c>
      <c r="L133" s="250">
        <v>1049.24</v>
      </c>
      <c r="M133" s="250">
        <v>127.49939999999999</v>
      </c>
      <c r="N133" s="250">
        <v>18487.304100000001</v>
      </c>
      <c r="O133" s="250">
        <v>18500.701499999999</v>
      </c>
      <c r="P133" s="250">
        <v>2016.60941</v>
      </c>
      <c r="Q133" s="250" t="s">
        <v>18</v>
      </c>
      <c r="R133" s="250" t="s">
        <v>839</v>
      </c>
      <c r="S133" s="250" t="s">
        <v>21</v>
      </c>
      <c r="T133" s="250">
        <v>15</v>
      </c>
      <c r="U133" s="250">
        <v>5</v>
      </c>
      <c r="V133" s="250">
        <v>0.7</v>
      </c>
      <c r="W133" s="250">
        <v>0.7</v>
      </c>
      <c r="X133" s="250">
        <v>0.7</v>
      </c>
      <c r="Y133" s="250">
        <v>1700</v>
      </c>
      <c r="Z133" s="250" t="s">
        <v>840</v>
      </c>
      <c r="AA133" s="250">
        <v>0.85</v>
      </c>
      <c r="AB133" s="250" t="s">
        <v>841</v>
      </c>
      <c r="AC133" s="250" t="s">
        <v>842</v>
      </c>
      <c r="AD133" s="250">
        <v>220</v>
      </c>
      <c r="AE133" s="250"/>
      <c r="AF133" s="250"/>
      <c r="AG133" s="241"/>
    </row>
    <row r="134" spans="1:33" ht="15.75">
      <c r="A134" s="250" t="s">
        <v>973</v>
      </c>
      <c r="B134" s="250">
        <v>7</v>
      </c>
      <c r="C134" s="250">
        <v>105</v>
      </c>
      <c r="D134" s="250" t="s">
        <v>926</v>
      </c>
      <c r="E134" s="250">
        <v>1.5</v>
      </c>
      <c r="F134" s="251">
        <v>45078.550393518519</v>
      </c>
      <c r="G134" s="250">
        <v>1</v>
      </c>
      <c r="H134" s="250">
        <v>51.374099999999999</v>
      </c>
      <c r="I134" s="250">
        <v>6.9363400000000004</v>
      </c>
      <c r="J134" s="250">
        <v>-3.6758760000000001</v>
      </c>
      <c r="K134" s="250">
        <v>-2.83223</v>
      </c>
      <c r="L134" s="250">
        <v>1042.76</v>
      </c>
      <c r="M134" s="250">
        <v>128.50062299999999</v>
      </c>
      <c r="N134" s="250">
        <v>18502.259399999999</v>
      </c>
      <c r="O134" s="250">
        <v>18500.701499999999</v>
      </c>
      <c r="P134" s="250">
        <v>2016.60941</v>
      </c>
      <c r="Q134" s="250" t="s">
        <v>18</v>
      </c>
      <c r="R134" s="250" t="s">
        <v>839</v>
      </c>
      <c r="S134" s="250" t="s">
        <v>21</v>
      </c>
      <c r="T134" s="250">
        <v>15</v>
      </c>
      <c r="U134" s="250">
        <v>5</v>
      </c>
      <c r="V134" s="250">
        <v>0.7</v>
      </c>
      <c r="W134" s="250">
        <v>0.7</v>
      </c>
      <c r="X134" s="250">
        <v>0.7</v>
      </c>
      <c r="Y134" s="250">
        <v>1700</v>
      </c>
      <c r="Z134" s="250" t="s">
        <v>840</v>
      </c>
      <c r="AA134" s="250">
        <v>0.85</v>
      </c>
      <c r="AB134" s="250" t="s">
        <v>841</v>
      </c>
      <c r="AC134" s="250" t="s">
        <v>842</v>
      </c>
      <c r="AD134" s="250">
        <v>220</v>
      </c>
      <c r="AE134" s="250"/>
      <c r="AF134" s="250"/>
      <c r="AG134" s="241"/>
    </row>
    <row r="135" spans="1:33" ht="15.75">
      <c r="A135" s="250" t="s">
        <v>861</v>
      </c>
      <c r="B135" s="250">
        <v>8</v>
      </c>
      <c r="C135" s="250">
        <v>108</v>
      </c>
      <c r="D135" s="250" t="s">
        <v>930</v>
      </c>
      <c r="E135" s="250">
        <v>1.5</v>
      </c>
      <c r="F135" s="251">
        <v>45078.554537037038</v>
      </c>
      <c r="G135" s="250">
        <v>1</v>
      </c>
      <c r="H135" s="250">
        <v>51.370800000000003</v>
      </c>
      <c r="I135" s="250">
        <v>6.9526399999999997</v>
      </c>
      <c r="J135" s="250">
        <v>-3.7148880000000002</v>
      </c>
      <c r="K135" s="250">
        <v>-2.8846790000000002</v>
      </c>
      <c r="L135" s="250">
        <v>1028.0899999999999</v>
      </c>
      <c r="M135" s="250">
        <v>134.50111100000001</v>
      </c>
      <c r="N135" s="250">
        <v>18099.033599999999</v>
      </c>
      <c r="O135" s="250">
        <v>18101.518700000001</v>
      </c>
      <c r="P135" s="250">
        <v>1973.2287100000001</v>
      </c>
      <c r="Q135" s="250" t="s">
        <v>18</v>
      </c>
      <c r="R135" s="250" t="s">
        <v>839</v>
      </c>
      <c r="S135" s="250" t="s">
        <v>21</v>
      </c>
      <c r="T135" s="250">
        <v>15</v>
      </c>
      <c r="U135" s="250">
        <v>5</v>
      </c>
      <c r="V135" s="250">
        <v>0.7</v>
      </c>
      <c r="W135" s="250">
        <v>0.7</v>
      </c>
      <c r="X135" s="250">
        <v>0.7</v>
      </c>
      <c r="Y135" s="250">
        <v>1700</v>
      </c>
      <c r="Z135" s="250" t="s">
        <v>840</v>
      </c>
      <c r="AA135" s="250">
        <v>0.85</v>
      </c>
      <c r="AB135" s="250" t="s">
        <v>841</v>
      </c>
      <c r="AC135" s="250" t="s">
        <v>842</v>
      </c>
      <c r="AD135" s="250">
        <v>220</v>
      </c>
      <c r="AE135" s="250"/>
      <c r="AF135" s="250"/>
      <c r="AG135" s="241"/>
    </row>
    <row r="136" spans="1:33" ht="15.75">
      <c r="A136" s="250" t="s">
        <v>974</v>
      </c>
      <c r="B136" s="250">
        <v>8</v>
      </c>
      <c r="C136" s="250">
        <v>108</v>
      </c>
      <c r="D136" s="250" t="s">
        <v>930</v>
      </c>
      <c r="E136" s="250">
        <v>1.5</v>
      </c>
      <c r="F136" s="251">
        <v>45078.558252314811</v>
      </c>
      <c r="G136" s="250">
        <v>1</v>
      </c>
      <c r="H136" s="250">
        <v>51.370800000000003</v>
      </c>
      <c r="I136" s="250">
        <v>7.1768200000000002</v>
      </c>
      <c r="J136" s="250">
        <v>-3.6151040000000001</v>
      </c>
      <c r="K136" s="250">
        <v>-2.7692009999999998</v>
      </c>
      <c r="L136" s="250">
        <v>1008.53</v>
      </c>
      <c r="M136" s="250">
        <v>125.000525</v>
      </c>
      <c r="N136" s="250">
        <v>18065.625199999999</v>
      </c>
      <c r="O136" s="250">
        <v>18101.518700000001</v>
      </c>
      <c r="P136" s="250">
        <v>1973.2287100000001</v>
      </c>
      <c r="Q136" s="250" t="s">
        <v>18</v>
      </c>
      <c r="R136" s="250" t="s">
        <v>647</v>
      </c>
      <c r="S136" s="250" t="s">
        <v>21</v>
      </c>
      <c r="T136" s="250">
        <v>15</v>
      </c>
      <c r="U136" s="250">
        <v>5</v>
      </c>
      <c r="V136" s="250">
        <v>0.7</v>
      </c>
      <c r="W136" s="250">
        <v>0.7</v>
      </c>
      <c r="X136" s="250">
        <v>0.7</v>
      </c>
      <c r="Y136" s="250">
        <v>1700</v>
      </c>
      <c r="Z136" s="250" t="s">
        <v>840</v>
      </c>
      <c r="AA136" s="250">
        <v>0.85</v>
      </c>
      <c r="AB136" s="250" t="s">
        <v>841</v>
      </c>
      <c r="AC136" s="250" t="s">
        <v>842</v>
      </c>
      <c r="AD136" s="250">
        <v>220</v>
      </c>
      <c r="AE136" s="250"/>
      <c r="AF136" s="250"/>
      <c r="AG136" s="241"/>
    </row>
    <row r="137" spans="1:33" ht="15.75">
      <c r="A137" s="250" t="s">
        <v>975</v>
      </c>
      <c r="B137" s="250">
        <v>8</v>
      </c>
      <c r="C137" s="250">
        <v>108</v>
      </c>
      <c r="D137" s="250" t="s">
        <v>930</v>
      </c>
      <c r="E137" s="250">
        <v>1.5</v>
      </c>
      <c r="F137" s="251">
        <v>45078.561886574076</v>
      </c>
      <c r="G137" s="250">
        <v>1</v>
      </c>
      <c r="H137" s="250">
        <v>51.374099999999999</v>
      </c>
      <c r="I137" s="250">
        <v>7.1382300000000001</v>
      </c>
      <c r="J137" s="250">
        <v>-3.6364380000000001</v>
      </c>
      <c r="K137" s="250">
        <v>-2.7895189999999999</v>
      </c>
      <c r="L137" s="250">
        <v>1017.37</v>
      </c>
      <c r="M137" s="250">
        <v>135.501385</v>
      </c>
      <c r="N137" s="250">
        <v>18106.097900000001</v>
      </c>
      <c r="O137" s="250">
        <v>18101.518700000001</v>
      </c>
      <c r="P137" s="250">
        <v>1973.2287100000001</v>
      </c>
      <c r="Q137" s="250" t="s">
        <v>18</v>
      </c>
      <c r="R137" s="250" t="s">
        <v>839</v>
      </c>
      <c r="S137" s="250" t="s">
        <v>21</v>
      </c>
      <c r="T137" s="250">
        <v>15</v>
      </c>
      <c r="U137" s="250">
        <v>5</v>
      </c>
      <c r="V137" s="250">
        <v>0.7</v>
      </c>
      <c r="W137" s="250">
        <v>0.7</v>
      </c>
      <c r="X137" s="250">
        <v>0.7</v>
      </c>
      <c r="Y137" s="250">
        <v>1700</v>
      </c>
      <c r="Z137" s="250" t="s">
        <v>840</v>
      </c>
      <c r="AA137" s="250">
        <v>0.85</v>
      </c>
      <c r="AB137" s="250" t="s">
        <v>841</v>
      </c>
      <c r="AC137" s="250" t="s">
        <v>842</v>
      </c>
      <c r="AD137" s="250">
        <v>220</v>
      </c>
      <c r="AE137" s="250"/>
      <c r="AF137" s="250"/>
      <c r="AG137" s="241"/>
    </row>
    <row r="138" spans="1:33" ht="15.75">
      <c r="A138" s="250" t="s">
        <v>976</v>
      </c>
      <c r="B138" s="250">
        <v>8</v>
      </c>
      <c r="C138" s="250">
        <v>108</v>
      </c>
      <c r="D138" s="250" t="s">
        <v>930</v>
      </c>
      <c r="E138" s="250">
        <v>1.5</v>
      </c>
      <c r="F138" s="251">
        <v>45078.565625000003</v>
      </c>
      <c r="G138" s="250">
        <v>1</v>
      </c>
      <c r="H138" s="250">
        <v>51.370800000000003</v>
      </c>
      <c r="I138" s="250">
        <v>7.1423500000000004</v>
      </c>
      <c r="J138" s="250">
        <v>-3.5663170000000002</v>
      </c>
      <c r="K138" s="250">
        <v>-2.7174990000000001</v>
      </c>
      <c r="L138" s="250">
        <v>1021.55</v>
      </c>
      <c r="M138" s="250">
        <v>115.999092</v>
      </c>
      <c r="N138" s="250">
        <v>18059.095700000002</v>
      </c>
      <c r="O138" s="250">
        <v>18101.518700000001</v>
      </c>
      <c r="P138" s="250">
        <v>1973.2287100000001</v>
      </c>
      <c r="Q138" s="250" t="s">
        <v>18</v>
      </c>
      <c r="R138" s="250" t="s">
        <v>647</v>
      </c>
      <c r="S138" s="250" t="s">
        <v>21</v>
      </c>
      <c r="T138" s="250">
        <v>15</v>
      </c>
      <c r="U138" s="250">
        <v>5</v>
      </c>
      <c r="V138" s="250">
        <v>0.7</v>
      </c>
      <c r="W138" s="250">
        <v>0.7</v>
      </c>
      <c r="X138" s="250">
        <v>0.7</v>
      </c>
      <c r="Y138" s="250">
        <v>1700</v>
      </c>
      <c r="Z138" s="250" t="s">
        <v>840</v>
      </c>
      <c r="AA138" s="250">
        <v>0.85</v>
      </c>
      <c r="AB138" s="250" t="s">
        <v>841</v>
      </c>
      <c r="AC138" s="250" t="s">
        <v>842</v>
      </c>
      <c r="AD138" s="250">
        <v>220</v>
      </c>
      <c r="AE138" s="250"/>
      <c r="AF138" s="250"/>
      <c r="AG138" s="241"/>
    </row>
    <row r="139" spans="1:33" ht="15.75">
      <c r="A139" s="250" t="s">
        <v>977</v>
      </c>
      <c r="B139" s="250">
        <v>8</v>
      </c>
      <c r="C139" s="250">
        <v>108</v>
      </c>
      <c r="D139" s="250" t="s">
        <v>930</v>
      </c>
      <c r="E139" s="250">
        <v>1.5</v>
      </c>
      <c r="F139" s="251">
        <v>45078.569155092591</v>
      </c>
      <c r="G139" s="250">
        <v>1</v>
      </c>
      <c r="H139" s="250">
        <v>51.374099999999999</v>
      </c>
      <c r="I139" s="250">
        <v>7.0382100000000003</v>
      </c>
      <c r="J139" s="250">
        <v>-3.557496</v>
      </c>
      <c r="K139" s="250">
        <v>-2.7101609999999998</v>
      </c>
      <c r="L139" s="250">
        <v>1024.1300000000001</v>
      </c>
      <c r="M139" s="250">
        <v>125.49983899999999</v>
      </c>
      <c r="N139" s="250">
        <v>18099.424599999998</v>
      </c>
      <c r="O139" s="250">
        <v>18101.518700000001</v>
      </c>
      <c r="P139" s="250">
        <v>1973.2287100000001</v>
      </c>
      <c r="Q139" s="250" t="s">
        <v>18</v>
      </c>
      <c r="R139" s="250" t="s">
        <v>839</v>
      </c>
      <c r="S139" s="250" t="s">
        <v>21</v>
      </c>
      <c r="T139" s="250">
        <v>15</v>
      </c>
      <c r="U139" s="250">
        <v>5</v>
      </c>
      <c r="V139" s="250">
        <v>0.7</v>
      </c>
      <c r="W139" s="250">
        <v>0.7</v>
      </c>
      <c r="X139" s="250">
        <v>0.7</v>
      </c>
      <c r="Y139" s="250">
        <v>1700</v>
      </c>
      <c r="Z139" s="250" t="s">
        <v>840</v>
      </c>
      <c r="AA139" s="250">
        <v>0.85</v>
      </c>
      <c r="AB139" s="250" t="s">
        <v>841</v>
      </c>
      <c r="AC139" s="250" t="s">
        <v>842</v>
      </c>
      <c r="AD139" s="250">
        <v>220</v>
      </c>
      <c r="AE139" s="250"/>
      <c r="AF139" s="250"/>
      <c r="AG139" s="241"/>
    </row>
    <row r="140" spans="1:33" ht="15.75">
      <c r="A140" s="250" t="s">
        <v>862</v>
      </c>
      <c r="B140" s="250">
        <v>9</v>
      </c>
      <c r="C140" s="250">
        <v>107</v>
      </c>
      <c r="D140" s="250" t="s">
        <v>936</v>
      </c>
      <c r="E140" s="250">
        <v>1.5</v>
      </c>
      <c r="F140" s="251">
        <v>45078.573298611111</v>
      </c>
      <c r="G140" s="250">
        <v>1</v>
      </c>
      <c r="H140" s="250">
        <v>51.370800000000003</v>
      </c>
      <c r="I140" s="250">
        <v>6.9526899999999996</v>
      </c>
      <c r="J140" s="250">
        <v>-3.5308510000000002</v>
      </c>
      <c r="K140" s="250">
        <v>-2.6903890000000001</v>
      </c>
      <c r="L140" s="250">
        <v>1049.3399999999999</v>
      </c>
      <c r="M140" s="250">
        <v>127.999032</v>
      </c>
      <c r="N140" s="250">
        <v>18554.0308</v>
      </c>
      <c r="O140" s="250">
        <v>18549.227299999999</v>
      </c>
      <c r="P140" s="250">
        <v>2021.8828900000001</v>
      </c>
      <c r="Q140" s="250" t="s">
        <v>18</v>
      </c>
      <c r="R140" s="250" t="s">
        <v>839</v>
      </c>
      <c r="S140" s="250" t="s">
        <v>21</v>
      </c>
      <c r="T140" s="250">
        <v>15</v>
      </c>
      <c r="U140" s="250">
        <v>5</v>
      </c>
      <c r="V140" s="250">
        <v>0.7</v>
      </c>
      <c r="W140" s="250">
        <v>0.7</v>
      </c>
      <c r="X140" s="250">
        <v>0.7</v>
      </c>
      <c r="Y140" s="250">
        <v>1700</v>
      </c>
      <c r="Z140" s="250" t="s">
        <v>840</v>
      </c>
      <c r="AA140" s="250">
        <v>0.85</v>
      </c>
      <c r="AB140" s="250" t="s">
        <v>841</v>
      </c>
      <c r="AC140" s="250" t="s">
        <v>842</v>
      </c>
      <c r="AD140" s="250">
        <v>220</v>
      </c>
      <c r="AE140" s="250"/>
      <c r="AF140" s="250"/>
      <c r="AG140" s="241"/>
    </row>
    <row r="141" spans="1:33" ht="15.75">
      <c r="A141" s="250" t="s">
        <v>978</v>
      </c>
      <c r="B141" s="250">
        <v>9</v>
      </c>
      <c r="C141" s="250">
        <v>107</v>
      </c>
      <c r="D141" s="250" t="s">
        <v>936</v>
      </c>
      <c r="E141" s="250">
        <v>1.5</v>
      </c>
      <c r="F141" s="251">
        <v>45078.576944444445</v>
      </c>
      <c r="G141" s="250">
        <v>1</v>
      </c>
      <c r="H141" s="250">
        <v>51.3675</v>
      </c>
      <c r="I141" s="250">
        <v>7.0199499999999997</v>
      </c>
      <c r="J141" s="250">
        <v>-3.5947249999999999</v>
      </c>
      <c r="K141" s="250">
        <v>-2.7610429999999999</v>
      </c>
      <c r="L141" s="250">
        <v>1061.81</v>
      </c>
      <c r="M141" s="250">
        <v>121.499669</v>
      </c>
      <c r="N141" s="250">
        <v>18589.208999999999</v>
      </c>
      <c r="O141" s="250">
        <v>18549.227299999999</v>
      </c>
      <c r="P141" s="250">
        <v>2021.8828900000001</v>
      </c>
      <c r="Q141" s="250" t="s">
        <v>18</v>
      </c>
      <c r="R141" s="250" t="s">
        <v>647</v>
      </c>
      <c r="S141" s="250" t="s">
        <v>21</v>
      </c>
      <c r="T141" s="250">
        <v>15</v>
      </c>
      <c r="U141" s="250">
        <v>5</v>
      </c>
      <c r="V141" s="250">
        <v>0.7</v>
      </c>
      <c r="W141" s="250">
        <v>0.7</v>
      </c>
      <c r="X141" s="250">
        <v>0.7</v>
      </c>
      <c r="Y141" s="250">
        <v>1700</v>
      </c>
      <c r="Z141" s="250" t="s">
        <v>840</v>
      </c>
      <c r="AA141" s="250">
        <v>0.85</v>
      </c>
      <c r="AB141" s="250" t="s">
        <v>841</v>
      </c>
      <c r="AC141" s="250" t="s">
        <v>842</v>
      </c>
      <c r="AD141" s="250">
        <v>220</v>
      </c>
      <c r="AE141" s="250"/>
      <c r="AF141" s="250"/>
      <c r="AG141" s="241"/>
    </row>
    <row r="142" spans="1:33" ht="15.75">
      <c r="A142" s="250" t="s">
        <v>979</v>
      </c>
      <c r="B142" s="250">
        <v>9</v>
      </c>
      <c r="C142" s="250">
        <v>107</v>
      </c>
      <c r="D142" s="250" t="s">
        <v>936</v>
      </c>
      <c r="E142" s="250">
        <v>1.5</v>
      </c>
      <c r="F142" s="251">
        <v>45078.580520833333</v>
      </c>
      <c r="G142" s="250">
        <v>1</v>
      </c>
      <c r="H142" s="250">
        <v>51.3675</v>
      </c>
      <c r="I142" s="250">
        <v>7.0145400000000002</v>
      </c>
      <c r="J142" s="250">
        <v>-3.5619109999999998</v>
      </c>
      <c r="K142" s="250">
        <v>-2.7466360000000001</v>
      </c>
      <c r="L142" s="250">
        <v>1061.77</v>
      </c>
      <c r="M142" s="250">
        <v>126.999943</v>
      </c>
      <c r="N142" s="250">
        <v>18591.574000000001</v>
      </c>
      <c r="O142" s="250">
        <v>18549.227299999999</v>
      </c>
      <c r="P142" s="250">
        <v>2021.8828900000001</v>
      </c>
      <c r="Q142" s="250" t="s">
        <v>18</v>
      </c>
      <c r="R142" s="250" t="s">
        <v>647</v>
      </c>
      <c r="S142" s="250" t="s">
        <v>21</v>
      </c>
      <c r="T142" s="250">
        <v>15</v>
      </c>
      <c r="U142" s="250">
        <v>5</v>
      </c>
      <c r="V142" s="250">
        <v>0.7</v>
      </c>
      <c r="W142" s="250">
        <v>0.7</v>
      </c>
      <c r="X142" s="250">
        <v>0.7</v>
      </c>
      <c r="Y142" s="250">
        <v>1700</v>
      </c>
      <c r="Z142" s="250" t="s">
        <v>840</v>
      </c>
      <c r="AA142" s="250">
        <v>0.85</v>
      </c>
      <c r="AB142" s="250" t="s">
        <v>841</v>
      </c>
      <c r="AC142" s="250" t="s">
        <v>842</v>
      </c>
      <c r="AD142" s="250">
        <v>220</v>
      </c>
      <c r="AE142" s="250"/>
      <c r="AF142" s="250"/>
      <c r="AG142" s="241"/>
    </row>
    <row r="143" spans="1:33" ht="15.75">
      <c r="A143" s="250" t="s">
        <v>980</v>
      </c>
      <c r="B143" s="250">
        <v>9</v>
      </c>
      <c r="C143" s="250">
        <v>107</v>
      </c>
      <c r="D143" s="250" t="s">
        <v>936</v>
      </c>
      <c r="E143" s="250">
        <v>1.5</v>
      </c>
      <c r="F143" s="251">
        <v>45078.584155092591</v>
      </c>
      <c r="G143" s="250">
        <v>1</v>
      </c>
      <c r="H143" s="250">
        <v>51.364100000000001</v>
      </c>
      <c r="I143" s="250">
        <v>6.9630099999999997</v>
      </c>
      <c r="J143" s="250">
        <v>-3.620574</v>
      </c>
      <c r="K143" s="250">
        <v>-2.7728769999999998</v>
      </c>
      <c r="L143" s="250">
        <v>1062.68</v>
      </c>
      <c r="M143" s="250">
        <v>139.49960999999999</v>
      </c>
      <c r="N143" s="250">
        <v>18539.0831</v>
      </c>
      <c r="O143" s="250">
        <v>18549.227299999999</v>
      </c>
      <c r="P143" s="250">
        <v>2021.8828900000001</v>
      </c>
      <c r="Q143" s="250" t="s">
        <v>18</v>
      </c>
      <c r="R143" s="250" t="s">
        <v>839</v>
      </c>
      <c r="S143" s="250" t="s">
        <v>21</v>
      </c>
      <c r="T143" s="250">
        <v>15</v>
      </c>
      <c r="U143" s="250">
        <v>5</v>
      </c>
      <c r="V143" s="250">
        <v>0.7</v>
      </c>
      <c r="W143" s="250">
        <v>0.7</v>
      </c>
      <c r="X143" s="250">
        <v>0.7</v>
      </c>
      <c r="Y143" s="250">
        <v>1700</v>
      </c>
      <c r="Z143" s="250" t="s">
        <v>840</v>
      </c>
      <c r="AA143" s="250">
        <v>0.85</v>
      </c>
      <c r="AB143" s="250" t="s">
        <v>841</v>
      </c>
      <c r="AC143" s="250" t="s">
        <v>842</v>
      </c>
      <c r="AD143" s="250">
        <v>220</v>
      </c>
      <c r="AE143" s="250"/>
      <c r="AF143" s="250"/>
      <c r="AG143" s="241"/>
    </row>
    <row r="144" spans="1:33" ht="15.75">
      <c r="A144" s="250" t="s">
        <v>981</v>
      </c>
      <c r="B144" s="250">
        <v>9</v>
      </c>
      <c r="C144" s="250">
        <v>107</v>
      </c>
      <c r="D144" s="250" t="s">
        <v>936</v>
      </c>
      <c r="E144" s="250">
        <v>1.5</v>
      </c>
      <c r="F144" s="251">
        <v>45078.587939814817</v>
      </c>
      <c r="G144" s="250">
        <v>1</v>
      </c>
      <c r="H144" s="250">
        <v>51.374099999999999</v>
      </c>
      <c r="I144" s="250">
        <v>7.0596500000000004</v>
      </c>
      <c r="J144" s="250">
        <v>-3.5808740000000001</v>
      </c>
      <c r="K144" s="250">
        <v>-2.7326890000000001</v>
      </c>
      <c r="L144" s="250">
        <v>1049.3599999999999</v>
      </c>
      <c r="M144" s="250">
        <v>123.50018300000001</v>
      </c>
      <c r="N144" s="250">
        <v>18554.5681</v>
      </c>
      <c r="O144" s="250">
        <v>18549.227299999999</v>
      </c>
      <c r="P144" s="250">
        <v>2021.8828900000001</v>
      </c>
      <c r="Q144" s="250" t="s">
        <v>18</v>
      </c>
      <c r="R144" s="250" t="s">
        <v>839</v>
      </c>
      <c r="S144" s="250" t="s">
        <v>21</v>
      </c>
      <c r="T144" s="250">
        <v>15</v>
      </c>
      <c r="U144" s="250">
        <v>5</v>
      </c>
      <c r="V144" s="250">
        <v>0.7</v>
      </c>
      <c r="W144" s="250">
        <v>0.7</v>
      </c>
      <c r="X144" s="250">
        <v>0.7</v>
      </c>
      <c r="Y144" s="250">
        <v>1700</v>
      </c>
      <c r="Z144" s="250" t="s">
        <v>840</v>
      </c>
      <c r="AA144" s="250">
        <v>0.85</v>
      </c>
      <c r="AB144" s="250" t="s">
        <v>841</v>
      </c>
      <c r="AC144" s="250" t="s">
        <v>842</v>
      </c>
      <c r="AD144" s="250">
        <v>220</v>
      </c>
      <c r="AE144" s="250"/>
      <c r="AF144" s="250"/>
      <c r="AG144" s="241"/>
    </row>
    <row r="145" spans="1:33" ht="15.75">
      <c r="A145" s="250" t="s">
        <v>863</v>
      </c>
      <c r="B145" s="250">
        <v>10</v>
      </c>
      <c r="C145" s="250" t="s">
        <v>982</v>
      </c>
      <c r="D145" s="250" t="s">
        <v>838</v>
      </c>
      <c r="E145" s="250">
        <v>1.5</v>
      </c>
      <c r="F145" s="251">
        <v>45078.59207175926</v>
      </c>
      <c r="G145" s="250">
        <v>1</v>
      </c>
      <c r="H145" s="250">
        <v>51.3675</v>
      </c>
      <c r="I145" s="250">
        <v>7.07972</v>
      </c>
      <c r="J145" s="250">
        <v>-3.5978150000000002</v>
      </c>
      <c r="K145" s="250">
        <v>-2.7490890000000001</v>
      </c>
      <c r="L145" s="250">
        <v>1056.33</v>
      </c>
      <c r="M145" s="250">
        <v>114.999922</v>
      </c>
      <c r="N145" s="250">
        <v>18624.074100000002</v>
      </c>
      <c r="O145" s="250">
        <v>18621.936900000001</v>
      </c>
      <c r="P145" s="250">
        <v>2029.79539</v>
      </c>
      <c r="Q145" s="250" t="s">
        <v>18</v>
      </c>
      <c r="R145" s="250" t="s">
        <v>839</v>
      </c>
      <c r="S145" s="250" t="s">
        <v>21</v>
      </c>
      <c r="T145" s="250">
        <v>15</v>
      </c>
      <c r="U145" s="250">
        <v>5</v>
      </c>
      <c r="V145" s="250">
        <v>0.7</v>
      </c>
      <c r="W145" s="250">
        <v>0.7</v>
      </c>
      <c r="X145" s="250">
        <v>0.7</v>
      </c>
      <c r="Y145" s="250">
        <v>1700</v>
      </c>
      <c r="Z145" s="250" t="s">
        <v>840</v>
      </c>
      <c r="AA145" s="250">
        <v>0.85</v>
      </c>
      <c r="AB145" s="250" t="s">
        <v>841</v>
      </c>
      <c r="AC145" s="250" t="s">
        <v>842</v>
      </c>
      <c r="AD145" s="250">
        <v>220</v>
      </c>
      <c r="AE145" s="250"/>
      <c r="AF145" s="250"/>
      <c r="AG145" s="241"/>
    </row>
    <row r="146" spans="1:33" ht="15.75">
      <c r="A146" s="250" t="s">
        <v>983</v>
      </c>
      <c r="B146" s="250">
        <v>10</v>
      </c>
      <c r="C146" s="250" t="s">
        <v>982</v>
      </c>
      <c r="D146" s="250" t="s">
        <v>838</v>
      </c>
      <c r="E146" s="250">
        <v>1.5</v>
      </c>
      <c r="F146" s="251">
        <v>45078.595601851855</v>
      </c>
      <c r="G146" s="250">
        <v>1</v>
      </c>
      <c r="H146" s="250">
        <v>51.370800000000003</v>
      </c>
      <c r="I146" s="250">
        <v>6.9343500000000002</v>
      </c>
      <c r="J146" s="250">
        <v>-3.7241149999999998</v>
      </c>
      <c r="K146" s="250">
        <v>-2.8750010000000001</v>
      </c>
      <c r="L146" s="250">
        <v>1022.24</v>
      </c>
      <c r="M146" s="250">
        <v>149.50128100000001</v>
      </c>
      <c r="N146" s="250">
        <v>18512.162199999999</v>
      </c>
      <c r="O146" s="250">
        <v>18621.936900000001</v>
      </c>
      <c r="P146" s="250">
        <v>2029.79539</v>
      </c>
      <c r="Q146" s="250" t="s">
        <v>18</v>
      </c>
      <c r="R146" s="250" t="s">
        <v>647</v>
      </c>
      <c r="S146" s="250" t="s">
        <v>21</v>
      </c>
      <c r="T146" s="250">
        <v>15</v>
      </c>
      <c r="U146" s="250">
        <v>5</v>
      </c>
      <c r="V146" s="250">
        <v>0.7</v>
      </c>
      <c r="W146" s="250">
        <v>0.7</v>
      </c>
      <c r="X146" s="250">
        <v>0.7</v>
      </c>
      <c r="Y146" s="250">
        <v>1700</v>
      </c>
      <c r="Z146" s="250" t="s">
        <v>840</v>
      </c>
      <c r="AA146" s="250">
        <v>0.85</v>
      </c>
      <c r="AB146" s="250" t="s">
        <v>841</v>
      </c>
      <c r="AC146" s="250" t="s">
        <v>842</v>
      </c>
      <c r="AD146" s="250">
        <v>220</v>
      </c>
      <c r="AE146" s="250"/>
      <c r="AF146" s="250"/>
      <c r="AG146" s="241"/>
    </row>
    <row r="147" spans="1:33" ht="15.75">
      <c r="A147" s="250" t="s">
        <v>984</v>
      </c>
      <c r="B147" s="250">
        <v>10</v>
      </c>
      <c r="C147" s="250" t="s">
        <v>982</v>
      </c>
      <c r="D147" s="250" t="s">
        <v>838</v>
      </c>
      <c r="E147" s="250">
        <v>1.5</v>
      </c>
      <c r="F147" s="251">
        <v>45078.59951388889</v>
      </c>
      <c r="G147" s="250">
        <v>1</v>
      </c>
      <c r="H147" s="250">
        <v>51.364100000000001</v>
      </c>
      <c r="I147" s="250">
        <v>7.0898599999999998</v>
      </c>
      <c r="J147" s="250">
        <v>-3.6968369999999999</v>
      </c>
      <c r="K147" s="250">
        <v>-2.8486630000000002</v>
      </c>
      <c r="L147" s="250">
        <v>1045.17</v>
      </c>
      <c r="M147" s="250">
        <v>125.500049</v>
      </c>
      <c r="N147" s="250">
        <v>18577.105500000001</v>
      </c>
      <c r="O147" s="250">
        <v>18621.936900000001</v>
      </c>
      <c r="P147" s="250">
        <v>2029.79539</v>
      </c>
      <c r="Q147" s="250" t="s">
        <v>18</v>
      </c>
      <c r="R147" s="250" t="s">
        <v>647</v>
      </c>
      <c r="S147" s="250" t="s">
        <v>21</v>
      </c>
      <c r="T147" s="250">
        <v>15</v>
      </c>
      <c r="U147" s="250">
        <v>5</v>
      </c>
      <c r="V147" s="250">
        <v>0.7</v>
      </c>
      <c r="W147" s="250">
        <v>0.7</v>
      </c>
      <c r="X147" s="250">
        <v>0.7</v>
      </c>
      <c r="Y147" s="250">
        <v>1700</v>
      </c>
      <c r="Z147" s="250" t="s">
        <v>840</v>
      </c>
      <c r="AA147" s="250">
        <v>0.85</v>
      </c>
      <c r="AB147" s="250" t="s">
        <v>841</v>
      </c>
      <c r="AC147" s="250" t="s">
        <v>842</v>
      </c>
      <c r="AD147" s="250">
        <v>220</v>
      </c>
      <c r="AE147" s="250"/>
      <c r="AF147" s="250"/>
      <c r="AG147" s="241"/>
    </row>
    <row r="148" spans="1:33" ht="15.75">
      <c r="A148" s="250" t="s">
        <v>985</v>
      </c>
      <c r="B148" s="250">
        <v>10</v>
      </c>
      <c r="C148" s="250" t="s">
        <v>982</v>
      </c>
      <c r="D148" s="250" t="s">
        <v>838</v>
      </c>
      <c r="E148" s="250">
        <v>1.5</v>
      </c>
      <c r="F148" s="251">
        <v>45078.603159722225</v>
      </c>
      <c r="G148" s="250">
        <v>1</v>
      </c>
      <c r="H148" s="250">
        <v>51.377400000000002</v>
      </c>
      <c r="I148" s="250">
        <v>7.0109700000000004</v>
      </c>
      <c r="J148" s="250">
        <v>-3.539021</v>
      </c>
      <c r="K148" s="250">
        <v>-2.6938029999999999</v>
      </c>
      <c r="L148" s="250">
        <v>1073.51</v>
      </c>
      <c r="M148" s="250">
        <v>113.00126400000001</v>
      </c>
      <c r="N148" s="250">
        <v>18619.0782</v>
      </c>
      <c r="O148" s="250">
        <v>18621.936900000001</v>
      </c>
      <c r="P148" s="250">
        <v>2029.79539</v>
      </c>
      <c r="Q148" s="250" t="s">
        <v>18</v>
      </c>
      <c r="R148" s="250" t="s">
        <v>839</v>
      </c>
      <c r="S148" s="250" t="s">
        <v>21</v>
      </c>
      <c r="T148" s="250">
        <v>15</v>
      </c>
      <c r="U148" s="250">
        <v>5</v>
      </c>
      <c r="V148" s="250">
        <v>0.7</v>
      </c>
      <c r="W148" s="250">
        <v>0.7</v>
      </c>
      <c r="X148" s="250">
        <v>0.7</v>
      </c>
      <c r="Y148" s="250">
        <v>1700</v>
      </c>
      <c r="Z148" s="250" t="s">
        <v>840</v>
      </c>
      <c r="AA148" s="250">
        <v>0.85</v>
      </c>
      <c r="AB148" s="250" t="s">
        <v>841</v>
      </c>
      <c r="AC148" s="250" t="s">
        <v>842</v>
      </c>
      <c r="AD148" s="250">
        <v>220</v>
      </c>
      <c r="AE148" s="250"/>
      <c r="AF148" s="250"/>
      <c r="AG148" s="241"/>
    </row>
    <row r="149" spans="1:33" ht="15.75">
      <c r="A149" s="250" t="s">
        <v>986</v>
      </c>
      <c r="B149" s="250">
        <v>10</v>
      </c>
      <c r="C149" s="250" t="s">
        <v>982</v>
      </c>
      <c r="D149" s="250" t="s">
        <v>838</v>
      </c>
      <c r="E149" s="250">
        <v>1.5</v>
      </c>
      <c r="F149" s="251">
        <v>45078.606631944444</v>
      </c>
      <c r="G149" s="250">
        <v>1</v>
      </c>
      <c r="H149" s="250">
        <v>51.370800000000003</v>
      </c>
      <c r="I149" s="250">
        <v>7.0476700000000001</v>
      </c>
      <c r="J149" s="250">
        <v>-3.6370770000000001</v>
      </c>
      <c r="K149" s="250">
        <v>-2.7997390000000002</v>
      </c>
      <c r="L149" s="250">
        <v>1064.44</v>
      </c>
      <c r="M149" s="250">
        <v>131.50112100000001</v>
      </c>
      <c r="N149" s="250">
        <v>18622.6584</v>
      </c>
      <c r="O149" s="250">
        <v>18621.936900000001</v>
      </c>
      <c r="P149" s="250">
        <v>2029.79539</v>
      </c>
      <c r="Q149" s="250" t="s">
        <v>18</v>
      </c>
      <c r="R149" s="250" t="s">
        <v>839</v>
      </c>
      <c r="S149" s="250" t="s">
        <v>21</v>
      </c>
      <c r="T149" s="250">
        <v>15</v>
      </c>
      <c r="U149" s="250">
        <v>5</v>
      </c>
      <c r="V149" s="250">
        <v>0.7</v>
      </c>
      <c r="W149" s="250">
        <v>0.7</v>
      </c>
      <c r="X149" s="250">
        <v>0.7</v>
      </c>
      <c r="Y149" s="250">
        <v>1700</v>
      </c>
      <c r="Z149" s="250" t="s">
        <v>840</v>
      </c>
      <c r="AA149" s="250">
        <v>0.85</v>
      </c>
      <c r="AB149" s="250" t="s">
        <v>841</v>
      </c>
      <c r="AC149" s="250" t="s">
        <v>842</v>
      </c>
      <c r="AD149" s="250">
        <v>220</v>
      </c>
      <c r="AE149" s="250"/>
      <c r="AF149" s="250"/>
      <c r="AG149" s="241"/>
    </row>
    <row r="150" spans="1:33" ht="15.75">
      <c r="A150" s="250" t="s">
        <v>864</v>
      </c>
      <c r="B150" s="250">
        <v>11</v>
      </c>
      <c r="C150" s="250">
        <v>91</v>
      </c>
      <c r="D150" s="250" t="s">
        <v>898</v>
      </c>
      <c r="E150" s="250">
        <v>1.5</v>
      </c>
      <c r="F150" s="251">
        <v>45078.610844907409</v>
      </c>
      <c r="G150" s="250">
        <v>1</v>
      </c>
      <c r="H150" s="250">
        <v>51.370800000000003</v>
      </c>
      <c r="I150" s="250">
        <v>6.95275</v>
      </c>
      <c r="J150" s="250">
        <v>-3.6818279999999999</v>
      </c>
      <c r="K150" s="250">
        <v>-2.8402029999999998</v>
      </c>
      <c r="L150" s="250">
        <v>1056.3399999999999</v>
      </c>
      <c r="M150" s="250">
        <v>117.49868600000001</v>
      </c>
      <c r="N150" s="250">
        <v>18570.412400000001</v>
      </c>
      <c r="O150" s="250">
        <v>18607.0419</v>
      </c>
      <c r="P150" s="250">
        <v>2028.1658299999999</v>
      </c>
      <c r="Q150" s="250" t="s">
        <v>18</v>
      </c>
      <c r="R150" s="250" t="s">
        <v>647</v>
      </c>
      <c r="S150" s="250" t="s">
        <v>21</v>
      </c>
      <c r="T150" s="250">
        <v>15</v>
      </c>
      <c r="U150" s="250">
        <v>5</v>
      </c>
      <c r="V150" s="250">
        <v>0.7</v>
      </c>
      <c r="W150" s="250">
        <v>0.7</v>
      </c>
      <c r="X150" s="250">
        <v>0.7</v>
      </c>
      <c r="Y150" s="250">
        <v>1700</v>
      </c>
      <c r="Z150" s="250" t="s">
        <v>840</v>
      </c>
      <c r="AA150" s="250">
        <v>0.85</v>
      </c>
      <c r="AB150" s="250" t="s">
        <v>841</v>
      </c>
      <c r="AC150" s="250" t="s">
        <v>842</v>
      </c>
      <c r="AD150" s="250">
        <v>220</v>
      </c>
      <c r="AE150" s="250"/>
      <c r="AF150" s="250"/>
      <c r="AG150" s="241"/>
    </row>
    <row r="151" spans="1:33" ht="15.75">
      <c r="A151" s="250" t="s">
        <v>987</v>
      </c>
      <c r="B151" s="250">
        <v>11</v>
      </c>
      <c r="C151" s="250">
        <v>91</v>
      </c>
      <c r="D151" s="250" t="s">
        <v>898</v>
      </c>
      <c r="E151" s="250">
        <v>1.5</v>
      </c>
      <c r="F151" s="251">
        <v>45078.614386574074</v>
      </c>
      <c r="G151" s="250">
        <v>1</v>
      </c>
      <c r="H151" s="250">
        <v>51.370800000000003</v>
      </c>
      <c r="I151" s="250">
        <v>7.0123199999999999</v>
      </c>
      <c r="J151" s="250">
        <v>-3.7496580000000002</v>
      </c>
      <c r="K151" s="250">
        <v>-2.9226740000000002</v>
      </c>
      <c r="L151" s="250">
        <v>1072.43</v>
      </c>
      <c r="M151" s="250">
        <v>122.999978</v>
      </c>
      <c r="N151" s="250">
        <v>18595.675800000001</v>
      </c>
      <c r="O151" s="250">
        <v>18607.0419</v>
      </c>
      <c r="P151" s="250">
        <v>2028.1658299999999</v>
      </c>
      <c r="Q151" s="250" t="s">
        <v>18</v>
      </c>
      <c r="R151" s="250" t="s">
        <v>839</v>
      </c>
      <c r="S151" s="250" t="s">
        <v>21</v>
      </c>
      <c r="T151" s="250">
        <v>15</v>
      </c>
      <c r="U151" s="250">
        <v>5</v>
      </c>
      <c r="V151" s="250">
        <v>0.7</v>
      </c>
      <c r="W151" s="250">
        <v>0.7</v>
      </c>
      <c r="X151" s="250">
        <v>0.7</v>
      </c>
      <c r="Y151" s="250">
        <v>1700</v>
      </c>
      <c r="Z151" s="250" t="s">
        <v>840</v>
      </c>
      <c r="AA151" s="250">
        <v>0.85</v>
      </c>
      <c r="AB151" s="250" t="s">
        <v>841</v>
      </c>
      <c r="AC151" s="250" t="s">
        <v>842</v>
      </c>
      <c r="AD151" s="250">
        <v>220</v>
      </c>
      <c r="AE151" s="250"/>
      <c r="AF151" s="250"/>
      <c r="AG151" s="241"/>
    </row>
    <row r="152" spans="1:33" ht="15.75">
      <c r="A152" s="250" t="s">
        <v>988</v>
      </c>
      <c r="B152" s="250">
        <v>11</v>
      </c>
      <c r="C152" s="250">
        <v>91</v>
      </c>
      <c r="D152" s="250" t="s">
        <v>898</v>
      </c>
      <c r="E152" s="250">
        <v>1.5</v>
      </c>
      <c r="F152" s="251">
        <v>45078.617997685185</v>
      </c>
      <c r="G152" s="250">
        <v>1</v>
      </c>
      <c r="H152" s="250">
        <v>51.370800000000003</v>
      </c>
      <c r="I152" s="250">
        <v>6.9477599999999997</v>
      </c>
      <c r="J152" s="250">
        <v>-3.8303180000000001</v>
      </c>
      <c r="K152" s="250">
        <v>-2.981436</v>
      </c>
      <c r="L152" s="250">
        <v>1062.3900000000001</v>
      </c>
      <c r="M152" s="250">
        <v>158.000079</v>
      </c>
      <c r="N152" s="250">
        <v>18610.012500000001</v>
      </c>
      <c r="O152" s="250">
        <v>18607.0419</v>
      </c>
      <c r="P152" s="250">
        <v>2028.1658299999999</v>
      </c>
      <c r="Q152" s="250" t="s">
        <v>18</v>
      </c>
      <c r="R152" s="250" t="s">
        <v>839</v>
      </c>
      <c r="S152" s="250" t="s">
        <v>21</v>
      </c>
      <c r="T152" s="250">
        <v>15</v>
      </c>
      <c r="U152" s="250">
        <v>5</v>
      </c>
      <c r="V152" s="250">
        <v>0.7</v>
      </c>
      <c r="W152" s="250">
        <v>0.7</v>
      </c>
      <c r="X152" s="250">
        <v>0.7</v>
      </c>
      <c r="Y152" s="250">
        <v>1700</v>
      </c>
      <c r="Z152" s="250" t="s">
        <v>840</v>
      </c>
      <c r="AA152" s="250">
        <v>0.85</v>
      </c>
      <c r="AB152" s="250" t="s">
        <v>841</v>
      </c>
      <c r="AC152" s="250" t="s">
        <v>842</v>
      </c>
      <c r="AD152" s="250">
        <v>220</v>
      </c>
      <c r="AE152" s="250"/>
      <c r="AF152" s="250"/>
      <c r="AG152" s="241"/>
    </row>
    <row r="153" spans="1:33" ht="15.75">
      <c r="A153" s="250" t="s">
        <v>989</v>
      </c>
      <c r="B153" s="250">
        <v>11</v>
      </c>
      <c r="C153" s="250">
        <v>91</v>
      </c>
      <c r="D153" s="250" t="s">
        <v>898</v>
      </c>
      <c r="E153" s="250">
        <v>1.5</v>
      </c>
      <c r="F153" s="251">
        <v>45078.622025462966</v>
      </c>
      <c r="G153" s="250">
        <v>1</v>
      </c>
      <c r="H153" s="250">
        <v>51.374099999999999</v>
      </c>
      <c r="I153" s="250">
        <v>6.9494899999999999</v>
      </c>
      <c r="J153" s="250">
        <v>-3.7834289999999999</v>
      </c>
      <c r="K153" s="250">
        <v>-2.9456509999999998</v>
      </c>
      <c r="L153" s="250">
        <v>1060.08</v>
      </c>
      <c r="M153" s="250">
        <v>122.499796</v>
      </c>
      <c r="N153" s="250">
        <v>18615.4375</v>
      </c>
      <c r="O153" s="250">
        <v>18607.0419</v>
      </c>
      <c r="P153" s="250">
        <v>2028.1658299999999</v>
      </c>
      <c r="Q153" s="250" t="s">
        <v>18</v>
      </c>
      <c r="R153" s="250" t="s">
        <v>839</v>
      </c>
      <c r="S153" s="250" t="s">
        <v>21</v>
      </c>
      <c r="T153" s="250">
        <v>15</v>
      </c>
      <c r="U153" s="250">
        <v>5</v>
      </c>
      <c r="V153" s="250">
        <v>0.7</v>
      </c>
      <c r="W153" s="250">
        <v>0.7</v>
      </c>
      <c r="X153" s="250">
        <v>0.7</v>
      </c>
      <c r="Y153" s="250">
        <v>1700</v>
      </c>
      <c r="Z153" s="250" t="s">
        <v>840</v>
      </c>
      <c r="AA153" s="250">
        <v>0.85</v>
      </c>
      <c r="AB153" s="250" t="s">
        <v>841</v>
      </c>
      <c r="AC153" s="250" t="s">
        <v>842</v>
      </c>
      <c r="AD153" s="250">
        <v>220</v>
      </c>
      <c r="AE153" s="250"/>
      <c r="AF153" s="250"/>
      <c r="AG153" s="241"/>
    </row>
    <row r="154" spans="1:33" ht="15.75">
      <c r="A154" s="250" t="s">
        <v>865</v>
      </c>
      <c r="B154" s="250">
        <v>12</v>
      </c>
      <c r="C154" s="250">
        <v>74</v>
      </c>
      <c r="D154" s="250" t="s">
        <v>902</v>
      </c>
      <c r="E154" s="250">
        <v>1.5</v>
      </c>
      <c r="F154" s="251">
        <v>45078.626111111109</v>
      </c>
      <c r="G154" s="250">
        <v>1</v>
      </c>
      <c r="H154" s="250">
        <v>51.370800000000003</v>
      </c>
      <c r="I154" s="250">
        <v>6.8714599999999999</v>
      </c>
      <c r="J154" s="250">
        <v>-3.7775919999999998</v>
      </c>
      <c r="K154" s="250">
        <v>-2.9501789999999999</v>
      </c>
      <c r="L154" s="250">
        <v>1046.1300000000001</v>
      </c>
      <c r="M154" s="250">
        <v>133.50145900000001</v>
      </c>
      <c r="N154" s="250">
        <v>18634.775099999999</v>
      </c>
      <c r="O154" s="250">
        <v>18604.643400000001</v>
      </c>
      <c r="P154" s="250">
        <v>2027.90517</v>
      </c>
      <c r="Q154" s="250" t="s">
        <v>18</v>
      </c>
      <c r="R154" s="250" t="s">
        <v>647</v>
      </c>
      <c r="S154" s="250" t="s">
        <v>21</v>
      </c>
      <c r="T154" s="250">
        <v>15</v>
      </c>
      <c r="U154" s="250">
        <v>5</v>
      </c>
      <c r="V154" s="250">
        <v>0.7</v>
      </c>
      <c r="W154" s="250">
        <v>0.7</v>
      </c>
      <c r="X154" s="250">
        <v>0.7</v>
      </c>
      <c r="Y154" s="250">
        <v>1700</v>
      </c>
      <c r="Z154" s="250" t="s">
        <v>840</v>
      </c>
      <c r="AA154" s="250">
        <v>0.85</v>
      </c>
      <c r="AB154" s="250" t="s">
        <v>841</v>
      </c>
      <c r="AC154" s="250" t="s">
        <v>842</v>
      </c>
      <c r="AD154" s="250">
        <v>220</v>
      </c>
      <c r="AE154" s="250"/>
      <c r="AF154" s="250"/>
      <c r="AG154" s="241"/>
    </row>
    <row r="155" spans="1:33" ht="15.75">
      <c r="A155" s="250" t="s">
        <v>990</v>
      </c>
      <c r="B155" s="250">
        <v>12</v>
      </c>
      <c r="C155" s="250">
        <v>74</v>
      </c>
      <c r="D155" s="250" t="s">
        <v>902</v>
      </c>
      <c r="E155" s="250">
        <v>1.5</v>
      </c>
      <c r="F155" s="251">
        <v>45078.629814814813</v>
      </c>
      <c r="G155" s="250">
        <v>1</v>
      </c>
      <c r="H155" s="250">
        <v>51.374099999999999</v>
      </c>
      <c r="I155" s="250">
        <v>6.94963</v>
      </c>
      <c r="J155" s="250">
        <v>-3.7285940000000002</v>
      </c>
      <c r="K155" s="250">
        <v>-2.8995769999999998</v>
      </c>
      <c r="L155" s="250">
        <v>1054.93</v>
      </c>
      <c r="M155" s="250">
        <v>124.499571</v>
      </c>
      <c r="N155" s="250">
        <v>18595.7245</v>
      </c>
      <c r="O155" s="250">
        <v>18604.643400000001</v>
      </c>
      <c r="P155" s="250">
        <v>2027.90517</v>
      </c>
      <c r="Q155" s="250" t="s">
        <v>18</v>
      </c>
      <c r="R155" s="250" t="s">
        <v>839</v>
      </c>
      <c r="S155" s="250" t="s">
        <v>21</v>
      </c>
      <c r="T155" s="250">
        <v>15</v>
      </c>
      <c r="U155" s="250">
        <v>5</v>
      </c>
      <c r="V155" s="250">
        <v>0.7</v>
      </c>
      <c r="W155" s="250">
        <v>0.7</v>
      </c>
      <c r="X155" s="250">
        <v>0.7</v>
      </c>
      <c r="Y155" s="250">
        <v>1700</v>
      </c>
      <c r="Z155" s="250" t="s">
        <v>840</v>
      </c>
      <c r="AA155" s="250">
        <v>0.85</v>
      </c>
      <c r="AB155" s="250" t="s">
        <v>841</v>
      </c>
      <c r="AC155" s="250" t="s">
        <v>842</v>
      </c>
      <c r="AD155" s="250">
        <v>220</v>
      </c>
      <c r="AE155" s="250"/>
      <c r="AF155" s="250"/>
      <c r="AG155" s="241"/>
    </row>
    <row r="156" spans="1:33" ht="15.75">
      <c r="A156" s="250" t="s">
        <v>991</v>
      </c>
      <c r="B156" s="250">
        <v>12</v>
      </c>
      <c r="C156" s="250">
        <v>74</v>
      </c>
      <c r="D156" s="250" t="s">
        <v>902</v>
      </c>
      <c r="E156" s="250">
        <v>1.5</v>
      </c>
      <c r="F156" s="251">
        <v>45078.633437500001</v>
      </c>
      <c r="G156" s="250">
        <v>1</v>
      </c>
      <c r="H156" s="250">
        <v>51.370800000000003</v>
      </c>
      <c r="I156" s="250">
        <v>6.9485700000000001</v>
      </c>
      <c r="J156" s="250">
        <v>-3.7692990000000002</v>
      </c>
      <c r="K156" s="250">
        <v>-2.924471</v>
      </c>
      <c r="L156" s="250">
        <v>1066.01</v>
      </c>
      <c r="M156" s="250">
        <v>116.50041400000001</v>
      </c>
      <c r="N156" s="250">
        <v>18611.5285</v>
      </c>
      <c r="O156" s="250">
        <v>18604.643400000001</v>
      </c>
      <c r="P156" s="250">
        <v>2027.90517</v>
      </c>
      <c r="Q156" s="250" t="s">
        <v>18</v>
      </c>
      <c r="R156" s="250" t="s">
        <v>839</v>
      </c>
      <c r="S156" s="250" t="s">
        <v>21</v>
      </c>
      <c r="T156" s="250">
        <v>15</v>
      </c>
      <c r="U156" s="250">
        <v>5</v>
      </c>
      <c r="V156" s="250">
        <v>0.7</v>
      </c>
      <c r="W156" s="250">
        <v>0.7</v>
      </c>
      <c r="X156" s="250">
        <v>0.7</v>
      </c>
      <c r="Y156" s="250">
        <v>1700</v>
      </c>
      <c r="Z156" s="250" t="s">
        <v>840</v>
      </c>
      <c r="AA156" s="250">
        <v>0.85</v>
      </c>
      <c r="AB156" s="250" t="s">
        <v>841</v>
      </c>
      <c r="AC156" s="250" t="s">
        <v>842</v>
      </c>
      <c r="AD156" s="250">
        <v>220</v>
      </c>
      <c r="AE156" s="250"/>
      <c r="AF156" s="250"/>
      <c r="AG156" s="241"/>
    </row>
    <row r="157" spans="1:33" ht="15.75">
      <c r="A157" s="250" t="s">
        <v>992</v>
      </c>
      <c r="B157" s="250">
        <v>12</v>
      </c>
      <c r="C157" s="250">
        <v>74</v>
      </c>
      <c r="D157" s="250" t="s">
        <v>902</v>
      </c>
      <c r="E157" s="250">
        <v>1.5</v>
      </c>
      <c r="F157" s="251">
        <v>45078.636979166666</v>
      </c>
      <c r="G157" s="250">
        <v>1</v>
      </c>
      <c r="H157" s="250">
        <v>51.370800000000003</v>
      </c>
      <c r="I157" s="250">
        <v>7.0281399999999996</v>
      </c>
      <c r="J157" s="250">
        <v>-3.6632150000000001</v>
      </c>
      <c r="K157" s="250">
        <v>-2.8201550000000002</v>
      </c>
      <c r="L157" s="250">
        <v>1044.82</v>
      </c>
      <c r="M157" s="250">
        <v>135.001869</v>
      </c>
      <c r="N157" s="250">
        <v>18606.6774</v>
      </c>
      <c r="O157" s="250">
        <v>18604.643400000001</v>
      </c>
      <c r="P157" s="250">
        <v>2027.90517</v>
      </c>
      <c r="Q157" s="250" t="s">
        <v>18</v>
      </c>
      <c r="R157" s="250" t="s">
        <v>839</v>
      </c>
      <c r="S157" s="250" t="s">
        <v>21</v>
      </c>
      <c r="T157" s="250">
        <v>15</v>
      </c>
      <c r="U157" s="250">
        <v>5</v>
      </c>
      <c r="V157" s="250">
        <v>0.7</v>
      </c>
      <c r="W157" s="250">
        <v>0.7</v>
      </c>
      <c r="X157" s="250">
        <v>0.7</v>
      </c>
      <c r="Y157" s="250">
        <v>1700</v>
      </c>
      <c r="Z157" s="250" t="s">
        <v>840</v>
      </c>
      <c r="AA157" s="250">
        <v>0.85</v>
      </c>
      <c r="AB157" s="250" t="s">
        <v>841</v>
      </c>
      <c r="AC157" s="250" t="s">
        <v>842</v>
      </c>
      <c r="AD157" s="250">
        <v>220</v>
      </c>
      <c r="AE157" s="250"/>
      <c r="AF157" s="250"/>
      <c r="AG157" s="241"/>
    </row>
    <row r="158" spans="1:33" ht="15.75">
      <c r="A158" s="250" t="s">
        <v>866</v>
      </c>
      <c r="B158" s="250">
        <v>13</v>
      </c>
      <c r="C158" s="250">
        <v>103</v>
      </c>
      <c r="D158" s="250" t="s">
        <v>906</v>
      </c>
      <c r="E158" s="250">
        <v>1.5</v>
      </c>
      <c r="F158" s="251">
        <v>45078.641215277778</v>
      </c>
      <c r="G158" s="250">
        <v>1</v>
      </c>
      <c r="H158" s="250">
        <v>51.370800000000003</v>
      </c>
      <c r="I158" s="250">
        <v>7.0126400000000002</v>
      </c>
      <c r="J158" s="250">
        <v>-3.750991</v>
      </c>
      <c r="K158" s="250">
        <v>-2.904169</v>
      </c>
      <c r="L158" s="250">
        <v>1056.58</v>
      </c>
      <c r="M158" s="250">
        <v>125.499951</v>
      </c>
      <c r="N158" s="250">
        <v>18586.740000000002</v>
      </c>
      <c r="O158" s="250">
        <v>18581.140100000001</v>
      </c>
      <c r="P158" s="250">
        <v>2025.35097</v>
      </c>
      <c r="Q158" s="250" t="s">
        <v>18</v>
      </c>
      <c r="R158" s="250" t="s">
        <v>839</v>
      </c>
      <c r="S158" s="250" t="s">
        <v>21</v>
      </c>
      <c r="T158" s="250">
        <v>15</v>
      </c>
      <c r="U158" s="250">
        <v>5</v>
      </c>
      <c r="V158" s="250">
        <v>0.7</v>
      </c>
      <c r="W158" s="250">
        <v>0.7</v>
      </c>
      <c r="X158" s="250">
        <v>0.7</v>
      </c>
      <c r="Y158" s="250">
        <v>1700</v>
      </c>
      <c r="Z158" s="250" t="s">
        <v>840</v>
      </c>
      <c r="AA158" s="250">
        <v>0.85</v>
      </c>
      <c r="AB158" s="250" t="s">
        <v>841</v>
      </c>
      <c r="AC158" s="250" t="s">
        <v>842</v>
      </c>
      <c r="AD158" s="250">
        <v>220</v>
      </c>
      <c r="AE158" s="250"/>
      <c r="AF158" s="250"/>
      <c r="AG158" s="241"/>
    </row>
    <row r="159" spans="1:33" ht="15.75">
      <c r="A159" s="250" t="s">
        <v>993</v>
      </c>
      <c r="B159" s="250">
        <v>13</v>
      </c>
      <c r="C159" s="250">
        <v>103</v>
      </c>
      <c r="D159" s="250" t="s">
        <v>906</v>
      </c>
      <c r="E159" s="250">
        <v>1.5</v>
      </c>
      <c r="F159" s="251">
        <v>45078.644861111112</v>
      </c>
      <c r="G159" s="250">
        <v>1</v>
      </c>
      <c r="H159" s="250">
        <v>51.370800000000003</v>
      </c>
      <c r="I159" s="250">
        <v>6.97614</v>
      </c>
      <c r="J159" s="250">
        <v>-3.796376</v>
      </c>
      <c r="K159" s="250">
        <v>-2.9518800000000001</v>
      </c>
      <c r="L159" s="250">
        <v>1049.3699999999999</v>
      </c>
      <c r="M159" s="250">
        <v>123.50050400000001</v>
      </c>
      <c r="N159" s="250">
        <v>18578.052800000001</v>
      </c>
      <c r="O159" s="250">
        <v>18581.140100000001</v>
      </c>
      <c r="P159" s="250">
        <v>2025.35097</v>
      </c>
      <c r="Q159" s="250" t="s">
        <v>18</v>
      </c>
      <c r="R159" s="250" t="s">
        <v>839</v>
      </c>
      <c r="S159" s="250" t="s">
        <v>21</v>
      </c>
      <c r="T159" s="250">
        <v>15</v>
      </c>
      <c r="U159" s="250">
        <v>5</v>
      </c>
      <c r="V159" s="250">
        <v>0.7</v>
      </c>
      <c r="W159" s="250">
        <v>0.7</v>
      </c>
      <c r="X159" s="250">
        <v>0.7</v>
      </c>
      <c r="Y159" s="250">
        <v>1700</v>
      </c>
      <c r="Z159" s="250" t="s">
        <v>840</v>
      </c>
      <c r="AA159" s="250">
        <v>0.85</v>
      </c>
      <c r="AB159" s="250" t="s">
        <v>841</v>
      </c>
      <c r="AC159" s="250" t="s">
        <v>842</v>
      </c>
      <c r="AD159" s="250">
        <v>220</v>
      </c>
      <c r="AE159" s="250"/>
      <c r="AF159" s="250"/>
      <c r="AG159" s="241"/>
    </row>
    <row r="160" spans="1:33" ht="15.75">
      <c r="A160" s="250" t="s">
        <v>994</v>
      </c>
      <c r="B160" s="250">
        <v>13</v>
      </c>
      <c r="C160" s="250">
        <v>103</v>
      </c>
      <c r="D160" s="250" t="s">
        <v>906</v>
      </c>
      <c r="E160" s="250">
        <v>1.5</v>
      </c>
      <c r="F160" s="251">
        <v>45078.6484837963</v>
      </c>
      <c r="G160" s="250">
        <v>1</v>
      </c>
      <c r="H160" s="250">
        <v>51.3675</v>
      </c>
      <c r="I160" s="250">
        <v>6.9880599999999999</v>
      </c>
      <c r="J160" s="250">
        <v>-3.7393360000000002</v>
      </c>
      <c r="K160" s="250">
        <v>-2.9007130000000001</v>
      </c>
      <c r="L160" s="250">
        <v>1044.9100000000001</v>
      </c>
      <c r="M160" s="250">
        <v>136.00027600000001</v>
      </c>
      <c r="N160" s="250">
        <v>18578.627400000001</v>
      </c>
      <c r="O160" s="250">
        <v>18581.140100000001</v>
      </c>
      <c r="P160" s="250">
        <v>2025.35097</v>
      </c>
      <c r="Q160" s="250" t="s">
        <v>18</v>
      </c>
      <c r="R160" s="250" t="s">
        <v>839</v>
      </c>
      <c r="S160" s="250" t="s">
        <v>21</v>
      </c>
      <c r="T160" s="250">
        <v>15</v>
      </c>
      <c r="U160" s="250">
        <v>5</v>
      </c>
      <c r="V160" s="250">
        <v>0.7</v>
      </c>
      <c r="W160" s="250">
        <v>0.7</v>
      </c>
      <c r="X160" s="250">
        <v>0.7</v>
      </c>
      <c r="Y160" s="250">
        <v>1700</v>
      </c>
      <c r="Z160" s="250" t="s">
        <v>840</v>
      </c>
      <c r="AA160" s="250">
        <v>0.85</v>
      </c>
      <c r="AB160" s="250" t="s">
        <v>841</v>
      </c>
      <c r="AC160" s="250" t="s">
        <v>842</v>
      </c>
      <c r="AD160" s="250">
        <v>220</v>
      </c>
      <c r="AE160" s="250"/>
      <c r="AF160" s="250"/>
      <c r="AG160" s="241"/>
    </row>
    <row r="161" spans="1:33" ht="15.75">
      <c r="A161" s="250" t="s">
        <v>867</v>
      </c>
      <c r="B161" s="250">
        <v>14</v>
      </c>
      <c r="C161" s="250">
        <v>104</v>
      </c>
      <c r="D161" s="250" t="s">
        <v>911</v>
      </c>
      <c r="E161" s="250">
        <v>1.5</v>
      </c>
      <c r="F161" s="251">
        <v>45078.652731481481</v>
      </c>
      <c r="G161" s="250">
        <v>1</v>
      </c>
      <c r="H161" s="250">
        <v>51.3675</v>
      </c>
      <c r="I161" s="250">
        <v>6.9599900000000003</v>
      </c>
      <c r="J161" s="250">
        <v>-3.827029</v>
      </c>
      <c r="K161" s="250">
        <v>-3.0091640000000002</v>
      </c>
      <c r="L161" s="250">
        <v>1052.53</v>
      </c>
      <c r="M161" s="250">
        <v>142.000204</v>
      </c>
      <c r="N161" s="250">
        <v>18649.2978</v>
      </c>
      <c r="O161" s="250">
        <v>18571.157599999999</v>
      </c>
      <c r="P161" s="250">
        <v>2024.26613</v>
      </c>
      <c r="Q161" s="250" t="s">
        <v>18</v>
      </c>
      <c r="R161" s="250" t="s">
        <v>647</v>
      </c>
      <c r="S161" s="250" t="s">
        <v>21</v>
      </c>
      <c r="T161" s="250">
        <v>15</v>
      </c>
      <c r="U161" s="250">
        <v>5</v>
      </c>
      <c r="V161" s="250">
        <v>0.7</v>
      </c>
      <c r="W161" s="250">
        <v>0.7</v>
      </c>
      <c r="X161" s="250">
        <v>0.7</v>
      </c>
      <c r="Y161" s="250">
        <v>1700</v>
      </c>
      <c r="Z161" s="250" t="s">
        <v>840</v>
      </c>
      <c r="AA161" s="250">
        <v>0.85</v>
      </c>
      <c r="AB161" s="250" t="s">
        <v>841</v>
      </c>
      <c r="AC161" s="250" t="s">
        <v>842</v>
      </c>
      <c r="AD161" s="250">
        <v>220</v>
      </c>
      <c r="AE161" s="250"/>
      <c r="AF161" s="250"/>
      <c r="AG161" s="241"/>
    </row>
    <row r="162" spans="1:33" ht="15.75">
      <c r="A162" s="250" t="s">
        <v>995</v>
      </c>
      <c r="B162" s="250">
        <v>14</v>
      </c>
      <c r="C162" s="250">
        <v>104</v>
      </c>
      <c r="D162" s="250" t="s">
        <v>911</v>
      </c>
      <c r="E162" s="250">
        <v>1.5</v>
      </c>
      <c r="F162" s="251">
        <v>45078.656539351854</v>
      </c>
      <c r="G162" s="250">
        <v>1</v>
      </c>
      <c r="H162" s="250">
        <v>51.3675</v>
      </c>
      <c r="I162" s="250">
        <v>6.9421299999999997</v>
      </c>
      <c r="J162" s="250">
        <v>-3.8744269999999998</v>
      </c>
      <c r="K162" s="250">
        <v>-3.0317980000000002</v>
      </c>
      <c r="L162" s="250">
        <v>1060.99</v>
      </c>
      <c r="M162" s="250">
        <v>136.00000600000001</v>
      </c>
      <c r="N162" s="250">
        <v>18610.594000000001</v>
      </c>
      <c r="O162" s="250">
        <v>18571.157599999999</v>
      </c>
      <c r="P162" s="250">
        <v>2024.26613</v>
      </c>
      <c r="Q162" s="250" t="s">
        <v>18</v>
      </c>
      <c r="R162" s="250" t="s">
        <v>647</v>
      </c>
      <c r="S162" s="250" t="s">
        <v>21</v>
      </c>
      <c r="T162" s="250">
        <v>15</v>
      </c>
      <c r="U162" s="250">
        <v>5</v>
      </c>
      <c r="V162" s="250">
        <v>0.7</v>
      </c>
      <c r="W162" s="250">
        <v>0.7</v>
      </c>
      <c r="X162" s="250">
        <v>0.7</v>
      </c>
      <c r="Y162" s="250">
        <v>1700</v>
      </c>
      <c r="Z162" s="250" t="s">
        <v>840</v>
      </c>
      <c r="AA162" s="250">
        <v>0.85</v>
      </c>
      <c r="AB162" s="250" t="s">
        <v>841</v>
      </c>
      <c r="AC162" s="250" t="s">
        <v>842</v>
      </c>
      <c r="AD162" s="250">
        <v>220</v>
      </c>
      <c r="AE162" s="250"/>
      <c r="AF162" s="250"/>
      <c r="AG162" s="241"/>
    </row>
    <row r="163" spans="1:33" ht="15.75">
      <c r="A163" s="250" t="s">
        <v>996</v>
      </c>
      <c r="B163" s="250">
        <v>14</v>
      </c>
      <c r="C163" s="250">
        <v>104</v>
      </c>
      <c r="D163" s="250" t="s">
        <v>911</v>
      </c>
      <c r="E163" s="250">
        <v>1.5</v>
      </c>
      <c r="F163" s="251">
        <v>45078.660277777781</v>
      </c>
      <c r="G163" s="250">
        <v>1</v>
      </c>
      <c r="H163" s="250">
        <v>51.370800000000003</v>
      </c>
      <c r="I163" s="250">
        <v>6.9741299999999997</v>
      </c>
      <c r="J163" s="250">
        <v>-3.741244</v>
      </c>
      <c r="K163" s="250">
        <v>-2.892271</v>
      </c>
      <c r="L163" s="250">
        <v>1051.17</v>
      </c>
      <c r="M163" s="250">
        <v>126.00071699999999</v>
      </c>
      <c r="N163" s="250">
        <v>18567.021499999999</v>
      </c>
      <c r="O163" s="250">
        <v>18571.157599999999</v>
      </c>
      <c r="P163" s="250">
        <v>2024.26613</v>
      </c>
      <c r="Q163" s="250" t="s">
        <v>18</v>
      </c>
      <c r="R163" s="250" t="s">
        <v>839</v>
      </c>
      <c r="S163" s="250" t="s">
        <v>21</v>
      </c>
      <c r="T163" s="250">
        <v>15</v>
      </c>
      <c r="U163" s="250">
        <v>5</v>
      </c>
      <c r="V163" s="250">
        <v>0.7</v>
      </c>
      <c r="W163" s="250">
        <v>0.7</v>
      </c>
      <c r="X163" s="250">
        <v>0.7</v>
      </c>
      <c r="Y163" s="250">
        <v>1700</v>
      </c>
      <c r="Z163" s="250" t="s">
        <v>840</v>
      </c>
      <c r="AA163" s="250">
        <v>0.85</v>
      </c>
      <c r="AB163" s="250" t="s">
        <v>841</v>
      </c>
      <c r="AC163" s="250" t="s">
        <v>842</v>
      </c>
      <c r="AD163" s="250">
        <v>220</v>
      </c>
      <c r="AE163" s="250"/>
      <c r="AF163" s="250"/>
      <c r="AG163" s="241"/>
    </row>
    <row r="164" spans="1:33" ht="15.75">
      <c r="A164" s="250" t="s">
        <v>997</v>
      </c>
      <c r="B164" s="250">
        <v>14</v>
      </c>
      <c r="C164" s="250">
        <v>104</v>
      </c>
      <c r="D164" s="250" t="s">
        <v>911</v>
      </c>
      <c r="E164" s="250">
        <v>1.5</v>
      </c>
      <c r="F164" s="251">
        <v>45078.663888888892</v>
      </c>
      <c r="G164" s="250">
        <v>1</v>
      </c>
      <c r="H164" s="250">
        <v>51.374099999999999</v>
      </c>
      <c r="I164" s="250">
        <v>6.9672999999999998</v>
      </c>
      <c r="J164" s="250">
        <v>-3.682569</v>
      </c>
      <c r="K164" s="250">
        <v>-2.8380000000000001</v>
      </c>
      <c r="L164" s="250">
        <v>1051.32</v>
      </c>
      <c r="M164" s="250">
        <v>127.50037500000001</v>
      </c>
      <c r="N164" s="250">
        <v>18575.183199999999</v>
      </c>
      <c r="O164" s="250">
        <v>18571.157599999999</v>
      </c>
      <c r="P164" s="250">
        <v>2024.26613</v>
      </c>
      <c r="Q164" s="250" t="s">
        <v>18</v>
      </c>
      <c r="R164" s="250" t="s">
        <v>839</v>
      </c>
      <c r="S164" s="250" t="s">
        <v>21</v>
      </c>
      <c r="T164" s="250">
        <v>15</v>
      </c>
      <c r="U164" s="250">
        <v>5</v>
      </c>
      <c r="V164" s="250">
        <v>0.7</v>
      </c>
      <c r="W164" s="250">
        <v>0.7</v>
      </c>
      <c r="X164" s="250">
        <v>0.7</v>
      </c>
      <c r="Y164" s="250">
        <v>1700</v>
      </c>
      <c r="Z164" s="250" t="s">
        <v>840</v>
      </c>
      <c r="AA164" s="250">
        <v>0.85</v>
      </c>
      <c r="AB164" s="250" t="s">
        <v>841</v>
      </c>
      <c r="AC164" s="250" t="s">
        <v>842</v>
      </c>
      <c r="AD164" s="250">
        <v>220</v>
      </c>
      <c r="AE164" s="250"/>
      <c r="AF164" s="250"/>
      <c r="AG164" s="241"/>
    </row>
    <row r="165" spans="1:33" ht="15.75">
      <c r="A165" s="250" t="s">
        <v>998</v>
      </c>
      <c r="B165" s="250">
        <v>14</v>
      </c>
      <c r="C165" s="250">
        <v>104</v>
      </c>
      <c r="D165" s="250" t="s">
        <v>911</v>
      </c>
      <c r="E165" s="250">
        <v>1.5</v>
      </c>
      <c r="F165" s="251">
        <v>45078.667511574073</v>
      </c>
      <c r="G165" s="250">
        <v>1</v>
      </c>
      <c r="H165" s="250">
        <v>51.370800000000003</v>
      </c>
      <c r="I165" s="250">
        <v>6.9713799999999999</v>
      </c>
      <c r="J165" s="250">
        <v>-3.7510979999999998</v>
      </c>
      <c r="K165" s="250">
        <v>-2.9217780000000002</v>
      </c>
      <c r="L165" s="250">
        <v>1064.58</v>
      </c>
      <c r="M165" s="250">
        <v>121.99982300000001</v>
      </c>
      <c r="N165" s="250">
        <v>18571.268</v>
      </c>
      <c r="O165" s="250">
        <v>18571.157599999999</v>
      </c>
      <c r="P165" s="250">
        <v>2024.26613</v>
      </c>
      <c r="Q165" s="250" t="s">
        <v>18</v>
      </c>
      <c r="R165" s="250" t="s">
        <v>839</v>
      </c>
      <c r="S165" s="250" t="s">
        <v>21</v>
      </c>
      <c r="T165" s="250">
        <v>15</v>
      </c>
      <c r="U165" s="250">
        <v>5</v>
      </c>
      <c r="V165" s="250">
        <v>0.7</v>
      </c>
      <c r="W165" s="250">
        <v>0.7</v>
      </c>
      <c r="X165" s="250">
        <v>0.7</v>
      </c>
      <c r="Y165" s="250">
        <v>1700</v>
      </c>
      <c r="Z165" s="250" t="s">
        <v>840</v>
      </c>
      <c r="AA165" s="250">
        <v>0.85</v>
      </c>
      <c r="AB165" s="250" t="s">
        <v>841</v>
      </c>
      <c r="AC165" s="250" t="s">
        <v>842</v>
      </c>
      <c r="AD165" s="250">
        <v>220</v>
      </c>
      <c r="AE165" s="250"/>
      <c r="AF165" s="250"/>
      <c r="AG165" s="241"/>
    </row>
    <row r="166" spans="1:33" ht="15.75">
      <c r="A166" s="250" t="s">
        <v>868</v>
      </c>
      <c r="B166" s="250">
        <v>15</v>
      </c>
      <c r="C166" s="250">
        <v>81</v>
      </c>
      <c r="D166" s="250" t="s">
        <v>915</v>
      </c>
      <c r="E166" s="250">
        <v>1.5</v>
      </c>
      <c r="F166" s="251">
        <v>45078.671631944446</v>
      </c>
      <c r="G166" s="250">
        <v>1</v>
      </c>
      <c r="H166" s="250">
        <v>51.3675</v>
      </c>
      <c r="I166" s="250">
        <v>6.9009900000000002</v>
      </c>
      <c r="J166" s="250">
        <v>-3.6978089999999999</v>
      </c>
      <c r="K166" s="250">
        <v>-2.8671639999999998</v>
      </c>
      <c r="L166" s="250">
        <v>1051.69</v>
      </c>
      <c r="M166" s="250">
        <v>167.998818</v>
      </c>
      <c r="N166" s="250">
        <v>18385.501799999998</v>
      </c>
      <c r="O166" s="250">
        <v>18420.923599999998</v>
      </c>
      <c r="P166" s="250">
        <v>2007.9396400000001</v>
      </c>
      <c r="Q166" s="250" t="s">
        <v>18</v>
      </c>
      <c r="R166" s="250" t="s">
        <v>647</v>
      </c>
      <c r="S166" s="250" t="s">
        <v>21</v>
      </c>
      <c r="T166" s="250">
        <v>15</v>
      </c>
      <c r="U166" s="250">
        <v>5</v>
      </c>
      <c r="V166" s="250">
        <v>0.7</v>
      </c>
      <c r="W166" s="250">
        <v>0.7</v>
      </c>
      <c r="X166" s="250">
        <v>0.7</v>
      </c>
      <c r="Y166" s="250">
        <v>1700</v>
      </c>
      <c r="Z166" s="250" t="s">
        <v>840</v>
      </c>
      <c r="AA166" s="250">
        <v>0.85</v>
      </c>
      <c r="AB166" s="250" t="s">
        <v>841</v>
      </c>
      <c r="AC166" s="250" t="s">
        <v>842</v>
      </c>
      <c r="AD166" s="250">
        <v>220</v>
      </c>
      <c r="AE166" s="250"/>
      <c r="AF166" s="250"/>
      <c r="AG166" s="241"/>
    </row>
    <row r="167" spans="1:33" ht="15.75">
      <c r="A167" s="250" t="s">
        <v>999</v>
      </c>
      <c r="B167" s="250">
        <v>15</v>
      </c>
      <c r="C167" s="250">
        <v>81</v>
      </c>
      <c r="D167" s="250" t="s">
        <v>915</v>
      </c>
      <c r="E167" s="250">
        <v>1.5</v>
      </c>
      <c r="F167" s="251">
        <v>45078.675752314812</v>
      </c>
      <c r="G167" s="250">
        <v>1</v>
      </c>
      <c r="H167" s="250">
        <v>51.370800000000003</v>
      </c>
      <c r="I167" s="250">
        <v>6.9873599999999998</v>
      </c>
      <c r="J167" s="250">
        <v>-3.7223790000000001</v>
      </c>
      <c r="K167" s="250">
        <v>-2.8754119999999999</v>
      </c>
      <c r="L167" s="250">
        <v>1048.93</v>
      </c>
      <c r="M167" s="250">
        <v>117.000928</v>
      </c>
      <c r="N167" s="250">
        <v>18410.069</v>
      </c>
      <c r="O167" s="250">
        <v>18420.923599999998</v>
      </c>
      <c r="P167" s="250">
        <v>2007.9396400000001</v>
      </c>
      <c r="Q167" s="250" t="s">
        <v>18</v>
      </c>
      <c r="R167" s="250" t="s">
        <v>839</v>
      </c>
      <c r="S167" s="250" t="s">
        <v>21</v>
      </c>
      <c r="T167" s="250">
        <v>15</v>
      </c>
      <c r="U167" s="250">
        <v>5</v>
      </c>
      <c r="V167" s="250">
        <v>0.7</v>
      </c>
      <c r="W167" s="250">
        <v>0.7</v>
      </c>
      <c r="X167" s="250">
        <v>0.7</v>
      </c>
      <c r="Y167" s="250">
        <v>1700</v>
      </c>
      <c r="Z167" s="250" t="s">
        <v>840</v>
      </c>
      <c r="AA167" s="250">
        <v>0.85</v>
      </c>
      <c r="AB167" s="250" t="s">
        <v>841</v>
      </c>
      <c r="AC167" s="250" t="s">
        <v>842</v>
      </c>
      <c r="AD167" s="250">
        <v>220</v>
      </c>
      <c r="AE167" s="250"/>
      <c r="AF167" s="250"/>
      <c r="AG167" s="241"/>
    </row>
    <row r="168" spans="1:33" ht="15.75">
      <c r="A168" s="250" t="s">
        <v>1000</v>
      </c>
      <c r="B168" s="250">
        <v>15</v>
      </c>
      <c r="C168" s="250">
        <v>81</v>
      </c>
      <c r="D168" s="250" t="s">
        <v>915</v>
      </c>
      <c r="E168" s="250">
        <v>1.5</v>
      </c>
      <c r="F168" s="251">
        <v>45078.679282407407</v>
      </c>
      <c r="G168" s="250">
        <v>1</v>
      </c>
      <c r="H168" s="250">
        <v>51.374099999999999</v>
      </c>
      <c r="I168" s="250">
        <v>6.9520499999999998</v>
      </c>
      <c r="J168" s="250">
        <v>-3.747296</v>
      </c>
      <c r="K168" s="250">
        <v>-2.9074759999999999</v>
      </c>
      <c r="L168" s="250">
        <v>1053.1400000000001</v>
      </c>
      <c r="M168" s="250">
        <v>128.49963700000001</v>
      </c>
      <c r="N168" s="250">
        <v>18426.9424</v>
      </c>
      <c r="O168" s="250">
        <v>18420.923599999998</v>
      </c>
      <c r="P168" s="250">
        <v>2007.9396400000001</v>
      </c>
      <c r="Q168" s="250" t="s">
        <v>18</v>
      </c>
      <c r="R168" s="250" t="s">
        <v>839</v>
      </c>
      <c r="S168" s="250" t="s">
        <v>21</v>
      </c>
      <c r="T168" s="250">
        <v>15</v>
      </c>
      <c r="U168" s="250">
        <v>5</v>
      </c>
      <c r="V168" s="250">
        <v>0.7</v>
      </c>
      <c r="W168" s="250">
        <v>0.7</v>
      </c>
      <c r="X168" s="250">
        <v>0.7</v>
      </c>
      <c r="Y168" s="250">
        <v>1700</v>
      </c>
      <c r="Z168" s="250" t="s">
        <v>840</v>
      </c>
      <c r="AA168" s="250">
        <v>0.85</v>
      </c>
      <c r="AB168" s="250" t="s">
        <v>841</v>
      </c>
      <c r="AC168" s="250" t="s">
        <v>842</v>
      </c>
      <c r="AD168" s="250">
        <v>220</v>
      </c>
      <c r="AE168" s="250"/>
      <c r="AF168" s="250"/>
      <c r="AG168" s="241"/>
    </row>
    <row r="169" spans="1:33" ht="15.75">
      <c r="A169" s="250" t="s">
        <v>1001</v>
      </c>
      <c r="B169" s="250">
        <v>15</v>
      </c>
      <c r="C169" s="250">
        <v>81</v>
      </c>
      <c r="D169" s="250" t="s">
        <v>915</v>
      </c>
      <c r="E169" s="250">
        <v>1.5</v>
      </c>
      <c r="F169" s="251">
        <v>45078.682928240742</v>
      </c>
      <c r="G169" s="250">
        <v>1</v>
      </c>
      <c r="H169" s="250">
        <v>51.370800000000003</v>
      </c>
      <c r="I169" s="250">
        <v>7.0640599999999996</v>
      </c>
      <c r="J169" s="250">
        <v>-3.7199279999999999</v>
      </c>
      <c r="K169" s="250">
        <v>-2.8724880000000002</v>
      </c>
      <c r="L169" s="250">
        <v>1037.53</v>
      </c>
      <c r="M169" s="250">
        <v>116.00055500000001</v>
      </c>
      <c r="N169" s="250">
        <v>18425.759399999999</v>
      </c>
      <c r="O169" s="250">
        <v>18420.923599999998</v>
      </c>
      <c r="P169" s="250">
        <v>2007.9396400000001</v>
      </c>
      <c r="Q169" s="250" t="s">
        <v>18</v>
      </c>
      <c r="R169" s="250" t="s">
        <v>839</v>
      </c>
      <c r="S169" s="250" t="s">
        <v>21</v>
      </c>
      <c r="T169" s="250">
        <v>15</v>
      </c>
      <c r="U169" s="250">
        <v>5</v>
      </c>
      <c r="V169" s="250">
        <v>0.7</v>
      </c>
      <c r="W169" s="250">
        <v>0.7</v>
      </c>
      <c r="X169" s="250">
        <v>0.7</v>
      </c>
      <c r="Y169" s="250">
        <v>1700</v>
      </c>
      <c r="Z169" s="250" t="s">
        <v>840</v>
      </c>
      <c r="AA169" s="250">
        <v>0.85</v>
      </c>
      <c r="AB169" s="250" t="s">
        <v>841</v>
      </c>
      <c r="AC169" s="250" t="s">
        <v>842</v>
      </c>
      <c r="AD169" s="250">
        <v>220</v>
      </c>
      <c r="AE169" s="250"/>
      <c r="AF169" s="250"/>
      <c r="AG169" s="241"/>
    </row>
    <row r="170" spans="1:33" ht="15.75">
      <c r="A170" s="250" t="s">
        <v>869</v>
      </c>
      <c r="B170" s="250">
        <v>16</v>
      </c>
      <c r="C170" s="250">
        <v>98</v>
      </c>
      <c r="D170" s="250" t="s">
        <v>926</v>
      </c>
      <c r="E170" s="250">
        <v>1.5</v>
      </c>
      <c r="F170" s="251">
        <v>45078.686956018515</v>
      </c>
      <c r="G170" s="250">
        <v>1</v>
      </c>
      <c r="H170" s="250">
        <v>51.364100000000001</v>
      </c>
      <c r="I170" s="250">
        <v>7.0245300000000004</v>
      </c>
      <c r="J170" s="250">
        <v>-3.5530629999999999</v>
      </c>
      <c r="K170" s="250">
        <v>-2.7219579999999999</v>
      </c>
      <c r="L170" s="250">
        <v>1042.6199999999999</v>
      </c>
      <c r="M170" s="250">
        <v>112.49957499999999</v>
      </c>
      <c r="N170" s="250">
        <v>18442.420399999999</v>
      </c>
      <c r="O170" s="250">
        <v>18459.3786</v>
      </c>
      <c r="P170" s="250">
        <v>2012.11869</v>
      </c>
      <c r="Q170" s="250" t="s">
        <v>18</v>
      </c>
      <c r="R170" s="250" t="s">
        <v>839</v>
      </c>
      <c r="S170" s="250" t="s">
        <v>21</v>
      </c>
      <c r="T170" s="250">
        <v>15</v>
      </c>
      <c r="U170" s="250">
        <v>5</v>
      </c>
      <c r="V170" s="250">
        <v>0.7</v>
      </c>
      <c r="W170" s="250">
        <v>0.7</v>
      </c>
      <c r="X170" s="250">
        <v>0.7</v>
      </c>
      <c r="Y170" s="250">
        <v>1700</v>
      </c>
      <c r="Z170" s="250" t="s">
        <v>840</v>
      </c>
      <c r="AA170" s="250">
        <v>0.85</v>
      </c>
      <c r="AB170" s="250" t="s">
        <v>841</v>
      </c>
      <c r="AC170" s="250" t="s">
        <v>842</v>
      </c>
      <c r="AD170" s="250">
        <v>220</v>
      </c>
      <c r="AE170" s="250"/>
      <c r="AF170" s="250"/>
      <c r="AG170" s="241"/>
    </row>
    <row r="171" spans="1:33" ht="15.75">
      <c r="A171" s="250" t="s">
        <v>1002</v>
      </c>
      <c r="B171" s="250">
        <v>16</v>
      </c>
      <c r="C171" s="250">
        <v>98</v>
      </c>
      <c r="D171" s="250" t="s">
        <v>926</v>
      </c>
      <c r="E171" s="250">
        <v>1.5</v>
      </c>
      <c r="F171" s="251">
        <v>45078.690451388888</v>
      </c>
      <c r="G171" s="250">
        <v>1</v>
      </c>
      <c r="H171" s="250">
        <v>51.377400000000002</v>
      </c>
      <c r="I171" s="250">
        <v>6.9746899999999998</v>
      </c>
      <c r="J171" s="250">
        <v>-3.7660269999999998</v>
      </c>
      <c r="K171" s="250">
        <v>-2.92658</v>
      </c>
      <c r="L171" s="250">
        <v>1044.43</v>
      </c>
      <c r="M171" s="250">
        <v>153.00040999999999</v>
      </c>
      <c r="N171" s="250">
        <v>18465.197800000002</v>
      </c>
      <c r="O171" s="250">
        <v>18459.3786</v>
      </c>
      <c r="P171" s="250">
        <v>2012.11869</v>
      </c>
      <c r="Q171" s="250" t="s">
        <v>18</v>
      </c>
      <c r="R171" s="250" t="s">
        <v>839</v>
      </c>
      <c r="S171" s="250" t="s">
        <v>21</v>
      </c>
      <c r="T171" s="250">
        <v>15</v>
      </c>
      <c r="U171" s="250">
        <v>5</v>
      </c>
      <c r="V171" s="250">
        <v>0.7</v>
      </c>
      <c r="W171" s="250">
        <v>0.7</v>
      </c>
      <c r="X171" s="250">
        <v>0.7</v>
      </c>
      <c r="Y171" s="250">
        <v>1700</v>
      </c>
      <c r="Z171" s="250" t="s">
        <v>840</v>
      </c>
      <c r="AA171" s="250">
        <v>0.85</v>
      </c>
      <c r="AB171" s="250" t="s">
        <v>841</v>
      </c>
      <c r="AC171" s="250" t="s">
        <v>842</v>
      </c>
      <c r="AD171" s="250">
        <v>220</v>
      </c>
      <c r="AE171" s="250"/>
      <c r="AF171" s="250"/>
      <c r="AG171" s="241"/>
    </row>
    <row r="172" spans="1:33" ht="15.75">
      <c r="A172" s="250" t="s">
        <v>1003</v>
      </c>
      <c r="B172" s="250">
        <v>16</v>
      </c>
      <c r="C172" s="250">
        <v>98</v>
      </c>
      <c r="D172" s="250" t="s">
        <v>926</v>
      </c>
      <c r="E172" s="250">
        <v>1.5</v>
      </c>
      <c r="F172" s="251">
        <v>45078.694386574076</v>
      </c>
      <c r="G172" s="250">
        <v>1</v>
      </c>
      <c r="H172" s="250">
        <v>51.370800000000003</v>
      </c>
      <c r="I172" s="250">
        <v>6.8518499999999998</v>
      </c>
      <c r="J172" s="250">
        <v>-3.7050640000000001</v>
      </c>
      <c r="K172" s="250">
        <v>-2.9040560000000002</v>
      </c>
      <c r="L172" s="250">
        <v>1060.98</v>
      </c>
      <c r="M172" s="250">
        <v>129.999304</v>
      </c>
      <c r="N172" s="250">
        <v>18470.5177</v>
      </c>
      <c r="O172" s="250">
        <v>18459.3786</v>
      </c>
      <c r="P172" s="250">
        <v>2012.11869</v>
      </c>
      <c r="Q172" s="250" t="s">
        <v>18</v>
      </c>
      <c r="R172" s="250" t="s">
        <v>839</v>
      </c>
      <c r="S172" s="250" t="s">
        <v>21</v>
      </c>
      <c r="T172" s="250">
        <v>15</v>
      </c>
      <c r="U172" s="250">
        <v>5</v>
      </c>
      <c r="V172" s="250">
        <v>0.7</v>
      </c>
      <c r="W172" s="250">
        <v>0.7</v>
      </c>
      <c r="X172" s="250">
        <v>0.7</v>
      </c>
      <c r="Y172" s="250">
        <v>1700</v>
      </c>
      <c r="Z172" s="250" t="s">
        <v>840</v>
      </c>
      <c r="AA172" s="250">
        <v>0.85</v>
      </c>
      <c r="AB172" s="250" t="s">
        <v>841</v>
      </c>
      <c r="AC172" s="250" t="s">
        <v>842</v>
      </c>
      <c r="AD172" s="250">
        <v>220</v>
      </c>
      <c r="AE172" s="250"/>
      <c r="AF172" s="250"/>
      <c r="AG172" s="241"/>
    </row>
    <row r="173" spans="1:33" ht="15.75">
      <c r="A173" s="250" t="s">
        <v>870</v>
      </c>
      <c r="B173" s="250">
        <v>17</v>
      </c>
      <c r="C173" s="250">
        <v>93</v>
      </c>
      <c r="D173" s="250" t="s">
        <v>930</v>
      </c>
      <c r="E173" s="250">
        <v>1.5</v>
      </c>
      <c r="F173" s="251">
        <v>45078.698564814818</v>
      </c>
      <c r="G173" s="250">
        <v>1</v>
      </c>
      <c r="H173" s="250">
        <v>51.3675</v>
      </c>
      <c r="I173" s="250">
        <v>6.9546200000000002</v>
      </c>
      <c r="J173" s="250">
        <v>-3.7528410000000001</v>
      </c>
      <c r="K173" s="250">
        <v>-2.9063140000000001</v>
      </c>
      <c r="L173" s="250">
        <v>1037.46</v>
      </c>
      <c r="M173" s="250">
        <v>137.00055699999999</v>
      </c>
      <c r="N173" s="250">
        <v>18590.8521</v>
      </c>
      <c r="O173" s="250">
        <v>18575.839599999999</v>
      </c>
      <c r="P173" s="250">
        <v>2024.77495</v>
      </c>
      <c r="Q173" s="250" t="s">
        <v>18</v>
      </c>
      <c r="R173" s="250" t="s">
        <v>839</v>
      </c>
      <c r="S173" s="250" t="s">
        <v>21</v>
      </c>
      <c r="T173" s="250">
        <v>15</v>
      </c>
      <c r="U173" s="250">
        <v>5</v>
      </c>
      <c r="V173" s="250">
        <v>0.7</v>
      </c>
      <c r="W173" s="250">
        <v>0.7</v>
      </c>
      <c r="X173" s="250">
        <v>0.7</v>
      </c>
      <c r="Y173" s="250">
        <v>1700</v>
      </c>
      <c r="Z173" s="250" t="s">
        <v>840</v>
      </c>
      <c r="AA173" s="250">
        <v>0.85</v>
      </c>
      <c r="AB173" s="250" t="s">
        <v>841</v>
      </c>
      <c r="AC173" s="250" t="s">
        <v>842</v>
      </c>
      <c r="AD173" s="250">
        <v>220</v>
      </c>
      <c r="AE173" s="250"/>
      <c r="AF173" s="250"/>
      <c r="AG173" s="241"/>
    </row>
    <row r="174" spans="1:33" ht="15.75">
      <c r="A174" s="250" t="s">
        <v>1004</v>
      </c>
      <c r="B174" s="250">
        <v>17</v>
      </c>
      <c r="C174" s="250">
        <v>93</v>
      </c>
      <c r="D174" s="250" t="s">
        <v>930</v>
      </c>
      <c r="E174" s="250">
        <v>1.5</v>
      </c>
      <c r="F174" s="251">
        <v>45078.702337962961</v>
      </c>
      <c r="G174" s="250">
        <v>1</v>
      </c>
      <c r="H174" s="250">
        <v>51.370800000000003</v>
      </c>
      <c r="I174" s="250">
        <v>7.0203699999999998</v>
      </c>
      <c r="J174" s="250">
        <v>-3.8027579999999999</v>
      </c>
      <c r="K174" s="250">
        <v>-2.9534790000000002</v>
      </c>
      <c r="L174" s="250">
        <v>1051.78</v>
      </c>
      <c r="M174" s="250">
        <v>119.499521</v>
      </c>
      <c r="N174" s="250">
        <v>18575.283200000002</v>
      </c>
      <c r="O174" s="250">
        <v>18575.839599999999</v>
      </c>
      <c r="P174" s="250">
        <v>2024.77495</v>
      </c>
      <c r="Q174" s="250" t="s">
        <v>18</v>
      </c>
      <c r="R174" s="250" t="s">
        <v>839</v>
      </c>
      <c r="S174" s="250" t="s">
        <v>21</v>
      </c>
      <c r="T174" s="250">
        <v>15</v>
      </c>
      <c r="U174" s="250">
        <v>5</v>
      </c>
      <c r="V174" s="250">
        <v>0.7</v>
      </c>
      <c r="W174" s="250">
        <v>0.7</v>
      </c>
      <c r="X174" s="250">
        <v>0.7</v>
      </c>
      <c r="Y174" s="250">
        <v>1700</v>
      </c>
      <c r="Z174" s="250" t="s">
        <v>840</v>
      </c>
      <c r="AA174" s="250">
        <v>0.85</v>
      </c>
      <c r="AB174" s="250" t="s">
        <v>841</v>
      </c>
      <c r="AC174" s="250" t="s">
        <v>842</v>
      </c>
      <c r="AD174" s="250">
        <v>220</v>
      </c>
      <c r="AE174" s="250"/>
      <c r="AF174" s="250"/>
      <c r="AG174" s="241"/>
    </row>
    <row r="175" spans="1:33" ht="15.75">
      <c r="A175" s="250" t="s">
        <v>1005</v>
      </c>
      <c r="B175" s="250">
        <v>17</v>
      </c>
      <c r="C175" s="250">
        <v>93</v>
      </c>
      <c r="D175" s="250" t="s">
        <v>930</v>
      </c>
      <c r="E175" s="250">
        <v>1.5</v>
      </c>
      <c r="F175" s="251">
        <v>45078.705891203703</v>
      </c>
      <c r="G175" s="250">
        <v>1</v>
      </c>
      <c r="H175" s="250">
        <v>51.3675</v>
      </c>
      <c r="I175" s="250">
        <v>7.00021</v>
      </c>
      <c r="J175" s="250">
        <v>-3.6085099999999999</v>
      </c>
      <c r="K175" s="250">
        <v>-2.7894130000000001</v>
      </c>
      <c r="L175" s="250">
        <v>1054.1300000000001</v>
      </c>
      <c r="M175" s="250">
        <v>114.000439</v>
      </c>
      <c r="N175" s="250">
        <v>18561.383600000001</v>
      </c>
      <c r="O175" s="250">
        <v>18575.839599999999</v>
      </c>
      <c r="P175" s="250">
        <v>2024.77495</v>
      </c>
      <c r="Q175" s="250" t="s">
        <v>18</v>
      </c>
      <c r="R175" s="250" t="s">
        <v>839</v>
      </c>
      <c r="S175" s="250" t="s">
        <v>21</v>
      </c>
      <c r="T175" s="250">
        <v>15</v>
      </c>
      <c r="U175" s="250">
        <v>5</v>
      </c>
      <c r="V175" s="250">
        <v>0.7</v>
      </c>
      <c r="W175" s="250">
        <v>0.7</v>
      </c>
      <c r="X175" s="250">
        <v>0.7</v>
      </c>
      <c r="Y175" s="250">
        <v>1700</v>
      </c>
      <c r="Z175" s="250" t="s">
        <v>840</v>
      </c>
      <c r="AA175" s="250">
        <v>0.85</v>
      </c>
      <c r="AB175" s="250" t="s">
        <v>841</v>
      </c>
      <c r="AC175" s="250" t="s">
        <v>842</v>
      </c>
      <c r="AD175" s="250">
        <v>220</v>
      </c>
      <c r="AE175" s="250"/>
      <c r="AF175" s="250"/>
      <c r="AG175" s="241"/>
    </row>
    <row r="176" spans="1:33" ht="15.75">
      <c r="A176" s="250" t="s">
        <v>871</v>
      </c>
      <c r="B176" s="250">
        <v>18</v>
      </c>
      <c r="C176" s="250">
        <v>94</v>
      </c>
      <c r="D176" s="250" t="s">
        <v>936</v>
      </c>
      <c r="E176" s="250">
        <v>1.5</v>
      </c>
      <c r="F176" s="251">
        <v>45078.709918981483</v>
      </c>
      <c r="G176" s="250">
        <v>1</v>
      </c>
      <c r="H176" s="250">
        <v>51.370800000000003</v>
      </c>
      <c r="I176" s="250">
        <v>7.0105399999999998</v>
      </c>
      <c r="J176" s="250">
        <v>-3.6673339999999999</v>
      </c>
      <c r="K176" s="250">
        <v>-2.8186619999999998</v>
      </c>
      <c r="L176" s="250">
        <v>1060.98</v>
      </c>
      <c r="M176" s="250">
        <v>120.999621</v>
      </c>
      <c r="N176" s="250">
        <v>18582.388200000001</v>
      </c>
      <c r="O176" s="250">
        <v>18630.428400000001</v>
      </c>
      <c r="P176" s="250">
        <v>2030.7246500000001</v>
      </c>
      <c r="Q176" s="250" t="s">
        <v>18</v>
      </c>
      <c r="R176" s="250" t="s">
        <v>647</v>
      </c>
      <c r="S176" s="250" t="s">
        <v>21</v>
      </c>
      <c r="T176" s="250">
        <v>15</v>
      </c>
      <c r="U176" s="250">
        <v>5</v>
      </c>
      <c r="V176" s="250">
        <v>0.7</v>
      </c>
      <c r="W176" s="250">
        <v>0.7</v>
      </c>
      <c r="X176" s="250">
        <v>0.7</v>
      </c>
      <c r="Y176" s="250">
        <v>1700</v>
      </c>
      <c r="Z176" s="250" t="s">
        <v>840</v>
      </c>
      <c r="AA176" s="250">
        <v>0.85</v>
      </c>
      <c r="AB176" s="250" t="s">
        <v>841</v>
      </c>
      <c r="AC176" s="250" t="s">
        <v>842</v>
      </c>
      <c r="AD176" s="250">
        <v>220</v>
      </c>
      <c r="AE176" s="250"/>
      <c r="AF176" s="250"/>
      <c r="AG176" s="241"/>
    </row>
    <row r="177" spans="1:33" ht="15.75">
      <c r="A177" s="250" t="s">
        <v>1006</v>
      </c>
      <c r="B177" s="250">
        <v>18</v>
      </c>
      <c r="C177" s="250">
        <v>94</v>
      </c>
      <c r="D177" s="250" t="s">
        <v>936</v>
      </c>
      <c r="E177" s="250">
        <v>1.5</v>
      </c>
      <c r="F177" s="251">
        <v>45078.713460648149</v>
      </c>
      <c r="G177" s="250">
        <v>1</v>
      </c>
      <c r="H177" s="250">
        <v>51.364100000000001</v>
      </c>
      <c r="I177" s="250">
        <v>6.9922800000000001</v>
      </c>
      <c r="J177" s="250">
        <v>-3.7434129999999999</v>
      </c>
      <c r="K177" s="250">
        <v>-2.8961070000000002</v>
      </c>
      <c r="L177" s="250">
        <v>1058.3399999999999</v>
      </c>
      <c r="M177" s="250">
        <v>141.99963399999999</v>
      </c>
      <c r="N177" s="250">
        <v>18641.986400000002</v>
      </c>
      <c r="O177" s="250">
        <v>18630.428400000001</v>
      </c>
      <c r="P177" s="250">
        <v>2030.7246500000001</v>
      </c>
      <c r="Q177" s="250" t="s">
        <v>18</v>
      </c>
      <c r="R177" s="250" t="s">
        <v>839</v>
      </c>
      <c r="S177" s="250" t="s">
        <v>21</v>
      </c>
      <c r="T177" s="250">
        <v>15</v>
      </c>
      <c r="U177" s="250">
        <v>5</v>
      </c>
      <c r="V177" s="250">
        <v>0.7</v>
      </c>
      <c r="W177" s="250">
        <v>0.7</v>
      </c>
      <c r="X177" s="250">
        <v>0.7</v>
      </c>
      <c r="Y177" s="250">
        <v>1700</v>
      </c>
      <c r="Z177" s="250" t="s">
        <v>840</v>
      </c>
      <c r="AA177" s="250">
        <v>0.85</v>
      </c>
      <c r="AB177" s="250" t="s">
        <v>841</v>
      </c>
      <c r="AC177" s="250" t="s">
        <v>842</v>
      </c>
      <c r="AD177" s="250">
        <v>220</v>
      </c>
      <c r="AE177" s="250"/>
      <c r="AF177" s="250"/>
      <c r="AG177" s="241"/>
    </row>
    <row r="178" spans="1:33" ht="15.75">
      <c r="A178" s="250" t="s">
        <v>1007</v>
      </c>
      <c r="B178" s="250">
        <v>18</v>
      </c>
      <c r="C178" s="250">
        <v>94</v>
      </c>
      <c r="D178" s="250" t="s">
        <v>936</v>
      </c>
      <c r="E178" s="250">
        <v>1.5</v>
      </c>
      <c r="F178" s="251">
        <v>45078.717303240737</v>
      </c>
      <c r="G178" s="250">
        <v>1</v>
      </c>
      <c r="H178" s="250">
        <v>51.374099999999999</v>
      </c>
      <c r="I178" s="250">
        <v>7.0936899999999996</v>
      </c>
      <c r="J178" s="250">
        <v>-3.7058610000000001</v>
      </c>
      <c r="K178" s="250">
        <v>-2.863219</v>
      </c>
      <c r="L178" s="250">
        <v>1052.8</v>
      </c>
      <c r="M178" s="250">
        <v>122.00036</v>
      </c>
      <c r="N178" s="250">
        <v>18593.597000000002</v>
      </c>
      <c r="O178" s="250">
        <v>18630.428400000001</v>
      </c>
      <c r="P178" s="250">
        <v>2030.7246500000001</v>
      </c>
      <c r="Q178" s="250" t="s">
        <v>18</v>
      </c>
      <c r="R178" s="250" t="s">
        <v>647</v>
      </c>
      <c r="S178" s="250" t="s">
        <v>21</v>
      </c>
      <c r="T178" s="250">
        <v>15</v>
      </c>
      <c r="U178" s="250">
        <v>5</v>
      </c>
      <c r="V178" s="250">
        <v>0.7</v>
      </c>
      <c r="W178" s="250">
        <v>0.7</v>
      </c>
      <c r="X178" s="250">
        <v>0.7</v>
      </c>
      <c r="Y178" s="250">
        <v>1700</v>
      </c>
      <c r="Z178" s="250" t="s">
        <v>840</v>
      </c>
      <c r="AA178" s="250">
        <v>0.85</v>
      </c>
      <c r="AB178" s="250" t="s">
        <v>841</v>
      </c>
      <c r="AC178" s="250" t="s">
        <v>842</v>
      </c>
      <c r="AD178" s="250">
        <v>220</v>
      </c>
      <c r="AE178" s="250"/>
      <c r="AF178" s="250"/>
      <c r="AG178" s="241"/>
    </row>
    <row r="179" spans="1:33" ht="15.75">
      <c r="A179" s="250" t="s">
        <v>1008</v>
      </c>
      <c r="B179" s="250">
        <v>18</v>
      </c>
      <c r="C179" s="250">
        <v>94</v>
      </c>
      <c r="D179" s="250" t="s">
        <v>936</v>
      </c>
      <c r="E179" s="250">
        <v>1.5</v>
      </c>
      <c r="F179" s="251">
        <v>45078.72084490741</v>
      </c>
      <c r="G179" s="250">
        <v>1</v>
      </c>
      <c r="H179" s="250">
        <v>51.370800000000003</v>
      </c>
      <c r="I179" s="250">
        <v>7.0993300000000001</v>
      </c>
      <c r="J179" s="250">
        <v>-3.7404609999999998</v>
      </c>
      <c r="K179" s="250">
        <v>-2.9188890000000001</v>
      </c>
      <c r="L179" s="250">
        <v>1042.32</v>
      </c>
      <c r="M179" s="250">
        <v>126.50084699999999</v>
      </c>
      <c r="N179" s="250">
        <v>18621.134600000001</v>
      </c>
      <c r="O179" s="250">
        <v>18630.428400000001</v>
      </c>
      <c r="P179" s="250">
        <v>2030.7246500000001</v>
      </c>
      <c r="Q179" s="250" t="s">
        <v>18</v>
      </c>
      <c r="R179" s="250" t="s">
        <v>839</v>
      </c>
      <c r="S179" s="250" t="s">
        <v>21</v>
      </c>
      <c r="T179" s="250">
        <v>15</v>
      </c>
      <c r="U179" s="250">
        <v>5</v>
      </c>
      <c r="V179" s="250">
        <v>0.7</v>
      </c>
      <c r="W179" s="250">
        <v>0.7</v>
      </c>
      <c r="X179" s="250">
        <v>0.7</v>
      </c>
      <c r="Y179" s="250">
        <v>1700</v>
      </c>
      <c r="Z179" s="250" t="s">
        <v>840</v>
      </c>
      <c r="AA179" s="250">
        <v>0.85</v>
      </c>
      <c r="AB179" s="250" t="s">
        <v>841</v>
      </c>
      <c r="AC179" s="250" t="s">
        <v>842</v>
      </c>
      <c r="AD179" s="250">
        <v>220</v>
      </c>
      <c r="AE179" s="250"/>
      <c r="AF179" s="250"/>
      <c r="AG179" s="241"/>
    </row>
    <row r="180" spans="1:33" ht="15.75">
      <c r="A180" s="250" t="s">
        <v>1009</v>
      </c>
      <c r="B180" s="250">
        <v>18</v>
      </c>
      <c r="C180" s="250">
        <v>94</v>
      </c>
      <c r="D180" s="250" t="s">
        <v>936</v>
      </c>
      <c r="E180" s="250">
        <v>1.5</v>
      </c>
      <c r="F180" s="251">
        <v>45078.724479166667</v>
      </c>
      <c r="G180" s="250">
        <v>1</v>
      </c>
      <c r="H180" s="250">
        <v>51.374099999999999</v>
      </c>
      <c r="I180" s="250">
        <v>7.0960999999999999</v>
      </c>
      <c r="J180" s="250">
        <v>-3.76423</v>
      </c>
      <c r="K180" s="250">
        <v>-2.916944</v>
      </c>
      <c r="L180" s="250">
        <v>1065.9100000000001</v>
      </c>
      <c r="M180" s="250">
        <v>116.000381</v>
      </c>
      <c r="N180" s="250">
        <v>18628.1643</v>
      </c>
      <c r="O180" s="250">
        <v>18630.428400000001</v>
      </c>
      <c r="P180" s="250">
        <v>2030.7246500000001</v>
      </c>
      <c r="Q180" s="250" t="s">
        <v>18</v>
      </c>
      <c r="R180" s="250" t="s">
        <v>839</v>
      </c>
      <c r="S180" s="250" t="s">
        <v>21</v>
      </c>
      <c r="T180" s="250">
        <v>15</v>
      </c>
      <c r="U180" s="250">
        <v>5</v>
      </c>
      <c r="V180" s="250">
        <v>0.7</v>
      </c>
      <c r="W180" s="250">
        <v>0.7</v>
      </c>
      <c r="X180" s="250">
        <v>0.7</v>
      </c>
      <c r="Y180" s="250">
        <v>1700</v>
      </c>
      <c r="Z180" s="250" t="s">
        <v>840</v>
      </c>
      <c r="AA180" s="250">
        <v>0.85</v>
      </c>
      <c r="AB180" s="250" t="s">
        <v>841</v>
      </c>
      <c r="AC180" s="250" t="s">
        <v>842</v>
      </c>
      <c r="AD180" s="250">
        <v>220</v>
      </c>
      <c r="AE180" s="250"/>
      <c r="AF180" s="250"/>
      <c r="AG180" s="241"/>
    </row>
    <row r="181" spans="1:33" ht="15.75">
      <c r="A181" s="250" t="s">
        <v>872</v>
      </c>
      <c r="B181" s="250">
        <v>19</v>
      </c>
      <c r="C181" s="250" t="s">
        <v>982</v>
      </c>
      <c r="D181" s="250" t="s">
        <v>838</v>
      </c>
      <c r="E181" s="250">
        <v>1.5</v>
      </c>
      <c r="F181" s="251">
        <v>45078.728506944448</v>
      </c>
      <c r="G181" s="250">
        <v>1</v>
      </c>
      <c r="H181" s="250">
        <v>51.3675</v>
      </c>
      <c r="I181" s="250">
        <v>7.0640400000000003</v>
      </c>
      <c r="J181" s="250">
        <v>-3.7050670000000001</v>
      </c>
      <c r="K181" s="250">
        <v>-2.8551989999999998</v>
      </c>
      <c r="L181" s="250">
        <v>1043.6099999999999</v>
      </c>
      <c r="M181" s="250">
        <v>114.499661</v>
      </c>
      <c r="N181" s="250">
        <v>18594.600299999998</v>
      </c>
      <c r="O181" s="250">
        <v>18606.640299999999</v>
      </c>
      <c r="P181" s="250">
        <v>2028.1221700000001</v>
      </c>
      <c r="Q181" s="250" t="s">
        <v>18</v>
      </c>
      <c r="R181" s="250" t="s">
        <v>839</v>
      </c>
      <c r="S181" s="250" t="s">
        <v>21</v>
      </c>
      <c r="T181" s="250">
        <v>15</v>
      </c>
      <c r="U181" s="250">
        <v>5</v>
      </c>
      <c r="V181" s="250">
        <v>0.7</v>
      </c>
      <c r="W181" s="250">
        <v>0.7</v>
      </c>
      <c r="X181" s="250">
        <v>0.7</v>
      </c>
      <c r="Y181" s="250">
        <v>1700</v>
      </c>
      <c r="Z181" s="250" t="s">
        <v>840</v>
      </c>
      <c r="AA181" s="250">
        <v>0.85</v>
      </c>
      <c r="AB181" s="250" t="s">
        <v>841</v>
      </c>
      <c r="AC181" s="250" t="s">
        <v>842</v>
      </c>
      <c r="AD181" s="250">
        <v>220</v>
      </c>
      <c r="AE181" s="250"/>
      <c r="AF181" s="250"/>
      <c r="AG181" s="241"/>
    </row>
    <row r="182" spans="1:33" ht="15.75">
      <c r="A182" s="250" t="s">
        <v>1010</v>
      </c>
      <c r="B182" s="250">
        <v>19</v>
      </c>
      <c r="C182" s="250" t="s">
        <v>982</v>
      </c>
      <c r="D182" s="250" t="s">
        <v>838</v>
      </c>
      <c r="E182" s="250">
        <v>1.5</v>
      </c>
      <c r="F182" s="251">
        <v>45078.732025462959</v>
      </c>
      <c r="G182" s="250">
        <v>1</v>
      </c>
      <c r="H182" s="250">
        <v>51.370800000000003</v>
      </c>
      <c r="I182" s="250">
        <v>6.9969400000000004</v>
      </c>
      <c r="J182" s="250">
        <v>-3.7916349999999999</v>
      </c>
      <c r="K182" s="250">
        <v>-2.9433750000000001</v>
      </c>
      <c r="L182" s="250">
        <v>1060.67</v>
      </c>
      <c r="M182" s="250">
        <v>168.49948800000001</v>
      </c>
      <c r="N182" s="250">
        <v>18631.773399999998</v>
      </c>
      <c r="O182" s="250">
        <v>18606.640299999999</v>
      </c>
      <c r="P182" s="250">
        <v>2028.1221700000001</v>
      </c>
      <c r="Q182" s="250" t="s">
        <v>18</v>
      </c>
      <c r="R182" s="250" t="s">
        <v>647</v>
      </c>
      <c r="S182" s="250" t="s">
        <v>21</v>
      </c>
      <c r="T182" s="250">
        <v>15</v>
      </c>
      <c r="U182" s="250">
        <v>5</v>
      </c>
      <c r="V182" s="250">
        <v>0.7</v>
      </c>
      <c r="W182" s="250">
        <v>0.7</v>
      </c>
      <c r="X182" s="250">
        <v>0.7</v>
      </c>
      <c r="Y182" s="250">
        <v>1700</v>
      </c>
      <c r="Z182" s="250" t="s">
        <v>840</v>
      </c>
      <c r="AA182" s="250">
        <v>0.85</v>
      </c>
      <c r="AB182" s="250" t="s">
        <v>841</v>
      </c>
      <c r="AC182" s="250" t="s">
        <v>842</v>
      </c>
      <c r="AD182" s="250">
        <v>220</v>
      </c>
      <c r="AE182" s="250"/>
      <c r="AF182" s="250"/>
      <c r="AG182" s="241"/>
    </row>
    <row r="183" spans="1:33" ht="15.75">
      <c r="A183" s="250" t="s">
        <v>1011</v>
      </c>
      <c r="B183" s="250">
        <v>19</v>
      </c>
      <c r="C183" s="250" t="s">
        <v>982</v>
      </c>
      <c r="D183" s="250" t="s">
        <v>838</v>
      </c>
      <c r="E183" s="250">
        <v>1.5</v>
      </c>
      <c r="F183" s="251">
        <v>45078.736145833333</v>
      </c>
      <c r="G183" s="250">
        <v>1</v>
      </c>
      <c r="H183" s="250">
        <v>51.370800000000003</v>
      </c>
      <c r="I183" s="250">
        <v>6.9941300000000002</v>
      </c>
      <c r="J183" s="250">
        <v>-3.8808120000000002</v>
      </c>
      <c r="K183" s="250">
        <v>-3.0452970000000001</v>
      </c>
      <c r="L183" s="250">
        <v>1047.04</v>
      </c>
      <c r="M183" s="250">
        <v>124.000011</v>
      </c>
      <c r="N183" s="250">
        <v>18625.077099999999</v>
      </c>
      <c r="O183" s="250">
        <v>18606.640299999999</v>
      </c>
      <c r="P183" s="250">
        <v>2028.1221700000001</v>
      </c>
      <c r="Q183" s="250" t="s">
        <v>18</v>
      </c>
      <c r="R183" s="250" t="s">
        <v>839</v>
      </c>
      <c r="S183" s="250" t="s">
        <v>21</v>
      </c>
      <c r="T183" s="250">
        <v>15</v>
      </c>
      <c r="U183" s="250">
        <v>5</v>
      </c>
      <c r="V183" s="250">
        <v>0.7</v>
      </c>
      <c r="W183" s="250">
        <v>0.7</v>
      </c>
      <c r="X183" s="250">
        <v>0.7</v>
      </c>
      <c r="Y183" s="250">
        <v>1700</v>
      </c>
      <c r="Z183" s="250" t="s">
        <v>840</v>
      </c>
      <c r="AA183" s="250">
        <v>0.85</v>
      </c>
      <c r="AB183" s="250" t="s">
        <v>841</v>
      </c>
      <c r="AC183" s="250" t="s">
        <v>842</v>
      </c>
      <c r="AD183" s="250">
        <v>220</v>
      </c>
      <c r="AE183" s="250"/>
      <c r="AF183" s="250"/>
      <c r="AG183" s="241"/>
    </row>
    <row r="184" spans="1:33" ht="15.75">
      <c r="A184" s="250" t="s">
        <v>1012</v>
      </c>
      <c r="B184" s="250">
        <v>19</v>
      </c>
      <c r="C184" s="250" t="s">
        <v>982</v>
      </c>
      <c r="D184" s="250" t="s">
        <v>838</v>
      </c>
      <c r="E184" s="250">
        <v>1.5</v>
      </c>
      <c r="F184" s="251">
        <v>45078.739756944444</v>
      </c>
      <c r="G184" s="250">
        <v>1</v>
      </c>
      <c r="H184" s="250">
        <v>51.377400000000002</v>
      </c>
      <c r="I184" s="250">
        <v>7.1097400000000004</v>
      </c>
      <c r="J184" s="250">
        <v>-3.8568769999999999</v>
      </c>
      <c r="K184" s="250">
        <v>-3.0272779999999999</v>
      </c>
      <c r="L184" s="250">
        <v>1055.53</v>
      </c>
      <c r="M184" s="250">
        <v>130.50006099999999</v>
      </c>
      <c r="N184" s="250">
        <v>18600.243299999998</v>
      </c>
      <c r="O184" s="250">
        <v>18606.640299999999</v>
      </c>
      <c r="P184" s="250">
        <v>2028.1221700000001</v>
      </c>
      <c r="Q184" s="250" t="s">
        <v>18</v>
      </c>
      <c r="R184" s="250" t="s">
        <v>839</v>
      </c>
      <c r="S184" s="250" t="s">
        <v>21</v>
      </c>
      <c r="T184" s="250">
        <v>15</v>
      </c>
      <c r="U184" s="250">
        <v>5</v>
      </c>
      <c r="V184" s="250">
        <v>0.7</v>
      </c>
      <c r="W184" s="250">
        <v>0.7</v>
      </c>
      <c r="X184" s="250">
        <v>0.7</v>
      </c>
      <c r="Y184" s="250">
        <v>1700</v>
      </c>
      <c r="Z184" s="250" t="s">
        <v>840</v>
      </c>
      <c r="AA184" s="250">
        <v>0.85</v>
      </c>
      <c r="AB184" s="250" t="s">
        <v>841</v>
      </c>
      <c r="AC184" s="250" t="s">
        <v>842</v>
      </c>
      <c r="AD184" s="250">
        <v>220</v>
      </c>
      <c r="AE184" s="250"/>
      <c r="AF184" s="250"/>
      <c r="AG184" s="241"/>
    </row>
    <row r="185" spans="1:33" ht="15.75">
      <c r="A185" s="250" t="s">
        <v>873</v>
      </c>
      <c r="B185" s="250">
        <v>20</v>
      </c>
      <c r="C185" s="250" t="s">
        <v>982</v>
      </c>
      <c r="D185" s="250" t="s">
        <v>838</v>
      </c>
      <c r="E185" s="250">
        <v>1.5</v>
      </c>
      <c r="F185" s="251">
        <v>45078.743414351855</v>
      </c>
      <c r="G185" s="250">
        <v>1</v>
      </c>
      <c r="H185" s="250">
        <v>51.374099999999999</v>
      </c>
      <c r="I185" s="250">
        <v>7.0633299999999997</v>
      </c>
      <c r="J185" s="250">
        <v>-3.842886</v>
      </c>
      <c r="K185" s="250">
        <v>-2.9968059999999999</v>
      </c>
      <c r="L185" s="250">
        <v>1046.04</v>
      </c>
      <c r="M185" s="250">
        <v>123.500215</v>
      </c>
      <c r="N185" s="250">
        <v>18601.924599999998</v>
      </c>
      <c r="O185" s="250">
        <v>18594.462500000001</v>
      </c>
      <c r="P185" s="250">
        <v>2026.7987700000001</v>
      </c>
      <c r="Q185" s="250" t="s">
        <v>18</v>
      </c>
      <c r="R185" s="250" t="s">
        <v>839</v>
      </c>
      <c r="S185" s="250" t="s">
        <v>21</v>
      </c>
      <c r="T185" s="250">
        <v>15</v>
      </c>
      <c r="U185" s="250">
        <v>5</v>
      </c>
      <c r="V185" s="250">
        <v>0.7</v>
      </c>
      <c r="W185" s="250">
        <v>0.7</v>
      </c>
      <c r="X185" s="250">
        <v>0.7</v>
      </c>
      <c r="Y185" s="250">
        <v>1700</v>
      </c>
      <c r="Z185" s="250" t="s">
        <v>840</v>
      </c>
      <c r="AA185" s="250">
        <v>0.85</v>
      </c>
      <c r="AB185" s="250" t="s">
        <v>841</v>
      </c>
      <c r="AC185" s="250" t="s">
        <v>842</v>
      </c>
      <c r="AD185" s="250">
        <v>220</v>
      </c>
      <c r="AE185" s="250"/>
      <c r="AF185" s="250"/>
      <c r="AG185" s="241"/>
    </row>
    <row r="186" spans="1:33" ht="15.75">
      <c r="A186" s="250" t="s">
        <v>1013</v>
      </c>
      <c r="B186" s="250">
        <v>20</v>
      </c>
      <c r="C186" s="250" t="s">
        <v>982</v>
      </c>
      <c r="D186" s="250" t="s">
        <v>838</v>
      </c>
      <c r="E186" s="250">
        <v>1.5</v>
      </c>
      <c r="F186" s="251">
        <v>45078.747037037036</v>
      </c>
      <c r="G186" s="250">
        <v>1</v>
      </c>
      <c r="H186" s="250">
        <v>51.374099999999999</v>
      </c>
      <c r="I186" s="250">
        <v>7.0854100000000004</v>
      </c>
      <c r="J186" s="250">
        <v>-3.8418739999999998</v>
      </c>
      <c r="K186" s="250">
        <v>-2.9968750000000002</v>
      </c>
      <c r="L186" s="250">
        <v>1039.4000000000001</v>
      </c>
      <c r="M186" s="250">
        <v>115.999707</v>
      </c>
      <c r="N186" s="250">
        <v>18589.230500000001</v>
      </c>
      <c r="O186" s="250">
        <v>18594.462500000001</v>
      </c>
      <c r="P186" s="250">
        <v>2026.7987700000001</v>
      </c>
      <c r="Q186" s="250" t="s">
        <v>18</v>
      </c>
      <c r="R186" s="250" t="s">
        <v>839</v>
      </c>
      <c r="S186" s="250" t="s">
        <v>21</v>
      </c>
      <c r="T186" s="250">
        <v>15</v>
      </c>
      <c r="U186" s="250">
        <v>5</v>
      </c>
      <c r="V186" s="250">
        <v>0.7</v>
      </c>
      <c r="W186" s="250">
        <v>0.7</v>
      </c>
      <c r="X186" s="250">
        <v>0.7</v>
      </c>
      <c r="Y186" s="250">
        <v>1700</v>
      </c>
      <c r="Z186" s="250" t="s">
        <v>840</v>
      </c>
      <c r="AA186" s="250">
        <v>0.85</v>
      </c>
      <c r="AB186" s="250" t="s">
        <v>841</v>
      </c>
      <c r="AC186" s="250" t="s">
        <v>842</v>
      </c>
      <c r="AD186" s="250">
        <v>220</v>
      </c>
      <c r="AE186" s="250"/>
      <c r="AF186" s="250"/>
      <c r="AG186" s="241"/>
    </row>
    <row r="187" spans="1:33" ht="15.75">
      <c r="A187" s="250" t="s">
        <v>1014</v>
      </c>
      <c r="B187" s="250">
        <v>20</v>
      </c>
      <c r="C187" s="250" t="s">
        <v>982</v>
      </c>
      <c r="D187" s="250" t="s">
        <v>838</v>
      </c>
      <c r="E187" s="250">
        <v>1.5</v>
      </c>
      <c r="F187" s="251">
        <v>45078.750555555554</v>
      </c>
      <c r="G187" s="250">
        <v>1</v>
      </c>
      <c r="H187" s="250">
        <v>51.377400000000002</v>
      </c>
      <c r="I187" s="250">
        <v>6.9872500000000004</v>
      </c>
      <c r="J187" s="250">
        <v>-3.880331</v>
      </c>
      <c r="K187" s="250">
        <v>-3.0323120000000001</v>
      </c>
      <c r="L187" s="250">
        <v>1051.57</v>
      </c>
      <c r="M187" s="250">
        <v>136.49969400000001</v>
      </c>
      <c r="N187" s="250">
        <v>18626.178599999999</v>
      </c>
      <c r="O187" s="250">
        <v>18594.462500000001</v>
      </c>
      <c r="P187" s="250">
        <v>2026.7987700000001</v>
      </c>
      <c r="Q187" s="250" t="s">
        <v>18</v>
      </c>
      <c r="R187" s="250" t="s">
        <v>647</v>
      </c>
      <c r="S187" s="250" t="s">
        <v>21</v>
      </c>
      <c r="T187" s="250">
        <v>15</v>
      </c>
      <c r="U187" s="250">
        <v>5</v>
      </c>
      <c r="V187" s="250">
        <v>0.7</v>
      </c>
      <c r="W187" s="250">
        <v>0.7</v>
      </c>
      <c r="X187" s="250">
        <v>0.7</v>
      </c>
      <c r="Y187" s="250">
        <v>1700</v>
      </c>
      <c r="Z187" s="250" t="s">
        <v>840</v>
      </c>
      <c r="AA187" s="250">
        <v>0.85</v>
      </c>
      <c r="AB187" s="250" t="s">
        <v>841</v>
      </c>
      <c r="AC187" s="250" t="s">
        <v>842</v>
      </c>
      <c r="AD187" s="250">
        <v>220</v>
      </c>
      <c r="AE187" s="250"/>
      <c r="AF187" s="250"/>
      <c r="AG187" s="241"/>
    </row>
    <row r="188" spans="1:33" ht="15.75">
      <c r="A188" s="250" t="s">
        <v>1015</v>
      </c>
      <c r="B188" s="250">
        <v>20</v>
      </c>
      <c r="C188" s="250" t="s">
        <v>982</v>
      </c>
      <c r="D188" s="250" t="s">
        <v>838</v>
      </c>
      <c r="E188" s="250">
        <v>1.5</v>
      </c>
      <c r="F188" s="251">
        <v>45078.754282407404</v>
      </c>
      <c r="G188" s="250">
        <v>1</v>
      </c>
      <c r="H188" s="250">
        <v>51.3675</v>
      </c>
      <c r="I188" s="250">
        <v>7.0210400000000002</v>
      </c>
      <c r="J188" s="250">
        <v>-3.9112209999999998</v>
      </c>
      <c r="K188" s="250">
        <v>-3.062147</v>
      </c>
      <c r="L188" s="250">
        <v>1046.04</v>
      </c>
      <c r="M188" s="250">
        <v>121.000956</v>
      </c>
      <c r="N188" s="250">
        <v>18592.2323</v>
      </c>
      <c r="O188" s="250">
        <v>18594.462500000001</v>
      </c>
      <c r="P188" s="250">
        <v>2026.7987700000001</v>
      </c>
      <c r="Q188" s="250" t="s">
        <v>18</v>
      </c>
      <c r="R188" s="250" t="s">
        <v>839</v>
      </c>
      <c r="S188" s="250" t="s">
        <v>21</v>
      </c>
      <c r="T188" s="250">
        <v>15</v>
      </c>
      <c r="U188" s="250">
        <v>5</v>
      </c>
      <c r="V188" s="250">
        <v>0.7</v>
      </c>
      <c r="W188" s="250">
        <v>0.7</v>
      </c>
      <c r="X188" s="250">
        <v>0.7</v>
      </c>
      <c r="Y188" s="250">
        <v>1700</v>
      </c>
      <c r="Z188" s="250" t="s">
        <v>840</v>
      </c>
      <c r="AA188" s="250">
        <v>0.85</v>
      </c>
      <c r="AB188" s="250" t="s">
        <v>841</v>
      </c>
      <c r="AC188" s="250" t="s">
        <v>842</v>
      </c>
      <c r="AD188" s="250">
        <v>220</v>
      </c>
      <c r="AE188" s="250"/>
      <c r="AF188" s="250"/>
      <c r="AG188" s="241"/>
    </row>
    <row r="189" spans="1:33" ht="15.75">
      <c r="A189" s="250" t="s">
        <v>874</v>
      </c>
      <c r="B189" s="250">
        <v>21</v>
      </c>
      <c r="C189" s="250" t="s">
        <v>982</v>
      </c>
      <c r="D189" s="250" t="s">
        <v>838</v>
      </c>
      <c r="E189" s="250">
        <v>1.5</v>
      </c>
      <c r="F189" s="251">
        <v>45078.757881944446</v>
      </c>
      <c r="G189" s="250">
        <v>1</v>
      </c>
      <c r="H189" s="250">
        <v>51.3675</v>
      </c>
      <c r="I189" s="250">
        <v>7.0361700000000003</v>
      </c>
      <c r="J189" s="250">
        <v>-3.9824009999999999</v>
      </c>
      <c r="K189" s="250">
        <v>-3.1397050000000002</v>
      </c>
      <c r="L189" s="250">
        <v>1044.78</v>
      </c>
      <c r="M189" s="250">
        <v>125.500117</v>
      </c>
      <c r="N189" s="250">
        <v>18607.718799999999</v>
      </c>
      <c r="O189" s="250">
        <v>18597.639500000001</v>
      </c>
      <c r="P189" s="250">
        <v>2027.14402</v>
      </c>
      <c r="Q189" s="250" t="s">
        <v>18</v>
      </c>
      <c r="R189" s="250" t="s">
        <v>839</v>
      </c>
      <c r="S189" s="250" t="s">
        <v>21</v>
      </c>
      <c r="T189" s="250">
        <v>15</v>
      </c>
      <c r="U189" s="250">
        <v>5</v>
      </c>
      <c r="V189" s="250">
        <v>0.7</v>
      </c>
      <c r="W189" s="250">
        <v>0.7</v>
      </c>
      <c r="X189" s="250">
        <v>0.7</v>
      </c>
      <c r="Y189" s="250">
        <v>1700</v>
      </c>
      <c r="Z189" s="250" t="s">
        <v>840</v>
      </c>
      <c r="AA189" s="250">
        <v>0.85</v>
      </c>
      <c r="AB189" s="250" t="s">
        <v>841</v>
      </c>
      <c r="AC189" s="250" t="s">
        <v>842</v>
      </c>
      <c r="AD189" s="250">
        <v>220</v>
      </c>
      <c r="AE189" s="250"/>
      <c r="AF189" s="250"/>
      <c r="AG189" s="241"/>
    </row>
    <row r="190" spans="1:33" ht="15.75">
      <c r="A190" s="250" t="s">
        <v>1016</v>
      </c>
      <c r="B190" s="250">
        <v>21</v>
      </c>
      <c r="C190" s="250" t="s">
        <v>982</v>
      </c>
      <c r="D190" s="250" t="s">
        <v>838</v>
      </c>
      <c r="E190" s="250">
        <v>1.5</v>
      </c>
      <c r="F190" s="251">
        <v>45078.76152777778</v>
      </c>
      <c r="G190" s="250">
        <v>1</v>
      </c>
      <c r="H190" s="250">
        <v>51.370800000000003</v>
      </c>
      <c r="I190" s="250">
        <v>7.07064</v>
      </c>
      <c r="J190" s="250">
        <v>-3.8627899999999999</v>
      </c>
      <c r="K190" s="250">
        <v>-3.0146860000000002</v>
      </c>
      <c r="L190" s="250">
        <v>1061.98</v>
      </c>
      <c r="M190" s="250">
        <v>122.498217</v>
      </c>
      <c r="N190" s="250">
        <v>18587.807100000002</v>
      </c>
      <c r="O190" s="250">
        <v>18597.639500000001</v>
      </c>
      <c r="P190" s="250">
        <v>2027.14402</v>
      </c>
      <c r="Q190" s="250" t="s">
        <v>18</v>
      </c>
      <c r="R190" s="250" t="s">
        <v>839</v>
      </c>
      <c r="S190" s="250" t="s">
        <v>21</v>
      </c>
      <c r="T190" s="250">
        <v>15</v>
      </c>
      <c r="U190" s="250">
        <v>5</v>
      </c>
      <c r="V190" s="250">
        <v>0.7</v>
      </c>
      <c r="W190" s="250">
        <v>0.7</v>
      </c>
      <c r="X190" s="250">
        <v>0.7</v>
      </c>
      <c r="Y190" s="250">
        <v>1700</v>
      </c>
      <c r="Z190" s="250" t="s">
        <v>840</v>
      </c>
      <c r="AA190" s="250">
        <v>0.85</v>
      </c>
      <c r="AB190" s="250" t="s">
        <v>841</v>
      </c>
      <c r="AC190" s="250" t="s">
        <v>842</v>
      </c>
      <c r="AD190" s="250">
        <v>220</v>
      </c>
      <c r="AE190" s="250"/>
      <c r="AF190" s="250"/>
      <c r="AG190" s="241"/>
    </row>
    <row r="191" spans="1:33" ht="15.75">
      <c r="A191" s="250" t="s">
        <v>1017</v>
      </c>
      <c r="B191" s="250">
        <v>21</v>
      </c>
      <c r="C191" s="250" t="s">
        <v>982</v>
      </c>
      <c r="D191" s="250" t="s">
        <v>838</v>
      </c>
      <c r="E191" s="250">
        <v>1.5</v>
      </c>
      <c r="F191" s="251">
        <v>45078.765115740738</v>
      </c>
      <c r="G191" s="250">
        <v>1</v>
      </c>
      <c r="H191" s="250">
        <v>51.370800000000003</v>
      </c>
      <c r="I191" s="250">
        <v>7.1005200000000004</v>
      </c>
      <c r="J191" s="250">
        <v>-3.913964</v>
      </c>
      <c r="K191" s="250">
        <v>-3.0678190000000001</v>
      </c>
      <c r="L191" s="250">
        <v>1038.6199999999999</v>
      </c>
      <c r="M191" s="250">
        <v>115.99945099999999</v>
      </c>
      <c r="N191" s="250">
        <v>18597.392400000001</v>
      </c>
      <c r="O191" s="250">
        <v>18597.639500000001</v>
      </c>
      <c r="P191" s="250">
        <v>2027.14402</v>
      </c>
      <c r="Q191" s="250" t="s">
        <v>18</v>
      </c>
      <c r="R191" s="250" t="s">
        <v>839</v>
      </c>
      <c r="S191" s="250" t="s">
        <v>21</v>
      </c>
      <c r="T191" s="250">
        <v>15</v>
      </c>
      <c r="U191" s="250">
        <v>5</v>
      </c>
      <c r="V191" s="250">
        <v>0.7</v>
      </c>
      <c r="W191" s="250">
        <v>0.7</v>
      </c>
      <c r="X191" s="250">
        <v>0.7</v>
      </c>
      <c r="Y191" s="250">
        <v>1700</v>
      </c>
      <c r="Z191" s="250" t="s">
        <v>840</v>
      </c>
      <c r="AA191" s="250">
        <v>0.85</v>
      </c>
      <c r="AB191" s="250" t="s">
        <v>841</v>
      </c>
      <c r="AC191" s="250" t="s">
        <v>842</v>
      </c>
      <c r="AD191" s="250">
        <v>220</v>
      </c>
      <c r="AE191" s="250"/>
      <c r="AF191" s="250"/>
      <c r="AG191" s="241"/>
    </row>
    <row r="192" spans="1:33" ht="15.75">
      <c r="A192" s="250" t="s">
        <v>835</v>
      </c>
      <c r="B192" s="250" t="s">
        <v>836</v>
      </c>
      <c r="C192" s="250" t="s">
        <v>837</v>
      </c>
      <c r="D192" s="250" t="s">
        <v>838</v>
      </c>
      <c r="E192" s="250">
        <v>1</v>
      </c>
      <c r="F192" s="251">
        <v>45079.408483796295</v>
      </c>
      <c r="G192" s="250">
        <v>1</v>
      </c>
      <c r="H192" s="250">
        <v>51.370800000000003</v>
      </c>
      <c r="I192" s="250">
        <v>9.5531000000000006</v>
      </c>
      <c r="J192" s="250">
        <v>-3.0331679999999999</v>
      </c>
      <c r="K192" s="250">
        <v>-2.184701</v>
      </c>
      <c r="L192" s="250">
        <v>915.27</v>
      </c>
      <c r="M192" s="250">
        <v>103.000473</v>
      </c>
      <c r="N192" s="250">
        <v>11943.230299999999</v>
      </c>
      <c r="O192" s="250">
        <v>11943.230299999999</v>
      </c>
      <c r="P192" s="250">
        <v>1955.9764</v>
      </c>
      <c r="Q192" s="250" t="s">
        <v>18</v>
      </c>
      <c r="R192" s="250" t="s">
        <v>839</v>
      </c>
      <c r="S192" s="250" t="s">
        <v>21</v>
      </c>
      <c r="T192" s="250">
        <v>15</v>
      </c>
      <c r="U192" s="250">
        <v>5</v>
      </c>
      <c r="V192" s="250">
        <v>0.7</v>
      </c>
      <c r="W192" s="250">
        <v>0.7</v>
      </c>
      <c r="X192" s="250">
        <v>0.7</v>
      </c>
      <c r="Y192" s="250">
        <v>1700</v>
      </c>
      <c r="Z192" s="250" t="s">
        <v>840</v>
      </c>
      <c r="AA192" s="250">
        <v>0.85</v>
      </c>
      <c r="AB192" s="250" t="s">
        <v>841</v>
      </c>
      <c r="AC192" s="250" t="s">
        <v>842</v>
      </c>
      <c r="AD192" s="250">
        <v>220</v>
      </c>
      <c r="AE192" s="250"/>
      <c r="AF192" s="250"/>
      <c r="AG192" s="241"/>
    </row>
    <row r="193" spans="1:33" ht="15.75">
      <c r="A193" s="250" t="s">
        <v>843</v>
      </c>
      <c r="B193" s="250" t="s">
        <v>836</v>
      </c>
      <c r="C193" s="250" t="s">
        <v>837</v>
      </c>
      <c r="D193" s="250" t="s">
        <v>838</v>
      </c>
      <c r="E193" s="250">
        <v>1</v>
      </c>
      <c r="F193" s="251">
        <v>45079.411597222221</v>
      </c>
      <c r="G193" s="250">
        <v>1</v>
      </c>
      <c r="H193" s="250">
        <v>51.3675</v>
      </c>
      <c r="I193" s="250">
        <v>7.7220500000000003</v>
      </c>
      <c r="J193" s="250">
        <v>-3.2279040000000001</v>
      </c>
      <c r="K193" s="250">
        <v>-2.403216</v>
      </c>
      <c r="L193" s="250">
        <v>924.09100000000001</v>
      </c>
      <c r="M193" s="250">
        <v>101.99951799999999</v>
      </c>
      <c r="N193" s="250">
        <v>11858.668799999999</v>
      </c>
      <c r="O193" s="250">
        <v>11858.668799999999</v>
      </c>
      <c r="P193" s="250">
        <v>1942.1919800000001</v>
      </c>
      <c r="Q193" s="250" t="s">
        <v>18</v>
      </c>
      <c r="R193" s="250" t="s">
        <v>839</v>
      </c>
      <c r="S193" s="250" t="s">
        <v>21</v>
      </c>
      <c r="T193" s="250">
        <v>15</v>
      </c>
      <c r="U193" s="250">
        <v>5</v>
      </c>
      <c r="V193" s="250">
        <v>0.7</v>
      </c>
      <c r="W193" s="250">
        <v>0.7</v>
      </c>
      <c r="X193" s="250">
        <v>0.7</v>
      </c>
      <c r="Y193" s="250">
        <v>1700</v>
      </c>
      <c r="Z193" s="250" t="s">
        <v>840</v>
      </c>
      <c r="AA193" s="250">
        <v>0.85</v>
      </c>
      <c r="AB193" s="250" t="s">
        <v>841</v>
      </c>
      <c r="AC193" s="250" t="s">
        <v>842</v>
      </c>
      <c r="AD193" s="250">
        <v>220</v>
      </c>
      <c r="AE193" s="250"/>
      <c r="AF193" s="250"/>
      <c r="AG193" s="241"/>
    </row>
    <row r="194" spans="1:33" ht="15.75">
      <c r="A194" s="250" t="s">
        <v>844</v>
      </c>
      <c r="B194" s="250" t="s">
        <v>836</v>
      </c>
      <c r="C194" s="250" t="s">
        <v>837</v>
      </c>
      <c r="D194" s="250" t="s">
        <v>838</v>
      </c>
      <c r="E194" s="250">
        <v>1</v>
      </c>
      <c r="F194" s="251">
        <v>45079.414675925924</v>
      </c>
      <c r="G194" s="250">
        <v>1</v>
      </c>
      <c r="H194" s="250">
        <v>51.3675</v>
      </c>
      <c r="I194" s="250">
        <v>7.3856000000000002</v>
      </c>
      <c r="J194" s="250">
        <v>-3.3689800000000001</v>
      </c>
      <c r="K194" s="250">
        <v>-2.5293950000000001</v>
      </c>
      <c r="L194" s="250">
        <v>925.74900000000002</v>
      </c>
      <c r="M194" s="250">
        <v>102.00019500000001</v>
      </c>
      <c r="N194" s="250">
        <v>11893.373100000001</v>
      </c>
      <c r="O194" s="250">
        <v>11893.373100000001</v>
      </c>
      <c r="P194" s="250">
        <v>1947.84915</v>
      </c>
      <c r="Q194" s="250" t="s">
        <v>18</v>
      </c>
      <c r="R194" s="250" t="s">
        <v>839</v>
      </c>
      <c r="S194" s="250" t="s">
        <v>21</v>
      </c>
      <c r="T194" s="250">
        <v>15</v>
      </c>
      <c r="U194" s="250">
        <v>5</v>
      </c>
      <c r="V194" s="250">
        <v>0.7</v>
      </c>
      <c r="W194" s="250">
        <v>0.7</v>
      </c>
      <c r="X194" s="250">
        <v>0.7</v>
      </c>
      <c r="Y194" s="250">
        <v>1700</v>
      </c>
      <c r="Z194" s="250" t="s">
        <v>840</v>
      </c>
      <c r="AA194" s="250">
        <v>0.85</v>
      </c>
      <c r="AB194" s="250" t="s">
        <v>841</v>
      </c>
      <c r="AC194" s="250" t="s">
        <v>842</v>
      </c>
      <c r="AD194" s="250">
        <v>220</v>
      </c>
      <c r="AE194" s="250"/>
      <c r="AF194" s="250"/>
      <c r="AG194" s="241"/>
    </row>
    <row r="195" spans="1:33" ht="15.75">
      <c r="A195" s="250" t="s">
        <v>845</v>
      </c>
      <c r="B195" s="250" t="s">
        <v>836</v>
      </c>
      <c r="C195" s="250" t="s">
        <v>837</v>
      </c>
      <c r="D195" s="250" t="s">
        <v>838</v>
      </c>
      <c r="E195" s="250">
        <v>1</v>
      </c>
      <c r="F195" s="251">
        <v>45079.417743055557</v>
      </c>
      <c r="G195" s="250">
        <v>1</v>
      </c>
      <c r="H195" s="250">
        <v>51.3675</v>
      </c>
      <c r="I195" s="250">
        <v>7.2350099999999999</v>
      </c>
      <c r="J195" s="250">
        <v>-3.4796960000000001</v>
      </c>
      <c r="K195" s="250">
        <v>-2.630153</v>
      </c>
      <c r="L195" s="250">
        <v>926.87400000000002</v>
      </c>
      <c r="M195" s="250">
        <v>98.499105</v>
      </c>
      <c r="N195" s="250">
        <v>11901.516</v>
      </c>
      <c r="O195" s="250">
        <v>11901.516</v>
      </c>
      <c r="P195" s="250">
        <v>1949.17653</v>
      </c>
      <c r="Q195" s="250" t="s">
        <v>18</v>
      </c>
      <c r="R195" s="250" t="s">
        <v>839</v>
      </c>
      <c r="S195" s="250" t="s">
        <v>21</v>
      </c>
      <c r="T195" s="250">
        <v>15</v>
      </c>
      <c r="U195" s="250">
        <v>5</v>
      </c>
      <c r="V195" s="250">
        <v>0.7</v>
      </c>
      <c r="W195" s="250">
        <v>0.7</v>
      </c>
      <c r="X195" s="250">
        <v>0.7</v>
      </c>
      <c r="Y195" s="250">
        <v>1700</v>
      </c>
      <c r="Z195" s="250" t="s">
        <v>840</v>
      </c>
      <c r="AA195" s="250">
        <v>0.85</v>
      </c>
      <c r="AB195" s="250" t="s">
        <v>841</v>
      </c>
      <c r="AC195" s="250" t="s">
        <v>842</v>
      </c>
      <c r="AD195" s="250">
        <v>220</v>
      </c>
      <c r="AE195" s="250"/>
      <c r="AF195" s="250"/>
      <c r="AG195" s="241"/>
    </row>
    <row r="196" spans="1:33" ht="15.75">
      <c r="A196" s="250" t="s">
        <v>846</v>
      </c>
      <c r="B196" s="250" t="s">
        <v>836</v>
      </c>
      <c r="C196" s="250" t="s">
        <v>837</v>
      </c>
      <c r="D196" s="250" t="s">
        <v>838</v>
      </c>
      <c r="E196" s="250">
        <v>1</v>
      </c>
      <c r="F196" s="251">
        <v>45079.420740740738</v>
      </c>
      <c r="G196" s="250">
        <v>1</v>
      </c>
      <c r="H196" s="250">
        <v>51.370800000000003</v>
      </c>
      <c r="I196" s="250">
        <v>7.2890300000000003</v>
      </c>
      <c r="J196" s="250">
        <v>-3.4478330000000001</v>
      </c>
      <c r="K196" s="250">
        <v>-2.6267610000000001</v>
      </c>
      <c r="L196" s="250">
        <v>929.995</v>
      </c>
      <c r="M196" s="250">
        <v>95.000090999999998</v>
      </c>
      <c r="N196" s="250">
        <v>11903.2629</v>
      </c>
      <c r="O196" s="250">
        <v>11903.2629</v>
      </c>
      <c r="P196" s="250">
        <v>1949.46129</v>
      </c>
      <c r="Q196" s="250" t="s">
        <v>18</v>
      </c>
      <c r="R196" s="250" t="s">
        <v>839</v>
      </c>
      <c r="S196" s="250" t="s">
        <v>21</v>
      </c>
      <c r="T196" s="250">
        <v>15</v>
      </c>
      <c r="U196" s="250">
        <v>5</v>
      </c>
      <c r="V196" s="250">
        <v>0.7</v>
      </c>
      <c r="W196" s="250">
        <v>0.7</v>
      </c>
      <c r="X196" s="250">
        <v>0.7</v>
      </c>
      <c r="Y196" s="250">
        <v>1700</v>
      </c>
      <c r="Z196" s="250" t="s">
        <v>840</v>
      </c>
      <c r="AA196" s="250">
        <v>0.85</v>
      </c>
      <c r="AB196" s="250" t="s">
        <v>841</v>
      </c>
      <c r="AC196" s="250" t="s">
        <v>842</v>
      </c>
      <c r="AD196" s="250">
        <v>220</v>
      </c>
      <c r="AE196" s="250"/>
      <c r="AF196" s="250"/>
      <c r="AG196" s="241"/>
    </row>
    <row r="197" spans="1:33" ht="15.75">
      <c r="A197" s="250" t="s">
        <v>847</v>
      </c>
      <c r="B197" s="250" t="s">
        <v>836</v>
      </c>
      <c r="C197" s="250" t="s">
        <v>731</v>
      </c>
      <c r="D197" s="250" t="s">
        <v>838</v>
      </c>
      <c r="E197" s="250">
        <v>1</v>
      </c>
      <c r="F197" s="251">
        <v>45079.428842592592</v>
      </c>
      <c r="G197" s="250">
        <v>1</v>
      </c>
      <c r="H197" s="250">
        <v>51.370800000000003</v>
      </c>
      <c r="I197" s="250">
        <v>7.3081800000000001</v>
      </c>
      <c r="J197" s="250">
        <v>-3.61836</v>
      </c>
      <c r="K197" s="250">
        <v>-2.773596</v>
      </c>
      <c r="L197" s="250">
        <v>1008.32</v>
      </c>
      <c r="M197" s="250">
        <v>101.500409</v>
      </c>
      <c r="N197" s="250">
        <v>12272.727000000001</v>
      </c>
      <c r="O197" s="250">
        <v>12272.727000000001</v>
      </c>
      <c r="P197" s="250">
        <v>2009.68788</v>
      </c>
      <c r="Q197" s="250" t="s">
        <v>18</v>
      </c>
      <c r="R197" s="250" t="s">
        <v>839</v>
      </c>
      <c r="S197" s="250" t="s">
        <v>21</v>
      </c>
      <c r="T197" s="250">
        <v>15</v>
      </c>
      <c r="U197" s="250">
        <v>5</v>
      </c>
      <c r="V197" s="250">
        <v>0.7</v>
      </c>
      <c r="W197" s="250">
        <v>0.7</v>
      </c>
      <c r="X197" s="250">
        <v>0.7</v>
      </c>
      <c r="Y197" s="250">
        <v>1700</v>
      </c>
      <c r="Z197" s="250" t="s">
        <v>840</v>
      </c>
      <c r="AA197" s="250">
        <v>0.85</v>
      </c>
      <c r="AB197" s="250" t="s">
        <v>841</v>
      </c>
      <c r="AC197" s="250" t="s">
        <v>842</v>
      </c>
      <c r="AD197" s="250">
        <v>220</v>
      </c>
      <c r="AE197" s="250"/>
      <c r="AF197" s="250"/>
      <c r="AG197" s="241"/>
    </row>
    <row r="198" spans="1:33" ht="15.75">
      <c r="A198" s="250" t="s">
        <v>848</v>
      </c>
      <c r="B198" s="250" t="s">
        <v>836</v>
      </c>
      <c r="C198" s="250" t="s">
        <v>731</v>
      </c>
      <c r="D198" s="250" t="s">
        <v>838</v>
      </c>
      <c r="E198" s="250">
        <v>1</v>
      </c>
      <c r="F198" s="251">
        <v>45079.431898148148</v>
      </c>
      <c r="G198" s="250">
        <v>1</v>
      </c>
      <c r="H198" s="250">
        <v>51.370800000000003</v>
      </c>
      <c r="I198" s="250">
        <v>7.2317900000000002</v>
      </c>
      <c r="J198" s="250">
        <v>-3.5284970000000002</v>
      </c>
      <c r="K198" s="250">
        <v>-2.6819169999999999</v>
      </c>
      <c r="L198" s="250">
        <v>1003.7</v>
      </c>
      <c r="M198" s="250">
        <v>88.999689000000004</v>
      </c>
      <c r="N198" s="250">
        <v>12366.501399999999</v>
      </c>
      <c r="O198" s="250">
        <v>12366.501399999999</v>
      </c>
      <c r="P198" s="250">
        <v>2024.9741100000001</v>
      </c>
      <c r="Q198" s="250" t="s">
        <v>18</v>
      </c>
      <c r="R198" s="250" t="s">
        <v>839</v>
      </c>
      <c r="S198" s="250" t="s">
        <v>21</v>
      </c>
      <c r="T198" s="250">
        <v>15</v>
      </c>
      <c r="U198" s="250">
        <v>5</v>
      </c>
      <c r="V198" s="250">
        <v>0.7</v>
      </c>
      <c r="W198" s="250">
        <v>0.7</v>
      </c>
      <c r="X198" s="250">
        <v>0.7</v>
      </c>
      <c r="Y198" s="250">
        <v>1700</v>
      </c>
      <c r="Z198" s="250" t="s">
        <v>840</v>
      </c>
      <c r="AA198" s="250">
        <v>0.85</v>
      </c>
      <c r="AB198" s="250" t="s">
        <v>841</v>
      </c>
      <c r="AC198" s="250" t="s">
        <v>842</v>
      </c>
      <c r="AD198" s="250">
        <v>220</v>
      </c>
      <c r="AE198" s="250"/>
      <c r="AF198" s="250"/>
      <c r="AG198" s="241"/>
    </row>
    <row r="199" spans="1:33" ht="15.75">
      <c r="A199" s="250" t="s">
        <v>849</v>
      </c>
      <c r="B199" s="250" t="s">
        <v>836</v>
      </c>
      <c r="C199" s="250" t="s">
        <v>731</v>
      </c>
      <c r="D199" s="250" t="s">
        <v>838</v>
      </c>
      <c r="E199" s="250">
        <v>1</v>
      </c>
      <c r="F199" s="251">
        <v>45079.434803240743</v>
      </c>
      <c r="G199" s="250">
        <v>1</v>
      </c>
      <c r="H199" s="250">
        <v>51.370800000000003</v>
      </c>
      <c r="I199" s="250">
        <v>7.16425</v>
      </c>
      <c r="J199" s="250">
        <v>-3.7305039999999998</v>
      </c>
      <c r="K199" s="250">
        <v>-2.8867400000000001</v>
      </c>
      <c r="L199" s="250">
        <v>992.03700000000003</v>
      </c>
      <c r="M199" s="250">
        <v>93.998863</v>
      </c>
      <c r="N199" s="250">
        <v>12399.378199999999</v>
      </c>
      <c r="O199" s="250">
        <v>12399.378199999999</v>
      </c>
      <c r="P199" s="250">
        <v>2030.3333700000001</v>
      </c>
      <c r="Q199" s="250" t="s">
        <v>18</v>
      </c>
      <c r="R199" s="250" t="s">
        <v>839</v>
      </c>
      <c r="S199" s="250" t="s">
        <v>21</v>
      </c>
      <c r="T199" s="250">
        <v>15</v>
      </c>
      <c r="U199" s="250">
        <v>5</v>
      </c>
      <c r="V199" s="250">
        <v>0.7</v>
      </c>
      <c r="W199" s="250">
        <v>0.7</v>
      </c>
      <c r="X199" s="250">
        <v>0.7</v>
      </c>
      <c r="Y199" s="250">
        <v>1700</v>
      </c>
      <c r="Z199" s="250" t="s">
        <v>840</v>
      </c>
      <c r="AA199" s="250">
        <v>0.85</v>
      </c>
      <c r="AB199" s="250" t="s">
        <v>841</v>
      </c>
      <c r="AC199" s="250" t="s">
        <v>842</v>
      </c>
      <c r="AD199" s="250">
        <v>220</v>
      </c>
      <c r="AE199" s="250"/>
      <c r="AF199" s="250"/>
      <c r="AG199" s="241"/>
    </row>
    <row r="200" spans="1:33" ht="15.75">
      <c r="A200" s="250" t="s">
        <v>850</v>
      </c>
      <c r="B200" s="250" t="s">
        <v>836</v>
      </c>
      <c r="C200" s="250" t="s">
        <v>731</v>
      </c>
      <c r="D200" s="250" t="s">
        <v>838</v>
      </c>
      <c r="E200" s="250">
        <v>1</v>
      </c>
      <c r="F200" s="251">
        <v>45079.4377662037</v>
      </c>
      <c r="G200" s="250">
        <v>1</v>
      </c>
      <c r="H200" s="250">
        <v>51.3675</v>
      </c>
      <c r="I200" s="250">
        <v>7.0482300000000002</v>
      </c>
      <c r="J200" s="250">
        <v>-3.6715589999999998</v>
      </c>
      <c r="K200" s="250">
        <v>-2.842619</v>
      </c>
      <c r="L200" s="250">
        <v>984.40499999999997</v>
      </c>
      <c r="M200" s="250">
        <v>102.49999800000001</v>
      </c>
      <c r="N200" s="250">
        <v>12411.3321</v>
      </c>
      <c r="O200" s="250">
        <v>12411.3321</v>
      </c>
      <c r="P200" s="250">
        <v>2032.28199</v>
      </c>
      <c r="Q200" s="250" t="s">
        <v>18</v>
      </c>
      <c r="R200" s="250" t="s">
        <v>839</v>
      </c>
      <c r="S200" s="250" t="s">
        <v>21</v>
      </c>
      <c r="T200" s="250">
        <v>15</v>
      </c>
      <c r="U200" s="250">
        <v>5</v>
      </c>
      <c r="V200" s="250">
        <v>0.7</v>
      </c>
      <c r="W200" s="250">
        <v>0.7</v>
      </c>
      <c r="X200" s="250">
        <v>0.7</v>
      </c>
      <c r="Y200" s="250">
        <v>1700</v>
      </c>
      <c r="Z200" s="250" t="s">
        <v>840</v>
      </c>
      <c r="AA200" s="250">
        <v>0.85</v>
      </c>
      <c r="AB200" s="250" t="s">
        <v>841</v>
      </c>
      <c r="AC200" s="250" t="s">
        <v>842</v>
      </c>
      <c r="AD200" s="250">
        <v>220</v>
      </c>
      <c r="AE200" s="250"/>
      <c r="AF200" s="250"/>
      <c r="AG200" s="241"/>
    </row>
    <row r="201" spans="1:33" ht="15.75">
      <c r="A201" s="250" t="s">
        <v>851</v>
      </c>
      <c r="B201" s="250" t="s">
        <v>836</v>
      </c>
      <c r="C201" s="250" t="s">
        <v>731</v>
      </c>
      <c r="D201" s="250" t="s">
        <v>838</v>
      </c>
      <c r="E201" s="250">
        <v>1</v>
      </c>
      <c r="F201" s="251">
        <v>45079.441782407404</v>
      </c>
      <c r="G201" s="250">
        <v>1</v>
      </c>
      <c r="H201" s="250">
        <v>51.370800000000003</v>
      </c>
      <c r="I201" s="250">
        <v>7.0380399999999996</v>
      </c>
      <c r="J201" s="250">
        <v>-3.7125010000000001</v>
      </c>
      <c r="K201" s="250">
        <v>-2.8657940000000002</v>
      </c>
      <c r="L201" s="250">
        <v>1017.84</v>
      </c>
      <c r="M201" s="250">
        <v>109.501114</v>
      </c>
      <c r="N201" s="250">
        <v>12406.625899999999</v>
      </c>
      <c r="O201" s="250">
        <v>12406.625899999999</v>
      </c>
      <c r="P201" s="250">
        <v>2031.5148300000001</v>
      </c>
      <c r="Q201" s="250" t="s">
        <v>18</v>
      </c>
      <c r="R201" s="250" t="s">
        <v>839</v>
      </c>
      <c r="S201" s="250" t="s">
        <v>21</v>
      </c>
      <c r="T201" s="250">
        <v>15</v>
      </c>
      <c r="U201" s="250">
        <v>5</v>
      </c>
      <c r="V201" s="250">
        <v>0.7</v>
      </c>
      <c r="W201" s="250">
        <v>0.7</v>
      </c>
      <c r="X201" s="250">
        <v>0.7</v>
      </c>
      <c r="Y201" s="250">
        <v>1700</v>
      </c>
      <c r="Z201" s="250" t="s">
        <v>840</v>
      </c>
      <c r="AA201" s="250">
        <v>0.85</v>
      </c>
      <c r="AB201" s="250" t="s">
        <v>841</v>
      </c>
      <c r="AC201" s="250" t="s">
        <v>842</v>
      </c>
      <c r="AD201" s="250">
        <v>220</v>
      </c>
      <c r="AE201" s="250"/>
      <c r="AF201" s="250"/>
      <c r="AG201" s="241"/>
    </row>
    <row r="202" spans="1:33" ht="15.75">
      <c r="A202" s="250" t="s">
        <v>944</v>
      </c>
      <c r="B202" s="250" t="s">
        <v>881</v>
      </c>
      <c r="C202" s="250" t="s">
        <v>731</v>
      </c>
      <c r="D202" s="250" t="s">
        <v>838</v>
      </c>
      <c r="E202" s="250">
        <v>1.2</v>
      </c>
      <c r="F202" s="251">
        <v>45079.450127314813</v>
      </c>
      <c r="G202" s="250">
        <v>1</v>
      </c>
      <c r="H202" s="250">
        <v>51.370800000000003</v>
      </c>
      <c r="I202" s="250">
        <v>6.9920099999999996</v>
      </c>
      <c r="J202" s="250">
        <v>-3.641016</v>
      </c>
      <c r="K202" s="250">
        <v>-2.8045629999999999</v>
      </c>
      <c r="L202" s="250">
        <v>1038.8800000000001</v>
      </c>
      <c r="M202" s="250">
        <v>115.999927</v>
      </c>
      <c r="N202" s="250">
        <v>14901.131799999999</v>
      </c>
      <c r="O202" s="250">
        <v>14908.3014</v>
      </c>
      <c r="P202" s="250">
        <v>2028.23</v>
      </c>
      <c r="Q202" s="250" t="s">
        <v>18</v>
      </c>
      <c r="R202" s="250" t="s">
        <v>839</v>
      </c>
      <c r="S202" s="250" t="s">
        <v>21</v>
      </c>
      <c r="T202" s="250">
        <v>15</v>
      </c>
      <c r="U202" s="250">
        <v>5</v>
      </c>
      <c r="V202" s="250">
        <v>0.7</v>
      </c>
      <c r="W202" s="250">
        <v>0.7</v>
      </c>
      <c r="X202" s="250">
        <v>0.7</v>
      </c>
      <c r="Y202" s="250">
        <v>1700</v>
      </c>
      <c r="Z202" s="250" t="s">
        <v>840</v>
      </c>
      <c r="AA202" s="250">
        <v>0.85</v>
      </c>
      <c r="AB202" s="250" t="s">
        <v>841</v>
      </c>
      <c r="AC202" s="250" t="s">
        <v>842</v>
      </c>
      <c r="AD202" s="250">
        <v>220</v>
      </c>
      <c r="AE202" s="250"/>
      <c r="AF202" s="250"/>
      <c r="AG202" s="241"/>
    </row>
    <row r="203" spans="1:33" ht="15.75">
      <c r="A203" s="250" t="s">
        <v>945</v>
      </c>
      <c r="B203" s="250" t="s">
        <v>881</v>
      </c>
      <c r="C203" s="250" t="s">
        <v>731</v>
      </c>
      <c r="D203" s="250" t="s">
        <v>838</v>
      </c>
      <c r="E203" s="250">
        <v>1.2</v>
      </c>
      <c r="F203" s="251">
        <v>45079.453553240739</v>
      </c>
      <c r="G203" s="250">
        <v>1</v>
      </c>
      <c r="H203" s="250">
        <v>51.370800000000003</v>
      </c>
      <c r="I203" s="250">
        <v>7.0913300000000001</v>
      </c>
      <c r="J203" s="250">
        <v>-3.8389799999999998</v>
      </c>
      <c r="K203" s="250">
        <v>-3.0061629999999999</v>
      </c>
      <c r="L203" s="250">
        <v>1005.9</v>
      </c>
      <c r="M203" s="250">
        <v>114.99952</v>
      </c>
      <c r="N203" s="250">
        <v>14914.810299999999</v>
      </c>
      <c r="O203" s="250">
        <v>14908.3014</v>
      </c>
      <c r="P203" s="250">
        <v>2028.23</v>
      </c>
      <c r="Q203" s="250" t="s">
        <v>18</v>
      </c>
      <c r="R203" s="250" t="s">
        <v>839</v>
      </c>
      <c r="S203" s="250" t="s">
        <v>21</v>
      </c>
      <c r="T203" s="250">
        <v>15</v>
      </c>
      <c r="U203" s="250">
        <v>5</v>
      </c>
      <c r="V203" s="250">
        <v>0.7</v>
      </c>
      <c r="W203" s="250">
        <v>0.7</v>
      </c>
      <c r="X203" s="250">
        <v>0.7</v>
      </c>
      <c r="Y203" s="250">
        <v>1700</v>
      </c>
      <c r="Z203" s="250" t="s">
        <v>840</v>
      </c>
      <c r="AA203" s="250">
        <v>0.85</v>
      </c>
      <c r="AB203" s="250" t="s">
        <v>841</v>
      </c>
      <c r="AC203" s="250" t="s">
        <v>842</v>
      </c>
      <c r="AD203" s="250">
        <v>220</v>
      </c>
      <c r="AE203" s="250"/>
      <c r="AF203" s="250"/>
      <c r="AG203" s="241"/>
    </row>
    <row r="204" spans="1:33" ht="15.75">
      <c r="A204" s="250" t="s">
        <v>946</v>
      </c>
      <c r="B204" s="250" t="s">
        <v>881</v>
      </c>
      <c r="C204" s="250" t="s">
        <v>731</v>
      </c>
      <c r="D204" s="250" t="s">
        <v>838</v>
      </c>
      <c r="E204" s="250">
        <v>1.2</v>
      </c>
      <c r="F204" s="251">
        <v>45079.456979166665</v>
      </c>
      <c r="G204" s="250">
        <v>1</v>
      </c>
      <c r="H204" s="250">
        <v>51.370800000000003</v>
      </c>
      <c r="I204" s="250">
        <v>7.0801499999999997</v>
      </c>
      <c r="J204" s="250">
        <v>-3.6650839999999998</v>
      </c>
      <c r="K204" s="250">
        <v>-2.8264209999999999</v>
      </c>
      <c r="L204" s="250">
        <v>1050.3399999999999</v>
      </c>
      <c r="M204" s="250">
        <v>99.999893999999998</v>
      </c>
      <c r="N204" s="250">
        <v>14880.2534</v>
      </c>
      <c r="O204" s="250">
        <v>14908.3014</v>
      </c>
      <c r="P204" s="250">
        <v>2028.23</v>
      </c>
      <c r="Q204" s="250" t="s">
        <v>18</v>
      </c>
      <c r="R204" s="250" t="s">
        <v>647</v>
      </c>
      <c r="S204" s="250" t="s">
        <v>21</v>
      </c>
      <c r="T204" s="250">
        <v>15</v>
      </c>
      <c r="U204" s="250">
        <v>5</v>
      </c>
      <c r="V204" s="250">
        <v>0.7</v>
      </c>
      <c r="W204" s="250">
        <v>0.7</v>
      </c>
      <c r="X204" s="250">
        <v>0.7</v>
      </c>
      <c r="Y204" s="250">
        <v>1700</v>
      </c>
      <c r="Z204" s="250" t="s">
        <v>840</v>
      </c>
      <c r="AA204" s="250">
        <v>0.85</v>
      </c>
      <c r="AB204" s="250" t="s">
        <v>841</v>
      </c>
      <c r="AC204" s="250" t="s">
        <v>842</v>
      </c>
      <c r="AD204" s="250">
        <v>220</v>
      </c>
      <c r="AE204" s="250"/>
      <c r="AF204" s="250"/>
      <c r="AG204" s="241"/>
    </row>
    <row r="205" spans="1:33" ht="15.75">
      <c r="A205" s="250" t="s">
        <v>947</v>
      </c>
      <c r="B205" s="250" t="s">
        <v>881</v>
      </c>
      <c r="C205" s="250" t="s">
        <v>731</v>
      </c>
      <c r="D205" s="250" t="s">
        <v>838</v>
      </c>
      <c r="E205" s="250">
        <v>1.2</v>
      </c>
      <c r="F205" s="251">
        <v>45079.460219907407</v>
      </c>
      <c r="G205" s="250">
        <v>1</v>
      </c>
      <c r="H205" s="250">
        <v>51.3675</v>
      </c>
      <c r="I205" s="250">
        <v>6.9813000000000001</v>
      </c>
      <c r="J205" s="250">
        <v>-3.6445159999999999</v>
      </c>
      <c r="K205" s="250">
        <v>-2.8037830000000001</v>
      </c>
      <c r="L205" s="250">
        <v>1030.26</v>
      </c>
      <c r="M205" s="250">
        <v>115.500713</v>
      </c>
      <c r="N205" s="250">
        <v>14908.9622</v>
      </c>
      <c r="O205" s="250">
        <v>14908.3014</v>
      </c>
      <c r="P205" s="250">
        <v>2028.23</v>
      </c>
      <c r="Q205" s="250" t="s">
        <v>18</v>
      </c>
      <c r="R205" s="250" t="s">
        <v>839</v>
      </c>
      <c r="S205" s="250" t="s">
        <v>21</v>
      </c>
      <c r="T205" s="250">
        <v>15</v>
      </c>
      <c r="U205" s="250">
        <v>5</v>
      </c>
      <c r="V205" s="250">
        <v>0.7</v>
      </c>
      <c r="W205" s="250">
        <v>0.7</v>
      </c>
      <c r="X205" s="250">
        <v>0.7</v>
      </c>
      <c r="Y205" s="250">
        <v>1700</v>
      </c>
      <c r="Z205" s="250" t="s">
        <v>840</v>
      </c>
      <c r="AA205" s="250">
        <v>0.85</v>
      </c>
      <c r="AB205" s="250" t="s">
        <v>841</v>
      </c>
      <c r="AC205" s="250" t="s">
        <v>842</v>
      </c>
      <c r="AD205" s="250">
        <v>220</v>
      </c>
      <c r="AE205" s="250"/>
      <c r="AF205" s="250"/>
      <c r="AG205" s="241"/>
    </row>
    <row r="206" spans="1:33" ht="15.75">
      <c r="A206" s="250" t="s">
        <v>949</v>
      </c>
      <c r="B206" s="250" t="s">
        <v>888</v>
      </c>
      <c r="C206" s="250" t="s">
        <v>731</v>
      </c>
      <c r="D206" s="250" t="s">
        <v>838</v>
      </c>
      <c r="E206" s="250">
        <v>1.5</v>
      </c>
      <c r="F206" s="251">
        <v>45079.46371527778</v>
      </c>
      <c r="G206" s="250">
        <v>1</v>
      </c>
      <c r="H206" s="250">
        <v>51.3675</v>
      </c>
      <c r="I206" s="250">
        <v>7.0178700000000003</v>
      </c>
      <c r="J206" s="250">
        <v>-3.7751290000000002</v>
      </c>
      <c r="K206" s="250">
        <v>-2.936871</v>
      </c>
      <c r="L206" s="250">
        <v>1046.82</v>
      </c>
      <c r="M206" s="250">
        <v>114.999475</v>
      </c>
      <c r="N206" s="250">
        <v>18624.307499999999</v>
      </c>
      <c r="O206" s="250">
        <v>18627.398700000002</v>
      </c>
      <c r="P206" s="250">
        <v>2028.23</v>
      </c>
      <c r="Q206" s="250" t="s">
        <v>18</v>
      </c>
      <c r="R206" s="250" t="s">
        <v>839</v>
      </c>
      <c r="S206" s="250" t="s">
        <v>21</v>
      </c>
      <c r="T206" s="250">
        <v>15</v>
      </c>
      <c r="U206" s="250">
        <v>5</v>
      </c>
      <c r="V206" s="250">
        <v>0.7</v>
      </c>
      <c r="W206" s="250">
        <v>0.7</v>
      </c>
      <c r="X206" s="250">
        <v>0.7</v>
      </c>
      <c r="Y206" s="250">
        <v>1700</v>
      </c>
      <c r="Z206" s="250" t="s">
        <v>840</v>
      </c>
      <c r="AA206" s="250">
        <v>0.85</v>
      </c>
      <c r="AB206" s="250" t="s">
        <v>841</v>
      </c>
      <c r="AC206" s="250" t="s">
        <v>842</v>
      </c>
      <c r="AD206" s="250">
        <v>220</v>
      </c>
      <c r="AE206" s="250"/>
      <c r="AF206" s="250"/>
      <c r="AG206" s="241"/>
    </row>
    <row r="207" spans="1:33" ht="15.75">
      <c r="A207" s="250" t="s">
        <v>950</v>
      </c>
      <c r="B207" s="250" t="s">
        <v>888</v>
      </c>
      <c r="C207" s="250" t="s">
        <v>731</v>
      </c>
      <c r="D207" s="250" t="s">
        <v>838</v>
      </c>
      <c r="E207" s="250">
        <v>1.5</v>
      </c>
      <c r="F207" s="251">
        <v>45079.467233796298</v>
      </c>
      <c r="G207" s="250">
        <v>1</v>
      </c>
      <c r="H207" s="250">
        <v>51.370800000000003</v>
      </c>
      <c r="I207" s="250">
        <v>6.9883899999999999</v>
      </c>
      <c r="J207" s="250">
        <v>-3.8049789999999999</v>
      </c>
      <c r="K207" s="250">
        <v>-2.966094</v>
      </c>
      <c r="L207" s="250">
        <v>1052.31</v>
      </c>
      <c r="M207" s="250">
        <v>123.500569</v>
      </c>
      <c r="N207" s="250">
        <v>18628.013200000001</v>
      </c>
      <c r="O207" s="250">
        <v>18627.398700000002</v>
      </c>
      <c r="P207" s="250">
        <v>2028.23</v>
      </c>
      <c r="Q207" s="250" t="s">
        <v>18</v>
      </c>
      <c r="R207" s="250" t="s">
        <v>839</v>
      </c>
      <c r="S207" s="250" t="s">
        <v>21</v>
      </c>
      <c r="T207" s="250">
        <v>15</v>
      </c>
      <c r="U207" s="250">
        <v>5</v>
      </c>
      <c r="V207" s="250">
        <v>0.7</v>
      </c>
      <c r="W207" s="250">
        <v>0.7</v>
      </c>
      <c r="X207" s="250">
        <v>0.7</v>
      </c>
      <c r="Y207" s="250">
        <v>1700</v>
      </c>
      <c r="Z207" s="250" t="s">
        <v>840</v>
      </c>
      <c r="AA207" s="250">
        <v>0.85</v>
      </c>
      <c r="AB207" s="250" t="s">
        <v>841</v>
      </c>
      <c r="AC207" s="250" t="s">
        <v>842</v>
      </c>
      <c r="AD207" s="250">
        <v>220</v>
      </c>
      <c r="AE207" s="250"/>
      <c r="AF207" s="250"/>
      <c r="AG207" s="241"/>
    </row>
    <row r="208" spans="1:33" ht="15.75">
      <c r="A208" s="250" t="s">
        <v>951</v>
      </c>
      <c r="B208" s="250" t="s">
        <v>888</v>
      </c>
      <c r="C208" s="250" t="s">
        <v>731</v>
      </c>
      <c r="D208" s="250" t="s">
        <v>838</v>
      </c>
      <c r="E208" s="250">
        <v>1.5</v>
      </c>
      <c r="F208" s="251">
        <v>45079.470821759256</v>
      </c>
      <c r="G208" s="250">
        <v>1</v>
      </c>
      <c r="H208" s="250">
        <v>51.364100000000001</v>
      </c>
      <c r="I208" s="250">
        <v>6.9398900000000001</v>
      </c>
      <c r="J208" s="250">
        <v>-3.735026</v>
      </c>
      <c r="K208" s="250">
        <v>-2.886361</v>
      </c>
      <c r="L208" s="250">
        <v>1043.82</v>
      </c>
      <c r="M208" s="250">
        <v>105.99926499999999</v>
      </c>
      <c r="N208" s="250">
        <v>18629.8753</v>
      </c>
      <c r="O208" s="250">
        <v>18627.398700000002</v>
      </c>
      <c r="P208" s="250">
        <v>2028.23</v>
      </c>
      <c r="Q208" s="250" t="s">
        <v>18</v>
      </c>
      <c r="R208" s="250" t="s">
        <v>839</v>
      </c>
      <c r="S208" s="250" t="s">
        <v>21</v>
      </c>
      <c r="T208" s="250">
        <v>15</v>
      </c>
      <c r="U208" s="250">
        <v>5</v>
      </c>
      <c r="V208" s="250">
        <v>0.7</v>
      </c>
      <c r="W208" s="250">
        <v>0.7</v>
      </c>
      <c r="X208" s="250">
        <v>0.7</v>
      </c>
      <c r="Y208" s="250">
        <v>1700</v>
      </c>
      <c r="Z208" s="250" t="s">
        <v>840</v>
      </c>
      <c r="AA208" s="250">
        <v>0.85</v>
      </c>
      <c r="AB208" s="250" t="s">
        <v>841</v>
      </c>
      <c r="AC208" s="250" t="s">
        <v>842</v>
      </c>
      <c r="AD208" s="250">
        <v>220</v>
      </c>
      <c r="AE208" s="250"/>
      <c r="AF208" s="250"/>
      <c r="AG208" s="241"/>
    </row>
    <row r="209" spans="1:33" ht="15.75">
      <c r="A209" s="250" t="s">
        <v>952</v>
      </c>
      <c r="B209" s="250" t="s">
        <v>893</v>
      </c>
      <c r="C209" s="250" t="s">
        <v>731</v>
      </c>
      <c r="D209" s="250" t="s">
        <v>838</v>
      </c>
      <c r="E209" s="250">
        <v>1.8</v>
      </c>
      <c r="F209" s="251">
        <v>45079.474305555559</v>
      </c>
      <c r="G209" s="250">
        <v>1</v>
      </c>
      <c r="H209" s="250">
        <v>51.374099999999999</v>
      </c>
      <c r="I209" s="250">
        <v>6.91873</v>
      </c>
      <c r="J209" s="250">
        <v>-3.6589320000000001</v>
      </c>
      <c r="K209" s="250">
        <v>-2.8122940000000001</v>
      </c>
      <c r="L209" s="250">
        <v>1073.3399999999999</v>
      </c>
      <c r="M209" s="250">
        <v>127.49969299999999</v>
      </c>
      <c r="N209" s="250">
        <v>22322.5736</v>
      </c>
      <c r="O209" s="250">
        <v>22334.226200000001</v>
      </c>
      <c r="P209" s="250">
        <v>2028.23</v>
      </c>
      <c r="Q209" s="250" t="s">
        <v>18</v>
      </c>
      <c r="R209" s="250" t="s">
        <v>839</v>
      </c>
      <c r="S209" s="250" t="s">
        <v>21</v>
      </c>
      <c r="T209" s="250">
        <v>15</v>
      </c>
      <c r="U209" s="250">
        <v>5</v>
      </c>
      <c r="V209" s="250">
        <v>0.7</v>
      </c>
      <c r="W209" s="250">
        <v>0.7</v>
      </c>
      <c r="X209" s="250">
        <v>0.7</v>
      </c>
      <c r="Y209" s="250">
        <v>1700</v>
      </c>
      <c r="Z209" s="250" t="s">
        <v>840</v>
      </c>
      <c r="AA209" s="250">
        <v>0.85</v>
      </c>
      <c r="AB209" s="250" t="s">
        <v>841</v>
      </c>
      <c r="AC209" s="250" t="s">
        <v>842</v>
      </c>
      <c r="AD209" s="250">
        <v>220</v>
      </c>
      <c r="AE209" s="250"/>
      <c r="AF209" s="250"/>
      <c r="AG209" s="241"/>
    </row>
    <row r="210" spans="1:33" ht="15.75">
      <c r="A210" s="250" t="s">
        <v>953</v>
      </c>
      <c r="B210" s="250" t="s">
        <v>893</v>
      </c>
      <c r="C210" s="250" t="s">
        <v>731</v>
      </c>
      <c r="D210" s="250" t="s">
        <v>838</v>
      </c>
      <c r="E210" s="250">
        <v>1.8</v>
      </c>
      <c r="F210" s="251">
        <v>45079.478009259263</v>
      </c>
      <c r="G210" s="250">
        <v>1</v>
      </c>
      <c r="H210" s="250">
        <v>51.374099999999999</v>
      </c>
      <c r="I210" s="250">
        <v>6.8703000000000003</v>
      </c>
      <c r="J210" s="250">
        <v>-3.706458</v>
      </c>
      <c r="K210" s="250">
        <v>-2.8564919999999998</v>
      </c>
      <c r="L210" s="250">
        <v>1049.79</v>
      </c>
      <c r="M210" s="250">
        <v>138.998153</v>
      </c>
      <c r="N210" s="250">
        <v>22344.221300000001</v>
      </c>
      <c r="O210" s="250">
        <v>22334.226200000001</v>
      </c>
      <c r="P210" s="250">
        <v>2028.23</v>
      </c>
      <c r="Q210" s="250" t="s">
        <v>18</v>
      </c>
      <c r="R210" s="250" t="s">
        <v>839</v>
      </c>
      <c r="S210" s="250" t="s">
        <v>21</v>
      </c>
      <c r="T210" s="250">
        <v>15</v>
      </c>
      <c r="U210" s="250">
        <v>5</v>
      </c>
      <c r="V210" s="250">
        <v>0.7</v>
      </c>
      <c r="W210" s="250">
        <v>0.7</v>
      </c>
      <c r="X210" s="250">
        <v>0.7</v>
      </c>
      <c r="Y210" s="250">
        <v>1700</v>
      </c>
      <c r="Z210" s="250" t="s">
        <v>840</v>
      </c>
      <c r="AA210" s="250">
        <v>0.85</v>
      </c>
      <c r="AB210" s="250" t="s">
        <v>841</v>
      </c>
      <c r="AC210" s="250" t="s">
        <v>842</v>
      </c>
      <c r="AD210" s="250">
        <v>220</v>
      </c>
      <c r="AE210" s="250"/>
      <c r="AF210" s="250"/>
      <c r="AG210" s="241"/>
    </row>
    <row r="211" spans="1:33" ht="15.75">
      <c r="A211" s="250" t="s">
        <v>954</v>
      </c>
      <c r="B211" s="250" t="s">
        <v>893</v>
      </c>
      <c r="C211" s="250" t="s">
        <v>731</v>
      </c>
      <c r="D211" s="250" t="s">
        <v>838</v>
      </c>
      <c r="E211" s="250">
        <v>1.8</v>
      </c>
      <c r="F211" s="251">
        <v>45079.481886574074</v>
      </c>
      <c r="G211" s="250">
        <v>1</v>
      </c>
      <c r="H211" s="250">
        <v>51.370800000000003</v>
      </c>
      <c r="I211" s="250">
        <v>6.9006100000000004</v>
      </c>
      <c r="J211" s="250">
        <v>-3.7362289999999998</v>
      </c>
      <c r="K211" s="250">
        <v>-2.8989180000000001</v>
      </c>
      <c r="L211" s="250">
        <v>1069.45</v>
      </c>
      <c r="M211" s="250">
        <v>148.499787</v>
      </c>
      <c r="N211" s="250">
        <v>22376.883600000001</v>
      </c>
      <c r="O211" s="250">
        <v>22334.226200000001</v>
      </c>
      <c r="P211" s="250">
        <v>2028.23</v>
      </c>
      <c r="Q211" s="250" t="s">
        <v>18</v>
      </c>
      <c r="R211" s="250" t="s">
        <v>647</v>
      </c>
      <c r="S211" s="250" t="s">
        <v>21</v>
      </c>
      <c r="T211" s="250">
        <v>15</v>
      </c>
      <c r="U211" s="250">
        <v>5</v>
      </c>
      <c r="V211" s="250">
        <v>0.7</v>
      </c>
      <c r="W211" s="250">
        <v>0.7</v>
      </c>
      <c r="X211" s="250">
        <v>0.7</v>
      </c>
      <c r="Y211" s="250">
        <v>1700</v>
      </c>
      <c r="Z211" s="250" t="s">
        <v>840</v>
      </c>
      <c r="AA211" s="250">
        <v>0.85</v>
      </c>
      <c r="AB211" s="250" t="s">
        <v>841</v>
      </c>
      <c r="AC211" s="250" t="s">
        <v>842</v>
      </c>
      <c r="AD211" s="250">
        <v>220</v>
      </c>
      <c r="AE211" s="250"/>
      <c r="AF211" s="250"/>
      <c r="AG211" s="241"/>
    </row>
    <row r="212" spans="1:33" ht="15.75">
      <c r="A212" s="250" t="s">
        <v>955</v>
      </c>
      <c r="B212" s="250" t="s">
        <v>893</v>
      </c>
      <c r="C212" s="250" t="s">
        <v>731</v>
      </c>
      <c r="D212" s="250" t="s">
        <v>838</v>
      </c>
      <c r="E212" s="250">
        <v>1.8</v>
      </c>
      <c r="F212" s="251">
        <v>45079.485879629632</v>
      </c>
      <c r="G212" s="250">
        <v>1</v>
      </c>
      <c r="H212" s="250">
        <v>51.364100000000001</v>
      </c>
      <c r="I212" s="250">
        <v>6.8133900000000001</v>
      </c>
      <c r="J212" s="250">
        <v>-3.8228960000000001</v>
      </c>
      <c r="K212" s="250">
        <v>-2.9864139999999999</v>
      </c>
      <c r="L212" s="250">
        <v>1066.83</v>
      </c>
      <c r="M212" s="250">
        <v>129.50048699999999</v>
      </c>
      <c r="N212" s="250">
        <v>22335.8838</v>
      </c>
      <c r="O212" s="250">
        <v>22334.226200000001</v>
      </c>
      <c r="P212" s="250">
        <v>2028.23</v>
      </c>
      <c r="Q212" s="250" t="s">
        <v>18</v>
      </c>
      <c r="R212" s="250" t="s">
        <v>839</v>
      </c>
      <c r="S212" s="250" t="s">
        <v>21</v>
      </c>
      <c r="T212" s="250">
        <v>15</v>
      </c>
      <c r="U212" s="250">
        <v>5</v>
      </c>
      <c r="V212" s="250">
        <v>0.7</v>
      </c>
      <c r="W212" s="250">
        <v>0.7</v>
      </c>
      <c r="X212" s="250">
        <v>0.7</v>
      </c>
      <c r="Y212" s="250">
        <v>1700</v>
      </c>
      <c r="Z212" s="250" t="s">
        <v>840</v>
      </c>
      <c r="AA212" s="250">
        <v>0.85</v>
      </c>
      <c r="AB212" s="250" t="s">
        <v>841</v>
      </c>
      <c r="AC212" s="250" t="s">
        <v>842</v>
      </c>
      <c r="AD212" s="250">
        <v>220</v>
      </c>
      <c r="AE212" s="250"/>
      <c r="AF212" s="250"/>
      <c r="AG212" s="241"/>
    </row>
    <row r="213" spans="1:33" ht="15.75">
      <c r="A213" s="250" t="s">
        <v>855</v>
      </c>
      <c r="B213" s="250">
        <v>2</v>
      </c>
      <c r="C213" s="250">
        <v>86</v>
      </c>
      <c r="D213" s="250" t="s">
        <v>898</v>
      </c>
      <c r="E213" s="250">
        <v>1.5</v>
      </c>
      <c r="F213" s="251">
        <v>45079.490034722221</v>
      </c>
      <c r="G213" s="250">
        <v>1</v>
      </c>
      <c r="H213" s="250">
        <v>51.3675</v>
      </c>
      <c r="I213" s="250">
        <v>6.9327500000000004</v>
      </c>
      <c r="J213" s="250">
        <v>-3.628657</v>
      </c>
      <c r="K213" s="250">
        <v>-2.7939430000000001</v>
      </c>
      <c r="L213" s="250">
        <v>1039.8499999999999</v>
      </c>
      <c r="M213" s="250">
        <v>121.000721</v>
      </c>
      <c r="N213" s="250">
        <v>18344.778300000002</v>
      </c>
      <c r="O213" s="250">
        <v>18346.241699999999</v>
      </c>
      <c r="P213" s="250">
        <v>1997.5639000000001</v>
      </c>
      <c r="Q213" s="250" t="s">
        <v>18</v>
      </c>
      <c r="R213" s="250" t="s">
        <v>839</v>
      </c>
      <c r="S213" s="250" t="s">
        <v>21</v>
      </c>
      <c r="T213" s="250">
        <v>15</v>
      </c>
      <c r="U213" s="250">
        <v>5</v>
      </c>
      <c r="V213" s="250">
        <v>0.7</v>
      </c>
      <c r="W213" s="250">
        <v>0.7</v>
      </c>
      <c r="X213" s="250">
        <v>0.7</v>
      </c>
      <c r="Y213" s="250">
        <v>1700</v>
      </c>
      <c r="Z213" s="250" t="s">
        <v>840</v>
      </c>
      <c r="AA213" s="250">
        <v>0.85</v>
      </c>
      <c r="AB213" s="250" t="s">
        <v>841</v>
      </c>
      <c r="AC213" s="250" t="s">
        <v>842</v>
      </c>
      <c r="AD213" s="250">
        <v>220</v>
      </c>
      <c r="AE213" s="250" t="s">
        <v>1018</v>
      </c>
      <c r="AF213" s="250"/>
      <c r="AG213" s="241"/>
    </row>
    <row r="214" spans="1:33" ht="15.75">
      <c r="A214" s="250" t="s">
        <v>956</v>
      </c>
      <c r="B214" s="250">
        <v>2</v>
      </c>
      <c r="C214" s="250">
        <v>86</v>
      </c>
      <c r="D214" s="250" t="s">
        <v>898</v>
      </c>
      <c r="E214" s="250">
        <v>1.5</v>
      </c>
      <c r="F214" s="251">
        <v>45079.493634259263</v>
      </c>
      <c r="G214" s="250">
        <v>1</v>
      </c>
      <c r="H214" s="250">
        <v>51.370800000000003</v>
      </c>
      <c r="I214" s="250">
        <v>6.83568</v>
      </c>
      <c r="J214" s="250">
        <v>-3.751582</v>
      </c>
      <c r="K214" s="250">
        <v>-2.9090340000000001</v>
      </c>
      <c r="L214" s="250">
        <v>1042.57</v>
      </c>
      <c r="M214" s="250">
        <v>130.997929</v>
      </c>
      <c r="N214" s="250">
        <v>18356.141</v>
      </c>
      <c r="O214" s="250">
        <v>18346.241699999999</v>
      </c>
      <c r="P214" s="250">
        <v>1997.5639000000001</v>
      </c>
      <c r="Q214" s="250" t="s">
        <v>18</v>
      </c>
      <c r="R214" s="250" t="s">
        <v>839</v>
      </c>
      <c r="S214" s="250" t="s">
        <v>21</v>
      </c>
      <c r="T214" s="250">
        <v>15</v>
      </c>
      <c r="U214" s="250">
        <v>5</v>
      </c>
      <c r="V214" s="250">
        <v>0.7</v>
      </c>
      <c r="W214" s="250">
        <v>0.7</v>
      </c>
      <c r="X214" s="250">
        <v>0.7</v>
      </c>
      <c r="Y214" s="250">
        <v>1700</v>
      </c>
      <c r="Z214" s="250" t="s">
        <v>840</v>
      </c>
      <c r="AA214" s="250">
        <v>0.85</v>
      </c>
      <c r="AB214" s="250" t="s">
        <v>841</v>
      </c>
      <c r="AC214" s="250" t="s">
        <v>842</v>
      </c>
      <c r="AD214" s="250">
        <v>220</v>
      </c>
      <c r="AE214" s="250"/>
      <c r="AF214" s="250"/>
      <c r="AG214" s="241"/>
    </row>
    <row r="215" spans="1:33" ht="15.75">
      <c r="A215" s="250" t="s">
        <v>957</v>
      </c>
      <c r="B215" s="250">
        <v>2</v>
      </c>
      <c r="C215" s="250">
        <v>86</v>
      </c>
      <c r="D215" s="250" t="s">
        <v>898</v>
      </c>
      <c r="E215" s="250">
        <v>1.5</v>
      </c>
      <c r="F215" s="251">
        <v>45079.497291666667</v>
      </c>
      <c r="G215" s="250">
        <v>1</v>
      </c>
      <c r="H215" s="250">
        <v>51.370800000000003</v>
      </c>
      <c r="I215" s="250">
        <v>6.9434100000000001</v>
      </c>
      <c r="J215" s="250">
        <v>-3.7432110000000001</v>
      </c>
      <c r="K215" s="250">
        <v>-2.9017559999999998</v>
      </c>
      <c r="L215" s="250">
        <v>1051.06</v>
      </c>
      <c r="M215" s="250">
        <v>111.49918099999999</v>
      </c>
      <c r="N215" s="250">
        <v>18296.025000000001</v>
      </c>
      <c r="O215" s="250">
        <v>18346.241699999999</v>
      </c>
      <c r="P215" s="250">
        <v>1997.5639000000001</v>
      </c>
      <c r="Q215" s="250" t="s">
        <v>18</v>
      </c>
      <c r="R215" s="250" t="s">
        <v>647</v>
      </c>
      <c r="S215" s="250" t="s">
        <v>21</v>
      </c>
      <c r="T215" s="250">
        <v>15</v>
      </c>
      <c r="U215" s="250">
        <v>5</v>
      </c>
      <c r="V215" s="250">
        <v>0.7</v>
      </c>
      <c r="W215" s="250">
        <v>0.7</v>
      </c>
      <c r="X215" s="250">
        <v>0.7</v>
      </c>
      <c r="Y215" s="250">
        <v>1700</v>
      </c>
      <c r="Z215" s="250" t="s">
        <v>840</v>
      </c>
      <c r="AA215" s="250">
        <v>0.85</v>
      </c>
      <c r="AB215" s="250" t="s">
        <v>841</v>
      </c>
      <c r="AC215" s="250" t="s">
        <v>842</v>
      </c>
      <c r="AD215" s="250">
        <v>220</v>
      </c>
      <c r="AE215" s="250"/>
      <c r="AF215" s="250"/>
      <c r="AG215" s="241"/>
    </row>
    <row r="216" spans="1:33" ht="15.75">
      <c r="A216" s="250" t="s">
        <v>958</v>
      </c>
      <c r="B216" s="250">
        <v>2</v>
      </c>
      <c r="C216" s="250">
        <v>86</v>
      </c>
      <c r="D216" s="250" t="s">
        <v>898</v>
      </c>
      <c r="E216" s="250">
        <v>1.5</v>
      </c>
      <c r="F216" s="251">
        <v>45079.500752314816</v>
      </c>
      <c r="G216" s="250">
        <v>1</v>
      </c>
      <c r="H216" s="250">
        <v>51.374099999999999</v>
      </c>
      <c r="I216" s="250">
        <v>6.8861499999999998</v>
      </c>
      <c r="J216" s="250">
        <v>-3.73048</v>
      </c>
      <c r="K216" s="250">
        <v>-2.888646</v>
      </c>
      <c r="L216" s="250">
        <v>1035.23</v>
      </c>
      <c r="M216" s="250">
        <v>124.00023</v>
      </c>
      <c r="N216" s="250">
        <v>18337.805799999998</v>
      </c>
      <c r="O216" s="250">
        <v>18346.241699999999</v>
      </c>
      <c r="P216" s="250">
        <v>1997.5639000000001</v>
      </c>
      <c r="Q216" s="250" t="s">
        <v>18</v>
      </c>
      <c r="R216" s="250" t="s">
        <v>839</v>
      </c>
      <c r="S216" s="250" t="s">
        <v>21</v>
      </c>
      <c r="T216" s="250">
        <v>15</v>
      </c>
      <c r="U216" s="250">
        <v>5</v>
      </c>
      <c r="V216" s="250">
        <v>0.7</v>
      </c>
      <c r="W216" s="250">
        <v>0.7</v>
      </c>
      <c r="X216" s="250">
        <v>0.7</v>
      </c>
      <c r="Y216" s="250">
        <v>1700</v>
      </c>
      <c r="Z216" s="250" t="s">
        <v>840</v>
      </c>
      <c r="AA216" s="250">
        <v>0.85</v>
      </c>
      <c r="AB216" s="250" t="s">
        <v>841</v>
      </c>
      <c r="AC216" s="250" t="s">
        <v>842</v>
      </c>
      <c r="AD216" s="250">
        <v>220</v>
      </c>
      <c r="AE216" s="250"/>
      <c r="AF216" s="250"/>
      <c r="AG216" s="241"/>
    </row>
    <row r="217" spans="1:33" ht="15.75">
      <c r="A217" s="250" t="s">
        <v>856</v>
      </c>
      <c r="B217" s="250">
        <v>3</v>
      </c>
      <c r="C217" s="250">
        <v>101</v>
      </c>
      <c r="D217" s="250" t="s">
        <v>902</v>
      </c>
      <c r="E217" s="250">
        <v>1.5</v>
      </c>
      <c r="F217" s="251">
        <v>45079.504872685182</v>
      </c>
      <c r="G217" s="250">
        <v>1</v>
      </c>
      <c r="H217" s="250">
        <v>51.3675</v>
      </c>
      <c r="I217" s="250">
        <v>7.0518900000000002</v>
      </c>
      <c r="J217" s="250">
        <v>-3.6947179999999999</v>
      </c>
      <c r="K217" s="250">
        <v>-2.9852789999999998</v>
      </c>
      <c r="L217" s="250">
        <v>14.4619</v>
      </c>
      <c r="M217" s="250">
        <v>53.499893</v>
      </c>
      <c r="N217" s="250">
        <v>339.02589499999999</v>
      </c>
      <c r="O217" s="250">
        <v>0</v>
      </c>
      <c r="P217" s="250">
        <v>0</v>
      </c>
      <c r="Q217" s="250" t="s">
        <v>18</v>
      </c>
      <c r="R217" s="250" t="s">
        <v>916</v>
      </c>
      <c r="S217" s="250" t="s">
        <v>28</v>
      </c>
      <c r="T217" s="250">
        <v>15</v>
      </c>
      <c r="U217" s="250">
        <v>5</v>
      </c>
      <c r="V217" s="250">
        <v>0.7</v>
      </c>
      <c r="W217" s="250">
        <v>0.7</v>
      </c>
      <c r="X217" s="250">
        <v>0.7</v>
      </c>
      <c r="Y217" s="250">
        <v>1700</v>
      </c>
      <c r="Z217" s="250" t="s">
        <v>840</v>
      </c>
      <c r="AA217" s="250">
        <v>0.85</v>
      </c>
      <c r="AB217" s="250" t="s">
        <v>841</v>
      </c>
      <c r="AC217" s="250" t="s">
        <v>842</v>
      </c>
      <c r="AD217" s="250">
        <v>220</v>
      </c>
      <c r="AE217" s="250"/>
      <c r="AF217" s="250"/>
      <c r="AG217" s="241"/>
    </row>
    <row r="218" spans="1:33" ht="15.75">
      <c r="A218" s="250" t="s">
        <v>959</v>
      </c>
      <c r="B218" s="250">
        <v>3</v>
      </c>
      <c r="C218" s="250">
        <v>101</v>
      </c>
      <c r="D218" s="250" t="s">
        <v>902</v>
      </c>
      <c r="E218" s="250">
        <v>1.5</v>
      </c>
      <c r="F218" s="251">
        <v>45079.507650462961</v>
      </c>
      <c r="G218" s="250">
        <v>1</v>
      </c>
      <c r="H218" s="250">
        <v>51.3675</v>
      </c>
      <c r="I218" s="250">
        <v>7.1123000000000003</v>
      </c>
      <c r="J218" s="250">
        <v>-3.684752</v>
      </c>
      <c r="K218" s="250">
        <v>-2.8731239999999998</v>
      </c>
      <c r="L218" s="250">
        <v>11.0222</v>
      </c>
      <c r="M218" s="250">
        <v>53.000089000000003</v>
      </c>
      <c r="N218" s="250">
        <v>279.10416800000002</v>
      </c>
      <c r="O218" s="250">
        <v>0</v>
      </c>
      <c r="P218" s="250">
        <v>0</v>
      </c>
      <c r="Q218" s="250" t="s">
        <v>18</v>
      </c>
      <c r="R218" s="250" t="s">
        <v>916</v>
      </c>
      <c r="S218" s="250" t="s">
        <v>28</v>
      </c>
      <c r="T218" s="250">
        <v>15</v>
      </c>
      <c r="U218" s="250">
        <v>5</v>
      </c>
      <c r="V218" s="250">
        <v>0.7</v>
      </c>
      <c r="W218" s="250">
        <v>0.7</v>
      </c>
      <c r="X218" s="250">
        <v>0.7</v>
      </c>
      <c r="Y218" s="250">
        <v>1700</v>
      </c>
      <c r="Z218" s="250" t="s">
        <v>840</v>
      </c>
      <c r="AA218" s="250">
        <v>0.85</v>
      </c>
      <c r="AB218" s="250" t="s">
        <v>841</v>
      </c>
      <c r="AC218" s="250" t="s">
        <v>842</v>
      </c>
      <c r="AD218" s="250">
        <v>220</v>
      </c>
      <c r="AE218" s="250"/>
      <c r="AF218" s="250"/>
      <c r="AG218" s="241"/>
    </row>
    <row r="219" spans="1:33" ht="15.75">
      <c r="A219" s="250" t="s">
        <v>960</v>
      </c>
      <c r="B219" s="250">
        <v>3</v>
      </c>
      <c r="C219" s="250">
        <v>101</v>
      </c>
      <c r="D219" s="250" t="s">
        <v>902</v>
      </c>
      <c r="E219" s="250">
        <v>1.5</v>
      </c>
      <c r="F219" s="251">
        <v>45079.510428240741</v>
      </c>
      <c r="G219" s="250">
        <v>1</v>
      </c>
      <c r="H219" s="250">
        <v>51.370800000000003</v>
      </c>
      <c r="I219" s="250">
        <v>7.1726700000000001</v>
      </c>
      <c r="J219" s="250">
        <v>-3.7538680000000002</v>
      </c>
      <c r="K219" s="250">
        <v>-3.0842269999999998</v>
      </c>
      <c r="L219" s="250">
        <v>10.7311</v>
      </c>
      <c r="M219" s="250">
        <v>53.000909</v>
      </c>
      <c r="N219" s="250">
        <v>276.809867</v>
      </c>
      <c r="O219" s="250">
        <v>0</v>
      </c>
      <c r="P219" s="250">
        <v>0</v>
      </c>
      <c r="Q219" s="250" t="s">
        <v>18</v>
      </c>
      <c r="R219" s="250" t="s">
        <v>916</v>
      </c>
      <c r="S219" s="250" t="s">
        <v>28</v>
      </c>
      <c r="T219" s="250">
        <v>15</v>
      </c>
      <c r="U219" s="250">
        <v>5</v>
      </c>
      <c r="V219" s="250">
        <v>0.7</v>
      </c>
      <c r="W219" s="250">
        <v>0.7</v>
      </c>
      <c r="X219" s="250">
        <v>0.7</v>
      </c>
      <c r="Y219" s="250">
        <v>1700</v>
      </c>
      <c r="Z219" s="250" t="s">
        <v>840</v>
      </c>
      <c r="AA219" s="250">
        <v>0.85</v>
      </c>
      <c r="AB219" s="250" t="s">
        <v>841</v>
      </c>
      <c r="AC219" s="250" t="s">
        <v>842</v>
      </c>
      <c r="AD219" s="250">
        <v>220</v>
      </c>
      <c r="AE219" s="250"/>
      <c r="AF219" s="250"/>
      <c r="AG219" s="241"/>
    </row>
    <row r="220" spans="1:33" ht="15.75">
      <c r="A220" s="250" t="s">
        <v>961</v>
      </c>
      <c r="B220" s="250">
        <v>3</v>
      </c>
      <c r="C220" s="250">
        <v>101</v>
      </c>
      <c r="D220" s="250" t="s">
        <v>902</v>
      </c>
      <c r="E220" s="250">
        <v>1.5</v>
      </c>
      <c r="F220" s="251">
        <v>45079.513229166667</v>
      </c>
      <c r="G220" s="250">
        <v>1</v>
      </c>
      <c r="H220" s="250">
        <v>51.374099999999999</v>
      </c>
      <c r="I220" s="250">
        <v>7.1217699999999997</v>
      </c>
      <c r="J220" s="250">
        <v>-3.679786</v>
      </c>
      <c r="K220" s="250">
        <v>-3.015962</v>
      </c>
      <c r="L220" s="250">
        <v>11.040900000000001</v>
      </c>
      <c r="M220" s="250">
        <v>53.001173999999999</v>
      </c>
      <c r="N220" s="250">
        <v>275.47915499999999</v>
      </c>
      <c r="O220" s="250">
        <v>0</v>
      </c>
      <c r="P220" s="250">
        <v>0</v>
      </c>
      <c r="Q220" s="250" t="s">
        <v>18</v>
      </c>
      <c r="R220" s="250" t="s">
        <v>916</v>
      </c>
      <c r="S220" s="250" t="s">
        <v>28</v>
      </c>
      <c r="T220" s="250">
        <v>15</v>
      </c>
      <c r="U220" s="250">
        <v>5</v>
      </c>
      <c r="V220" s="250">
        <v>0.7</v>
      </c>
      <c r="W220" s="250">
        <v>0.7</v>
      </c>
      <c r="X220" s="250">
        <v>0.7</v>
      </c>
      <c r="Y220" s="250">
        <v>1700</v>
      </c>
      <c r="Z220" s="250" t="s">
        <v>840</v>
      </c>
      <c r="AA220" s="250">
        <v>0.85</v>
      </c>
      <c r="AB220" s="250" t="s">
        <v>841</v>
      </c>
      <c r="AC220" s="250" t="s">
        <v>842</v>
      </c>
      <c r="AD220" s="250">
        <v>220</v>
      </c>
      <c r="AE220" s="250"/>
      <c r="AF220" s="250"/>
      <c r="AG220" s="241"/>
    </row>
    <row r="221" spans="1:33" ht="15.75">
      <c r="A221" s="250" t="s">
        <v>1019</v>
      </c>
      <c r="B221" s="250">
        <v>3</v>
      </c>
      <c r="C221" s="250">
        <v>101</v>
      </c>
      <c r="D221" s="250" t="s">
        <v>902</v>
      </c>
      <c r="E221" s="250">
        <v>1.5</v>
      </c>
      <c r="F221" s="251">
        <v>45079.516018518516</v>
      </c>
      <c r="G221" s="250">
        <v>1</v>
      </c>
      <c r="H221" s="250">
        <v>51.3675</v>
      </c>
      <c r="I221" s="250">
        <v>7.1033400000000002</v>
      </c>
      <c r="J221" s="250">
        <v>-3.7762669999999998</v>
      </c>
      <c r="K221" s="250">
        <v>-3.0804719999999999</v>
      </c>
      <c r="L221" s="250">
        <v>10.464</v>
      </c>
      <c r="M221" s="250">
        <v>53.000140999999999</v>
      </c>
      <c r="N221" s="250">
        <v>267.58577400000001</v>
      </c>
      <c r="O221" s="250">
        <v>0</v>
      </c>
      <c r="P221" s="250">
        <v>0</v>
      </c>
      <c r="Q221" s="250" t="s">
        <v>18</v>
      </c>
      <c r="R221" s="250" t="s">
        <v>916</v>
      </c>
      <c r="S221" s="250" t="s">
        <v>28</v>
      </c>
      <c r="T221" s="250">
        <v>15</v>
      </c>
      <c r="U221" s="250">
        <v>5</v>
      </c>
      <c r="V221" s="250">
        <v>0.7</v>
      </c>
      <c r="W221" s="250">
        <v>0.7</v>
      </c>
      <c r="X221" s="250">
        <v>0.7</v>
      </c>
      <c r="Y221" s="250">
        <v>1700</v>
      </c>
      <c r="Z221" s="250" t="s">
        <v>840</v>
      </c>
      <c r="AA221" s="250">
        <v>0.85</v>
      </c>
      <c r="AB221" s="250" t="s">
        <v>841</v>
      </c>
      <c r="AC221" s="250" t="s">
        <v>842</v>
      </c>
      <c r="AD221" s="250">
        <v>220</v>
      </c>
      <c r="AE221" s="250"/>
      <c r="AF221" s="250"/>
      <c r="AG221" s="241"/>
    </row>
    <row r="222" spans="1:33" ht="15.75">
      <c r="A222" s="250" t="s">
        <v>1020</v>
      </c>
      <c r="B222" s="250">
        <v>3</v>
      </c>
      <c r="C222" s="250">
        <v>101</v>
      </c>
      <c r="D222" s="250" t="s">
        <v>902</v>
      </c>
      <c r="E222" s="250">
        <v>1.5</v>
      </c>
      <c r="F222" s="251">
        <v>45079.518831018519</v>
      </c>
      <c r="G222" s="250">
        <v>2</v>
      </c>
      <c r="H222" s="250">
        <v>51.370800000000003</v>
      </c>
      <c r="I222" s="250">
        <v>7.14588</v>
      </c>
      <c r="J222" s="250">
        <v>-3.8341799999999999</v>
      </c>
      <c r="K222" s="250">
        <v>-2.9920529999999999</v>
      </c>
      <c r="L222" s="250">
        <v>10.2629</v>
      </c>
      <c r="M222" s="250">
        <v>52.999533</v>
      </c>
      <c r="N222" s="250">
        <v>264.351338</v>
      </c>
      <c r="O222" s="250">
        <v>0</v>
      </c>
      <c r="P222" s="250">
        <v>0</v>
      </c>
      <c r="Q222" s="250" t="s">
        <v>18</v>
      </c>
      <c r="R222" s="250" t="s">
        <v>916</v>
      </c>
      <c r="S222" s="250" t="s">
        <v>28</v>
      </c>
      <c r="T222" s="250">
        <v>15</v>
      </c>
      <c r="U222" s="250">
        <v>5</v>
      </c>
      <c r="V222" s="250">
        <v>0.7</v>
      </c>
      <c r="W222" s="250">
        <v>0.7</v>
      </c>
      <c r="X222" s="250">
        <v>0.7</v>
      </c>
      <c r="Y222" s="250">
        <v>1700</v>
      </c>
      <c r="Z222" s="250" t="s">
        <v>840</v>
      </c>
      <c r="AA222" s="250">
        <v>0.85</v>
      </c>
      <c r="AB222" s="250" t="s">
        <v>841</v>
      </c>
      <c r="AC222" s="250" t="s">
        <v>842</v>
      </c>
      <c r="AD222" s="250">
        <v>220</v>
      </c>
      <c r="AE222" s="250"/>
      <c r="AF222" s="250"/>
      <c r="AG222" s="241"/>
    </row>
    <row r="223" spans="1:33" ht="15.75">
      <c r="A223" s="250" t="s">
        <v>1021</v>
      </c>
      <c r="B223" s="250">
        <v>3</v>
      </c>
      <c r="C223" s="250">
        <v>101</v>
      </c>
      <c r="D223" s="250" t="s">
        <v>902</v>
      </c>
      <c r="E223" s="250">
        <v>1.5</v>
      </c>
      <c r="F223" s="251">
        <v>45079.521585648145</v>
      </c>
      <c r="G223" s="250">
        <v>2</v>
      </c>
      <c r="H223" s="250">
        <v>51.370800000000003</v>
      </c>
      <c r="I223" s="250">
        <v>6.9866999999999999</v>
      </c>
      <c r="J223" s="250">
        <v>-3.691182</v>
      </c>
      <c r="K223" s="250">
        <v>-2.8444029999999998</v>
      </c>
      <c r="L223" s="250">
        <v>920.27200000000005</v>
      </c>
      <c r="M223" s="250">
        <v>106.500039</v>
      </c>
      <c r="N223" s="250">
        <v>14382.999599999999</v>
      </c>
      <c r="O223" s="250">
        <v>0</v>
      </c>
      <c r="P223" s="250">
        <v>0</v>
      </c>
      <c r="Q223" s="250" t="s">
        <v>18</v>
      </c>
      <c r="R223" s="250" t="s">
        <v>916</v>
      </c>
      <c r="S223" s="250" t="s">
        <v>28</v>
      </c>
      <c r="T223" s="250">
        <v>15</v>
      </c>
      <c r="U223" s="250">
        <v>5</v>
      </c>
      <c r="V223" s="250">
        <v>0.7</v>
      </c>
      <c r="W223" s="250">
        <v>0.7</v>
      </c>
      <c r="X223" s="250">
        <v>0.7</v>
      </c>
      <c r="Y223" s="250">
        <v>1700</v>
      </c>
      <c r="Z223" s="250" t="s">
        <v>840</v>
      </c>
      <c r="AA223" s="250">
        <v>0.85</v>
      </c>
      <c r="AB223" s="250" t="s">
        <v>841</v>
      </c>
      <c r="AC223" s="250" t="s">
        <v>842</v>
      </c>
      <c r="AD223" s="250">
        <v>220</v>
      </c>
      <c r="AE223" s="250"/>
      <c r="AF223" s="250"/>
      <c r="AG223" s="241"/>
    </row>
    <row r="224" spans="1:33" ht="15.75">
      <c r="A224" s="250" t="s">
        <v>1022</v>
      </c>
      <c r="B224" s="250">
        <v>3</v>
      </c>
      <c r="C224" s="250">
        <v>101</v>
      </c>
      <c r="D224" s="250" t="s">
        <v>902</v>
      </c>
      <c r="E224" s="250">
        <v>1.5</v>
      </c>
      <c r="F224" s="251">
        <v>45079.525000000001</v>
      </c>
      <c r="G224" s="250">
        <v>2</v>
      </c>
      <c r="H224" s="250">
        <v>51.370800000000003</v>
      </c>
      <c r="I224" s="250">
        <v>6.9370700000000003</v>
      </c>
      <c r="J224" s="250">
        <v>-3.7422689999999998</v>
      </c>
      <c r="K224" s="250">
        <v>-2.9081039999999998</v>
      </c>
      <c r="L224" s="250">
        <v>1029.26</v>
      </c>
      <c r="M224" s="250">
        <v>125.499143</v>
      </c>
      <c r="N224" s="250">
        <v>18233.149700000002</v>
      </c>
      <c r="O224" s="250">
        <v>0</v>
      </c>
      <c r="P224" s="250">
        <v>0</v>
      </c>
      <c r="Q224" s="250" t="s">
        <v>18</v>
      </c>
      <c r="R224" s="250" t="s">
        <v>916</v>
      </c>
      <c r="S224" s="250" t="s">
        <v>28</v>
      </c>
      <c r="T224" s="250">
        <v>15</v>
      </c>
      <c r="U224" s="250">
        <v>5</v>
      </c>
      <c r="V224" s="250">
        <v>0.7</v>
      </c>
      <c r="W224" s="250">
        <v>0.7</v>
      </c>
      <c r="X224" s="250">
        <v>0.7</v>
      </c>
      <c r="Y224" s="250">
        <v>1700</v>
      </c>
      <c r="Z224" s="250" t="s">
        <v>840</v>
      </c>
      <c r="AA224" s="250">
        <v>0.85</v>
      </c>
      <c r="AB224" s="250" t="s">
        <v>841</v>
      </c>
      <c r="AC224" s="250" t="s">
        <v>842</v>
      </c>
      <c r="AD224" s="250">
        <v>220</v>
      </c>
      <c r="AE224" s="250"/>
      <c r="AF224" s="250"/>
      <c r="AG224" s="241"/>
    </row>
    <row r="225" spans="1:33" ht="15.75">
      <c r="A225" s="250" t="s">
        <v>1023</v>
      </c>
      <c r="B225" s="250">
        <v>3</v>
      </c>
      <c r="C225" s="250">
        <v>101</v>
      </c>
      <c r="D225" s="250" t="s">
        <v>902</v>
      </c>
      <c r="E225" s="250">
        <v>1.5</v>
      </c>
      <c r="F225" s="251">
        <v>45079.528645833336</v>
      </c>
      <c r="G225" s="250">
        <v>2</v>
      </c>
      <c r="H225" s="250">
        <v>51.364100000000001</v>
      </c>
      <c r="I225" s="250">
        <v>7.0709400000000002</v>
      </c>
      <c r="J225" s="250">
        <v>-3.6453500000000001</v>
      </c>
      <c r="K225" s="250">
        <v>-2.8077939999999999</v>
      </c>
      <c r="L225" s="250">
        <v>1033.8699999999999</v>
      </c>
      <c r="M225" s="250">
        <v>110.500224</v>
      </c>
      <c r="N225" s="250">
        <v>18263.710599999999</v>
      </c>
      <c r="O225" s="250">
        <v>0</v>
      </c>
      <c r="P225" s="250">
        <v>0</v>
      </c>
      <c r="Q225" s="250" t="s">
        <v>18</v>
      </c>
      <c r="R225" s="250" t="s">
        <v>916</v>
      </c>
      <c r="S225" s="250" t="s">
        <v>28</v>
      </c>
      <c r="T225" s="250">
        <v>15</v>
      </c>
      <c r="U225" s="250">
        <v>5</v>
      </c>
      <c r="V225" s="250">
        <v>0.7</v>
      </c>
      <c r="W225" s="250">
        <v>0.7</v>
      </c>
      <c r="X225" s="250">
        <v>0.7</v>
      </c>
      <c r="Y225" s="250">
        <v>1700</v>
      </c>
      <c r="Z225" s="250" t="s">
        <v>840</v>
      </c>
      <c r="AA225" s="250">
        <v>0.85</v>
      </c>
      <c r="AB225" s="250" t="s">
        <v>841</v>
      </c>
      <c r="AC225" s="250" t="s">
        <v>842</v>
      </c>
      <c r="AD225" s="250">
        <v>220</v>
      </c>
      <c r="AE225" s="250"/>
      <c r="AF225" s="250"/>
      <c r="AG225" s="241"/>
    </row>
    <row r="226" spans="1:33" ht="15.75">
      <c r="A226" s="250" t="s">
        <v>1024</v>
      </c>
      <c r="B226" s="250">
        <v>3</v>
      </c>
      <c r="C226" s="250">
        <v>101</v>
      </c>
      <c r="D226" s="250" t="s">
        <v>902</v>
      </c>
      <c r="E226" s="250">
        <v>1.5</v>
      </c>
      <c r="F226" s="251">
        <v>45079.532083333332</v>
      </c>
      <c r="G226" s="250">
        <v>2</v>
      </c>
      <c r="H226" s="250">
        <v>51.374099999999999</v>
      </c>
      <c r="I226" s="250">
        <v>7.0600100000000001</v>
      </c>
      <c r="J226" s="250">
        <v>-3.691068</v>
      </c>
      <c r="K226" s="250">
        <v>-2.8545720000000001</v>
      </c>
      <c r="L226" s="250">
        <v>1033.18</v>
      </c>
      <c r="M226" s="250">
        <v>123.999763</v>
      </c>
      <c r="N226" s="250">
        <v>18289.348000000002</v>
      </c>
      <c r="O226" s="250">
        <v>0</v>
      </c>
      <c r="P226" s="250">
        <v>0</v>
      </c>
      <c r="Q226" s="250" t="s">
        <v>18</v>
      </c>
      <c r="R226" s="250" t="s">
        <v>916</v>
      </c>
      <c r="S226" s="250" t="s">
        <v>28</v>
      </c>
      <c r="T226" s="250">
        <v>15</v>
      </c>
      <c r="U226" s="250">
        <v>5</v>
      </c>
      <c r="V226" s="250">
        <v>0.7</v>
      </c>
      <c r="W226" s="250">
        <v>0.7</v>
      </c>
      <c r="X226" s="250">
        <v>0.7</v>
      </c>
      <c r="Y226" s="250">
        <v>1700</v>
      </c>
      <c r="Z226" s="250" t="s">
        <v>840</v>
      </c>
      <c r="AA226" s="250">
        <v>0.85</v>
      </c>
      <c r="AB226" s="250" t="s">
        <v>841</v>
      </c>
      <c r="AC226" s="250" t="s">
        <v>842</v>
      </c>
      <c r="AD226" s="250">
        <v>220</v>
      </c>
      <c r="AE226" s="250"/>
      <c r="AF226" s="250"/>
      <c r="AG226" s="241"/>
    </row>
    <row r="227" spans="1:33" ht="15.75">
      <c r="A227" s="250" t="s">
        <v>857</v>
      </c>
      <c r="B227" s="250">
        <v>4</v>
      </c>
      <c r="C227" s="250">
        <v>102</v>
      </c>
      <c r="D227" s="250" t="s">
        <v>906</v>
      </c>
      <c r="E227" s="250">
        <v>1.5</v>
      </c>
      <c r="F227" s="251">
        <v>45079.536215277774</v>
      </c>
      <c r="G227" s="250">
        <v>1</v>
      </c>
      <c r="H227" s="250">
        <v>51.3675</v>
      </c>
      <c r="I227" s="250">
        <v>6.9613199999999997</v>
      </c>
      <c r="J227" s="250">
        <v>-3.6255250000000001</v>
      </c>
      <c r="K227" s="250">
        <v>-2.7871329999999999</v>
      </c>
      <c r="L227" s="250">
        <v>1029.57</v>
      </c>
      <c r="M227" s="250">
        <v>140.00129899999999</v>
      </c>
      <c r="N227" s="250">
        <v>18321.414799999999</v>
      </c>
      <c r="O227" s="250">
        <v>18307.1456</v>
      </c>
      <c r="P227" s="250">
        <v>1993.2996499999999</v>
      </c>
      <c r="Q227" s="250" t="s">
        <v>18</v>
      </c>
      <c r="R227" s="250" t="s">
        <v>839</v>
      </c>
      <c r="S227" s="250" t="s">
        <v>21</v>
      </c>
      <c r="T227" s="250">
        <v>15</v>
      </c>
      <c r="U227" s="250">
        <v>5</v>
      </c>
      <c r="V227" s="250">
        <v>0.7</v>
      </c>
      <c r="W227" s="250">
        <v>0.7</v>
      </c>
      <c r="X227" s="250">
        <v>0.7</v>
      </c>
      <c r="Y227" s="250">
        <v>1700</v>
      </c>
      <c r="Z227" s="250" t="s">
        <v>840</v>
      </c>
      <c r="AA227" s="250">
        <v>0.85</v>
      </c>
      <c r="AB227" s="250" t="s">
        <v>841</v>
      </c>
      <c r="AC227" s="250" t="s">
        <v>842</v>
      </c>
      <c r="AD227" s="250">
        <v>220</v>
      </c>
      <c r="AE227" s="250"/>
      <c r="AF227" s="250"/>
      <c r="AG227" s="241"/>
    </row>
    <row r="228" spans="1:33" ht="15.75">
      <c r="A228" s="250" t="s">
        <v>962</v>
      </c>
      <c r="B228" s="250">
        <v>4</v>
      </c>
      <c r="C228" s="250">
        <v>102</v>
      </c>
      <c r="D228" s="250" t="s">
        <v>906</v>
      </c>
      <c r="E228" s="250">
        <v>1.5</v>
      </c>
      <c r="F228" s="251">
        <v>45079.540023148147</v>
      </c>
      <c r="G228" s="250">
        <v>1</v>
      </c>
      <c r="H228" s="250">
        <v>51.370800000000003</v>
      </c>
      <c r="I228" s="250">
        <v>7.0789</v>
      </c>
      <c r="J228" s="250">
        <v>-3.6134040000000001</v>
      </c>
      <c r="K228" s="250">
        <v>-2.7642579999999999</v>
      </c>
      <c r="L228" s="250">
        <v>1031.3599999999999</v>
      </c>
      <c r="M228" s="250">
        <v>125.999561</v>
      </c>
      <c r="N228" s="250">
        <v>18261.837100000001</v>
      </c>
      <c r="O228" s="250">
        <v>18307.1456</v>
      </c>
      <c r="P228" s="250">
        <v>1993.2996499999999</v>
      </c>
      <c r="Q228" s="250" t="s">
        <v>18</v>
      </c>
      <c r="R228" s="250" t="s">
        <v>647</v>
      </c>
      <c r="S228" s="250" t="s">
        <v>21</v>
      </c>
      <c r="T228" s="250">
        <v>15</v>
      </c>
      <c r="U228" s="250">
        <v>5</v>
      </c>
      <c r="V228" s="250">
        <v>0.7</v>
      </c>
      <c r="W228" s="250">
        <v>0.7</v>
      </c>
      <c r="X228" s="250">
        <v>0.7</v>
      </c>
      <c r="Y228" s="250">
        <v>1700</v>
      </c>
      <c r="Z228" s="250" t="s">
        <v>840</v>
      </c>
      <c r="AA228" s="250">
        <v>0.85</v>
      </c>
      <c r="AB228" s="250" t="s">
        <v>841</v>
      </c>
      <c r="AC228" s="250" t="s">
        <v>842</v>
      </c>
      <c r="AD228" s="250">
        <v>220</v>
      </c>
      <c r="AE228" s="250"/>
      <c r="AF228" s="250"/>
      <c r="AG228" s="241"/>
    </row>
    <row r="229" spans="1:33" ht="15.75">
      <c r="A229" s="250" t="s">
        <v>963</v>
      </c>
      <c r="B229" s="250">
        <v>4</v>
      </c>
      <c r="C229" s="250">
        <v>102</v>
      </c>
      <c r="D229" s="250" t="s">
        <v>906</v>
      </c>
      <c r="E229" s="250">
        <v>1.5</v>
      </c>
      <c r="F229" s="251">
        <v>45079.543657407405</v>
      </c>
      <c r="G229" s="250">
        <v>1</v>
      </c>
      <c r="H229" s="250">
        <v>51.3675</v>
      </c>
      <c r="I229" s="250">
        <v>7.1628600000000002</v>
      </c>
      <c r="J229" s="250">
        <v>-3.5869529999999998</v>
      </c>
      <c r="K229" s="250">
        <v>-2.7419340000000001</v>
      </c>
      <c r="L229" s="250">
        <v>1035.6099999999999</v>
      </c>
      <c r="M229" s="250">
        <v>118.999792</v>
      </c>
      <c r="N229" s="250">
        <v>18288.6934</v>
      </c>
      <c r="O229" s="250">
        <v>18307.1456</v>
      </c>
      <c r="P229" s="250">
        <v>1993.2996499999999</v>
      </c>
      <c r="Q229" s="250" t="s">
        <v>18</v>
      </c>
      <c r="R229" s="250" t="s">
        <v>839</v>
      </c>
      <c r="S229" s="250" t="s">
        <v>21</v>
      </c>
      <c r="T229" s="250">
        <v>15</v>
      </c>
      <c r="U229" s="250">
        <v>5</v>
      </c>
      <c r="V229" s="250">
        <v>0.7</v>
      </c>
      <c r="W229" s="250">
        <v>0.7</v>
      </c>
      <c r="X229" s="250">
        <v>0.7</v>
      </c>
      <c r="Y229" s="250">
        <v>1700</v>
      </c>
      <c r="Z229" s="250" t="s">
        <v>840</v>
      </c>
      <c r="AA229" s="250">
        <v>0.85</v>
      </c>
      <c r="AB229" s="250" t="s">
        <v>841</v>
      </c>
      <c r="AC229" s="250" t="s">
        <v>842</v>
      </c>
      <c r="AD229" s="250">
        <v>220</v>
      </c>
      <c r="AE229" s="250"/>
      <c r="AF229" s="250"/>
      <c r="AG229" s="241"/>
    </row>
    <row r="230" spans="1:33" ht="15.75">
      <c r="A230" s="250" t="s">
        <v>964</v>
      </c>
      <c r="B230" s="250">
        <v>4</v>
      </c>
      <c r="C230" s="250">
        <v>102</v>
      </c>
      <c r="D230" s="250" t="s">
        <v>906</v>
      </c>
      <c r="E230" s="250">
        <v>1.5</v>
      </c>
      <c r="F230" s="251">
        <v>45079.5471875</v>
      </c>
      <c r="G230" s="250">
        <v>1</v>
      </c>
      <c r="H230" s="250">
        <v>51.364100000000001</v>
      </c>
      <c r="I230" s="250">
        <v>7.1087800000000003</v>
      </c>
      <c r="J230" s="250">
        <v>-3.615964</v>
      </c>
      <c r="K230" s="250">
        <v>-2.7662689999999999</v>
      </c>
      <c r="L230" s="250">
        <v>1035.18</v>
      </c>
      <c r="M230" s="250">
        <v>127.001088</v>
      </c>
      <c r="N230" s="250">
        <v>18311.328699999998</v>
      </c>
      <c r="O230" s="250">
        <v>18307.1456</v>
      </c>
      <c r="P230" s="250">
        <v>1993.2996499999999</v>
      </c>
      <c r="Q230" s="250" t="s">
        <v>18</v>
      </c>
      <c r="R230" s="250" t="s">
        <v>839</v>
      </c>
      <c r="S230" s="250" t="s">
        <v>21</v>
      </c>
      <c r="T230" s="250">
        <v>15</v>
      </c>
      <c r="U230" s="250">
        <v>5</v>
      </c>
      <c r="V230" s="250">
        <v>0.7</v>
      </c>
      <c r="W230" s="250">
        <v>0.7</v>
      </c>
      <c r="X230" s="250">
        <v>0.7</v>
      </c>
      <c r="Y230" s="250">
        <v>1700</v>
      </c>
      <c r="Z230" s="250" t="s">
        <v>840</v>
      </c>
      <c r="AA230" s="250">
        <v>0.85</v>
      </c>
      <c r="AB230" s="250" t="s">
        <v>841</v>
      </c>
      <c r="AC230" s="250" t="s">
        <v>842</v>
      </c>
      <c r="AD230" s="250">
        <v>220</v>
      </c>
      <c r="AE230" s="250"/>
      <c r="AF230" s="250"/>
      <c r="AG230" s="241"/>
    </row>
    <row r="231" spans="1:33" ht="15.75">
      <c r="A231" s="250" t="s">
        <v>858</v>
      </c>
      <c r="B231" s="250">
        <v>5</v>
      </c>
      <c r="C231" s="250">
        <v>88</v>
      </c>
      <c r="D231" s="250" t="s">
        <v>911</v>
      </c>
      <c r="E231" s="250">
        <v>1.5</v>
      </c>
      <c r="F231" s="251">
        <v>45079.55133101852</v>
      </c>
      <c r="G231" s="250">
        <v>1</v>
      </c>
      <c r="H231" s="250">
        <v>51.374099999999999</v>
      </c>
      <c r="I231" s="250">
        <v>7.0845900000000004</v>
      </c>
      <c r="J231" s="250">
        <v>-3.6427640000000001</v>
      </c>
      <c r="K231" s="250">
        <v>-2.8071220000000001</v>
      </c>
      <c r="L231" s="250">
        <v>1044.8499999999999</v>
      </c>
      <c r="M231" s="250">
        <v>127.000846</v>
      </c>
      <c r="N231" s="250">
        <v>18526.739399999999</v>
      </c>
      <c r="O231" s="250">
        <v>18568.011299999998</v>
      </c>
      <c r="P231" s="250">
        <v>2021.7525599999999</v>
      </c>
      <c r="Q231" s="250" t="s">
        <v>18</v>
      </c>
      <c r="R231" s="250" t="s">
        <v>647</v>
      </c>
      <c r="S231" s="250" t="s">
        <v>21</v>
      </c>
      <c r="T231" s="250">
        <v>15</v>
      </c>
      <c r="U231" s="250">
        <v>5</v>
      </c>
      <c r="V231" s="250">
        <v>0.7</v>
      </c>
      <c r="W231" s="250">
        <v>0.7</v>
      </c>
      <c r="X231" s="250">
        <v>0.7</v>
      </c>
      <c r="Y231" s="250">
        <v>1700</v>
      </c>
      <c r="Z231" s="250" t="s">
        <v>840</v>
      </c>
      <c r="AA231" s="250">
        <v>0.85</v>
      </c>
      <c r="AB231" s="250" t="s">
        <v>841</v>
      </c>
      <c r="AC231" s="250" t="s">
        <v>842</v>
      </c>
      <c r="AD231" s="250">
        <v>220</v>
      </c>
      <c r="AE231" s="250"/>
      <c r="AF231" s="250"/>
      <c r="AG231" s="241"/>
    </row>
    <row r="232" spans="1:33" ht="15.75">
      <c r="A232" s="250" t="s">
        <v>966</v>
      </c>
      <c r="B232" s="250">
        <v>5</v>
      </c>
      <c r="C232" s="250">
        <v>88</v>
      </c>
      <c r="D232" s="250" t="s">
        <v>911</v>
      </c>
      <c r="E232" s="250">
        <v>1.5</v>
      </c>
      <c r="F232" s="251">
        <v>45079.554965277777</v>
      </c>
      <c r="G232" s="250">
        <v>1</v>
      </c>
      <c r="H232" s="250">
        <v>51.374099999999999</v>
      </c>
      <c r="I232" s="250">
        <v>7.0814199999999996</v>
      </c>
      <c r="J232" s="250">
        <v>-3.6015640000000002</v>
      </c>
      <c r="K232" s="250">
        <v>-2.7558099999999999</v>
      </c>
      <c r="L232" s="250">
        <v>1036.82</v>
      </c>
      <c r="M232" s="250">
        <v>132.50122400000001</v>
      </c>
      <c r="N232" s="250">
        <v>18574.761699999999</v>
      </c>
      <c r="O232" s="250">
        <v>18568.011299999998</v>
      </c>
      <c r="P232" s="250">
        <v>2021.7525599999999</v>
      </c>
      <c r="Q232" s="250" t="s">
        <v>18</v>
      </c>
      <c r="R232" s="250" t="s">
        <v>839</v>
      </c>
      <c r="S232" s="250" t="s">
        <v>21</v>
      </c>
      <c r="T232" s="250">
        <v>15</v>
      </c>
      <c r="U232" s="250">
        <v>5</v>
      </c>
      <c r="V232" s="250">
        <v>0.7</v>
      </c>
      <c r="W232" s="250">
        <v>0.7</v>
      </c>
      <c r="X232" s="250">
        <v>0.7</v>
      </c>
      <c r="Y232" s="250">
        <v>1700</v>
      </c>
      <c r="Z232" s="250" t="s">
        <v>840</v>
      </c>
      <c r="AA232" s="250">
        <v>0.85</v>
      </c>
      <c r="AB232" s="250" t="s">
        <v>841</v>
      </c>
      <c r="AC232" s="250" t="s">
        <v>842</v>
      </c>
      <c r="AD232" s="250">
        <v>220</v>
      </c>
      <c r="AE232" s="250"/>
      <c r="AF232" s="250"/>
      <c r="AG232" s="241"/>
    </row>
    <row r="233" spans="1:33" ht="15.75">
      <c r="A233" s="250" t="s">
        <v>967</v>
      </c>
      <c r="B233" s="250">
        <v>5</v>
      </c>
      <c r="C233" s="250">
        <v>88</v>
      </c>
      <c r="D233" s="250" t="s">
        <v>911</v>
      </c>
      <c r="E233" s="250">
        <v>1.5</v>
      </c>
      <c r="F233" s="251">
        <v>45079.558668981481</v>
      </c>
      <c r="G233" s="250">
        <v>1</v>
      </c>
      <c r="H233" s="250">
        <v>51.364100000000001</v>
      </c>
      <c r="I233" s="250">
        <v>7.0280800000000001</v>
      </c>
      <c r="J233" s="250">
        <v>-3.6817160000000002</v>
      </c>
      <c r="K233" s="250">
        <v>-2.8340480000000001</v>
      </c>
      <c r="L233" s="250">
        <v>1041.26</v>
      </c>
      <c r="M233" s="250">
        <v>164.49963399999999</v>
      </c>
      <c r="N233" s="250">
        <v>18561.281800000001</v>
      </c>
      <c r="O233" s="250">
        <v>18568.011299999998</v>
      </c>
      <c r="P233" s="250">
        <v>2021.7525599999999</v>
      </c>
      <c r="Q233" s="250" t="s">
        <v>18</v>
      </c>
      <c r="R233" s="250" t="s">
        <v>839</v>
      </c>
      <c r="S233" s="250" t="s">
        <v>21</v>
      </c>
      <c r="T233" s="250">
        <v>15</v>
      </c>
      <c r="U233" s="250">
        <v>5</v>
      </c>
      <c r="V233" s="250">
        <v>0.7</v>
      </c>
      <c r="W233" s="250">
        <v>0.7</v>
      </c>
      <c r="X233" s="250">
        <v>0.7</v>
      </c>
      <c r="Y233" s="250">
        <v>1700</v>
      </c>
      <c r="Z233" s="250" t="s">
        <v>840</v>
      </c>
      <c r="AA233" s="250">
        <v>0.85</v>
      </c>
      <c r="AB233" s="250" t="s">
        <v>841</v>
      </c>
      <c r="AC233" s="250" t="s">
        <v>842</v>
      </c>
      <c r="AD233" s="250">
        <v>220</v>
      </c>
      <c r="AE233" s="250"/>
      <c r="AF233" s="250"/>
      <c r="AG233" s="241"/>
    </row>
    <row r="234" spans="1:33" ht="15.75">
      <c r="A234" s="250" t="s">
        <v>1025</v>
      </c>
      <c r="B234" s="250">
        <v>5</v>
      </c>
      <c r="C234" s="250">
        <v>88</v>
      </c>
      <c r="D234" s="250" t="s">
        <v>911</v>
      </c>
      <c r="E234" s="250">
        <v>1.5</v>
      </c>
      <c r="F234" s="251">
        <v>45079.562731481485</v>
      </c>
      <c r="G234" s="250">
        <v>1</v>
      </c>
      <c r="H234" s="250">
        <v>51.3675</v>
      </c>
      <c r="I234" s="250">
        <v>6.8688399999999996</v>
      </c>
      <c r="J234" s="250">
        <v>-3.6750129999999999</v>
      </c>
      <c r="K234" s="250">
        <v>-2.8308450000000001</v>
      </c>
      <c r="L234" s="250">
        <v>1041.32</v>
      </c>
      <c r="M234" s="250">
        <v>154.000349</v>
      </c>
      <c r="N234" s="250">
        <v>18567.9905</v>
      </c>
      <c r="O234" s="250">
        <v>18568.011299999998</v>
      </c>
      <c r="P234" s="250">
        <v>2021.7525599999999</v>
      </c>
      <c r="Q234" s="250" t="s">
        <v>18</v>
      </c>
      <c r="R234" s="250" t="s">
        <v>839</v>
      </c>
      <c r="S234" s="250" t="s">
        <v>21</v>
      </c>
      <c r="T234" s="250">
        <v>15</v>
      </c>
      <c r="U234" s="250">
        <v>5</v>
      </c>
      <c r="V234" s="250">
        <v>0.7</v>
      </c>
      <c r="W234" s="250">
        <v>0.7</v>
      </c>
      <c r="X234" s="250">
        <v>0.7</v>
      </c>
      <c r="Y234" s="250">
        <v>1700</v>
      </c>
      <c r="Z234" s="250" t="s">
        <v>840</v>
      </c>
      <c r="AA234" s="250">
        <v>0.85</v>
      </c>
      <c r="AB234" s="250" t="s">
        <v>841</v>
      </c>
      <c r="AC234" s="250" t="s">
        <v>842</v>
      </c>
      <c r="AD234" s="250">
        <v>220</v>
      </c>
      <c r="AE234" s="250"/>
      <c r="AF234" s="250"/>
      <c r="AG234" s="241"/>
    </row>
    <row r="235" spans="1:33" ht="15.75">
      <c r="A235" s="250" t="s">
        <v>859</v>
      </c>
      <c r="B235" s="250">
        <v>6</v>
      </c>
      <c r="C235" s="250">
        <v>92</v>
      </c>
      <c r="D235" s="250" t="s">
        <v>915</v>
      </c>
      <c r="E235" s="250">
        <v>1.5</v>
      </c>
      <c r="F235" s="251">
        <v>45079.56722222222</v>
      </c>
      <c r="G235" s="250">
        <v>1</v>
      </c>
      <c r="H235" s="250">
        <v>51.3675</v>
      </c>
      <c r="I235" s="250">
        <v>6.9341499999999998</v>
      </c>
      <c r="J235" s="250">
        <v>-3.6800850000000001</v>
      </c>
      <c r="K235" s="250">
        <v>-2.8344179999999999</v>
      </c>
      <c r="L235" s="250">
        <v>1075.3800000000001</v>
      </c>
      <c r="M235" s="250">
        <v>126.500039</v>
      </c>
      <c r="N235" s="250">
        <v>18597.3259</v>
      </c>
      <c r="O235" s="250">
        <v>18585.315500000001</v>
      </c>
      <c r="P235" s="250">
        <v>2023.63995</v>
      </c>
      <c r="Q235" s="250" t="s">
        <v>18</v>
      </c>
      <c r="R235" s="250" t="s">
        <v>839</v>
      </c>
      <c r="S235" s="250" t="s">
        <v>21</v>
      </c>
      <c r="T235" s="250">
        <v>15</v>
      </c>
      <c r="U235" s="250">
        <v>5</v>
      </c>
      <c r="V235" s="250">
        <v>0.7</v>
      </c>
      <c r="W235" s="250">
        <v>0.7</v>
      </c>
      <c r="X235" s="250">
        <v>0.7</v>
      </c>
      <c r="Y235" s="250">
        <v>1700</v>
      </c>
      <c r="Z235" s="250" t="s">
        <v>840</v>
      </c>
      <c r="AA235" s="250">
        <v>0.85</v>
      </c>
      <c r="AB235" s="250" t="s">
        <v>841</v>
      </c>
      <c r="AC235" s="250" t="s">
        <v>842</v>
      </c>
      <c r="AD235" s="250">
        <v>220</v>
      </c>
      <c r="AE235" s="250"/>
      <c r="AF235" s="250"/>
      <c r="AG235" s="241"/>
    </row>
    <row r="236" spans="1:33" ht="15.75">
      <c r="A236" s="250" t="s">
        <v>968</v>
      </c>
      <c r="B236" s="250">
        <v>6</v>
      </c>
      <c r="C236" s="250">
        <v>92</v>
      </c>
      <c r="D236" s="250" t="s">
        <v>915</v>
      </c>
      <c r="E236" s="250">
        <v>1.5</v>
      </c>
      <c r="F236" s="251">
        <v>45079.570833333331</v>
      </c>
      <c r="G236" s="250">
        <v>1</v>
      </c>
      <c r="H236" s="250">
        <v>51.370800000000003</v>
      </c>
      <c r="I236" s="250">
        <v>7.11782</v>
      </c>
      <c r="J236" s="250">
        <v>-3.6219760000000001</v>
      </c>
      <c r="K236" s="250">
        <v>-2.7877190000000001</v>
      </c>
      <c r="L236" s="250">
        <v>1048.75</v>
      </c>
      <c r="M236" s="250">
        <v>125.00064399999999</v>
      </c>
      <c r="N236" s="250">
        <v>18571.755700000002</v>
      </c>
      <c r="O236" s="250">
        <v>18585.315500000001</v>
      </c>
      <c r="P236" s="250">
        <v>2023.63995</v>
      </c>
      <c r="Q236" s="250" t="s">
        <v>18</v>
      </c>
      <c r="R236" s="250" t="s">
        <v>839</v>
      </c>
      <c r="S236" s="250" t="s">
        <v>21</v>
      </c>
      <c r="T236" s="250">
        <v>15</v>
      </c>
      <c r="U236" s="250">
        <v>5</v>
      </c>
      <c r="V236" s="250">
        <v>0.7</v>
      </c>
      <c r="W236" s="250">
        <v>0.7</v>
      </c>
      <c r="X236" s="250">
        <v>0.7</v>
      </c>
      <c r="Y236" s="250">
        <v>1700</v>
      </c>
      <c r="Z236" s="250" t="s">
        <v>840</v>
      </c>
      <c r="AA236" s="250">
        <v>0.85</v>
      </c>
      <c r="AB236" s="250" t="s">
        <v>841</v>
      </c>
      <c r="AC236" s="250" t="s">
        <v>842</v>
      </c>
      <c r="AD236" s="250">
        <v>220</v>
      </c>
      <c r="AE236" s="250"/>
      <c r="AF236" s="250"/>
      <c r="AG236" s="241"/>
    </row>
    <row r="237" spans="1:33" ht="15.75">
      <c r="A237" s="250" t="s">
        <v>969</v>
      </c>
      <c r="B237" s="250">
        <v>6</v>
      </c>
      <c r="C237" s="250">
        <v>92</v>
      </c>
      <c r="D237" s="250" t="s">
        <v>915</v>
      </c>
      <c r="E237" s="250">
        <v>1.5</v>
      </c>
      <c r="F237" s="251">
        <v>45079.574444444443</v>
      </c>
      <c r="G237" s="250">
        <v>1</v>
      </c>
      <c r="H237" s="250">
        <v>51.374099999999999</v>
      </c>
      <c r="I237" s="250">
        <v>7.0692399999999997</v>
      </c>
      <c r="J237" s="250">
        <v>-3.5629840000000002</v>
      </c>
      <c r="K237" s="250">
        <v>-2.7255889999999998</v>
      </c>
      <c r="L237" s="250">
        <v>1049.8900000000001</v>
      </c>
      <c r="M237" s="250">
        <v>119.99989600000001</v>
      </c>
      <c r="N237" s="250">
        <v>18586.865000000002</v>
      </c>
      <c r="O237" s="250">
        <v>18585.315500000001</v>
      </c>
      <c r="P237" s="250">
        <v>2023.63995</v>
      </c>
      <c r="Q237" s="250" t="s">
        <v>18</v>
      </c>
      <c r="R237" s="250" t="s">
        <v>839</v>
      </c>
      <c r="S237" s="250" t="s">
        <v>21</v>
      </c>
      <c r="T237" s="250">
        <v>15</v>
      </c>
      <c r="U237" s="250">
        <v>5</v>
      </c>
      <c r="V237" s="250">
        <v>0.7</v>
      </c>
      <c r="W237" s="250">
        <v>0.7</v>
      </c>
      <c r="X237" s="250">
        <v>0.7</v>
      </c>
      <c r="Y237" s="250">
        <v>1700</v>
      </c>
      <c r="Z237" s="250" t="s">
        <v>840</v>
      </c>
      <c r="AA237" s="250">
        <v>0.85</v>
      </c>
      <c r="AB237" s="250" t="s">
        <v>841</v>
      </c>
      <c r="AC237" s="250" t="s">
        <v>842</v>
      </c>
      <c r="AD237" s="250">
        <v>220</v>
      </c>
      <c r="AE237" s="250"/>
      <c r="AF237" s="250"/>
      <c r="AG237" s="241"/>
    </row>
    <row r="238" spans="1:33" ht="15.75">
      <c r="A238" s="250" t="s">
        <v>860</v>
      </c>
      <c r="B238" s="250">
        <v>7</v>
      </c>
      <c r="C238" s="250">
        <v>75</v>
      </c>
      <c r="D238" s="250" t="s">
        <v>926</v>
      </c>
      <c r="E238" s="250">
        <v>1.5</v>
      </c>
      <c r="F238" s="251">
        <v>45079.578541666669</v>
      </c>
      <c r="G238" s="250">
        <v>1</v>
      </c>
      <c r="H238" s="250">
        <v>51.3675</v>
      </c>
      <c r="I238" s="250">
        <v>7.0625299999999998</v>
      </c>
      <c r="J238" s="250">
        <v>-3.672844</v>
      </c>
      <c r="K238" s="250">
        <v>-2.8309609999999998</v>
      </c>
      <c r="L238" s="250">
        <v>1056.26</v>
      </c>
      <c r="M238" s="250">
        <v>117.498958</v>
      </c>
      <c r="N238" s="250">
        <v>18504.254400000002</v>
      </c>
      <c r="O238" s="250">
        <v>18515.367399999999</v>
      </c>
      <c r="P238" s="250">
        <v>2016.01063</v>
      </c>
      <c r="Q238" s="250" t="s">
        <v>18</v>
      </c>
      <c r="R238" s="250" t="s">
        <v>839</v>
      </c>
      <c r="S238" s="250" t="s">
        <v>21</v>
      </c>
      <c r="T238" s="250">
        <v>15</v>
      </c>
      <c r="U238" s="250">
        <v>5</v>
      </c>
      <c r="V238" s="250">
        <v>0.7</v>
      </c>
      <c r="W238" s="250">
        <v>0.7</v>
      </c>
      <c r="X238" s="250">
        <v>0.7</v>
      </c>
      <c r="Y238" s="250">
        <v>1700</v>
      </c>
      <c r="Z238" s="250" t="s">
        <v>840</v>
      </c>
      <c r="AA238" s="250">
        <v>0.85</v>
      </c>
      <c r="AB238" s="250" t="s">
        <v>841</v>
      </c>
      <c r="AC238" s="250" t="s">
        <v>842</v>
      </c>
      <c r="AD238" s="250">
        <v>220</v>
      </c>
      <c r="AE238" s="250"/>
      <c r="AF238" s="250"/>
      <c r="AG238" s="241"/>
    </row>
    <row r="239" spans="1:33" ht="15.75">
      <c r="A239" s="250" t="s">
        <v>970</v>
      </c>
      <c r="B239" s="250">
        <v>7</v>
      </c>
      <c r="C239" s="250">
        <v>75</v>
      </c>
      <c r="D239" s="250" t="s">
        <v>926</v>
      </c>
      <c r="E239" s="250">
        <v>1.5</v>
      </c>
      <c r="F239" s="251">
        <v>45079.582071759258</v>
      </c>
      <c r="G239" s="250">
        <v>1</v>
      </c>
      <c r="H239" s="250">
        <v>51.3675</v>
      </c>
      <c r="I239" s="250">
        <v>7.12486</v>
      </c>
      <c r="J239" s="250">
        <v>-3.6576110000000002</v>
      </c>
      <c r="K239" s="250">
        <v>-2.8178230000000002</v>
      </c>
      <c r="L239" s="250">
        <v>1036.8</v>
      </c>
      <c r="M239" s="250">
        <v>123.49835299999999</v>
      </c>
      <c r="N239" s="250">
        <v>18507.690299999998</v>
      </c>
      <c r="O239" s="250">
        <v>18515.367399999999</v>
      </c>
      <c r="P239" s="250">
        <v>2016.01063</v>
      </c>
      <c r="Q239" s="250" t="s">
        <v>18</v>
      </c>
      <c r="R239" s="250" t="s">
        <v>839</v>
      </c>
      <c r="S239" s="250" t="s">
        <v>21</v>
      </c>
      <c r="T239" s="250">
        <v>15</v>
      </c>
      <c r="U239" s="250">
        <v>5</v>
      </c>
      <c r="V239" s="250">
        <v>0.7</v>
      </c>
      <c r="W239" s="250">
        <v>0.7</v>
      </c>
      <c r="X239" s="250">
        <v>0.7</v>
      </c>
      <c r="Y239" s="250">
        <v>1700</v>
      </c>
      <c r="Z239" s="250" t="s">
        <v>840</v>
      </c>
      <c r="AA239" s="250">
        <v>0.85</v>
      </c>
      <c r="AB239" s="250" t="s">
        <v>841</v>
      </c>
      <c r="AC239" s="250" t="s">
        <v>842</v>
      </c>
      <c r="AD239" s="250">
        <v>220</v>
      </c>
      <c r="AE239" s="250"/>
      <c r="AF239" s="250"/>
      <c r="AG239" s="241"/>
    </row>
    <row r="240" spans="1:33" ht="15.75">
      <c r="A240" s="250" t="s">
        <v>971</v>
      </c>
      <c r="B240" s="250">
        <v>7</v>
      </c>
      <c r="C240" s="250">
        <v>75</v>
      </c>
      <c r="D240" s="250" t="s">
        <v>926</v>
      </c>
      <c r="E240" s="250">
        <v>1.5</v>
      </c>
      <c r="F240" s="251">
        <v>45079.585694444446</v>
      </c>
      <c r="G240" s="250">
        <v>1</v>
      </c>
      <c r="H240" s="250">
        <v>51.3675</v>
      </c>
      <c r="I240" s="250">
        <v>6.9939299999999998</v>
      </c>
      <c r="J240" s="250">
        <v>-3.579717</v>
      </c>
      <c r="K240" s="250">
        <v>-2.7414939999999999</v>
      </c>
      <c r="L240" s="250">
        <v>1051.8900000000001</v>
      </c>
      <c r="M240" s="250">
        <v>135.000438</v>
      </c>
      <c r="N240" s="250">
        <v>18534.1574</v>
      </c>
      <c r="O240" s="250">
        <v>18515.367399999999</v>
      </c>
      <c r="P240" s="250">
        <v>2016.01063</v>
      </c>
      <c r="Q240" s="250" t="s">
        <v>18</v>
      </c>
      <c r="R240" s="250" t="s">
        <v>839</v>
      </c>
      <c r="S240" s="250" t="s">
        <v>21</v>
      </c>
      <c r="T240" s="250">
        <v>15</v>
      </c>
      <c r="U240" s="250">
        <v>5</v>
      </c>
      <c r="V240" s="250">
        <v>0.7</v>
      </c>
      <c r="W240" s="250">
        <v>0.7</v>
      </c>
      <c r="X240" s="250">
        <v>0.7</v>
      </c>
      <c r="Y240" s="250">
        <v>1700</v>
      </c>
      <c r="Z240" s="250" t="s">
        <v>840</v>
      </c>
      <c r="AA240" s="250">
        <v>0.85</v>
      </c>
      <c r="AB240" s="250" t="s">
        <v>841</v>
      </c>
      <c r="AC240" s="250" t="s">
        <v>842</v>
      </c>
      <c r="AD240" s="250">
        <v>220</v>
      </c>
      <c r="AE240" s="250"/>
      <c r="AF240" s="250"/>
      <c r="AG240" s="241"/>
    </row>
    <row r="241" spans="1:33" ht="15.75">
      <c r="A241" s="250" t="s">
        <v>861</v>
      </c>
      <c r="B241" s="250">
        <v>8</v>
      </c>
      <c r="C241" s="250">
        <v>90</v>
      </c>
      <c r="D241" s="250" t="s">
        <v>930</v>
      </c>
      <c r="E241" s="250">
        <v>1.5</v>
      </c>
      <c r="F241" s="251">
        <v>45079.589930555558</v>
      </c>
      <c r="G241" s="250">
        <v>1</v>
      </c>
      <c r="H241" s="250">
        <v>51.3675</v>
      </c>
      <c r="I241" s="250">
        <v>6.9881500000000001</v>
      </c>
      <c r="J241" s="250">
        <v>-3.656812</v>
      </c>
      <c r="K241" s="250">
        <v>-2.8200400000000001</v>
      </c>
      <c r="L241" s="250">
        <v>1048.46</v>
      </c>
      <c r="M241" s="250">
        <v>132.000653</v>
      </c>
      <c r="N241" s="250">
        <v>18543.5497</v>
      </c>
      <c r="O241" s="250">
        <v>18527.1044</v>
      </c>
      <c r="P241" s="250">
        <v>2017.2908</v>
      </c>
      <c r="Q241" s="250" t="s">
        <v>18</v>
      </c>
      <c r="R241" s="250" t="s">
        <v>839</v>
      </c>
      <c r="S241" s="250" t="s">
        <v>21</v>
      </c>
      <c r="T241" s="250">
        <v>15</v>
      </c>
      <c r="U241" s="250">
        <v>5</v>
      </c>
      <c r="V241" s="250">
        <v>0.7</v>
      </c>
      <c r="W241" s="250">
        <v>0.7</v>
      </c>
      <c r="X241" s="250">
        <v>0.7</v>
      </c>
      <c r="Y241" s="250">
        <v>1700</v>
      </c>
      <c r="Z241" s="250" t="s">
        <v>840</v>
      </c>
      <c r="AA241" s="250">
        <v>0.85</v>
      </c>
      <c r="AB241" s="250" t="s">
        <v>841</v>
      </c>
      <c r="AC241" s="250" t="s">
        <v>842</v>
      </c>
      <c r="AD241" s="250">
        <v>220</v>
      </c>
      <c r="AE241" s="250"/>
      <c r="AF241" s="250"/>
      <c r="AG241" s="241"/>
    </row>
    <row r="242" spans="1:33" ht="15.75">
      <c r="A242" s="250" t="s">
        <v>974</v>
      </c>
      <c r="B242" s="250">
        <v>8</v>
      </c>
      <c r="C242" s="250">
        <v>90</v>
      </c>
      <c r="D242" s="250" t="s">
        <v>930</v>
      </c>
      <c r="E242" s="250">
        <v>1.5</v>
      </c>
      <c r="F242" s="251">
        <v>45079.593622685185</v>
      </c>
      <c r="G242" s="250">
        <v>1</v>
      </c>
      <c r="H242" s="250">
        <v>51.370800000000003</v>
      </c>
      <c r="I242" s="250">
        <v>7.0716200000000002</v>
      </c>
      <c r="J242" s="250">
        <v>-3.57802</v>
      </c>
      <c r="K242" s="250">
        <v>-2.7480720000000001</v>
      </c>
      <c r="L242" s="250">
        <v>1040.58</v>
      </c>
      <c r="M242" s="250">
        <v>120.50098199999999</v>
      </c>
      <c r="N242" s="250">
        <v>18518.223399999999</v>
      </c>
      <c r="O242" s="250">
        <v>18527.1044</v>
      </c>
      <c r="P242" s="250">
        <v>2017.2908</v>
      </c>
      <c r="Q242" s="250" t="s">
        <v>18</v>
      </c>
      <c r="R242" s="250" t="s">
        <v>839</v>
      </c>
      <c r="S242" s="250" t="s">
        <v>21</v>
      </c>
      <c r="T242" s="250">
        <v>15</v>
      </c>
      <c r="U242" s="250">
        <v>5</v>
      </c>
      <c r="V242" s="250">
        <v>0.7</v>
      </c>
      <c r="W242" s="250">
        <v>0.7</v>
      </c>
      <c r="X242" s="250">
        <v>0.7</v>
      </c>
      <c r="Y242" s="250">
        <v>1700</v>
      </c>
      <c r="Z242" s="250" t="s">
        <v>840</v>
      </c>
      <c r="AA242" s="250">
        <v>0.85</v>
      </c>
      <c r="AB242" s="250" t="s">
        <v>841</v>
      </c>
      <c r="AC242" s="250" t="s">
        <v>842</v>
      </c>
      <c r="AD242" s="250">
        <v>220</v>
      </c>
      <c r="AE242" s="250"/>
      <c r="AF242" s="250"/>
      <c r="AG242" s="241"/>
    </row>
    <row r="243" spans="1:33" ht="15.75">
      <c r="A243" s="250" t="s">
        <v>975</v>
      </c>
      <c r="B243" s="250">
        <v>8</v>
      </c>
      <c r="C243" s="250">
        <v>90</v>
      </c>
      <c r="D243" s="250" t="s">
        <v>930</v>
      </c>
      <c r="E243" s="250">
        <v>1.5</v>
      </c>
      <c r="F243" s="251">
        <v>45079.59715277778</v>
      </c>
      <c r="G243" s="250">
        <v>1</v>
      </c>
      <c r="H243" s="250">
        <v>51.377400000000002</v>
      </c>
      <c r="I243" s="250">
        <v>7.0048199999999996</v>
      </c>
      <c r="J243" s="250">
        <v>-3.6653910000000001</v>
      </c>
      <c r="K243" s="250">
        <v>-2.8404289999999999</v>
      </c>
      <c r="L243" s="250">
        <v>1049.71</v>
      </c>
      <c r="M243" s="250">
        <v>127.500455</v>
      </c>
      <c r="N243" s="250">
        <v>18519.540199999999</v>
      </c>
      <c r="O243" s="250">
        <v>18527.1044</v>
      </c>
      <c r="P243" s="250">
        <v>2017.2908</v>
      </c>
      <c r="Q243" s="250" t="s">
        <v>18</v>
      </c>
      <c r="R243" s="250" t="s">
        <v>839</v>
      </c>
      <c r="S243" s="250" t="s">
        <v>21</v>
      </c>
      <c r="T243" s="250">
        <v>15</v>
      </c>
      <c r="U243" s="250">
        <v>5</v>
      </c>
      <c r="V243" s="250">
        <v>0.7</v>
      </c>
      <c r="W243" s="250">
        <v>0.7</v>
      </c>
      <c r="X243" s="250">
        <v>0.7</v>
      </c>
      <c r="Y243" s="250">
        <v>1700</v>
      </c>
      <c r="Z243" s="250" t="s">
        <v>840</v>
      </c>
      <c r="AA243" s="250">
        <v>0.85</v>
      </c>
      <c r="AB243" s="250" t="s">
        <v>841</v>
      </c>
      <c r="AC243" s="250" t="s">
        <v>842</v>
      </c>
      <c r="AD243" s="250">
        <v>220</v>
      </c>
      <c r="AE243" s="250"/>
      <c r="AF243" s="250"/>
      <c r="AG243" s="241"/>
    </row>
    <row r="244" spans="1:33" ht="15.75">
      <c r="A244" s="250" t="s">
        <v>862</v>
      </c>
      <c r="B244" s="250">
        <v>9</v>
      </c>
      <c r="C244" s="250">
        <v>76</v>
      </c>
      <c r="D244" s="250" t="s">
        <v>936</v>
      </c>
      <c r="E244" s="250">
        <v>1.5</v>
      </c>
      <c r="F244" s="251">
        <v>45079.601342592592</v>
      </c>
      <c r="G244" s="250">
        <v>1</v>
      </c>
      <c r="H244" s="250">
        <v>51.370800000000003</v>
      </c>
      <c r="I244" s="250">
        <v>7.0362400000000003</v>
      </c>
      <c r="J244" s="250">
        <v>-3.6962480000000002</v>
      </c>
      <c r="K244" s="250">
        <v>-2.8478080000000001</v>
      </c>
      <c r="L244" s="250">
        <v>1051.97</v>
      </c>
      <c r="M244" s="250">
        <v>136.50064599999999</v>
      </c>
      <c r="N244" s="250">
        <v>18341.6325</v>
      </c>
      <c r="O244" s="250">
        <v>18342.223099999999</v>
      </c>
      <c r="P244" s="250">
        <v>1997.1255900000001</v>
      </c>
      <c r="Q244" s="250" t="s">
        <v>18</v>
      </c>
      <c r="R244" s="250" t="s">
        <v>839</v>
      </c>
      <c r="S244" s="250" t="s">
        <v>21</v>
      </c>
      <c r="T244" s="250">
        <v>15</v>
      </c>
      <c r="U244" s="250">
        <v>5</v>
      </c>
      <c r="V244" s="250">
        <v>0.7</v>
      </c>
      <c r="W244" s="250">
        <v>0.7</v>
      </c>
      <c r="X244" s="250">
        <v>0.7</v>
      </c>
      <c r="Y244" s="250">
        <v>1700</v>
      </c>
      <c r="Z244" s="250" t="s">
        <v>840</v>
      </c>
      <c r="AA244" s="250">
        <v>0.85</v>
      </c>
      <c r="AB244" s="250" t="s">
        <v>841</v>
      </c>
      <c r="AC244" s="250" t="s">
        <v>842</v>
      </c>
      <c r="AD244" s="250">
        <v>220</v>
      </c>
      <c r="AE244" s="250"/>
      <c r="AF244" s="250"/>
      <c r="AG244" s="241"/>
    </row>
    <row r="245" spans="1:33" ht="15.75">
      <c r="A245" s="250" t="s">
        <v>978</v>
      </c>
      <c r="B245" s="250">
        <v>9</v>
      </c>
      <c r="C245" s="250">
        <v>76</v>
      </c>
      <c r="D245" s="250" t="s">
        <v>936</v>
      </c>
      <c r="E245" s="250">
        <v>1.5</v>
      </c>
      <c r="F245" s="251">
        <v>45079.605069444442</v>
      </c>
      <c r="G245" s="250">
        <v>1</v>
      </c>
      <c r="H245" s="250">
        <v>51.364100000000001</v>
      </c>
      <c r="I245" s="250">
        <v>7.1328399999999998</v>
      </c>
      <c r="J245" s="250">
        <v>-3.598287</v>
      </c>
      <c r="K245" s="250">
        <v>-2.7640530000000001</v>
      </c>
      <c r="L245" s="250">
        <v>1041.49</v>
      </c>
      <c r="M245" s="250">
        <v>125.00195100000001</v>
      </c>
      <c r="N245" s="250">
        <v>18327.826099999998</v>
      </c>
      <c r="O245" s="250">
        <v>18342.223099999999</v>
      </c>
      <c r="P245" s="250">
        <v>1997.1255900000001</v>
      </c>
      <c r="Q245" s="250" t="s">
        <v>18</v>
      </c>
      <c r="R245" s="250" t="s">
        <v>839</v>
      </c>
      <c r="S245" s="250" t="s">
        <v>21</v>
      </c>
      <c r="T245" s="250">
        <v>15</v>
      </c>
      <c r="U245" s="250">
        <v>5</v>
      </c>
      <c r="V245" s="250">
        <v>0.7</v>
      </c>
      <c r="W245" s="250">
        <v>0.7</v>
      </c>
      <c r="X245" s="250">
        <v>0.7</v>
      </c>
      <c r="Y245" s="250">
        <v>1700</v>
      </c>
      <c r="Z245" s="250" t="s">
        <v>840</v>
      </c>
      <c r="AA245" s="250">
        <v>0.85</v>
      </c>
      <c r="AB245" s="250" t="s">
        <v>841</v>
      </c>
      <c r="AC245" s="250" t="s">
        <v>842</v>
      </c>
      <c r="AD245" s="250">
        <v>220</v>
      </c>
      <c r="AE245" s="250"/>
      <c r="AF245" s="250"/>
      <c r="AG245" s="241"/>
    </row>
    <row r="246" spans="1:33" ht="15.75">
      <c r="A246" s="250" t="s">
        <v>979</v>
      </c>
      <c r="B246" s="250">
        <v>9</v>
      </c>
      <c r="C246" s="250">
        <v>76</v>
      </c>
      <c r="D246" s="250" t="s">
        <v>936</v>
      </c>
      <c r="E246" s="250">
        <v>1.5</v>
      </c>
      <c r="F246" s="251">
        <v>45079.60869212963</v>
      </c>
      <c r="G246" s="250">
        <v>1</v>
      </c>
      <c r="H246" s="250">
        <v>51.377400000000002</v>
      </c>
      <c r="I246" s="250">
        <v>6.9701700000000004</v>
      </c>
      <c r="J246" s="250">
        <v>-3.753908</v>
      </c>
      <c r="K246" s="250">
        <v>-2.9340489999999999</v>
      </c>
      <c r="L246" s="250">
        <v>1032.1400000000001</v>
      </c>
      <c r="M246" s="250">
        <v>158.50000199999999</v>
      </c>
      <c r="N246" s="250">
        <v>18412.011699999999</v>
      </c>
      <c r="O246" s="250">
        <v>18342.223099999999</v>
      </c>
      <c r="P246" s="250">
        <v>1997.1255900000001</v>
      </c>
      <c r="Q246" s="250" t="s">
        <v>18</v>
      </c>
      <c r="R246" s="250" t="s">
        <v>647</v>
      </c>
      <c r="S246" s="250" t="s">
        <v>21</v>
      </c>
      <c r="T246" s="250">
        <v>15</v>
      </c>
      <c r="U246" s="250">
        <v>5</v>
      </c>
      <c r="V246" s="250">
        <v>0.7</v>
      </c>
      <c r="W246" s="250">
        <v>0.7</v>
      </c>
      <c r="X246" s="250">
        <v>0.7</v>
      </c>
      <c r="Y246" s="250">
        <v>1700</v>
      </c>
      <c r="Z246" s="250" t="s">
        <v>840</v>
      </c>
      <c r="AA246" s="250">
        <v>0.85</v>
      </c>
      <c r="AB246" s="250" t="s">
        <v>841</v>
      </c>
      <c r="AC246" s="250" t="s">
        <v>842</v>
      </c>
      <c r="AD246" s="250">
        <v>220</v>
      </c>
      <c r="AE246" s="250"/>
      <c r="AF246" s="250"/>
      <c r="AG246" s="241"/>
    </row>
    <row r="247" spans="1:33" ht="15.75">
      <c r="A247" s="250" t="s">
        <v>980</v>
      </c>
      <c r="B247" s="250">
        <v>9</v>
      </c>
      <c r="C247" s="250">
        <v>76</v>
      </c>
      <c r="D247" s="250" t="s">
        <v>936</v>
      </c>
      <c r="E247" s="250">
        <v>1.5</v>
      </c>
      <c r="F247" s="251">
        <v>45079.612708333334</v>
      </c>
      <c r="G247" s="250">
        <v>1</v>
      </c>
      <c r="H247" s="250">
        <v>51.374099999999999</v>
      </c>
      <c r="I247" s="250">
        <v>6.9950400000000004</v>
      </c>
      <c r="J247" s="250">
        <v>-3.5634190000000001</v>
      </c>
      <c r="K247" s="250">
        <v>-2.7441230000000001</v>
      </c>
      <c r="L247" s="250">
        <v>1040.79</v>
      </c>
      <c r="M247" s="250">
        <v>135.99928600000001</v>
      </c>
      <c r="N247" s="250">
        <v>18357.2107</v>
      </c>
      <c r="O247" s="250">
        <v>18342.223099999999</v>
      </c>
      <c r="P247" s="250">
        <v>1997.1255900000001</v>
      </c>
      <c r="Q247" s="250" t="s">
        <v>18</v>
      </c>
      <c r="R247" s="250" t="s">
        <v>839</v>
      </c>
      <c r="S247" s="250" t="s">
        <v>21</v>
      </c>
      <c r="T247" s="250">
        <v>15</v>
      </c>
      <c r="U247" s="250">
        <v>5</v>
      </c>
      <c r="V247" s="250">
        <v>0.7</v>
      </c>
      <c r="W247" s="250">
        <v>0.7</v>
      </c>
      <c r="X247" s="250">
        <v>0.7</v>
      </c>
      <c r="Y247" s="250">
        <v>1700</v>
      </c>
      <c r="Z247" s="250" t="s">
        <v>840</v>
      </c>
      <c r="AA247" s="250">
        <v>0.85</v>
      </c>
      <c r="AB247" s="250" t="s">
        <v>841</v>
      </c>
      <c r="AC247" s="250" t="s">
        <v>842</v>
      </c>
      <c r="AD247" s="250">
        <v>220</v>
      </c>
      <c r="AE247" s="250"/>
      <c r="AF247" s="250"/>
      <c r="AG247" s="241"/>
    </row>
    <row r="248" spans="1:33" ht="15.75">
      <c r="A248" s="250" t="s">
        <v>863</v>
      </c>
      <c r="B248" s="250">
        <v>10</v>
      </c>
      <c r="C248" s="250" t="s">
        <v>731</v>
      </c>
      <c r="D248" s="250" t="s">
        <v>838</v>
      </c>
      <c r="E248" s="250">
        <v>1.5</v>
      </c>
      <c r="F248" s="251">
        <v>45079.616944444446</v>
      </c>
      <c r="G248" s="250">
        <v>1</v>
      </c>
      <c r="H248" s="250">
        <v>51.3675</v>
      </c>
      <c r="I248" s="250">
        <v>7.1810600000000004</v>
      </c>
      <c r="J248" s="250">
        <v>-3.5605989999999998</v>
      </c>
      <c r="K248" s="250">
        <v>-2.722461</v>
      </c>
      <c r="L248" s="250">
        <v>1062.8399999999999</v>
      </c>
      <c r="M248" s="250">
        <v>119.00076799999999</v>
      </c>
      <c r="N248" s="250">
        <v>18546.4944</v>
      </c>
      <c r="O248" s="250">
        <v>18559.348399999999</v>
      </c>
      <c r="P248" s="250">
        <v>2020.8076900000001</v>
      </c>
      <c r="Q248" s="250" t="s">
        <v>18</v>
      </c>
      <c r="R248" s="250" t="s">
        <v>839</v>
      </c>
      <c r="S248" s="250" t="s">
        <v>21</v>
      </c>
      <c r="T248" s="250">
        <v>15</v>
      </c>
      <c r="U248" s="250">
        <v>5</v>
      </c>
      <c r="V248" s="250">
        <v>0.7</v>
      </c>
      <c r="W248" s="250">
        <v>0.7</v>
      </c>
      <c r="X248" s="250">
        <v>0.7</v>
      </c>
      <c r="Y248" s="250">
        <v>1700</v>
      </c>
      <c r="Z248" s="250" t="s">
        <v>840</v>
      </c>
      <c r="AA248" s="250">
        <v>0.85</v>
      </c>
      <c r="AB248" s="250" t="s">
        <v>841</v>
      </c>
      <c r="AC248" s="250" t="s">
        <v>842</v>
      </c>
      <c r="AD248" s="250">
        <v>220</v>
      </c>
      <c r="AE248" s="250"/>
      <c r="AF248" s="250"/>
      <c r="AG248" s="241"/>
    </row>
    <row r="249" spans="1:33" ht="15.75">
      <c r="A249" s="250" t="s">
        <v>983</v>
      </c>
      <c r="B249" s="250">
        <v>10</v>
      </c>
      <c r="C249" s="250" t="s">
        <v>731</v>
      </c>
      <c r="D249" s="250" t="s">
        <v>838</v>
      </c>
      <c r="E249" s="250">
        <v>1.5</v>
      </c>
      <c r="F249" s="251">
        <v>45079.620486111111</v>
      </c>
      <c r="G249" s="250">
        <v>1</v>
      </c>
      <c r="H249" s="250">
        <v>51.374099999999999</v>
      </c>
      <c r="I249" s="250">
        <v>7.1768700000000001</v>
      </c>
      <c r="J249" s="250">
        <v>-3.8079390000000002</v>
      </c>
      <c r="K249" s="250">
        <v>-3.0043690000000001</v>
      </c>
      <c r="L249" s="250">
        <v>1035.08</v>
      </c>
      <c r="M249" s="250">
        <v>153.001352</v>
      </c>
      <c r="N249" s="250">
        <v>18609.088100000001</v>
      </c>
      <c r="O249" s="250">
        <v>18559.348399999999</v>
      </c>
      <c r="P249" s="250">
        <v>2020.8076900000001</v>
      </c>
      <c r="Q249" s="250" t="s">
        <v>18</v>
      </c>
      <c r="R249" s="250" t="s">
        <v>647</v>
      </c>
      <c r="S249" s="250" t="s">
        <v>21</v>
      </c>
      <c r="T249" s="250">
        <v>15</v>
      </c>
      <c r="U249" s="250">
        <v>5</v>
      </c>
      <c r="V249" s="250">
        <v>0.7</v>
      </c>
      <c r="W249" s="250">
        <v>0.7</v>
      </c>
      <c r="X249" s="250">
        <v>0.7</v>
      </c>
      <c r="Y249" s="250">
        <v>1700</v>
      </c>
      <c r="Z249" s="250" t="s">
        <v>840</v>
      </c>
      <c r="AA249" s="250">
        <v>0.85</v>
      </c>
      <c r="AB249" s="250" t="s">
        <v>841</v>
      </c>
      <c r="AC249" s="250" t="s">
        <v>842</v>
      </c>
      <c r="AD249" s="250">
        <v>220</v>
      </c>
      <c r="AE249" s="250"/>
      <c r="AF249" s="250"/>
      <c r="AG249" s="241"/>
    </row>
    <row r="250" spans="1:33" ht="15.75">
      <c r="A250" s="250" t="s">
        <v>984</v>
      </c>
      <c r="B250" s="250">
        <v>10</v>
      </c>
      <c r="C250" s="250" t="s">
        <v>731</v>
      </c>
      <c r="D250" s="250" t="s">
        <v>838</v>
      </c>
      <c r="E250" s="250">
        <v>1.5</v>
      </c>
      <c r="F250" s="251">
        <v>45079.624421296299</v>
      </c>
      <c r="G250" s="250">
        <v>1</v>
      </c>
      <c r="H250" s="250">
        <v>51.364100000000001</v>
      </c>
      <c r="I250" s="250">
        <v>7.09558</v>
      </c>
      <c r="J250" s="250">
        <v>-3.6886869999999998</v>
      </c>
      <c r="K250" s="250">
        <v>-2.8410829999999998</v>
      </c>
      <c r="L250" s="250">
        <v>1054.58</v>
      </c>
      <c r="M250" s="250">
        <v>115.49811800000001</v>
      </c>
      <c r="N250" s="250">
        <v>18563.768499999998</v>
      </c>
      <c r="O250" s="250">
        <v>18559.348399999999</v>
      </c>
      <c r="P250" s="250">
        <v>2020.8076900000001</v>
      </c>
      <c r="Q250" s="250" t="s">
        <v>18</v>
      </c>
      <c r="R250" s="250" t="s">
        <v>839</v>
      </c>
      <c r="S250" s="250" t="s">
        <v>21</v>
      </c>
      <c r="T250" s="250">
        <v>15</v>
      </c>
      <c r="U250" s="250">
        <v>5</v>
      </c>
      <c r="V250" s="250">
        <v>0.7</v>
      </c>
      <c r="W250" s="250">
        <v>0.7</v>
      </c>
      <c r="X250" s="250">
        <v>0.7</v>
      </c>
      <c r="Y250" s="250">
        <v>1700</v>
      </c>
      <c r="Z250" s="250" t="s">
        <v>840</v>
      </c>
      <c r="AA250" s="250">
        <v>0.85</v>
      </c>
      <c r="AB250" s="250" t="s">
        <v>841</v>
      </c>
      <c r="AC250" s="250" t="s">
        <v>842</v>
      </c>
      <c r="AD250" s="250">
        <v>220</v>
      </c>
      <c r="AE250" s="250"/>
      <c r="AF250" s="250"/>
      <c r="AG250" s="241"/>
    </row>
    <row r="251" spans="1:33" ht="15.75">
      <c r="A251" s="250" t="s">
        <v>985</v>
      </c>
      <c r="B251" s="250">
        <v>10</v>
      </c>
      <c r="C251" s="250" t="s">
        <v>731</v>
      </c>
      <c r="D251" s="250" t="s">
        <v>838</v>
      </c>
      <c r="E251" s="250">
        <v>1.5</v>
      </c>
      <c r="F251" s="251">
        <v>45079.627928240741</v>
      </c>
      <c r="G251" s="250">
        <v>1</v>
      </c>
      <c r="H251" s="250">
        <v>51.370800000000003</v>
      </c>
      <c r="I251" s="250">
        <v>7.1137199999999998</v>
      </c>
      <c r="J251" s="250">
        <v>-3.7572649999999999</v>
      </c>
      <c r="K251" s="250">
        <v>-2.9074990000000001</v>
      </c>
      <c r="L251" s="250">
        <v>1029.78</v>
      </c>
      <c r="M251" s="250">
        <v>141.50020599999999</v>
      </c>
      <c r="N251" s="250">
        <v>18600.6433</v>
      </c>
      <c r="O251" s="250">
        <v>18559.348399999999</v>
      </c>
      <c r="P251" s="250">
        <v>2020.8076900000001</v>
      </c>
      <c r="Q251" s="250" t="s">
        <v>18</v>
      </c>
      <c r="R251" s="250" t="s">
        <v>647</v>
      </c>
      <c r="S251" s="250" t="s">
        <v>21</v>
      </c>
      <c r="T251" s="250">
        <v>15</v>
      </c>
      <c r="U251" s="250">
        <v>5</v>
      </c>
      <c r="V251" s="250">
        <v>0.7</v>
      </c>
      <c r="W251" s="250">
        <v>0.7</v>
      </c>
      <c r="X251" s="250">
        <v>0.7</v>
      </c>
      <c r="Y251" s="250">
        <v>1700</v>
      </c>
      <c r="Z251" s="250" t="s">
        <v>840</v>
      </c>
      <c r="AA251" s="250">
        <v>0.85</v>
      </c>
      <c r="AB251" s="250" t="s">
        <v>841</v>
      </c>
      <c r="AC251" s="250" t="s">
        <v>842</v>
      </c>
      <c r="AD251" s="250">
        <v>220</v>
      </c>
      <c r="AE251" s="250"/>
      <c r="AF251" s="250"/>
      <c r="AG251" s="241"/>
    </row>
    <row r="252" spans="1:33" ht="15.75">
      <c r="A252" s="250" t="s">
        <v>986</v>
      </c>
      <c r="B252" s="250">
        <v>10</v>
      </c>
      <c r="C252" s="250" t="s">
        <v>731</v>
      </c>
      <c r="D252" s="250" t="s">
        <v>838</v>
      </c>
      <c r="E252" s="250">
        <v>1.5</v>
      </c>
      <c r="F252" s="251">
        <v>45079.631724537037</v>
      </c>
      <c r="G252" s="250">
        <v>1</v>
      </c>
      <c r="H252" s="250">
        <v>51.374099999999999</v>
      </c>
      <c r="I252" s="250">
        <v>7.1591800000000001</v>
      </c>
      <c r="J252" s="250">
        <v>-3.6963659999999998</v>
      </c>
      <c r="K252" s="250">
        <v>-2.8480539999999999</v>
      </c>
      <c r="L252" s="250">
        <v>1043.04</v>
      </c>
      <c r="M252" s="250">
        <v>143.50051199999999</v>
      </c>
      <c r="N252" s="250">
        <v>18567.7824</v>
      </c>
      <c r="O252" s="250">
        <v>18559.348399999999</v>
      </c>
      <c r="P252" s="250">
        <v>2020.8076900000001</v>
      </c>
      <c r="Q252" s="250" t="s">
        <v>18</v>
      </c>
      <c r="R252" s="250" t="s">
        <v>839</v>
      </c>
      <c r="S252" s="250" t="s">
        <v>21</v>
      </c>
      <c r="T252" s="250">
        <v>15</v>
      </c>
      <c r="U252" s="250">
        <v>5</v>
      </c>
      <c r="V252" s="250">
        <v>0.7</v>
      </c>
      <c r="W252" s="250">
        <v>0.7</v>
      </c>
      <c r="X252" s="250">
        <v>0.7</v>
      </c>
      <c r="Y252" s="250">
        <v>1700</v>
      </c>
      <c r="Z252" s="250" t="s">
        <v>840</v>
      </c>
      <c r="AA252" s="250">
        <v>0.85</v>
      </c>
      <c r="AB252" s="250" t="s">
        <v>841</v>
      </c>
      <c r="AC252" s="250" t="s">
        <v>842</v>
      </c>
      <c r="AD252" s="250">
        <v>220</v>
      </c>
      <c r="AE252" s="250"/>
      <c r="AF252" s="250"/>
      <c r="AG252" s="241"/>
    </row>
    <row r="253" spans="1:33" ht="15.75">
      <c r="A253" s="250" t="s">
        <v>864</v>
      </c>
      <c r="B253" s="250">
        <v>11</v>
      </c>
      <c r="C253" s="250">
        <v>89</v>
      </c>
      <c r="D253" s="250" t="s">
        <v>898</v>
      </c>
      <c r="E253" s="250">
        <v>1.5</v>
      </c>
      <c r="F253" s="251">
        <v>45079.636076388888</v>
      </c>
      <c r="G253" s="250">
        <v>1</v>
      </c>
      <c r="H253" s="250">
        <v>51.370800000000003</v>
      </c>
      <c r="I253" s="250">
        <v>7.1472899999999999</v>
      </c>
      <c r="J253" s="250">
        <v>-3.6695060000000002</v>
      </c>
      <c r="K253" s="250">
        <v>-2.8206630000000001</v>
      </c>
      <c r="L253" s="250">
        <v>902.67499999999995</v>
      </c>
      <c r="M253" s="250">
        <v>114.999242</v>
      </c>
      <c r="N253" s="250">
        <v>14690.195900000001</v>
      </c>
      <c r="O253" s="250">
        <v>0</v>
      </c>
      <c r="P253" s="250">
        <v>0</v>
      </c>
      <c r="Q253" s="250" t="s">
        <v>18</v>
      </c>
      <c r="R253" s="250" t="s">
        <v>916</v>
      </c>
      <c r="S253" s="250" t="s">
        <v>28</v>
      </c>
      <c r="T253" s="250">
        <v>15</v>
      </c>
      <c r="U253" s="250">
        <v>5</v>
      </c>
      <c r="V253" s="250">
        <v>0.7</v>
      </c>
      <c r="W253" s="250">
        <v>0.7</v>
      </c>
      <c r="X253" s="250">
        <v>0.7</v>
      </c>
      <c r="Y253" s="250">
        <v>1700</v>
      </c>
      <c r="Z253" s="250" t="s">
        <v>840</v>
      </c>
      <c r="AA253" s="250">
        <v>0.85</v>
      </c>
      <c r="AB253" s="250" t="s">
        <v>841</v>
      </c>
      <c r="AC253" s="250" t="s">
        <v>842</v>
      </c>
      <c r="AD253" s="250">
        <v>220</v>
      </c>
      <c r="AE253" s="250"/>
      <c r="AF253" s="250"/>
      <c r="AG253" s="241"/>
    </row>
    <row r="254" spans="1:33" ht="15.75">
      <c r="A254" s="250" t="s">
        <v>987</v>
      </c>
      <c r="B254" s="250">
        <v>11</v>
      </c>
      <c r="C254" s="250">
        <v>89</v>
      </c>
      <c r="D254" s="250" t="s">
        <v>898</v>
      </c>
      <c r="E254" s="250">
        <v>1.5</v>
      </c>
      <c r="F254" s="251">
        <v>45079.63958333333</v>
      </c>
      <c r="G254" s="250">
        <v>1</v>
      </c>
      <c r="H254" s="250">
        <v>51.370800000000003</v>
      </c>
      <c r="I254" s="250">
        <v>7.0996300000000003</v>
      </c>
      <c r="J254" s="250">
        <v>-3.6602290000000002</v>
      </c>
      <c r="K254" s="250">
        <v>-2.82647</v>
      </c>
      <c r="L254" s="250">
        <v>1040.99</v>
      </c>
      <c r="M254" s="250">
        <v>143.50023100000001</v>
      </c>
      <c r="N254" s="250">
        <v>18411.700499999999</v>
      </c>
      <c r="O254" s="250">
        <v>0</v>
      </c>
      <c r="P254" s="250">
        <v>0</v>
      </c>
      <c r="Q254" s="250" t="s">
        <v>18</v>
      </c>
      <c r="R254" s="250" t="s">
        <v>916</v>
      </c>
      <c r="S254" s="250" t="s">
        <v>28</v>
      </c>
      <c r="T254" s="250">
        <v>15</v>
      </c>
      <c r="U254" s="250">
        <v>5</v>
      </c>
      <c r="V254" s="250">
        <v>0.7</v>
      </c>
      <c r="W254" s="250">
        <v>0.7</v>
      </c>
      <c r="X254" s="250">
        <v>0.7</v>
      </c>
      <c r="Y254" s="250">
        <v>1700</v>
      </c>
      <c r="Z254" s="250" t="s">
        <v>840</v>
      </c>
      <c r="AA254" s="250">
        <v>0.85</v>
      </c>
      <c r="AB254" s="250" t="s">
        <v>841</v>
      </c>
      <c r="AC254" s="250" t="s">
        <v>842</v>
      </c>
      <c r="AD254" s="250">
        <v>220</v>
      </c>
      <c r="AE254" s="250"/>
      <c r="AF254" s="250"/>
      <c r="AG254" s="241"/>
    </row>
    <row r="255" spans="1:33" ht="15.75">
      <c r="A255" s="250" t="s">
        <v>988</v>
      </c>
      <c r="B255" s="250">
        <v>11</v>
      </c>
      <c r="C255" s="250">
        <v>89</v>
      </c>
      <c r="D255" s="250" t="s">
        <v>898</v>
      </c>
      <c r="E255" s="250">
        <v>1.5</v>
      </c>
      <c r="F255" s="251">
        <v>45079.643425925926</v>
      </c>
      <c r="G255" s="250">
        <v>1</v>
      </c>
      <c r="H255" s="250">
        <v>51.3675</v>
      </c>
      <c r="I255" s="250">
        <v>7.1359599999999999</v>
      </c>
      <c r="J255" s="250">
        <v>-3.4315289999999998</v>
      </c>
      <c r="K255" s="250">
        <v>-2.5854370000000002</v>
      </c>
      <c r="L255" s="250">
        <v>1042.73</v>
      </c>
      <c r="M255" s="250">
        <v>117.998974</v>
      </c>
      <c r="N255" s="250">
        <v>18359.489600000001</v>
      </c>
      <c r="O255" s="250">
        <v>0</v>
      </c>
      <c r="P255" s="250">
        <v>0</v>
      </c>
      <c r="Q255" s="250" t="s">
        <v>18</v>
      </c>
      <c r="R255" s="250" t="s">
        <v>916</v>
      </c>
      <c r="S255" s="250" t="s">
        <v>28</v>
      </c>
      <c r="T255" s="250">
        <v>15</v>
      </c>
      <c r="U255" s="250">
        <v>5</v>
      </c>
      <c r="V255" s="250">
        <v>0.7</v>
      </c>
      <c r="W255" s="250">
        <v>0.7</v>
      </c>
      <c r="X255" s="250">
        <v>0.7</v>
      </c>
      <c r="Y255" s="250">
        <v>1700</v>
      </c>
      <c r="Z255" s="250" t="s">
        <v>840</v>
      </c>
      <c r="AA255" s="250">
        <v>0.85</v>
      </c>
      <c r="AB255" s="250" t="s">
        <v>841</v>
      </c>
      <c r="AC255" s="250" t="s">
        <v>842</v>
      </c>
      <c r="AD255" s="250">
        <v>220</v>
      </c>
      <c r="AE255" s="250"/>
      <c r="AF255" s="250"/>
      <c r="AG255" s="241"/>
    </row>
    <row r="256" spans="1:33" ht="15.75">
      <c r="A256" s="250" t="s">
        <v>989</v>
      </c>
      <c r="B256" s="250">
        <v>11</v>
      </c>
      <c r="C256" s="250">
        <v>89</v>
      </c>
      <c r="D256" s="250" t="s">
        <v>898</v>
      </c>
      <c r="E256" s="250">
        <v>1.5</v>
      </c>
      <c r="F256" s="251">
        <v>45079.646944444445</v>
      </c>
      <c r="G256" s="250">
        <v>1</v>
      </c>
      <c r="H256" s="250">
        <v>51.3675</v>
      </c>
      <c r="I256" s="250">
        <v>7.0492600000000003</v>
      </c>
      <c r="J256" s="250">
        <v>-3.6104319999999999</v>
      </c>
      <c r="K256" s="250">
        <v>-2.7767019999999998</v>
      </c>
      <c r="L256" s="250">
        <v>1034.5899999999999</v>
      </c>
      <c r="M256" s="250">
        <v>141.00237300000001</v>
      </c>
      <c r="N256" s="250">
        <v>18347.954699999998</v>
      </c>
      <c r="O256" s="250">
        <v>0</v>
      </c>
      <c r="P256" s="250">
        <v>0</v>
      </c>
      <c r="Q256" s="250" t="s">
        <v>18</v>
      </c>
      <c r="R256" s="250" t="s">
        <v>916</v>
      </c>
      <c r="S256" s="250" t="s">
        <v>28</v>
      </c>
      <c r="T256" s="250">
        <v>15</v>
      </c>
      <c r="U256" s="250">
        <v>5</v>
      </c>
      <c r="V256" s="250">
        <v>0.7</v>
      </c>
      <c r="W256" s="250">
        <v>0.7</v>
      </c>
      <c r="X256" s="250">
        <v>0.7</v>
      </c>
      <c r="Y256" s="250">
        <v>1700</v>
      </c>
      <c r="Z256" s="250" t="s">
        <v>840</v>
      </c>
      <c r="AA256" s="250">
        <v>0.85</v>
      </c>
      <c r="AB256" s="250" t="s">
        <v>841</v>
      </c>
      <c r="AC256" s="250" t="s">
        <v>842</v>
      </c>
      <c r="AD256" s="250">
        <v>220</v>
      </c>
      <c r="AE256" s="250"/>
      <c r="AF256" s="250"/>
      <c r="AG256" s="241"/>
    </row>
    <row r="257" spans="1:33" ht="15.75">
      <c r="A257" s="250" t="s">
        <v>1026</v>
      </c>
      <c r="B257" s="250">
        <v>11</v>
      </c>
      <c r="C257" s="250">
        <v>89</v>
      </c>
      <c r="D257" s="250" t="s">
        <v>898</v>
      </c>
      <c r="E257" s="250">
        <v>1.5</v>
      </c>
      <c r="F257" s="251">
        <v>45079.650752314818</v>
      </c>
      <c r="G257" s="250">
        <v>1</v>
      </c>
      <c r="H257" s="250">
        <v>51.3675</v>
      </c>
      <c r="I257" s="250">
        <v>7.0209000000000001</v>
      </c>
      <c r="J257" s="250">
        <v>-3.5128490000000001</v>
      </c>
      <c r="K257" s="250">
        <v>-2.6735790000000001</v>
      </c>
      <c r="L257" s="250">
        <v>1043.05</v>
      </c>
      <c r="M257" s="250">
        <v>135.49973700000001</v>
      </c>
      <c r="N257" s="250">
        <v>18395.140800000001</v>
      </c>
      <c r="O257" s="250">
        <v>0</v>
      </c>
      <c r="P257" s="250">
        <v>0</v>
      </c>
      <c r="Q257" s="250" t="s">
        <v>18</v>
      </c>
      <c r="R257" s="250" t="s">
        <v>916</v>
      </c>
      <c r="S257" s="250" t="s">
        <v>28</v>
      </c>
      <c r="T257" s="250">
        <v>15</v>
      </c>
      <c r="U257" s="250">
        <v>5</v>
      </c>
      <c r="V257" s="250">
        <v>0.7</v>
      </c>
      <c r="W257" s="250">
        <v>0.7</v>
      </c>
      <c r="X257" s="250">
        <v>0.7</v>
      </c>
      <c r="Y257" s="250">
        <v>1700</v>
      </c>
      <c r="Z257" s="250" t="s">
        <v>840</v>
      </c>
      <c r="AA257" s="250">
        <v>0.85</v>
      </c>
      <c r="AB257" s="250" t="s">
        <v>841</v>
      </c>
      <c r="AC257" s="250" t="s">
        <v>842</v>
      </c>
      <c r="AD257" s="250">
        <v>220</v>
      </c>
      <c r="AE257" s="250"/>
      <c r="AF257" s="250"/>
      <c r="AG257" s="241"/>
    </row>
    <row r="258" spans="1:33" ht="15.75">
      <c r="A258" s="250" t="s">
        <v>1027</v>
      </c>
      <c r="B258" s="250">
        <v>11</v>
      </c>
      <c r="C258" s="250">
        <v>89</v>
      </c>
      <c r="D258" s="250" t="s">
        <v>898</v>
      </c>
      <c r="E258" s="250">
        <v>1.5</v>
      </c>
      <c r="F258" s="251">
        <v>45079.654490740744</v>
      </c>
      <c r="G258" s="250">
        <v>2</v>
      </c>
      <c r="H258" s="250">
        <v>51.3675</v>
      </c>
      <c r="I258" s="250">
        <v>7.0752800000000002</v>
      </c>
      <c r="J258" s="250">
        <v>-3.496442</v>
      </c>
      <c r="K258" s="250">
        <v>-2.6513339999999999</v>
      </c>
      <c r="L258" s="250">
        <v>1023.08</v>
      </c>
      <c r="M258" s="250">
        <v>119.50055500000001</v>
      </c>
      <c r="N258" s="250">
        <v>18387.684700000002</v>
      </c>
      <c r="O258" s="250">
        <v>18378.1489</v>
      </c>
      <c r="P258" s="250">
        <v>2001.0440599999999</v>
      </c>
      <c r="Q258" s="250" t="s">
        <v>18</v>
      </c>
      <c r="R258" s="250" t="s">
        <v>839</v>
      </c>
      <c r="S258" s="250" t="s">
        <v>21</v>
      </c>
      <c r="T258" s="250">
        <v>15</v>
      </c>
      <c r="U258" s="250">
        <v>5</v>
      </c>
      <c r="V258" s="250">
        <v>0.7</v>
      </c>
      <c r="W258" s="250">
        <v>0.7</v>
      </c>
      <c r="X258" s="250">
        <v>0.7</v>
      </c>
      <c r="Y258" s="250">
        <v>1700</v>
      </c>
      <c r="Z258" s="250" t="s">
        <v>840</v>
      </c>
      <c r="AA258" s="250">
        <v>0.85</v>
      </c>
      <c r="AB258" s="250" t="s">
        <v>841</v>
      </c>
      <c r="AC258" s="250" t="s">
        <v>842</v>
      </c>
      <c r="AD258" s="250">
        <v>220</v>
      </c>
      <c r="AE258" s="250"/>
      <c r="AF258" s="250"/>
      <c r="AG258" s="241"/>
    </row>
    <row r="259" spans="1:33" ht="15.75">
      <c r="A259" s="250" t="s">
        <v>1028</v>
      </c>
      <c r="B259" s="250">
        <v>11</v>
      </c>
      <c r="C259" s="250">
        <v>89</v>
      </c>
      <c r="D259" s="250" t="s">
        <v>898</v>
      </c>
      <c r="E259" s="250">
        <v>1.5</v>
      </c>
      <c r="F259" s="251">
        <v>45079.658055555556</v>
      </c>
      <c r="G259" s="250">
        <v>2</v>
      </c>
      <c r="H259" s="250">
        <v>51.3675</v>
      </c>
      <c r="I259" s="250">
        <v>7.0807500000000001</v>
      </c>
      <c r="J259" s="250">
        <v>-3.6213440000000001</v>
      </c>
      <c r="K259" s="250">
        <v>-2.7783410000000002</v>
      </c>
      <c r="L259" s="250">
        <v>1042.6300000000001</v>
      </c>
      <c r="M259" s="250">
        <v>139.00054600000001</v>
      </c>
      <c r="N259" s="250">
        <v>18371.6983</v>
      </c>
      <c r="O259" s="250">
        <v>18378.1489</v>
      </c>
      <c r="P259" s="250">
        <v>2001.0440599999999</v>
      </c>
      <c r="Q259" s="250" t="s">
        <v>18</v>
      </c>
      <c r="R259" s="250" t="s">
        <v>839</v>
      </c>
      <c r="S259" s="250" t="s">
        <v>21</v>
      </c>
      <c r="T259" s="250">
        <v>15</v>
      </c>
      <c r="U259" s="250">
        <v>5</v>
      </c>
      <c r="V259" s="250">
        <v>0.7</v>
      </c>
      <c r="W259" s="250">
        <v>0.7</v>
      </c>
      <c r="X259" s="250">
        <v>0.7</v>
      </c>
      <c r="Y259" s="250">
        <v>1700</v>
      </c>
      <c r="Z259" s="250" t="s">
        <v>840</v>
      </c>
      <c r="AA259" s="250">
        <v>0.85</v>
      </c>
      <c r="AB259" s="250" t="s">
        <v>841</v>
      </c>
      <c r="AC259" s="250" t="s">
        <v>842</v>
      </c>
      <c r="AD259" s="250">
        <v>220</v>
      </c>
      <c r="AE259" s="250"/>
      <c r="AF259" s="250"/>
      <c r="AG259" s="241"/>
    </row>
    <row r="260" spans="1:33" ht="15.75">
      <c r="A260" s="250" t="s">
        <v>1029</v>
      </c>
      <c r="B260" s="250">
        <v>11</v>
      </c>
      <c r="C260" s="250">
        <v>89</v>
      </c>
      <c r="D260" s="250" t="s">
        <v>898</v>
      </c>
      <c r="E260" s="250">
        <v>1.5</v>
      </c>
      <c r="F260" s="251">
        <v>45079.661805555559</v>
      </c>
      <c r="G260" s="250">
        <v>2</v>
      </c>
      <c r="H260" s="250">
        <v>51.374099999999999</v>
      </c>
      <c r="I260" s="250">
        <v>7.1124299999999998</v>
      </c>
      <c r="J260" s="250">
        <v>-3.5776810000000001</v>
      </c>
      <c r="K260" s="250">
        <v>-2.740999</v>
      </c>
      <c r="L260" s="250">
        <v>1046.69</v>
      </c>
      <c r="M260" s="250">
        <v>123.500201</v>
      </c>
      <c r="N260" s="250">
        <v>18375.063900000001</v>
      </c>
      <c r="O260" s="250">
        <v>18378.1489</v>
      </c>
      <c r="P260" s="250">
        <v>2001.0440599999999</v>
      </c>
      <c r="Q260" s="250" t="s">
        <v>18</v>
      </c>
      <c r="R260" s="250" t="s">
        <v>839</v>
      </c>
      <c r="S260" s="250" t="s">
        <v>21</v>
      </c>
      <c r="T260" s="250">
        <v>15</v>
      </c>
      <c r="U260" s="250">
        <v>5</v>
      </c>
      <c r="V260" s="250">
        <v>0.7</v>
      </c>
      <c r="W260" s="250">
        <v>0.7</v>
      </c>
      <c r="X260" s="250">
        <v>0.7</v>
      </c>
      <c r="Y260" s="250">
        <v>1700</v>
      </c>
      <c r="Z260" s="250" t="s">
        <v>840</v>
      </c>
      <c r="AA260" s="250">
        <v>0.85</v>
      </c>
      <c r="AB260" s="250" t="s">
        <v>841</v>
      </c>
      <c r="AC260" s="250" t="s">
        <v>842</v>
      </c>
      <c r="AD260" s="250">
        <v>220</v>
      </c>
      <c r="AE260" s="250"/>
      <c r="AF260" s="250"/>
      <c r="AG260" s="241"/>
    </row>
    <row r="261" spans="1:33" ht="15.75">
      <c r="A261" s="250" t="s">
        <v>865</v>
      </c>
      <c r="B261" s="250">
        <v>12</v>
      </c>
      <c r="C261" s="250">
        <v>101</v>
      </c>
      <c r="D261" s="250" t="s">
        <v>902</v>
      </c>
      <c r="E261" s="250">
        <v>1.5</v>
      </c>
      <c r="F261" s="251">
        <v>45079.665937500002</v>
      </c>
      <c r="G261" s="250">
        <v>1</v>
      </c>
      <c r="H261" s="250">
        <v>51.370800000000003</v>
      </c>
      <c r="I261" s="250">
        <v>7.0490300000000001</v>
      </c>
      <c r="J261" s="250">
        <v>-3.5654690000000002</v>
      </c>
      <c r="K261" s="250">
        <v>-2.7262219999999999</v>
      </c>
      <c r="L261" s="250">
        <v>1028.43</v>
      </c>
      <c r="M261" s="250">
        <v>152.000024</v>
      </c>
      <c r="N261" s="250">
        <v>18512.080300000001</v>
      </c>
      <c r="O261" s="250">
        <v>18500.780699999999</v>
      </c>
      <c r="P261" s="250">
        <v>2014.4196400000001</v>
      </c>
      <c r="Q261" s="250" t="s">
        <v>18</v>
      </c>
      <c r="R261" s="250" t="s">
        <v>839</v>
      </c>
      <c r="S261" s="250" t="s">
        <v>21</v>
      </c>
      <c r="T261" s="250">
        <v>15</v>
      </c>
      <c r="U261" s="250">
        <v>5</v>
      </c>
      <c r="V261" s="250">
        <v>0.7</v>
      </c>
      <c r="W261" s="250">
        <v>0.7</v>
      </c>
      <c r="X261" s="250">
        <v>0.7</v>
      </c>
      <c r="Y261" s="250">
        <v>1700</v>
      </c>
      <c r="Z261" s="250" t="s">
        <v>840</v>
      </c>
      <c r="AA261" s="250">
        <v>0.85</v>
      </c>
      <c r="AB261" s="250" t="s">
        <v>841</v>
      </c>
      <c r="AC261" s="250" t="s">
        <v>842</v>
      </c>
      <c r="AD261" s="250">
        <v>220</v>
      </c>
      <c r="AE261" s="250"/>
      <c r="AF261" s="250"/>
      <c r="AG261" s="241"/>
    </row>
    <row r="262" spans="1:33" ht="15.75">
      <c r="A262" s="250" t="s">
        <v>990</v>
      </c>
      <c r="B262" s="250">
        <v>12</v>
      </c>
      <c r="C262" s="250">
        <v>101</v>
      </c>
      <c r="D262" s="250" t="s">
        <v>902</v>
      </c>
      <c r="E262" s="250">
        <v>1.5</v>
      </c>
      <c r="F262" s="251">
        <v>45079.669861111113</v>
      </c>
      <c r="G262" s="250">
        <v>1</v>
      </c>
      <c r="H262" s="250">
        <v>51.370800000000003</v>
      </c>
      <c r="I262" s="250">
        <v>7.0921900000000004</v>
      </c>
      <c r="J262" s="250">
        <v>-3.5335760000000001</v>
      </c>
      <c r="K262" s="250">
        <v>-2.698026</v>
      </c>
      <c r="L262" s="250">
        <v>1041.76</v>
      </c>
      <c r="M262" s="250">
        <v>135.99985699999999</v>
      </c>
      <c r="N262" s="250">
        <v>18490.445199999998</v>
      </c>
      <c r="O262" s="250">
        <v>18500.780699999999</v>
      </c>
      <c r="P262" s="250">
        <v>2014.4196400000001</v>
      </c>
      <c r="Q262" s="250" t="s">
        <v>18</v>
      </c>
      <c r="R262" s="250" t="s">
        <v>839</v>
      </c>
      <c r="S262" s="250" t="s">
        <v>21</v>
      </c>
      <c r="T262" s="250">
        <v>15</v>
      </c>
      <c r="U262" s="250">
        <v>5</v>
      </c>
      <c r="V262" s="250">
        <v>0.7</v>
      </c>
      <c r="W262" s="250">
        <v>0.7</v>
      </c>
      <c r="X262" s="250">
        <v>0.7</v>
      </c>
      <c r="Y262" s="250">
        <v>1700</v>
      </c>
      <c r="Z262" s="250" t="s">
        <v>840</v>
      </c>
      <c r="AA262" s="250">
        <v>0.85</v>
      </c>
      <c r="AB262" s="250" t="s">
        <v>841</v>
      </c>
      <c r="AC262" s="250" t="s">
        <v>842</v>
      </c>
      <c r="AD262" s="250">
        <v>220</v>
      </c>
      <c r="AE262" s="250"/>
      <c r="AF262" s="250"/>
      <c r="AG262" s="241"/>
    </row>
    <row r="263" spans="1:33" ht="15.75">
      <c r="A263" s="250" t="s">
        <v>991</v>
      </c>
      <c r="B263" s="250">
        <v>12</v>
      </c>
      <c r="C263" s="250">
        <v>101</v>
      </c>
      <c r="D263" s="250" t="s">
        <v>902</v>
      </c>
      <c r="E263" s="250">
        <v>1.5</v>
      </c>
      <c r="F263" s="251">
        <v>45079.67359953704</v>
      </c>
      <c r="G263" s="250">
        <v>1</v>
      </c>
      <c r="H263" s="250">
        <v>51.374099999999999</v>
      </c>
      <c r="I263" s="250">
        <v>7.0820699999999999</v>
      </c>
      <c r="J263" s="250">
        <v>-3.6093630000000001</v>
      </c>
      <c r="K263" s="250">
        <v>-2.7767059999999999</v>
      </c>
      <c r="L263" s="250">
        <v>1035.9000000000001</v>
      </c>
      <c r="M263" s="250">
        <v>150.00025500000001</v>
      </c>
      <c r="N263" s="250">
        <v>18546.201000000001</v>
      </c>
      <c r="O263" s="250">
        <v>18500.780699999999</v>
      </c>
      <c r="P263" s="250">
        <v>2014.4196400000001</v>
      </c>
      <c r="Q263" s="250" t="s">
        <v>18</v>
      </c>
      <c r="R263" s="250" t="s">
        <v>647</v>
      </c>
      <c r="S263" s="250" t="s">
        <v>21</v>
      </c>
      <c r="T263" s="250">
        <v>15</v>
      </c>
      <c r="U263" s="250">
        <v>5</v>
      </c>
      <c r="V263" s="250">
        <v>0.7</v>
      </c>
      <c r="W263" s="250">
        <v>0.7</v>
      </c>
      <c r="X263" s="250">
        <v>0.7</v>
      </c>
      <c r="Y263" s="250">
        <v>1700</v>
      </c>
      <c r="Z263" s="250" t="s">
        <v>840</v>
      </c>
      <c r="AA263" s="250">
        <v>0.85</v>
      </c>
      <c r="AB263" s="250" t="s">
        <v>841</v>
      </c>
      <c r="AC263" s="250" t="s">
        <v>842</v>
      </c>
      <c r="AD263" s="250">
        <v>220</v>
      </c>
      <c r="AE263" s="250"/>
      <c r="AF263" s="250"/>
      <c r="AG263" s="241"/>
    </row>
    <row r="264" spans="1:33" ht="15.75">
      <c r="A264" s="250" t="s">
        <v>992</v>
      </c>
      <c r="B264" s="250">
        <v>12</v>
      </c>
      <c r="C264" s="250">
        <v>101</v>
      </c>
      <c r="D264" s="250" t="s">
        <v>902</v>
      </c>
      <c r="E264" s="250">
        <v>1.5</v>
      </c>
      <c r="F264" s="251">
        <v>45079.677523148152</v>
      </c>
      <c r="G264" s="250">
        <v>1</v>
      </c>
      <c r="H264" s="250">
        <v>51.370800000000003</v>
      </c>
      <c r="I264" s="250">
        <v>7.0915499999999998</v>
      </c>
      <c r="J264" s="250">
        <v>-3.6808909999999999</v>
      </c>
      <c r="K264" s="250">
        <v>-2.8356270000000001</v>
      </c>
      <c r="L264" s="250">
        <v>1040.67</v>
      </c>
      <c r="M264" s="250">
        <v>126.500165</v>
      </c>
      <c r="N264" s="250">
        <v>18544.767500000002</v>
      </c>
      <c r="O264" s="250">
        <v>18500.780699999999</v>
      </c>
      <c r="P264" s="250">
        <v>2014.4196400000001</v>
      </c>
      <c r="Q264" s="250" t="s">
        <v>18</v>
      </c>
      <c r="R264" s="250" t="s">
        <v>647</v>
      </c>
      <c r="S264" s="250" t="s">
        <v>21</v>
      </c>
      <c r="T264" s="250">
        <v>15</v>
      </c>
      <c r="U264" s="250">
        <v>5</v>
      </c>
      <c r="V264" s="250">
        <v>0.7</v>
      </c>
      <c r="W264" s="250">
        <v>0.7</v>
      </c>
      <c r="X264" s="250">
        <v>0.7</v>
      </c>
      <c r="Y264" s="250">
        <v>1700</v>
      </c>
      <c r="Z264" s="250" t="s">
        <v>840</v>
      </c>
      <c r="AA264" s="250">
        <v>0.85</v>
      </c>
      <c r="AB264" s="250" t="s">
        <v>841</v>
      </c>
      <c r="AC264" s="250" t="s">
        <v>842</v>
      </c>
      <c r="AD264" s="250">
        <v>220</v>
      </c>
      <c r="AE264" s="250"/>
      <c r="AF264" s="250"/>
      <c r="AG264" s="241"/>
    </row>
    <row r="265" spans="1:33" ht="15.75">
      <c r="A265" s="250" t="s">
        <v>1030</v>
      </c>
      <c r="B265" s="250">
        <v>12</v>
      </c>
      <c r="C265" s="250">
        <v>101</v>
      </c>
      <c r="D265" s="250" t="s">
        <v>902</v>
      </c>
      <c r="E265" s="250">
        <v>1.5</v>
      </c>
      <c r="F265" s="251">
        <v>45079.681180555555</v>
      </c>
      <c r="G265" s="250">
        <v>1</v>
      </c>
      <c r="H265" s="250">
        <v>51.370800000000003</v>
      </c>
      <c r="I265" s="250">
        <v>7.0354000000000001</v>
      </c>
      <c r="J265" s="250">
        <v>-3.6651899999999999</v>
      </c>
      <c r="K265" s="250">
        <v>-2.822152</v>
      </c>
      <c r="L265" s="250">
        <v>1021.21</v>
      </c>
      <c r="M265" s="250">
        <v>140.500156</v>
      </c>
      <c r="N265" s="250">
        <v>18499.816500000001</v>
      </c>
      <c r="O265" s="250">
        <v>18500.780699999999</v>
      </c>
      <c r="P265" s="250">
        <v>2014.4196400000001</v>
      </c>
      <c r="Q265" s="250" t="s">
        <v>18</v>
      </c>
      <c r="R265" s="250" t="s">
        <v>839</v>
      </c>
      <c r="S265" s="250" t="s">
        <v>21</v>
      </c>
      <c r="T265" s="250">
        <v>15</v>
      </c>
      <c r="U265" s="250">
        <v>5</v>
      </c>
      <c r="V265" s="250">
        <v>0.7</v>
      </c>
      <c r="W265" s="250">
        <v>0.7</v>
      </c>
      <c r="X265" s="250">
        <v>0.7</v>
      </c>
      <c r="Y265" s="250">
        <v>1700</v>
      </c>
      <c r="Z265" s="250" t="s">
        <v>840</v>
      </c>
      <c r="AA265" s="250">
        <v>0.85</v>
      </c>
      <c r="AB265" s="250" t="s">
        <v>841</v>
      </c>
      <c r="AC265" s="250" t="s">
        <v>842</v>
      </c>
      <c r="AD265" s="250">
        <v>220</v>
      </c>
      <c r="AE265" s="250"/>
      <c r="AF265" s="250"/>
      <c r="AG265" s="241"/>
    </row>
    <row r="266" spans="1:33" ht="15.75">
      <c r="A266" s="250" t="s">
        <v>866</v>
      </c>
      <c r="B266" s="250">
        <v>13</v>
      </c>
      <c r="C266" s="250">
        <v>111</v>
      </c>
      <c r="D266" s="250" t="s">
        <v>906</v>
      </c>
      <c r="E266" s="250">
        <v>1.5</v>
      </c>
      <c r="F266" s="251">
        <v>45079.685520833336</v>
      </c>
      <c r="G266" s="250">
        <v>1</v>
      </c>
      <c r="H266" s="250">
        <v>51.374099999999999</v>
      </c>
      <c r="I266" s="250">
        <v>7.18438</v>
      </c>
      <c r="J266" s="250">
        <v>-3.639786</v>
      </c>
      <c r="K266" s="250">
        <v>-2.789841</v>
      </c>
      <c r="L266" s="250">
        <v>1032.01</v>
      </c>
      <c r="M266" s="250">
        <v>135.50044500000001</v>
      </c>
      <c r="N266" s="250">
        <v>18115.938699999999</v>
      </c>
      <c r="O266" s="250">
        <v>18122.4221</v>
      </c>
      <c r="P266" s="250">
        <v>1973.15165</v>
      </c>
      <c r="Q266" s="250" t="s">
        <v>18</v>
      </c>
      <c r="R266" s="250" t="s">
        <v>839</v>
      </c>
      <c r="S266" s="250" t="s">
        <v>21</v>
      </c>
      <c r="T266" s="250">
        <v>15</v>
      </c>
      <c r="U266" s="250">
        <v>5</v>
      </c>
      <c r="V266" s="250">
        <v>0.7</v>
      </c>
      <c r="W266" s="250">
        <v>0.7</v>
      </c>
      <c r="X266" s="250">
        <v>0.7</v>
      </c>
      <c r="Y266" s="250">
        <v>1700</v>
      </c>
      <c r="Z266" s="250" t="s">
        <v>840</v>
      </c>
      <c r="AA266" s="250">
        <v>0.85</v>
      </c>
      <c r="AB266" s="250" t="s">
        <v>841</v>
      </c>
      <c r="AC266" s="250" t="s">
        <v>842</v>
      </c>
      <c r="AD266" s="250">
        <v>220</v>
      </c>
      <c r="AE266" s="250"/>
      <c r="AF266" s="250"/>
      <c r="AG266" s="241"/>
    </row>
    <row r="267" spans="1:33" ht="15.75">
      <c r="A267" s="250" t="s">
        <v>993</v>
      </c>
      <c r="B267" s="250">
        <v>13</v>
      </c>
      <c r="C267" s="250">
        <v>111</v>
      </c>
      <c r="D267" s="250" t="s">
        <v>906</v>
      </c>
      <c r="E267" s="250">
        <v>1.5</v>
      </c>
      <c r="F267" s="251">
        <v>45079.689270833333</v>
      </c>
      <c r="G267" s="250">
        <v>1</v>
      </c>
      <c r="H267" s="250">
        <v>51.370800000000003</v>
      </c>
      <c r="I267" s="250">
        <v>7.1067099999999996</v>
      </c>
      <c r="J267" s="250">
        <v>-3.5366209999999998</v>
      </c>
      <c r="K267" s="250">
        <v>-2.6882969999999999</v>
      </c>
      <c r="L267" s="250">
        <v>1018.61</v>
      </c>
      <c r="M267" s="250">
        <v>135.500213</v>
      </c>
      <c r="N267" s="250">
        <v>18138.446599999999</v>
      </c>
      <c r="O267" s="250">
        <v>18122.4221</v>
      </c>
      <c r="P267" s="250">
        <v>1973.15165</v>
      </c>
      <c r="Q267" s="250" t="s">
        <v>18</v>
      </c>
      <c r="R267" s="250" t="s">
        <v>839</v>
      </c>
      <c r="S267" s="250" t="s">
        <v>21</v>
      </c>
      <c r="T267" s="250">
        <v>15</v>
      </c>
      <c r="U267" s="250">
        <v>5</v>
      </c>
      <c r="V267" s="250">
        <v>0.7</v>
      </c>
      <c r="W267" s="250">
        <v>0.7</v>
      </c>
      <c r="X267" s="250">
        <v>0.7</v>
      </c>
      <c r="Y267" s="250">
        <v>1700</v>
      </c>
      <c r="Z267" s="250" t="s">
        <v>840</v>
      </c>
      <c r="AA267" s="250">
        <v>0.85</v>
      </c>
      <c r="AB267" s="250" t="s">
        <v>841</v>
      </c>
      <c r="AC267" s="250" t="s">
        <v>842</v>
      </c>
      <c r="AD267" s="250">
        <v>220</v>
      </c>
      <c r="AE267" s="250"/>
      <c r="AF267" s="250"/>
      <c r="AG267" s="241"/>
    </row>
    <row r="268" spans="1:33" ht="15.75">
      <c r="A268" s="250" t="s">
        <v>994</v>
      </c>
      <c r="B268" s="250">
        <v>13</v>
      </c>
      <c r="C268" s="250">
        <v>111</v>
      </c>
      <c r="D268" s="250" t="s">
        <v>906</v>
      </c>
      <c r="E268" s="250">
        <v>1.5</v>
      </c>
      <c r="F268" s="251">
        <v>45079.693009259259</v>
      </c>
      <c r="G268" s="250">
        <v>1</v>
      </c>
      <c r="H268" s="250">
        <v>51.3675</v>
      </c>
      <c r="I268" s="250">
        <v>7.0359100000000003</v>
      </c>
      <c r="J268" s="250">
        <v>-3.5589089999999999</v>
      </c>
      <c r="K268" s="250">
        <v>-2.7105600000000001</v>
      </c>
      <c r="L268" s="250">
        <v>1016.22</v>
      </c>
      <c r="M268" s="250">
        <v>129.49881500000001</v>
      </c>
      <c r="N268" s="250">
        <v>18162.306400000001</v>
      </c>
      <c r="O268" s="250">
        <v>18122.4221</v>
      </c>
      <c r="P268" s="250">
        <v>1973.15165</v>
      </c>
      <c r="Q268" s="250" t="s">
        <v>18</v>
      </c>
      <c r="R268" s="250" t="s">
        <v>647</v>
      </c>
      <c r="S268" s="250" t="s">
        <v>21</v>
      </c>
      <c r="T268" s="250">
        <v>15</v>
      </c>
      <c r="U268" s="250">
        <v>5</v>
      </c>
      <c r="V268" s="250">
        <v>0.7</v>
      </c>
      <c r="W268" s="250">
        <v>0.7</v>
      </c>
      <c r="X268" s="250">
        <v>0.7</v>
      </c>
      <c r="Y268" s="250">
        <v>1700</v>
      </c>
      <c r="Z268" s="250" t="s">
        <v>840</v>
      </c>
      <c r="AA268" s="250">
        <v>0.85</v>
      </c>
      <c r="AB268" s="250" t="s">
        <v>841</v>
      </c>
      <c r="AC268" s="250" t="s">
        <v>842</v>
      </c>
      <c r="AD268" s="250">
        <v>220</v>
      </c>
      <c r="AE268" s="250"/>
      <c r="AF268" s="250"/>
      <c r="AG268" s="241"/>
    </row>
    <row r="269" spans="1:33" ht="15.75">
      <c r="A269" s="250" t="s">
        <v>1031</v>
      </c>
      <c r="B269" s="250">
        <v>13</v>
      </c>
      <c r="C269" s="250">
        <v>111</v>
      </c>
      <c r="D269" s="250" t="s">
        <v>906</v>
      </c>
      <c r="E269" s="250">
        <v>1.5</v>
      </c>
      <c r="F269" s="251">
        <v>45079.69667824074</v>
      </c>
      <c r="G269" s="250">
        <v>1</v>
      </c>
      <c r="H269" s="250">
        <v>51.374099999999999</v>
      </c>
      <c r="I269" s="250">
        <v>6.9518500000000003</v>
      </c>
      <c r="J269" s="250">
        <v>-3.5812390000000001</v>
      </c>
      <c r="K269" s="250">
        <v>-2.7581380000000002</v>
      </c>
      <c r="L269" s="250">
        <v>1028.8599999999999</v>
      </c>
      <c r="M269" s="250">
        <v>124.000157</v>
      </c>
      <c r="N269" s="250">
        <v>18112.8809</v>
      </c>
      <c r="O269" s="250">
        <v>18122.4221</v>
      </c>
      <c r="P269" s="250">
        <v>1973.15165</v>
      </c>
      <c r="Q269" s="250" t="s">
        <v>18</v>
      </c>
      <c r="R269" s="250" t="s">
        <v>839</v>
      </c>
      <c r="S269" s="250" t="s">
        <v>21</v>
      </c>
      <c r="T269" s="250">
        <v>15</v>
      </c>
      <c r="U269" s="250">
        <v>5</v>
      </c>
      <c r="V269" s="250">
        <v>0.7</v>
      </c>
      <c r="W269" s="250">
        <v>0.7</v>
      </c>
      <c r="X269" s="250">
        <v>0.7</v>
      </c>
      <c r="Y269" s="250">
        <v>1700</v>
      </c>
      <c r="Z269" s="250" t="s">
        <v>840</v>
      </c>
      <c r="AA269" s="250">
        <v>0.85</v>
      </c>
      <c r="AB269" s="250" t="s">
        <v>841</v>
      </c>
      <c r="AC269" s="250" t="s">
        <v>842</v>
      </c>
      <c r="AD269" s="250">
        <v>220</v>
      </c>
      <c r="AE269" s="250"/>
      <c r="AF269" s="250"/>
      <c r="AG269" s="241"/>
    </row>
    <row r="270" spans="1:33" ht="15.75">
      <c r="A270" s="250" t="s">
        <v>867</v>
      </c>
      <c r="B270" s="250">
        <v>14</v>
      </c>
      <c r="C270" s="250">
        <v>119</v>
      </c>
      <c r="D270" s="250" t="s">
        <v>911</v>
      </c>
      <c r="E270" s="250">
        <v>1.5</v>
      </c>
      <c r="F270" s="251">
        <v>45079.700810185182</v>
      </c>
      <c r="G270" s="250">
        <v>1</v>
      </c>
      <c r="H270" s="250">
        <v>51.374099999999999</v>
      </c>
      <c r="I270" s="250">
        <v>7.0718899999999998</v>
      </c>
      <c r="J270" s="250">
        <v>-3.5667960000000001</v>
      </c>
      <c r="K270" s="250">
        <v>-2.7299180000000001</v>
      </c>
      <c r="L270" s="250">
        <v>1061.06</v>
      </c>
      <c r="M270" s="250">
        <v>117.50155100000001</v>
      </c>
      <c r="N270" s="250">
        <v>18599.704699999998</v>
      </c>
      <c r="O270" s="250">
        <v>18588.1384</v>
      </c>
      <c r="P270" s="250">
        <v>2023.94784</v>
      </c>
      <c r="Q270" s="250" t="s">
        <v>18</v>
      </c>
      <c r="R270" s="250" t="s">
        <v>839</v>
      </c>
      <c r="S270" s="250" t="s">
        <v>21</v>
      </c>
      <c r="T270" s="250">
        <v>15</v>
      </c>
      <c r="U270" s="250">
        <v>5</v>
      </c>
      <c r="V270" s="250">
        <v>0.7</v>
      </c>
      <c r="W270" s="250">
        <v>0.7</v>
      </c>
      <c r="X270" s="250">
        <v>0.7</v>
      </c>
      <c r="Y270" s="250">
        <v>1700</v>
      </c>
      <c r="Z270" s="250" t="s">
        <v>840</v>
      </c>
      <c r="AA270" s="250">
        <v>0.85</v>
      </c>
      <c r="AB270" s="250" t="s">
        <v>841</v>
      </c>
      <c r="AC270" s="250" t="s">
        <v>842</v>
      </c>
      <c r="AD270" s="250">
        <v>220</v>
      </c>
      <c r="AE270" s="250"/>
      <c r="AF270" s="250"/>
      <c r="AG270" s="241"/>
    </row>
    <row r="271" spans="1:33" ht="15.75">
      <c r="A271" s="250" t="s">
        <v>995</v>
      </c>
      <c r="B271" s="250">
        <v>14</v>
      </c>
      <c r="C271" s="250">
        <v>119</v>
      </c>
      <c r="D271" s="250" t="s">
        <v>911</v>
      </c>
      <c r="E271" s="250">
        <v>1.5</v>
      </c>
      <c r="F271" s="251">
        <v>45079.704328703701</v>
      </c>
      <c r="G271" s="250">
        <v>1</v>
      </c>
      <c r="H271" s="250">
        <v>51.3675</v>
      </c>
      <c r="I271" s="250">
        <v>6.98522</v>
      </c>
      <c r="J271" s="250">
        <v>-3.6087259999999999</v>
      </c>
      <c r="K271" s="250">
        <v>-2.7613979999999998</v>
      </c>
      <c r="L271" s="250">
        <v>1042.99</v>
      </c>
      <c r="M271" s="250">
        <v>123.99901699999999</v>
      </c>
      <c r="N271" s="250">
        <v>18574.9728</v>
      </c>
      <c r="O271" s="250">
        <v>18588.1384</v>
      </c>
      <c r="P271" s="250">
        <v>2023.94784</v>
      </c>
      <c r="Q271" s="250" t="s">
        <v>18</v>
      </c>
      <c r="R271" s="250" t="s">
        <v>839</v>
      </c>
      <c r="S271" s="250" t="s">
        <v>21</v>
      </c>
      <c r="T271" s="250">
        <v>15</v>
      </c>
      <c r="U271" s="250">
        <v>5</v>
      </c>
      <c r="V271" s="250">
        <v>0.7</v>
      </c>
      <c r="W271" s="250">
        <v>0.7</v>
      </c>
      <c r="X271" s="250">
        <v>0.7</v>
      </c>
      <c r="Y271" s="250">
        <v>1700</v>
      </c>
      <c r="Z271" s="250" t="s">
        <v>840</v>
      </c>
      <c r="AA271" s="250">
        <v>0.85</v>
      </c>
      <c r="AB271" s="250" t="s">
        <v>841</v>
      </c>
      <c r="AC271" s="250" t="s">
        <v>842</v>
      </c>
      <c r="AD271" s="250">
        <v>220</v>
      </c>
      <c r="AE271" s="250"/>
      <c r="AF271" s="250"/>
      <c r="AG271" s="241"/>
    </row>
    <row r="272" spans="1:33" ht="15.75">
      <c r="A272" s="250" t="s">
        <v>996</v>
      </c>
      <c r="B272" s="250">
        <v>14</v>
      </c>
      <c r="C272" s="250">
        <v>119</v>
      </c>
      <c r="D272" s="250" t="s">
        <v>911</v>
      </c>
      <c r="E272" s="250">
        <v>1.5</v>
      </c>
      <c r="F272" s="251">
        <v>45079.707939814813</v>
      </c>
      <c r="G272" s="250">
        <v>1</v>
      </c>
      <c r="H272" s="250">
        <v>51.370800000000003</v>
      </c>
      <c r="I272" s="250">
        <v>6.9515399999999996</v>
      </c>
      <c r="J272" s="250">
        <v>-3.648609</v>
      </c>
      <c r="K272" s="250">
        <v>-2.8079040000000002</v>
      </c>
      <c r="L272" s="250">
        <v>1050.1400000000001</v>
      </c>
      <c r="M272" s="250">
        <v>131.00028900000001</v>
      </c>
      <c r="N272" s="250">
        <v>18589.737799999999</v>
      </c>
      <c r="O272" s="250">
        <v>18588.1384</v>
      </c>
      <c r="P272" s="250">
        <v>2023.94784</v>
      </c>
      <c r="Q272" s="250" t="s">
        <v>18</v>
      </c>
      <c r="R272" s="250" t="s">
        <v>839</v>
      </c>
      <c r="S272" s="250" t="s">
        <v>21</v>
      </c>
      <c r="T272" s="250">
        <v>15</v>
      </c>
      <c r="U272" s="250">
        <v>5</v>
      </c>
      <c r="V272" s="250">
        <v>0.7</v>
      </c>
      <c r="W272" s="250">
        <v>0.7</v>
      </c>
      <c r="X272" s="250">
        <v>0.7</v>
      </c>
      <c r="Y272" s="250">
        <v>1700</v>
      </c>
      <c r="Z272" s="250" t="s">
        <v>840</v>
      </c>
      <c r="AA272" s="250">
        <v>0.85</v>
      </c>
      <c r="AB272" s="250" t="s">
        <v>841</v>
      </c>
      <c r="AC272" s="250" t="s">
        <v>842</v>
      </c>
      <c r="AD272" s="250">
        <v>220</v>
      </c>
      <c r="AE272" s="250"/>
      <c r="AF272" s="250"/>
      <c r="AG272" s="241"/>
    </row>
    <row r="273" spans="1:33" ht="15.75">
      <c r="A273" s="250" t="s">
        <v>868</v>
      </c>
      <c r="B273" s="250">
        <v>15</v>
      </c>
      <c r="C273" s="250">
        <v>118</v>
      </c>
      <c r="D273" s="250" t="s">
        <v>915</v>
      </c>
      <c r="E273" s="250">
        <v>1.5</v>
      </c>
      <c r="F273" s="251">
        <v>45079.712175925924</v>
      </c>
      <c r="G273" s="250">
        <v>1</v>
      </c>
      <c r="H273" s="250">
        <v>51.374099999999999</v>
      </c>
      <c r="I273" s="250">
        <v>7.0333800000000002</v>
      </c>
      <c r="J273" s="250">
        <v>-3.7484280000000001</v>
      </c>
      <c r="K273" s="250">
        <v>-2.9170020000000001</v>
      </c>
      <c r="L273" s="250">
        <v>1052.22</v>
      </c>
      <c r="M273" s="250">
        <v>129.500496</v>
      </c>
      <c r="N273" s="250">
        <v>18641.828300000001</v>
      </c>
      <c r="O273" s="250">
        <v>18632.6499</v>
      </c>
      <c r="P273" s="250">
        <v>2028.80466</v>
      </c>
      <c r="Q273" s="250" t="s">
        <v>18</v>
      </c>
      <c r="R273" s="250" t="s">
        <v>839</v>
      </c>
      <c r="S273" s="250" t="s">
        <v>21</v>
      </c>
      <c r="T273" s="250">
        <v>15</v>
      </c>
      <c r="U273" s="250">
        <v>5</v>
      </c>
      <c r="V273" s="250">
        <v>0.7</v>
      </c>
      <c r="W273" s="250">
        <v>0.7</v>
      </c>
      <c r="X273" s="250">
        <v>0.7</v>
      </c>
      <c r="Y273" s="250">
        <v>1700</v>
      </c>
      <c r="Z273" s="250" t="s">
        <v>840</v>
      </c>
      <c r="AA273" s="250">
        <v>0.85</v>
      </c>
      <c r="AB273" s="250" t="s">
        <v>841</v>
      </c>
      <c r="AC273" s="250" t="s">
        <v>842</v>
      </c>
      <c r="AD273" s="250">
        <v>220</v>
      </c>
      <c r="AE273" s="250"/>
      <c r="AF273" s="250"/>
      <c r="AG273" s="241"/>
    </row>
    <row r="274" spans="1:33" ht="15.75">
      <c r="A274" s="250" t="s">
        <v>999</v>
      </c>
      <c r="B274" s="250">
        <v>15</v>
      </c>
      <c r="C274" s="250">
        <v>118</v>
      </c>
      <c r="D274" s="250" t="s">
        <v>915</v>
      </c>
      <c r="E274" s="250">
        <v>1.5</v>
      </c>
      <c r="F274" s="251">
        <v>45079.715833333335</v>
      </c>
      <c r="G274" s="250">
        <v>1</v>
      </c>
      <c r="H274" s="250">
        <v>51.370800000000003</v>
      </c>
      <c r="I274" s="250">
        <v>7.1184399999999997</v>
      </c>
      <c r="J274" s="250">
        <v>-3.6996020000000001</v>
      </c>
      <c r="K274" s="250">
        <v>-2.8549389999999999</v>
      </c>
      <c r="L274" s="250">
        <v>1053.58</v>
      </c>
      <c r="M274" s="250">
        <v>146.49894800000001</v>
      </c>
      <c r="N274" s="250">
        <v>18619.8822</v>
      </c>
      <c r="O274" s="250">
        <v>18632.6499</v>
      </c>
      <c r="P274" s="250">
        <v>2028.80466</v>
      </c>
      <c r="Q274" s="250" t="s">
        <v>18</v>
      </c>
      <c r="R274" s="250" t="s">
        <v>839</v>
      </c>
      <c r="S274" s="250" t="s">
        <v>21</v>
      </c>
      <c r="T274" s="250">
        <v>15</v>
      </c>
      <c r="U274" s="250">
        <v>5</v>
      </c>
      <c r="V274" s="250">
        <v>0.7</v>
      </c>
      <c r="W274" s="250">
        <v>0.7</v>
      </c>
      <c r="X274" s="250">
        <v>0.7</v>
      </c>
      <c r="Y274" s="250">
        <v>1700</v>
      </c>
      <c r="Z274" s="250" t="s">
        <v>840</v>
      </c>
      <c r="AA274" s="250">
        <v>0.85</v>
      </c>
      <c r="AB274" s="250" t="s">
        <v>841</v>
      </c>
      <c r="AC274" s="250" t="s">
        <v>842</v>
      </c>
      <c r="AD274" s="250">
        <v>220</v>
      </c>
      <c r="AE274" s="250"/>
      <c r="AF274" s="250"/>
      <c r="AG274" s="241"/>
    </row>
    <row r="275" spans="1:33" ht="15.75">
      <c r="A275" s="250" t="s">
        <v>1000</v>
      </c>
      <c r="B275" s="250">
        <v>15</v>
      </c>
      <c r="C275" s="250">
        <v>118</v>
      </c>
      <c r="D275" s="250" t="s">
        <v>915</v>
      </c>
      <c r="E275" s="250">
        <v>1.5</v>
      </c>
      <c r="F275" s="251">
        <v>45079.719664351855</v>
      </c>
      <c r="G275" s="250">
        <v>1</v>
      </c>
      <c r="H275" s="250">
        <v>51.364100000000001</v>
      </c>
      <c r="I275" s="250">
        <v>7.0883000000000003</v>
      </c>
      <c r="J275" s="250">
        <v>-3.719541</v>
      </c>
      <c r="K275" s="250">
        <v>-2.879416</v>
      </c>
      <c r="L275" s="250">
        <v>1053.4000000000001</v>
      </c>
      <c r="M275" s="250">
        <v>156.00032400000001</v>
      </c>
      <c r="N275" s="250">
        <v>18591.057700000001</v>
      </c>
      <c r="O275" s="250">
        <v>18632.6499</v>
      </c>
      <c r="P275" s="250">
        <v>2028.80466</v>
      </c>
      <c r="Q275" s="250" t="s">
        <v>18</v>
      </c>
      <c r="R275" s="250" t="s">
        <v>647</v>
      </c>
      <c r="S275" s="250" t="s">
        <v>21</v>
      </c>
      <c r="T275" s="250">
        <v>15</v>
      </c>
      <c r="U275" s="250">
        <v>5</v>
      </c>
      <c r="V275" s="250">
        <v>0.7</v>
      </c>
      <c r="W275" s="250">
        <v>0.7</v>
      </c>
      <c r="X275" s="250">
        <v>0.7</v>
      </c>
      <c r="Y275" s="250">
        <v>1700</v>
      </c>
      <c r="Z275" s="250" t="s">
        <v>840</v>
      </c>
      <c r="AA275" s="250">
        <v>0.85</v>
      </c>
      <c r="AB275" s="250" t="s">
        <v>841</v>
      </c>
      <c r="AC275" s="250" t="s">
        <v>842</v>
      </c>
      <c r="AD275" s="250">
        <v>220</v>
      </c>
      <c r="AE275" s="250"/>
      <c r="AF275" s="250"/>
      <c r="AG275" s="241"/>
    </row>
    <row r="276" spans="1:33" ht="15.75">
      <c r="A276" s="250" t="s">
        <v>1001</v>
      </c>
      <c r="B276" s="250">
        <v>15</v>
      </c>
      <c r="C276" s="250">
        <v>118</v>
      </c>
      <c r="D276" s="250" t="s">
        <v>915</v>
      </c>
      <c r="E276" s="250">
        <v>1.5</v>
      </c>
      <c r="F276" s="251">
        <v>45079.723611111112</v>
      </c>
      <c r="G276" s="250">
        <v>1</v>
      </c>
      <c r="H276" s="250">
        <v>51.3675</v>
      </c>
      <c r="I276" s="250">
        <v>7.0086000000000004</v>
      </c>
      <c r="J276" s="250">
        <v>-3.743684</v>
      </c>
      <c r="K276" s="250">
        <v>-2.9143029999999999</v>
      </c>
      <c r="L276" s="250">
        <v>1048.67</v>
      </c>
      <c r="M276" s="250">
        <v>129.99936400000001</v>
      </c>
      <c r="N276" s="250">
        <v>18636.239300000001</v>
      </c>
      <c r="O276" s="250">
        <v>18632.6499</v>
      </c>
      <c r="P276" s="250">
        <v>2028.80466</v>
      </c>
      <c r="Q276" s="250" t="s">
        <v>18</v>
      </c>
      <c r="R276" s="250" t="s">
        <v>839</v>
      </c>
      <c r="S276" s="250" t="s">
        <v>21</v>
      </c>
      <c r="T276" s="250">
        <v>15</v>
      </c>
      <c r="U276" s="250">
        <v>5</v>
      </c>
      <c r="V276" s="250">
        <v>0.7</v>
      </c>
      <c r="W276" s="250">
        <v>0.7</v>
      </c>
      <c r="X276" s="250">
        <v>0.7</v>
      </c>
      <c r="Y276" s="250">
        <v>1700</v>
      </c>
      <c r="Z276" s="250" t="s">
        <v>840</v>
      </c>
      <c r="AA276" s="250">
        <v>0.85</v>
      </c>
      <c r="AB276" s="250" t="s">
        <v>841</v>
      </c>
      <c r="AC276" s="250" t="s">
        <v>842</v>
      </c>
      <c r="AD276" s="250">
        <v>220</v>
      </c>
      <c r="AE276" s="250"/>
      <c r="AF276" s="250"/>
      <c r="AG276" s="241"/>
    </row>
    <row r="277" spans="1:33" ht="15.75">
      <c r="A277" s="250" t="s">
        <v>869</v>
      </c>
      <c r="B277" s="250">
        <v>16</v>
      </c>
      <c r="C277" s="250">
        <v>112</v>
      </c>
      <c r="D277" s="250" t="s">
        <v>926</v>
      </c>
      <c r="E277" s="250">
        <v>1.5</v>
      </c>
      <c r="F277" s="251">
        <v>45079.727824074071</v>
      </c>
      <c r="G277" s="250">
        <v>1</v>
      </c>
      <c r="H277" s="250">
        <v>51.370800000000003</v>
      </c>
      <c r="I277" s="250">
        <v>7.0613900000000003</v>
      </c>
      <c r="J277" s="250">
        <v>-3.6687090000000002</v>
      </c>
      <c r="K277" s="250">
        <v>-2.8395429999999999</v>
      </c>
      <c r="L277" s="250">
        <v>1044.1300000000001</v>
      </c>
      <c r="M277" s="250">
        <v>123.500422</v>
      </c>
      <c r="N277" s="250">
        <v>18430.312699999999</v>
      </c>
      <c r="O277" s="250">
        <v>18433.214</v>
      </c>
      <c r="P277" s="250">
        <v>2007.05006</v>
      </c>
      <c r="Q277" s="250" t="s">
        <v>18</v>
      </c>
      <c r="R277" s="250" t="s">
        <v>839</v>
      </c>
      <c r="S277" s="250" t="s">
        <v>21</v>
      </c>
      <c r="T277" s="250">
        <v>15</v>
      </c>
      <c r="U277" s="250">
        <v>5</v>
      </c>
      <c r="V277" s="250">
        <v>0.7</v>
      </c>
      <c r="W277" s="250">
        <v>0.7</v>
      </c>
      <c r="X277" s="250">
        <v>0.7</v>
      </c>
      <c r="Y277" s="250">
        <v>1700</v>
      </c>
      <c r="Z277" s="250" t="s">
        <v>840</v>
      </c>
      <c r="AA277" s="250">
        <v>0.85</v>
      </c>
      <c r="AB277" s="250" t="s">
        <v>841</v>
      </c>
      <c r="AC277" s="250" t="s">
        <v>842</v>
      </c>
      <c r="AD277" s="250">
        <v>220</v>
      </c>
      <c r="AE277" s="250"/>
      <c r="AF277" s="250"/>
      <c r="AG277" s="241"/>
    </row>
    <row r="278" spans="1:33" ht="15.75">
      <c r="A278" s="250" t="s">
        <v>1002</v>
      </c>
      <c r="B278" s="250">
        <v>16</v>
      </c>
      <c r="C278" s="250">
        <v>112</v>
      </c>
      <c r="D278" s="250" t="s">
        <v>926</v>
      </c>
      <c r="E278" s="250">
        <v>1.5</v>
      </c>
      <c r="F278" s="251">
        <v>45079.731423611112</v>
      </c>
      <c r="G278" s="250">
        <v>1</v>
      </c>
      <c r="H278" s="250">
        <v>51.3675</v>
      </c>
      <c r="I278" s="250">
        <v>7.0942800000000004</v>
      </c>
      <c r="J278" s="250">
        <v>-3.6759810000000002</v>
      </c>
      <c r="K278" s="250">
        <v>-2.8307609999999999</v>
      </c>
      <c r="L278" s="250">
        <v>1035.71</v>
      </c>
      <c r="M278" s="250">
        <v>127.000765</v>
      </c>
      <c r="N278" s="250">
        <v>18428.491699999999</v>
      </c>
      <c r="O278" s="250">
        <v>18433.214</v>
      </c>
      <c r="P278" s="250">
        <v>2007.05006</v>
      </c>
      <c r="Q278" s="250" t="s">
        <v>18</v>
      </c>
      <c r="R278" s="250" t="s">
        <v>839</v>
      </c>
      <c r="S278" s="250" t="s">
        <v>21</v>
      </c>
      <c r="T278" s="250">
        <v>15</v>
      </c>
      <c r="U278" s="250">
        <v>5</v>
      </c>
      <c r="V278" s="250">
        <v>0.7</v>
      </c>
      <c r="W278" s="250">
        <v>0.7</v>
      </c>
      <c r="X278" s="250">
        <v>0.7</v>
      </c>
      <c r="Y278" s="250">
        <v>1700</v>
      </c>
      <c r="Z278" s="250" t="s">
        <v>840</v>
      </c>
      <c r="AA278" s="250">
        <v>0.85</v>
      </c>
      <c r="AB278" s="250" t="s">
        <v>841</v>
      </c>
      <c r="AC278" s="250" t="s">
        <v>842</v>
      </c>
      <c r="AD278" s="250">
        <v>220</v>
      </c>
      <c r="AE278" s="250"/>
      <c r="AF278" s="250"/>
      <c r="AG278" s="241"/>
    </row>
    <row r="279" spans="1:33" ht="15.75">
      <c r="A279" s="250" t="s">
        <v>1003</v>
      </c>
      <c r="B279" s="250">
        <v>16</v>
      </c>
      <c r="C279" s="250">
        <v>112</v>
      </c>
      <c r="D279" s="250" t="s">
        <v>926</v>
      </c>
      <c r="E279" s="250">
        <v>1.5</v>
      </c>
      <c r="F279" s="251">
        <v>45079.735046296293</v>
      </c>
      <c r="G279" s="250">
        <v>1</v>
      </c>
      <c r="H279" s="250">
        <v>51.370800000000003</v>
      </c>
      <c r="I279" s="250">
        <v>7.2459300000000004</v>
      </c>
      <c r="J279" s="250">
        <v>-3.585842</v>
      </c>
      <c r="K279" s="250">
        <v>-2.7395320000000001</v>
      </c>
      <c r="L279" s="250">
        <v>1032.81</v>
      </c>
      <c r="M279" s="250">
        <v>115.999492</v>
      </c>
      <c r="N279" s="250">
        <v>18440.837500000001</v>
      </c>
      <c r="O279" s="250">
        <v>18433.214</v>
      </c>
      <c r="P279" s="250">
        <v>2007.05006</v>
      </c>
      <c r="Q279" s="250" t="s">
        <v>18</v>
      </c>
      <c r="R279" s="250" t="s">
        <v>839</v>
      </c>
      <c r="S279" s="250" t="s">
        <v>21</v>
      </c>
      <c r="T279" s="250">
        <v>15</v>
      </c>
      <c r="U279" s="250">
        <v>5</v>
      </c>
      <c r="V279" s="250">
        <v>0.7</v>
      </c>
      <c r="W279" s="250">
        <v>0.7</v>
      </c>
      <c r="X279" s="250">
        <v>0.7</v>
      </c>
      <c r="Y279" s="250">
        <v>1700</v>
      </c>
      <c r="Z279" s="250" t="s">
        <v>840</v>
      </c>
      <c r="AA279" s="250">
        <v>0.85</v>
      </c>
      <c r="AB279" s="250" t="s">
        <v>841</v>
      </c>
      <c r="AC279" s="250" t="s">
        <v>842</v>
      </c>
      <c r="AD279" s="250">
        <v>220</v>
      </c>
      <c r="AE279" s="250"/>
      <c r="AF279" s="250"/>
      <c r="AG279" s="241"/>
    </row>
    <row r="280" spans="1:33" ht="15.75">
      <c r="A280" s="250" t="s">
        <v>870</v>
      </c>
      <c r="B280" s="250">
        <v>17</v>
      </c>
      <c r="C280" s="250">
        <v>113</v>
      </c>
      <c r="D280" s="250" t="s">
        <v>930</v>
      </c>
      <c r="E280" s="250">
        <v>1.5</v>
      </c>
      <c r="F280" s="251">
        <v>45079.739062499997</v>
      </c>
      <c r="G280" s="250">
        <v>1</v>
      </c>
      <c r="H280" s="250">
        <v>51.370800000000003</v>
      </c>
      <c r="I280" s="250">
        <v>7.1287099999999999</v>
      </c>
      <c r="J280" s="250">
        <v>-3.689441</v>
      </c>
      <c r="K280" s="250">
        <v>-2.8617629999999998</v>
      </c>
      <c r="L280" s="250">
        <v>1059.5899999999999</v>
      </c>
      <c r="M280" s="250">
        <v>137.99998199999999</v>
      </c>
      <c r="N280" s="250">
        <v>18489.2637</v>
      </c>
      <c r="O280" s="250">
        <v>18444.4784</v>
      </c>
      <c r="P280" s="250">
        <v>2008.2786900000001</v>
      </c>
      <c r="Q280" s="250" t="s">
        <v>18</v>
      </c>
      <c r="R280" s="250" t="s">
        <v>647</v>
      </c>
      <c r="S280" s="250" t="s">
        <v>21</v>
      </c>
      <c r="T280" s="250">
        <v>15</v>
      </c>
      <c r="U280" s="250">
        <v>5</v>
      </c>
      <c r="V280" s="250">
        <v>0.7</v>
      </c>
      <c r="W280" s="250">
        <v>0.7</v>
      </c>
      <c r="X280" s="250">
        <v>0.7</v>
      </c>
      <c r="Y280" s="250">
        <v>1700</v>
      </c>
      <c r="Z280" s="250" t="s">
        <v>840</v>
      </c>
      <c r="AA280" s="250">
        <v>0.85</v>
      </c>
      <c r="AB280" s="250" t="s">
        <v>841</v>
      </c>
      <c r="AC280" s="250" t="s">
        <v>842</v>
      </c>
      <c r="AD280" s="250">
        <v>220</v>
      </c>
      <c r="AE280" s="250"/>
      <c r="AF280" s="250"/>
      <c r="AG280" s="241"/>
    </row>
    <row r="281" spans="1:33" ht="15.75">
      <c r="A281" s="250" t="s">
        <v>1004</v>
      </c>
      <c r="B281" s="250">
        <v>17</v>
      </c>
      <c r="C281" s="250">
        <v>113</v>
      </c>
      <c r="D281" s="250" t="s">
        <v>930</v>
      </c>
      <c r="E281" s="250">
        <v>1.5</v>
      </c>
      <c r="F281" s="251">
        <v>45079.742812500001</v>
      </c>
      <c r="G281" s="250">
        <v>1</v>
      </c>
      <c r="H281" s="250">
        <v>51.3675</v>
      </c>
      <c r="I281" s="250">
        <v>7.1646099999999997</v>
      </c>
      <c r="J281" s="250">
        <v>-3.6573829999999998</v>
      </c>
      <c r="K281" s="250">
        <v>-2.811461</v>
      </c>
      <c r="L281" s="250">
        <v>1043.71</v>
      </c>
      <c r="M281" s="250">
        <v>121.50044699999999</v>
      </c>
      <c r="N281" s="250">
        <v>18446.069</v>
      </c>
      <c r="O281" s="250">
        <v>18444.4784</v>
      </c>
      <c r="P281" s="250">
        <v>2008.2786900000001</v>
      </c>
      <c r="Q281" s="250" t="s">
        <v>18</v>
      </c>
      <c r="R281" s="250" t="s">
        <v>839</v>
      </c>
      <c r="S281" s="250" t="s">
        <v>21</v>
      </c>
      <c r="T281" s="250">
        <v>15</v>
      </c>
      <c r="U281" s="250">
        <v>5</v>
      </c>
      <c r="V281" s="250">
        <v>0.7</v>
      </c>
      <c r="W281" s="250">
        <v>0.7</v>
      </c>
      <c r="X281" s="250">
        <v>0.7</v>
      </c>
      <c r="Y281" s="250">
        <v>1700</v>
      </c>
      <c r="Z281" s="250" t="s">
        <v>840</v>
      </c>
      <c r="AA281" s="250">
        <v>0.85</v>
      </c>
      <c r="AB281" s="250" t="s">
        <v>841</v>
      </c>
      <c r="AC281" s="250" t="s">
        <v>842</v>
      </c>
      <c r="AD281" s="250">
        <v>220</v>
      </c>
      <c r="AE281" s="250"/>
      <c r="AF281" s="250"/>
      <c r="AG281" s="241"/>
    </row>
    <row r="282" spans="1:33" ht="15.75">
      <c r="A282" s="250" t="s">
        <v>1005</v>
      </c>
      <c r="B282" s="250">
        <v>17</v>
      </c>
      <c r="C282" s="250">
        <v>113</v>
      </c>
      <c r="D282" s="250" t="s">
        <v>930</v>
      </c>
      <c r="E282" s="250">
        <v>1.5</v>
      </c>
      <c r="F282" s="251">
        <v>45079.746354166666</v>
      </c>
      <c r="G282" s="250">
        <v>1</v>
      </c>
      <c r="H282" s="250">
        <v>51.370800000000003</v>
      </c>
      <c r="I282" s="250">
        <v>7.0468700000000002</v>
      </c>
      <c r="J282" s="250">
        <v>-3.6845870000000001</v>
      </c>
      <c r="K282" s="250">
        <v>-2.8734679999999999</v>
      </c>
      <c r="L282" s="250">
        <v>1033.73</v>
      </c>
      <c r="M282" s="250">
        <v>118.99882100000001</v>
      </c>
      <c r="N282" s="250">
        <v>18445.498100000001</v>
      </c>
      <c r="O282" s="250">
        <v>18444.4784</v>
      </c>
      <c r="P282" s="250">
        <v>2008.2786900000001</v>
      </c>
      <c r="Q282" s="250" t="s">
        <v>18</v>
      </c>
      <c r="R282" s="250" t="s">
        <v>839</v>
      </c>
      <c r="S282" s="250" t="s">
        <v>21</v>
      </c>
      <c r="T282" s="250">
        <v>15</v>
      </c>
      <c r="U282" s="250">
        <v>5</v>
      </c>
      <c r="V282" s="250">
        <v>0.7</v>
      </c>
      <c r="W282" s="250">
        <v>0.7</v>
      </c>
      <c r="X282" s="250">
        <v>0.7</v>
      </c>
      <c r="Y282" s="250">
        <v>1700</v>
      </c>
      <c r="Z282" s="250" t="s">
        <v>840</v>
      </c>
      <c r="AA282" s="250">
        <v>0.85</v>
      </c>
      <c r="AB282" s="250" t="s">
        <v>841</v>
      </c>
      <c r="AC282" s="250" t="s">
        <v>842</v>
      </c>
      <c r="AD282" s="250">
        <v>220</v>
      </c>
      <c r="AE282" s="250"/>
      <c r="AF282" s="250"/>
      <c r="AG282" s="241"/>
    </row>
    <row r="283" spans="1:33" ht="15.75">
      <c r="A283" s="250" t="s">
        <v>1032</v>
      </c>
      <c r="B283" s="250">
        <v>17</v>
      </c>
      <c r="C283" s="250">
        <v>113</v>
      </c>
      <c r="D283" s="250" t="s">
        <v>930</v>
      </c>
      <c r="E283" s="250">
        <v>1.5</v>
      </c>
      <c r="F283" s="251">
        <v>45079.749895833331</v>
      </c>
      <c r="G283" s="250">
        <v>1</v>
      </c>
      <c r="H283" s="250">
        <v>51.374099999999999</v>
      </c>
      <c r="I283" s="250">
        <v>6.9646600000000003</v>
      </c>
      <c r="J283" s="250">
        <v>-3.7495579999999999</v>
      </c>
      <c r="K283" s="250">
        <v>-2.9016899999999999</v>
      </c>
      <c r="L283" s="250">
        <v>1062.42</v>
      </c>
      <c r="M283" s="250">
        <v>126.50089699999999</v>
      </c>
      <c r="N283" s="250">
        <v>18441.8681</v>
      </c>
      <c r="O283" s="250">
        <v>18444.4784</v>
      </c>
      <c r="P283" s="250">
        <v>2008.2786900000001</v>
      </c>
      <c r="Q283" s="250" t="s">
        <v>18</v>
      </c>
      <c r="R283" s="250" t="s">
        <v>839</v>
      </c>
      <c r="S283" s="250" t="s">
        <v>21</v>
      </c>
      <c r="T283" s="250">
        <v>15</v>
      </c>
      <c r="U283" s="250">
        <v>5</v>
      </c>
      <c r="V283" s="250">
        <v>0.7</v>
      </c>
      <c r="W283" s="250">
        <v>0.7</v>
      </c>
      <c r="X283" s="250">
        <v>0.7</v>
      </c>
      <c r="Y283" s="250">
        <v>1700</v>
      </c>
      <c r="Z283" s="250" t="s">
        <v>840</v>
      </c>
      <c r="AA283" s="250">
        <v>0.85</v>
      </c>
      <c r="AB283" s="250" t="s">
        <v>841</v>
      </c>
      <c r="AC283" s="250" t="s">
        <v>842</v>
      </c>
      <c r="AD283" s="250">
        <v>220</v>
      </c>
      <c r="AE283" s="250"/>
      <c r="AF283" s="250"/>
      <c r="AG283" s="241"/>
    </row>
    <row r="284" spans="1:33" ht="15.75">
      <c r="A284" s="250" t="s">
        <v>871</v>
      </c>
      <c r="B284" s="250">
        <v>18</v>
      </c>
      <c r="C284" s="250">
        <v>114</v>
      </c>
      <c r="D284" s="250" t="s">
        <v>936</v>
      </c>
      <c r="E284" s="250">
        <v>1.5</v>
      </c>
      <c r="F284" s="251">
        <v>45079.754027777781</v>
      </c>
      <c r="G284" s="250">
        <v>1</v>
      </c>
      <c r="H284" s="250">
        <v>51.370800000000003</v>
      </c>
      <c r="I284" s="250">
        <v>6.9538500000000001</v>
      </c>
      <c r="J284" s="250">
        <v>-3.7225259999999998</v>
      </c>
      <c r="K284" s="250">
        <v>-2.889526</v>
      </c>
      <c r="L284" s="250">
        <v>1051.45</v>
      </c>
      <c r="M284" s="250">
        <v>131.99996200000001</v>
      </c>
      <c r="N284" s="250">
        <v>18515.549800000001</v>
      </c>
      <c r="O284" s="250">
        <v>18503.697199999999</v>
      </c>
      <c r="P284" s="250">
        <v>2014.73775</v>
      </c>
      <c r="Q284" s="250" t="s">
        <v>18</v>
      </c>
      <c r="R284" s="250" t="s">
        <v>839</v>
      </c>
      <c r="S284" s="250" t="s">
        <v>21</v>
      </c>
      <c r="T284" s="250">
        <v>15</v>
      </c>
      <c r="U284" s="250">
        <v>5</v>
      </c>
      <c r="V284" s="250">
        <v>0.7</v>
      </c>
      <c r="W284" s="250">
        <v>0.7</v>
      </c>
      <c r="X284" s="250">
        <v>0.7</v>
      </c>
      <c r="Y284" s="250">
        <v>1700</v>
      </c>
      <c r="Z284" s="250" t="s">
        <v>840</v>
      </c>
      <c r="AA284" s="250">
        <v>0.85</v>
      </c>
      <c r="AB284" s="250" t="s">
        <v>841</v>
      </c>
      <c r="AC284" s="250" t="s">
        <v>842</v>
      </c>
      <c r="AD284" s="250">
        <v>220</v>
      </c>
      <c r="AE284" s="250"/>
      <c r="AF284" s="250"/>
      <c r="AG284" s="241"/>
    </row>
    <row r="285" spans="1:33" ht="15.75">
      <c r="A285" s="250" t="s">
        <v>1006</v>
      </c>
      <c r="B285" s="250">
        <v>18</v>
      </c>
      <c r="C285" s="250">
        <v>114</v>
      </c>
      <c r="D285" s="250" t="s">
        <v>936</v>
      </c>
      <c r="E285" s="250">
        <v>1.5</v>
      </c>
      <c r="F285" s="251">
        <v>45079.757719907408</v>
      </c>
      <c r="G285" s="250">
        <v>1</v>
      </c>
      <c r="H285" s="250">
        <v>51.3675</v>
      </c>
      <c r="I285" s="250">
        <v>7.0573800000000002</v>
      </c>
      <c r="J285" s="250">
        <v>-3.7788339999999998</v>
      </c>
      <c r="K285" s="250">
        <v>-2.9360780000000002</v>
      </c>
      <c r="L285" s="250">
        <v>1040.22</v>
      </c>
      <c r="M285" s="250">
        <v>121.49935000000001</v>
      </c>
      <c r="N285" s="250">
        <v>18512.028900000001</v>
      </c>
      <c r="O285" s="250">
        <v>18503.697199999999</v>
      </c>
      <c r="P285" s="250">
        <v>2014.73775</v>
      </c>
      <c r="Q285" s="250" t="s">
        <v>18</v>
      </c>
      <c r="R285" s="250" t="s">
        <v>839</v>
      </c>
      <c r="S285" s="250" t="s">
        <v>21</v>
      </c>
      <c r="T285" s="250">
        <v>15</v>
      </c>
      <c r="U285" s="250">
        <v>5</v>
      </c>
      <c r="V285" s="250">
        <v>0.7</v>
      </c>
      <c r="W285" s="250">
        <v>0.7</v>
      </c>
      <c r="X285" s="250">
        <v>0.7</v>
      </c>
      <c r="Y285" s="250">
        <v>1700</v>
      </c>
      <c r="Z285" s="250" t="s">
        <v>840</v>
      </c>
      <c r="AA285" s="250">
        <v>0.85</v>
      </c>
      <c r="AB285" s="250" t="s">
        <v>841</v>
      </c>
      <c r="AC285" s="250" t="s">
        <v>842</v>
      </c>
      <c r="AD285" s="250">
        <v>220</v>
      </c>
      <c r="AE285" s="250"/>
      <c r="AF285" s="250"/>
      <c r="AG285" s="241"/>
    </row>
    <row r="286" spans="1:33" ht="15.75">
      <c r="A286" s="250" t="s">
        <v>1007</v>
      </c>
      <c r="B286" s="250">
        <v>18</v>
      </c>
      <c r="C286" s="250">
        <v>114</v>
      </c>
      <c r="D286" s="250" t="s">
        <v>936</v>
      </c>
      <c r="E286" s="250">
        <v>1.5</v>
      </c>
      <c r="F286" s="251">
        <v>45079.761319444442</v>
      </c>
      <c r="G286" s="250">
        <v>1</v>
      </c>
      <c r="H286" s="250">
        <v>51.3675</v>
      </c>
      <c r="I286" s="250">
        <v>7.0864500000000001</v>
      </c>
      <c r="J286" s="250">
        <v>-3.6765029999999999</v>
      </c>
      <c r="K286" s="250">
        <v>-2.827016</v>
      </c>
      <c r="L286" s="250">
        <v>1049.77</v>
      </c>
      <c r="M286" s="250">
        <v>136.00035600000001</v>
      </c>
      <c r="N286" s="250">
        <v>18483.512900000002</v>
      </c>
      <c r="O286" s="250">
        <v>18503.697199999999</v>
      </c>
      <c r="P286" s="250">
        <v>2014.73775</v>
      </c>
      <c r="Q286" s="250" t="s">
        <v>18</v>
      </c>
      <c r="R286" s="250" t="s">
        <v>839</v>
      </c>
      <c r="S286" s="250" t="s">
        <v>21</v>
      </c>
      <c r="T286" s="250">
        <v>15</v>
      </c>
      <c r="U286" s="250">
        <v>5</v>
      </c>
      <c r="V286" s="250">
        <v>0.7</v>
      </c>
      <c r="W286" s="250">
        <v>0.7</v>
      </c>
      <c r="X286" s="250">
        <v>0.7</v>
      </c>
      <c r="Y286" s="250">
        <v>1700</v>
      </c>
      <c r="Z286" s="250" t="s">
        <v>840</v>
      </c>
      <c r="AA286" s="250">
        <v>0.85</v>
      </c>
      <c r="AB286" s="250" t="s">
        <v>841</v>
      </c>
      <c r="AC286" s="250" t="s">
        <v>842</v>
      </c>
      <c r="AD286" s="250">
        <v>220</v>
      </c>
      <c r="AE286" s="250"/>
      <c r="AF286" s="250"/>
      <c r="AG286" s="241"/>
    </row>
    <row r="287" spans="1:33" ht="15.75">
      <c r="A287" s="250" t="s">
        <v>872</v>
      </c>
      <c r="B287" s="250">
        <v>19</v>
      </c>
      <c r="C287" s="250" t="s">
        <v>731</v>
      </c>
      <c r="D287" s="250" t="s">
        <v>838</v>
      </c>
      <c r="E287" s="250">
        <v>1.5</v>
      </c>
      <c r="F287" s="251">
        <v>45079.765590277777</v>
      </c>
      <c r="G287" s="250">
        <v>1</v>
      </c>
      <c r="H287" s="250">
        <v>51.3675</v>
      </c>
      <c r="I287" s="250">
        <v>7.1381399999999999</v>
      </c>
      <c r="J287" s="250">
        <v>-3.7252399999999999</v>
      </c>
      <c r="K287" s="250">
        <v>-2.880601</v>
      </c>
      <c r="L287" s="250">
        <v>1039.99</v>
      </c>
      <c r="M287" s="250">
        <v>132.50028800000001</v>
      </c>
      <c r="N287" s="250">
        <v>18623.1247</v>
      </c>
      <c r="O287" s="250">
        <v>18602.719799999999</v>
      </c>
      <c r="P287" s="250">
        <v>2025.5382500000001</v>
      </c>
      <c r="Q287" s="250" t="s">
        <v>18</v>
      </c>
      <c r="R287" s="250" t="s">
        <v>839</v>
      </c>
      <c r="S287" s="250" t="s">
        <v>21</v>
      </c>
      <c r="T287" s="250">
        <v>15</v>
      </c>
      <c r="U287" s="250">
        <v>5</v>
      </c>
      <c r="V287" s="250">
        <v>0.7</v>
      </c>
      <c r="W287" s="250">
        <v>0.7</v>
      </c>
      <c r="X287" s="250">
        <v>0.7</v>
      </c>
      <c r="Y287" s="250">
        <v>1700</v>
      </c>
      <c r="Z287" s="250" t="s">
        <v>840</v>
      </c>
      <c r="AA287" s="250">
        <v>0.85</v>
      </c>
      <c r="AB287" s="250" t="s">
        <v>841</v>
      </c>
      <c r="AC287" s="250" t="s">
        <v>842</v>
      </c>
      <c r="AD287" s="250">
        <v>220</v>
      </c>
      <c r="AE287" s="250"/>
      <c r="AF287" s="250"/>
      <c r="AG287" s="241"/>
    </row>
    <row r="288" spans="1:33" ht="15.75">
      <c r="A288" s="250" t="s">
        <v>1010</v>
      </c>
      <c r="B288" s="250">
        <v>19</v>
      </c>
      <c r="C288" s="250" t="s">
        <v>731</v>
      </c>
      <c r="D288" s="250" t="s">
        <v>838</v>
      </c>
      <c r="E288" s="250">
        <v>1.5</v>
      </c>
      <c r="F288" s="251">
        <v>45079.769293981481</v>
      </c>
      <c r="G288" s="250">
        <v>1</v>
      </c>
      <c r="H288" s="250">
        <v>51.374099999999999</v>
      </c>
      <c r="I288" s="250">
        <v>7.1376400000000002</v>
      </c>
      <c r="J288" s="250">
        <v>-3.6658330000000001</v>
      </c>
      <c r="K288" s="250">
        <v>-2.8258719999999999</v>
      </c>
      <c r="L288" s="250">
        <v>1037.6199999999999</v>
      </c>
      <c r="M288" s="250">
        <v>134.99977999999999</v>
      </c>
      <c r="N288" s="250">
        <v>18589.347699999998</v>
      </c>
      <c r="O288" s="250">
        <v>18602.719799999999</v>
      </c>
      <c r="P288" s="250">
        <v>2025.5382500000001</v>
      </c>
      <c r="Q288" s="250" t="s">
        <v>18</v>
      </c>
      <c r="R288" s="250" t="s">
        <v>839</v>
      </c>
      <c r="S288" s="250" t="s">
        <v>21</v>
      </c>
      <c r="T288" s="250">
        <v>15</v>
      </c>
      <c r="U288" s="250">
        <v>5</v>
      </c>
      <c r="V288" s="250">
        <v>0.7</v>
      </c>
      <c r="W288" s="250">
        <v>0.7</v>
      </c>
      <c r="X288" s="250">
        <v>0.7</v>
      </c>
      <c r="Y288" s="250">
        <v>1700</v>
      </c>
      <c r="Z288" s="250" t="s">
        <v>840</v>
      </c>
      <c r="AA288" s="250">
        <v>0.85</v>
      </c>
      <c r="AB288" s="250" t="s">
        <v>841</v>
      </c>
      <c r="AC288" s="250" t="s">
        <v>842</v>
      </c>
      <c r="AD288" s="250">
        <v>220</v>
      </c>
      <c r="AE288" s="250"/>
      <c r="AF288" s="250"/>
      <c r="AG288" s="241"/>
    </row>
    <row r="289" spans="1:33" ht="15.75">
      <c r="A289" s="250" t="s">
        <v>1011</v>
      </c>
      <c r="B289" s="250">
        <v>19</v>
      </c>
      <c r="C289" s="250" t="s">
        <v>731</v>
      </c>
      <c r="D289" s="250" t="s">
        <v>838</v>
      </c>
      <c r="E289" s="250">
        <v>1.5</v>
      </c>
      <c r="F289" s="251">
        <v>45079.773009259261</v>
      </c>
      <c r="G289" s="250">
        <v>1</v>
      </c>
      <c r="H289" s="250">
        <v>51.370800000000003</v>
      </c>
      <c r="I289" s="250">
        <v>7.0204300000000002</v>
      </c>
      <c r="J289" s="250">
        <v>-3.7894480000000001</v>
      </c>
      <c r="K289" s="250">
        <v>-2.9552510000000001</v>
      </c>
      <c r="L289" s="250">
        <v>1029.71</v>
      </c>
      <c r="M289" s="250">
        <v>149.00043099999999</v>
      </c>
      <c r="N289" s="250">
        <v>18595.687099999999</v>
      </c>
      <c r="O289" s="250">
        <v>18602.719799999999</v>
      </c>
      <c r="P289" s="250">
        <v>2025.5382500000001</v>
      </c>
      <c r="Q289" s="250" t="s">
        <v>18</v>
      </c>
      <c r="R289" s="250" t="s">
        <v>839</v>
      </c>
      <c r="S289" s="250" t="s">
        <v>21</v>
      </c>
      <c r="T289" s="250">
        <v>15</v>
      </c>
      <c r="U289" s="250">
        <v>5</v>
      </c>
      <c r="V289" s="250">
        <v>0.7</v>
      </c>
      <c r="W289" s="250">
        <v>0.7</v>
      </c>
      <c r="X289" s="250">
        <v>0.7</v>
      </c>
      <c r="Y289" s="250">
        <v>1700</v>
      </c>
      <c r="Z289" s="250" t="s">
        <v>840</v>
      </c>
      <c r="AA289" s="250">
        <v>0.85</v>
      </c>
      <c r="AB289" s="250" t="s">
        <v>841</v>
      </c>
      <c r="AC289" s="250" t="s">
        <v>842</v>
      </c>
      <c r="AD289" s="250">
        <v>220</v>
      </c>
      <c r="AE289" s="250"/>
      <c r="AF289" s="250"/>
      <c r="AG289" s="241"/>
    </row>
    <row r="290" spans="1:33" ht="15.75">
      <c r="A290" s="250" t="s">
        <v>873</v>
      </c>
      <c r="B290" s="250">
        <v>20</v>
      </c>
      <c r="C290" s="250" t="s">
        <v>731</v>
      </c>
      <c r="D290" s="250" t="s">
        <v>838</v>
      </c>
      <c r="E290" s="250">
        <v>1.5</v>
      </c>
      <c r="F290" s="251">
        <v>45079.776921296296</v>
      </c>
      <c r="G290" s="250">
        <v>1</v>
      </c>
      <c r="H290" s="250">
        <v>51.370800000000003</v>
      </c>
      <c r="I290" s="250">
        <v>7.07484</v>
      </c>
      <c r="J290" s="250">
        <v>-3.8414079999999999</v>
      </c>
      <c r="K290" s="250">
        <v>-2.998901</v>
      </c>
      <c r="L290" s="250">
        <v>1038.3900000000001</v>
      </c>
      <c r="M290" s="250">
        <v>146.499877</v>
      </c>
      <c r="N290" s="250">
        <v>18612.218799999999</v>
      </c>
      <c r="O290" s="250">
        <v>18577.510600000001</v>
      </c>
      <c r="P290" s="250">
        <v>2022.78865</v>
      </c>
      <c r="Q290" s="250" t="s">
        <v>18</v>
      </c>
      <c r="R290" s="250" t="s">
        <v>647</v>
      </c>
      <c r="S290" s="250" t="s">
        <v>21</v>
      </c>
      <c r="T290" s="250">
        <v>15</v>
      </c>
      <c r="U290" s="250">
        <v>5</v>
      </c>
      <c r="V290" s="250">
        <v>0.7</v>
      </c>
      <c r="W290" s="250">
        <v>0.7</v>
      </c>
      <c r="X290" s="250">
        <v>0.7</v>
      </c>
      <c r="Y290" s="250">
        <v>1700</v>
      </c>
      <c r="Z290" s="250" t="s">
        <v>840</v>
      </c>
      <c r="AA290" s="250">
        <v>0.85</v>
      </c>
      <c r="AB290" s="250" t="s">
        <v>841</v>
      </c>
      <c r="AC290" s="250" t="s">
        <v>842</v>
      </c>
      <c r="AD290" s="250">
        <v>220</v>
      </c>
      <c r="AE290" s="250"/>
      <c r="AF290" s="250"/>
      <c r="AG290" s="241"/>
    </row>
    <row r="291" spans="1:33" ht="15.75">
      <c r="A291" s="250" t="s">
        <v>1013</v>
      </c>
      <c r="B291" s="250">
        <v>20</v>
      </c>
      <c r="C291" s="250" t="s">
        <v>731</v>
      </c>
      <c r="D291" s="250" t="s">
        <v>838</v>
      </c>
      <c r="E291" s="250">
        <v>1.5</v>
      </c>
      <c r="F291" s="251">
        <v>45079.780787037038</v>
      </c>
      <c r="G291" s="250">
        <v>1</v>
      </c>
      <c r="H291" s="250">
        <v>51.370800000000003</v>
      </c>
      <c r="I291" s="250">
        <v>7.0906799999999999</v>
      </c>
      <c r="J291" s="250">
        <v>-3.7601330000000002</v>
      </c>
      <c r="K291" s="250">
        <v>-2.9248769999999999</v>
      </c>
      <c r="L291" s="250">
        <v>1048.0999999999999</v>
      </c>
      <c r="M291" s="250">
        <v>131.500471</v>
      </c>
      <c r="N291" s="250">
        <v>18569.019499999999</v>
      </c>
      <c r="O291" s="250">
        <v>18577.510600000001</v>
      </c>
      <c r="P291" s="250">
        <v>2022.78865</v>
      </c>
      <c r="Q291" s="250" t="s">
        <v>18</v>
      </c>
      <c r="R291" s="250" t="s">
        <v>839</v>
      </c>
      <c r="S291" s="250" t="s">
        <v>28</v>
      </c>
      <c r="T291" s="250">
        <v>15</v>
      </c>
      <c r="U291" s="250">
        <v>5</v>
      </c>
      <c r="V291" s="250">
        <v>0.7</v>
      </c>
      <c r="W291" s="250">
        <v>0.7</v>
      </c>
      <c r="X291" s="250">
        <v>0.7</v>
      </c>
      <c r="Y291" s="250">
        <v>1700</v>
      </c>
      <c r="Z291" s="250" t="s">
        <v>840</v>
      </c>
      <c r="AA291" s="250">
        <v>0.85</v>
      </c>
      <c r="AB291" s="250" t="s">
        <v>841</v>
      </c>
      <c r="AC291" s="250" t="s">
        <v>842</v>
      </c>
      <c r="AD291" s="250">
        <v>220</v>
      </c>
      <c r="AE291" s="250"/>
      <c r="AF291" s="250"/>
      <c r="AG291" s="241"/>
    </row>
    <row r="292" spans="1:33" ht="15.75">
      <c r="A292" s="250" t="s">
        <v>1014</v>
      </c>
      <c r="B292" s="250">
        <v>20</v>
      </c>
      <c r="C292" s="250" t="s">
        <v>731</v>
      </c>
      <c r="D292" s="250" t="s">
        <v>838</v>
      </c>
      <c r="E292" s="250">
        <v>1.5</v>
      </c>
      <c r="F292" s="251">
        <v>45079.784444444442</v>
      </c>
      <c r="G292" s="250">
        <v>1</v>
      </c>
      <c r="H292" s="250">
        <v>51.3675</v>
      </c>
      <c r="I292" s="250">
        <v>7.1918499999999996</v>
      </c>
      <c r="J292" s="250">
        <v>-3.8226849999999999</v>
      </c>
      <c r="K292" s="250">
        <v>-2.9983279999999999</v>
      </c>
      <c r="L292" s="250">
        <v>1043.23</v>
      </c>
      <c r="M292" s="250">
        <v>138.99936199999999</v>
      </c>
      <c r="N292" s="250">
        <v>18582.780999999999</v>
      </c>
      <c r="O292" s="250">
        <v>18577.510600000001</v>
      </c>
      <c r="P292" s="250">
        <v>2022.78865</v>
      </c>
      <c r="Q292" s="250" t="s">
        <v>18</v>
      </c>
      <c r="R292" s="250" t="s">
        <v>839</v>
      </c>
      <c r="S292" s="250" t="s">
        <v>28</v>
      </c>
      <c r="T292" s="250">
        <v>15</v>
      </c>
      <c r="U292" s="250">
        <v>5</v>
      </c>
      <c r="V292" s="250">
        <v>0.7</v>
      </c>
      <c r="W292" s="250">
        <v>0.7</v>
      </c>
      <c r="X292" s="250">
        <v>0.7</v>
      </c>
      <c r="Y292" s="250">
        <v>1700</v>
      </c>
      <c r="Z292" s="250" t="s">
        <v>840</v>
      </c>
      <c r="AA292" s="250">
        <v>0.85</v>
      </c>
      <c r="AB292" s="250" t="s">
        <v>841</v>
      </c>
      <c r="AC292" s="250" t="s">
        <v>842</v>
      </c>
      <c r="AD292" s="250">
        <v>220</v>
      </c>
      <c r="AE292" s="250"/>
      <c r="AF292" s="250"/>
      <c r="AG292" s="241"/>
    </row>
    <row r="293" spans="1:33" ht="15.75">
      <c r="A293" s="250" t="s">
        <v>1015</v>
      </c>
      <c r="B293" s="250">
        <v>20</v>
      </c>
      <c r="C293" s="250" t="s">
        <v>731</v>
      </c>
      <c r="D293" s="250" t="s">
        <v>838</v>
      </c>
      <c r="E293" s="250">
        <v>1.5</v>
      </c>
      <c r="F293" s="251">
        <v>45079.788217592592</v>
      </c>
      <c r="G293" s="250">
        <v>1</v>
      </c>
      <c r="H293" s="250">
        <v>51.370800000000003</v>
      </c>
      <c r="I293" s="250">
        <v>7.0742700000000003</v>
      </c>
      <c r="J293" s="250">
        <v>-3.860668</v>
      </c>
      <c r="K293" s="250">
        <v>-3.014859</v>
      </c>
      <c r="L293" s="250">
        <v>1054.18</v>
      </c>
      <c r="M293" s="250">
        <v>116.500815</v>
      </c>
      <c r="N293" s="250">
        <v>18580.731299999999</v>
      </c>
      <c r="O293" s="250">
        <v>18577.510600000001</v>
      </c>
      <c r="P293" s="250">
        <v>2022.78865</v>
      </c>
      <c r="Q293" s="250" t="s">
        <v>18</v>
      </c>
      <c r="R293" s="250" t="s">
        <v>839</v>
      </c>
      <c r="S293" s="250" t="s">
        <v>28</v>
      </c>
      <c r="T293" s="250">
        <v>15</v>
      </c>
      <c r="U293" s="250">
        <v>5</v>
      </c>
      <c r="V293" s="250">
        <v>0.7</v>
      </c>
      <c r="W293" s="250">
        <v>0.7</v>
      </c>
      <c r="X293" s="250">
        <v>0.7</v>
      </c>
      <c r="Y293" s="250">
        <v>1700</v>
      </c>
      <c r="Z293" s="250" t="s">
        <v>840</v>
      </c>
      <c r="AA293" s="250">
        <v>0.85</v>
      </c>
      <c r="AB293" s="250" t="s">
        <v>841</v>
      </c>
      <c r="AC293" s="250" t="s">
        <v>842</v>
      </c>
      <c r="AD293" s="250">
        <v>220</v>
      </c>
      <c r="AE293" s="250"/>
      <c r="AF293" s="250"/>
      <c r="AG293" s="241"/>
    </row>
    <row r="294" spans="1:33" ht="15.75">
      <c r="A294" s="250" t="s">
        <v>874</v>
      </c>
      <c r="B294" s="250">
        <v>21</v>
      </c>
      <c r="C294" s="250" t="s">
        <v>731</v>
      </c>
      <c r="D294" s="250" t="s">
        <v>838</v>
      </c>
      <c r="E294" s="250">
        <v>1.5</v>
      </c>
      <c r="F294" s="251">
        <v>45079.791724537034</v>
      </c>
      <c r="G294" s="250">
        <v>1</v>
      </c>
      <c r="H294" s="250">
        <v>51.370800000000003</v>
      </c>
      <c r="I294" s="250">
        <v>7.1491199999999999</v>
      </c>
      <c r="J294" s="250">
        <v>-3.8110659999999998</v>
      </c>
      <c r="K294" s="250">
        <v>-2.9658609999999999</v>
      </c>
      <c r="L294" s="250">
        <v>1042.57</v>
      </c>
      <c r="M294" s="250">
        <v>120.500298</v>
      </c>
      <c r="N294" s="250">
        <v>18563.904299999998</v>
      </c>
      <c r="O294" s="250">
        <v>18561.4967</v>
      </c>
      <c r="P294" s="250">
        <v>2021.0419999999999</v>
      </c>
      <c r="Q294" s="250" t="s">
        <v>18</v>
      </c>
      <c r="R294" s="250" t="s">
        <v>839</v>
      </c>
      <c r="S294" s="250" t="s">
        <v>28</v>
      </c>
      <c r="T294" s="250">
        <v>15</v>
      </c>
      <c r="U294" s="250">
        <v>5</v>
      </c>
      <c r="V294" s="250">
        <v>0.7</v>
      </c>
      <c r="W294" s="250">
        <v>0.7</v>
      </c>
      <c r="X294" s="250">
        <v>0.7</v>
      </c>
      <c r="Y294" s="250">
        <v>1700</v>
      </c>
      <c r="Z294" s="250" t="s">
        <v>840</v>
      </c>
      <c r="AA294" s="250">
        <v>0.85</v>
      </c>
      <c r="AB294" s="250" t="s">
        <v>841</v>
      </c>
      <c r="AC294" s="250" t="s">
        <v>842</v>
      </c>
      <c r="AD294" s="250">
        <v>220</v>
      </c>
      <c r="AE294" s="250"/>
      <c r="AF294" s="250"/>
      <c r="AG294" s="241"/>
    </row>
    <row r="295" spans="1:33" ht="15.75">
      <c r="A295" s="250" t="s">
        <v>1016</v>
      </c>
      <c r="B295" s="250">
        <v>21</v>
      </c>
      <c r="C295" s="250" t="s">
        <v>731</v>
      </c>
      <c r="D295" s="250" t="s">
        <v>838</v>
      </c>
      <c r="E295" s="250">
        <v>1.5</v>
      </c>
      <c r="F295" s="251">
        <v>45079.795266203706</v>
      </c>
      <c r="G295" s="250">
        <v>1</v>
      </c>
      <c r="H295" s="250">
        <v>51.3675</v>
      </c>
      <c r="I295" s="250">
        <v>7.1876199999999999</v>
      </c>
      <c r="J295" s="250">
        <v>-3.9111410000000002</v>
      </c>
      <c r="K295" s="250">
        <v>-3.0627059999999999</v>
      </c>
      <c r="L295" s="250">
        <v>1047.07</v>
      </c>
      <c r="M295" s="250">
        <v>133.499167</v>
      </c>
      <c r="N295" s="250">
        <v>18564.118600000002</v>
      </c>
      <c r="O295" s="250">
        <v>18561.4967</v>
      </c>
      <c r="P295" s="250">
        <v>2021.0419999999999</v>
      </c>
      <c r="Q295" s="250" t="s">
        <v>18</v>
      </c>
      <c r="R295" s="250" t="s">
        <v>839</v>
      </c>
      <c r="S295" s="250" t="s">
        <v>28</v>
      </c>
      <c r="T295" s="250">
        <v>15</v>
      </c>
      <c r="U295" s="250">
        <v>5</v>
      </c>
      <c r="V295" s="250">
        <v>0.7</v>
      </c>
      <c r="W295" s="250">
        <v>0.7</v>
      </c>
      <c r="X295" s="250">
        <v>0.7</v>
      </c>
      <c r="Y295" s="250">
        <v>1700</v>
      </c>
      <c r="Z295" s="250" t="s">
        <v>840</v>
      </c>
      <c r="AA295" s="250">
        <v>0.85</v>
      </c>
      <c r="AB295" s="250" t="s">
        <v>841</v>
      </c>
      <c r="AC295" s="250" t="s">
        <v>842</v>
      </c>
      <c r="AD295" s="250">
        <v>220</v>
      </c>
      <c r="AE295" s="250"/>
      <c r="AF295" s="250"/>
      <c r="AG295" s="241"/>
    </row>
    <row r="296" spans="1:33" ht="15.75">
      <c r="A296" s="250" t="s">
        <v>1017</v>
      </c>
      <c r="B296" s="250">
        <v>21</v>
      </c>
      <c r="C296" s="250" t="s">
        <v>731</v>
      </c>
      <c r="D296" s="250" t="s">
        <v>838</v>
      </c>
      <c r="E296" s="250">
        <v>1.5</v>
      </c>
      <c r="F296" s="251">
        <v>45079.798993055556</v>
      </c>
      <c r="G296" s="250">
        <v>1</v>
      </c>
      <c r="H296" s="250">
        <v>51.364100000000001</v>
      </c>
      <c r="I296" s="250">
        <v>7.0599299999999996</v>
      </c>
      <c r="J296" s="250">
        <v>-3.8812489999999999</v>
      </c>
      <c r="K296" s="250">
        <v>-3.0478689999999999</v>
      </c>
      <c r="L296" s="250">
        <v>1048.42</v>
      </c>
      <c r="M296" s="250">
        <v>125.001194</v>
      </c>
      <c r="N296" s="250">
        <v>18556.4673</v>
      </c>
      <c r="O296" s="250">
        <v>18561.4967</v>
      </c>
      <c r="P296" s="250">
        <v>2021.0419999999999</v>
      </c>
      <c r="Q296" s="250" t="s">
        <v>18</v>
      </c>
      <c r="R296" s="250" t="s">
        <v>839</v>
      </c>
      <c r="S296" s="250" t="s">
        <v>28</v>
      </c>
      <c r="T296" s="250">
        <v>15</v>
      </c>
      <c r="U296" s="250">
        <v>5</v>
      </c>
      <c r="V296" s="250">
        <v>0.7</v>
      </c>
      <c r="W296" s="250">
        <v>0.7</v>
      </c>
      <c r="X296" s="250">
        <v>0.7</v>
      </c>
      <c r="Y296" s="250">
        <v>1700</v>
      </c>
      <c r="Z296" s="250" t="s">
        <v>840</v>
      </c>
      <c r="AA296" s="250">
        <v>0.85</v>
      </c>
      <c r="AB296" s="250" t="s">
        <v>841</v>
      </c>
      <c r="AC296" s="250" t="s">
        <v>842</v>
      </c>
      <c r="AD296" s="250">
        <v>220</v>
      </c>
      <c r="AE296" s="250"/>
      <c r="AF296" s="250"/>
      <c r="AG296" s="241"/>
    </row>
    <row r="297" spans="1:33" ht="15.75">
      <c r="A297" s="250" t="s">
        <v>835</v>
      </c>
      <c r="B297" s="250" t="s">
        <v>836</v>
      </c>
      <c r="C297" s="250" t="s">
        <v>837</v>
      </c>
      <c r="D297" s="250" t="s">
        <v>838</v>
      </c>
      <c r="E297" s="250">
        <v>1</v>
      </c>
      <c r="F297" s="251">
        <v>45112.375</v>
      </c>
      <c r="G297" s="250">
        <v>1</v>
      </c>
      <c r="H297" s="250">
        <v>51.370800000000003</v>
      </c>
      <c r="I297" s="250">
        <v>15.587899999999999</v>
      </c>
      <c r="J297" s="250">
        <v>-4.1228280000000002</v>
      </c>
      <c r="K297" s="250">
        <v>-3.274321</v>
      </c>
      <c r="L297" s="250">
        <v>942.30100000000004</v>
      </c>
      <c r="M297" s="250">
        <v>91.999346000000003</v>
      </c>
      <c r="N297" s="250">
        <v>11780.894200000001</v>
      </c>
      <c r="O297" s="250">
        <v>11780.894200000001</v>
      </c>
      <c r="P297" s="250">
        <v>1962.15237</v>
      </c>
      <c r="Q297" s="250" t="s">
        <v>18</v>
      </c>
      <c r="R297" s="250" t="s">
        <v>839</v>
      </c>
      <c r="S297" s="250" t="s">
        <v>21</v>
      </c>
      <c r="T297" s="250">
        <v>15</v>
      </c>
      <c r="U297" s="250">
        <v>5</v>
      </c>
      <c r="V297" s="250">
        <v>0.7</v>
      </c>
      <c r="W297" s="250">
        <v>0.7</v>
      </c>
      <c r="X297" s="250">
        <v>0.7</v>
      </c>
      <c r="Y297" s="250">
        <v>1700</v>
      </c>
      <c r="Z297" s="250" t="s">
        <v>840</v>
      </c>
      <c r="AA297" s="250">
        <v>0.85</v>
      </c>
      <c r="AB297" s="250" t="s">
        <v>841</v>
      </c>
      <c r="AC297" s="250" t="s">
        <v>842</v>
      </c>
      <c r="AD297" s="250">
        <v>220</v>
      </c>
      <c r="AE297" s="250"/>
      <c r="AF297" s="250"/>
      <c r="AG297" s="241"/>
    </row>
    <row r="298" spans="1:33" ht="15.75">
      <c r="A298" s="250" t="s">
        <v>843</v>
      </c>
      <c r="B298" s="250" t="s">
        <v>836</v>
      </c>
      <c r="C298" s="250" t="s">
        <v>837</v>
      </c>
      <c r="D298" s="250" t="s">
        <v>838</v>
      </c>
      <c r="E298" s="250">
        <v>1</v>
      </c>
      <c r="F298" s="251">
        <v>45112.37777777778</v>
      </c>
      <c r="G298" s="250">
        <v>1</v>
      </c>
      <c r="H298" s="250">
        <v>51.374099999999999</v>
      </c>
      <c r="I298" s="250">
        <v>13.863</v>
      </c>
      <c r="J298" s="250">
        <v>-4.5501579999999997</v>
      </c>
      <c r="K298" s="250">
        <v>-3.7027060000000001</v>
      </c>
      <c r="L298" s="250">
        <v>913.72299999999996</v>
      </c>
      <c r="M298" s="250">
        <v>93.001620000000003</v>
      </c>
      <c r="N298" s="250">
        <v>11741.9548</v>
      </c>
      <c r="O298" s="250">
        <v>11741.9548</v>
      </c>
      <c r="P298" s="250">
        <v>1955.63185</v>
      </c>
      <c r="Q298" s="250" t="s">
        <v>18</v>
      </c>
      <c r="R298" s="250" t="s">
        <v>839</v>
      </c>
      <c r="S298" s="250" t="s">
        <v>21</v>
      </c>
      <c r="T298" s="250">
        <v>15</v>
      </c>
      <c r="U298" s="250">
        <v>5</v>
      </c>
      <c r="V298" s="250">
        <v>0.7</v>
      </c>
      <c r="W298" s="250">
        <v>0.7</v>
      </c>
      <c r="X298" s="250">
        <v>0.7</v>
      </c>
      <c r="Y298" s="250">
        <v>1700</v>
      </c>
      <c r="Z298" s="250" t="s">
        <v>840</v>
      </c>
      <c r="AA298" s="250">
        <v>0.85</v>
      </c>
      <c r="AB298" s="250" t="s">
        <v>841</v>
      </c>
      <c r="AC298" s="250" t="s">
        <v>842</v>
      </c>
      <c r="AD298" s="250">
        <v>220</v>
      </c>
      <c r="AE298" s="250"/>
      <c r="AF298" s="250"/>
      <c r="AG298" s="241"/>
    </row>
    <row r="299" spans="1:33" ht="15.75">
      <c r="A299" s="250" t="s">
        <v>844</v>
      </c>
      <c r="B299" s="250" t="s">
        <v>836</v>
      </c>
      <c r="C299" s="250" t="s">
        <v>837</v>
      </c>
      <c r="D299" s="250" t="s">
        <v>838</v>
      </c>
      <c r="E299" s="250">
        <v>1</v>
      </c>
      <c r="F299" s="251">
        <v>45112.380555555559</v>
      </c>
      <c r="G299" s="250">
        <v>1</v>
      </c>
      <c r="H299" s="250">
        <v>51.370800000000003</v>
      </c>
      <c r="I299" s="250">
        <v>11.327999999999999</v>
      </c>
      <c r="J299" s="250">
        <v>-4.7265709999999999</v>
      </c>
      <c r="K299" s="250">
        <v>-3.8953190000000002</v>
      </c>
      <c r="L299" s="250">
        <v>916.08799999999997</v>
      </c>
      <c r="M299" s="250">
        <v>94.001026999999993</v>
      </c>
      <c r="N299" s="250">
        <v>11776.466399999999</v>
      </c>
      <c r="O299" s="250">
        <v>11776.466399999999</v>
      </c>
      <c r="P299" s="250">
        <v>1961.41092</v>
      </c>
      <c r="Q299" s="250" t="s">
        <v>18</v>
      </c>
      <c r="R299" s="250" t="s">
        <v>839</v>
      </c>
      <c r="S299" s="250" t="s">
        <v>21</v>
      </c>
      <c r="T299" s="250">
        <v>15</v>
      </c>
      <c r="U299" s="250">
        <v>5</v>
      </c>
      <c r="V299" s="250">
        <v>0.7</v>
      </c>
      <c r="W299" s="250">
        <v>0.7</v>
      </c>
      <c r="X299" s="250">
        <v>0.7</v>
      </c>
      <c r="Y299" s="250">
        <v>1700</v>
      </c>
      <c r="Z299" s="250" t="s">
        <v>840</v>
      </c>
      <c r="AA299" s="250">
        <v>0.85</v>
      </c>
      <c r="AB299" s="250" t="s">
        <v>841</v>
      </c>
      <c r="AC299" s="250" t="s">
        <v>842</v>
      </c>
      <c r="AD299" s="250">
        <v>220</v>
      </c>
      <c r="AE299" s="250"/>
      <c r="AF299" s="250"/>
      <c r="AG299" s="241"/>
    </row>
    <row r="300" spans="1:33" ht="15.75">
      <c r="A300" s="250" t="s">
        <v>845</v>
      </c>
      <c r="B300" s="250" t="s">
        <v>836</v>
      </c>
      <c r="C300" s="250" t="s">
        <v>837</v>
      </c>
      <c r="D300" s="250" t="s">
        <v>838</v>
      </c>
      <c r="E300" s="250">
        <v>1</v>
      </c>
      <c r="F300" s="251">
        <v>45112.384027777778</v>
      </c>
      <c r="G300" s="250">
        <v>1</v>
      </c>
      <c r="H300" s="250">
        <v>51.374099999999999</v>
      </c>
      <c r="I300" s="250">
        <v>9.0729299999999995</v>
      </c>
      <c r="J300" s="250">
        <v>-4.6698449999999996</v>
      </c>
      <c r="K300" s="250">
        <v>-3.8229259999999998</v>
      </c>
      <c r="L300" s="250">
        <v>917.10500000000002</v>
      </c>
      <c r="M300" s="250">
        <v>88.500564999999995</v>
      </c>
      <c r="N300" s="250">
        <v>11782.7294</v>
      </c>
      <c r="O300" s="250">
        <v>11782.7294</v>
      </c>
      <c r="P300" s="250">
        <v>1962.4596899999999</v>
      </c>
      <c r="Q300" s="250" t="s">
        <v>18</v>
      </c>
      <c r="R300" s="250" t="s">
        <v>839</v>
      </c>
      <c r="S300" s="250" t="s">
        <v>21</v>
      </c>
      <c r="T300" s="250">
        <v>15</v>
      </c>
      <c r="U300" s="250">
        <v>5</v>
      </c>
      <c r="V300" s="250">
        <v>0.7</v>
      </c>
      <c r="W300" s="250">
        <v>0.7</v>
      </c>
      <c r="X300" s="250">
        <v>0.7</v>
      </c>
      <c r="Y300" s="250">
        <v>1700</v>
      </c>
      <c r="Z300" s="250" t="s">
        <v>840</v>
      </c>
      <c r="AA300" s="250">
        <v>0.85</v>
      </c>
      <c r="AB300" s="250" t="s">
        <v>841</v>
      </c>
      <c r="AC300" s="250" t="s">
        <v>842</v>
      </c>
      <c r="AD300" s="250">
        <v>220</v>
      </c>
      <c r="AE300" s="250"/>
      <c r="AF300" s="250"/>
      <c r="AG300" s="241"/>
    </row>
    <row r="301" spans="1:33" ht="15.75">
      <c r="A301" s="250" t="s">
        <v>846</v>
      </c>
      <c r="B301" s="250" t="s">
        <v>836</v>
      </c>
      <c r="C301" s="250" t="s">
        <v>837</v>
      </c>
      <c r="D301" s="250" t="s">
        <v>838</v>
      </c>
      <c r="E301" s="250">
        <v>1</v>
      </c>
      <c r="F301" s="251">
        <v>45112.386805555558</v>
      </c>
      <c r="G301" s="250">
        <v>1</v>
      </c>
      <c r="H301" s="250">
        <v>51.3675</v>
      </c>
      <c r="I301" s="250">
        <v>8.2086500000000004</v>
      </c>
      <c r="J301" s="250">
        <v>-4.8776339999999996</v>
      </c>
      <c r="K301" s="250">
        <v>-4.0335190000000001</v>
      </c>
      <c r="L301" s="250">
        <v>912.53200000000004</v>
      </c>
      <c r="M301" s="250">
        <v>90.499784000000005</v>
      </c>
      <c r="N301" s="250">
        <v>11829.2955</v>
      </c>
      <c r="O301" s="250">
        <v>11829.2955</v>
      </c>
      <c r="P301" s="250">
        <v>1970.2573199999999</v>
      </c>
      <c r="Q301" s="250" t="s">
        <v>18</v>
      </c>
      <c r="R301" s="250" t="s">
        <v>839</v>
      </c>
      <c r="S301" s="250" t="s">
        <v>21</v>
      </c>
      <c r="T301" s="250">
        <v>15</v>
      </c>
      <c r="U301" s="250">
        <v>5</v>
      </c>
      <c r="V301" s="250">
        <v>0.7</v>
      </c>
      <c r="W301" s="250">
        <v>0.7</v>
      </c>
      <c r="X301" s="250">
        <v>0.7</v>
      </c>
      <c r="Y301" s="250">
        <v>1700</v>
      </c>
      <c r="Z301" s="250" t="s">
        <v>840</v>
      </c>
      <c r="AA301" s="250">
        <v>0.85</v>
      </c>
      <c r="AB301" s="250" t="s">
        <v>841</v>
      </c>
      <c r="AC301" s="250" t="s">
        <v>842</v>
      </c>
      <c r="AD301" s="250">
        <v>220</v>
      </c>
      <c r="AE301" s="250"/>
      <c r="AF301" s="250"/>
      <c r="AG301" s="241"/>
    </row>
    <row r="302" spans="1:33" ht="15.75">
      <c r="A302" s="250" t="s">
        <v>847</v>
      </c>
      <c r="B302" s="250" t="s">
        <v>836</v>
      </c>
      <c r="C302" s="250" t="s">
        <v>837</v>
      </c>
      <c r="D302" s="250" t="s">
        <v>838</v>
      </c>
      <c r="E302" s="250">
        <v>1</v>
      </c>
      <c r="F302" s="251">
        <v>45112.390277777777</v>
      </c>
      <c r="G302" s="250">
        <v>1</v>
      </c>
      <c r="H302" s="250">
        <v>51.370800000000003</v>
      </c>
      <c r="I302" s="250">
        <v>7.8114499999999998</v>
      </c>
      <c r="J302" s="250">
        <v>-4.8848909999999997</v>
      </c>
      <c r="K302" s="250">
        <v>-4.0394350000000001</v>
      </c>
      <c r="L302" s="250">
        <v>925.49599999999998</v>
      </c>
      <c r="M302" s="250">
        <v>91.500518999999997</v>
      </c>
      <c r="N302" s="250">
        <v>11821.383900000001</v>
      </c>
      <c r="O302" s="250">
        <v>11821.383900000001</v>
      </c>
      <c r="P302" s="250">
        <v>1968.9324899999999</v>
      </c>
      <c r="Q302" s="250" t="s">
        <v>18</v>
      </c>
      <c r="R302" s="250" t="s">
        <v>839</v>
      </c>
      <c r="S302" s="250" t="s">
        <v>21</v>
      </c>
      <c r="T302" s="250">
        <v>15</v>
      </c>
      <c r="U302" s="250">
        <v>5</v>
      </c>
      <c r="V302" s="250">
        <v>0.7</v>
      </c>
      <c r="W302" s="250">
        <v>0.7</v>
      </c>
      <c r="X302" s="250">
        <v>0.7</v>
      </c>
      <c r="Y302" s="250">
        <v>1700</v>
      </c>
      <c r="Z302" s="250" t="s">
        <v>840</v>
      </c>
      <c r="AA302" s="250">
        <v>0.85</v>
      </c>
      <c r="AB302" s="250" t="s">
        <v>841</v>
      </c>
      <c r="AC302" s="250" t="s">
        <v>842</v>
      </c>
      <c r="AD302" s="250">
        <v>220</v>
      </c>
      <c r="AE302" s="250"/>
      <c r="AF302" s="250"/>
      <c r="AG302" s="241"/>
    </row>
    <row r="303" spans="1:33" ht="15.75">
      <c r="A303" s="250" t="s">
        <v>848</v>
      </c>
      <c r="B303" s="250" t="s">
        <v>836</v>
      </c>
      <c r="C303" s="250" t="s">
        <v>837</v>
      </c>
      <c r="D303" s="250" t="s">
        <v>838</v>
      </c>
      <c r="E303" s="250">
        <v>1</v>
      </c>
      <c r="F303" s="251">
        <v>45112.395138888889</v>
      </c>
      <c r="G303" s="250">
        <v>1</v>
      </c>
      <c r="H303" s="250">
        <v>51.374099999999999</v>
      </c>
      <c r="I303" s="250">
        <v>7.6150099999999998</v>
      </c>
      <c r="J303" s="250">
        <v>-4.9087709999999998</v>
      </c>
      <c r="K303" s="250">
        <v>-4.0611680000000003</v>
      </c>
      <c r="L303" s="250">
        <v>937.803</v>
      </c>
      <c r="M303" s="250">
        <v>93.500540999999998</v>
      </c>
      <c r="N303" s="250">
        <v>11839.280199999999</v>
      </c>
      <c r="O303" s="250">
        <v>11839.280199999999</v>
      </c>
      <c r="P303" s="250">
        <v>1971.92929</v>
      </c>
      <c r="Q303" s="250" t="s">
        <v>18</v>
      </c>
      <c r="R303" s="250" t="s">
        <v>839</v>
      </c>
      <c r="S303" s="250" t="s">
        <v>21</v>
      </c>
      <c r="T303" s="250">
        <v>15</v>
      </c>
      <c r="U303" s="250">
        <v>5</v>
      </c>
      <c r="V303" s="250">
        <v>0.7</v>
      </c>
      <c r="W303" s="250">
        <v>0.7</v>
      </c>
      <c r="X303" s="250">
        <v>0.7</v>
      </c>
      <c r="Y303" s="250">
        <v>1700</v>
      </c>
      <c r="Z303" s="250" t="s">
        <v>840</v>
      </c>
      <c r="AA303" s="250">
        <v>0.85</v>
      </c>
      <c r="AB303" s="250" t="s">
        <v>841</v>
      </c>
      <c r="AC303" s="250" t="s">
        <v>842</v>
      </c>
      <c r="AD303" s="250">
        <v>220</v>
      </c>
      <c r="AE303" s="250"/>
      <c r="AF303" s="250"/>
      <c r="AG303" s="241"/>
    </row>
    <row r="304" spans="1:33" ht="15.75">
      <c r="A304" s="250" t="s">
        <v>849</v>
      </c>
      <c r="B304" s="250" t="s">
        <v>836</v>
      </c>
      <c r="C304" s="250" t="s">
        <v>837</v>
      </c>
      <c r="D304" s="250" t="s">
        <v>838</v>
      </c>
      <c r="E304" s="250">
        <v>1</v>
      </c>
      <c r="F304" s="251">
        <v>45112.397916666669</v>
      </c>
      <c r="G304" s="250">
        <v>1</v>
      </c>
      <c r="H304" s="250">
        <v>51.3675</v>
      </c>
      <c r="I304" s="250">
        <v>7.39072</v>
      </c>
      <c r="J304" s="250">
        <v>-4.9112539999999996</v>
      </c>
      <c r="K304" s="250">
        <v>-4.0697780000000003</v>
      </c>
      <c r="L304" s="250">
        <v>931.39099999999996</v>
      </c>
      <c r="M304" s="250">
        <v>99.999672000000004</v>
      </c>
      <c r="N304" s="250">
        <v>11847.1216</v>
      </c>
      <c r="O304" s="250">
        <v>11847.1216</v>
      </c>
      <c r="P304" s="250">
        <v>1973.24235</v>
      </c>
      <c r="Q304" s="250" t="s">
        <v>18</v>
      </c>
      <c r="R304" s="250" t="s">
        <v>839</v>
      </c>
      <c r="S304" s="250" t="s">
        <v>21</v>
      </c>
      <c r="T304" s="250">
        <v>15</v>
      </c>
      <c r="U304" s="250">
        <v>5</v>
      </c>
      <c r="V304" s="250">
        <v>0.7</v>
      </c>
      <c r="W304" s="250">
        <v>0.7</v>
      </c>
      <c r="X304" s="250">
        <v>0.7</v>
      </c>
      <c r="Y304" s="250">
        <v>1700</v>
      </c>
      <c r="Z304" s="250" t="s">
        <v>840</v>
      </c>
      <c r="AA304" s="250">
        <v>0.85</v>
      </c>
      <c r="AB304" s="250" t="s">
        <v>841</v>
      </c>
      <c r="AC304" s="250" t="s">
        <v>842</v>
      </c>
      <c r="AD304" s="250">
        <v>220</v>
      </c>
      <c r="AE304" s="250"/>
      <c r="AF304" s="250"/>
      <c r="AG304" s="241"/>
    </row>
    <row r="305" spans="1:33" ht="15.75">
      <c r="A305" s="250" t="s">
        <v>850</v>
      </c>
      <c r="B305" s="250" t="s">
        <v>836</v>
      </c>
      <c r="C305" s="250" t="s">
        <v>837</v>
      </c>
      <c r="D305" s="250" t="s">
        <v>838</v>
      </c>
      <c r="E305" s="250">
        <v>1</v>
      </c>
      <c r="F305" s="251">
        <v>45112.400694444441</v>
      </c>
      <c r="G305" s="250">
        <v>1</v>
      </c>
      <c r="H305" s="250">
        <v>51.370800000000003</v>
      </c>
      <c r="I305" s="250">
        <v>7.20899</v>
      </c>
      <c r="J305" s="250">
        <v>-5.0505459999999998</v>
      </c>
      <c r="K305" s="250">
        <v>-4.2057370000000001</v>
      </c>
      <c r="L305" s="250">
        <v>925.34100000000001</v>
      </c>
      <c r="M305" s="250">
        <v>109.50073999999999</v>
      </c>
      <c r="N305" s="250">
        <v>11839.7991</v>
      </c>
      <c r="O305" s="250">
        <v>11839.7991</v>
      </c>
      <c r="P305" s="250">
        <v>1972.0161700000001</v>
      </c>
      <c r="Q305" s="250" t="s">
        <v>18</v>
      </c>
      <c r="R305" s="250" t="s">
        <v>839</v>
      </c>
      <c r="S305" s="250" t="s">
        <v>21</v>
      </c>
      <c r="T305" s="250">
        <v>15</v>
      </c>
      <c r="U305" s="250">
        <v>5</v>
      </c>
      <c r="V305" s="250">
        <v>0.7</v>
      </c>
      <c r="W305" s="250">
        <v>0.7</v>
      </c>
      <c r="X305" s="250">
        <v>0.7</v>
      </c>
      <c r="Y305" s="250">
        <v>1700</v>
      </c>
      <c r="Z305" s="250" t="s">
        <v>840</v>
      </c>
      <c r="AA305" s="250">
        <v>0.85</v>
      </c>
      <c r="AB305" s="250" t="s">
        <v>841</v>
      </c>
      <c r="AC305" s="250" t="s">
        <v>842</v>
      </c>
      <c r="AD305" s="250">
        <v>220</v>
      </c>
      <c r="AE305" s="250"/>
      <c r="AF305" s="250"/>
      <c r="AG305" s="241"/>
    </row>
    <row r="306" spans="1:33" ht="15.75">
      <c r="A306" s="250" t="s">
        <v>1033</v>
      </c>
      <c r="B306" s="250" t="s">
        <v>881</v>
      </c>
      <c r="C306" s="250" t="s">
        <v>712</v>
      </c>
      <c r="D306" s="250" t="s">
        <v>838</v>
      </c>
      <c r="E306" s="250">
        <v>1.2</v>
      </c>
      <c r="F306" s="251">
        <v>45112.433333333334</v>
      </c>
      <c r="G306" s="250">
        <v>1</v>
      </c>
      <c r="H306" s="250">
        <v>51.374099999999999</v>
      </c>
      <c r="I306" s="250">
        <v>7.7336600000000004</v>
      </c>
      <c r="J306" s="250">
        <v>-4.8990309999999999</v>
      </c>
      <c r="K306" s="250">
        <v>-4.0516690000000004</v>
      </c>
      <c r="L306" s="250">
        <v>1045.56</v>
      </c>
      <c r="M306" s="250">
        <v>105.000958</v>
      </c>
      <c r="N306" s="250">
        <v>14584.432199999999</v>
      </c>
      <c r="O306" s="250">
        <v>14734.7629</v>
      </c>
      <c r="P306" s="250">
        <v>2028.24</v>
      </c>
      <c r="Q306" s="250" t="s">
        <v>18</v>
      </c>
      <c r="R306" s="250" t="s">
        <v>647</v>
      </c>
      <c r="S306" s="250" t="s">
        <v>21</v>
      </c>
      <c r="T306" s="250">
        <v>15</v>
      </c>
      <c r="U306" s="250">
        <v>5</v>
      </c>
      <c r="V306" s="250">
        <v>0.7</v>
      </c>
      <c r="W306" s="250">
        <v>0.7</v>
      </c>
      <c r="X306" s="250">
        <v>0.7</v>
      </c>
      <c r="Y306" s="250">
        <v>1700</v>
      </c>
      <c r="Z306" s="250" t="s">
        <v>840</v>
      </c>
      <c r="AA306" s="250">
        <v>0.85</v>
      </c>
      <c r="AB306" s="250" t="s">
        <v>841</v>
      </c>
      <c r="AC306" s="250" t="s">
        <v>842</v>
      </c>
      <c r="AD306" s="250">
        <v>220</v>
      </c>
      <c r="AE306" s="250"/>
      <c r="AF306" s="250"/>
      <c r="AG306" s="241"/>
    </row>
    <row r="307" spans="1:33" ht="15.75">
      <c r="A307" s="250" t="s">
        <v>1034</v>
      </c>
      <c r="B307" s="250" t="s">
        <v>881</v>
      </c>
      <c r="C307" s="250" t="s">
        <v>712</v>
      </c>
      <c r="D307" s="250" t="s">
        <v>838</v>
      </c>
      <c r="E307" s="250">
        <v>1.2</v>
      </c>
      <c r="F307" s="251">
        <v>45112.436805555553</v>
      </c>
      <c r="G307" s="250">
        <v>1</v>
      </c>
      <c r="H307" s="250">
        <v>51.370800000000003</v>
      </c>
      <c r="I307" s="250">
        <v>7.15733</v>
      </c>
      <c r="J307" s="250">
        <v>-5.0377729999999996</v>
      </c>
      <c r="K307" s="250">
        <v>-4.2055379999999998</v>
      </c>
      <c r="L307" s="250">
        <v>1009.63</v>
      </c>
      <c r="M307" s="250">
        <v>104.49928300000001</v>
      </c>
      <c r="N307" s="250">
        <v>14786.9229</v>
      </c>
      <c r="O307" s="250">
        <v>14734.7629</v>
      </c>
      <c r="P307" s="250">
        <v>2028.24</v>
      </c>
      <c r="Q307" s="250" t="s">
        <v>18</v>
      </c>
      <c r="R307" s="250" t="s">
        <v>647</v>
      </c>
      <c r="S307" s="250" t="s">
        <v>21</v>
      </c>
      <c r="T307" s="250">
        <v>15</v>
      </c>
      <c r="U307" s="250">
        <v>5</v>
      </c>
      <c r="V307" s="250">
        <v>0.7</v>
      </c>
      <c r="W307" s="250">
        <v>0.7</v>
      </c>
      <c r="X307" s="250">
        <v>0.7</v>
      </c>
      <c r="Y307" s="250">
        <v>1700</v>
      </c>
      <c r="Z307" s="250" t="s">
        <v>840</v>
      </c>
      <c r="AA307" s="250">
        <v>0.85</v>
      </c>
      <c r="AB307" s="250" t="s">
        <v>841</v>
      </c>
      <c r="AC307" s="250" t="s">
        <v>842</v>
      </c>
      <c r="AD307" s="250">
        <v>220</v>
      </c>
      <c r="AE307" s="250"/>
      <c r="AF307" s="250"/>
      <c r="AG307" s="241"/>
    </row>
    <row r="308" spans="1:33" ht="15.75">
      <c r="A308" s="250" t="s">
        <v>1035</v>
      </c>
      <c r="B308" s="250" t="s">
        <v>881</v>
      </c>
      <c r="C308" s="250" t="s">
        <v>712</v>
      </c>
      <c r="D308" s="250" t="s">
        <v>838</v>
      </c>
      <c r="E308" s="250">
        <v>1.2</v>
      </c>
      <c r="F308" s="251">
        <v>45112.44027777778</v>
      </c>
      <c r="G308" s="250">
        <v>1</v>
      </c>
      <c r="H308" s="250">
        <v>51.370800000000003</v>
      </c>
      <c r="I308" s="250">
        <v>6.9764299999999997</v>
      </c>
      <c r="J308" s="250">
        <v>-5.052416</v>
      </c>
      <c r="K308" s="250">
        <v>-4.2045089999999998</v>
      </c>
      <c r="L308" s="250">
        <v>1008.78</v>
      </c>
      <c r="M308" s="250">
        <v>103.000787</v>
      </c>
      <c r="N308" s="250">
        <v>14744.7183</v>
      </c>
      <c r="O308" s="250">
        <v>14734.7629</v>
      </c>
      <c r="P308" s="250">
        <v>2028.24</v>
      </c>
      <c r="Q308" s="250" t="s">
        <v>18</v>
      </c>
      <c r="R308" s="250" t="s">
        <v>839</v>
      </c>
      <c r="S308" s="250" t="s">
        <v>21</v>
      </c>
      <c r="T308" s="250">
        <v>15</v>
      </c>
      <c r="U308" s="250">
        <v>5</v>
      </c>
      <c r="V308" s="250">
        <v>0.7</v>
      </c>
      <c r="W308" s="250">
        <v>0.7</v>
      </c>
      <c r="X308" s="250">
        <v>0.7</v>
      </c>
      <c r="Y308" s="250">
        <v>1700</v>
      </c>
      <c r="Z308" s="250" t="s">
        <v>840</v>
      </c>
      <c r="AA308" s="250">
        <v>0.85</v>
      </c>
      <c r="AB308" s="250" t="s">
        <v>841</v>
      </c>
      <c r="AC308" s="250" t="s">
        <v>842</v>
      </c>
      <c r="AD308" s="250">
        <v>220</v>
      </c>
      <c r="AE308" s="250"/>
      <c r="AF308" s="250"/>
      <c r="AG308" s="241"/>
    </row>
    <row r="309" spans="1:33" ht="15.75">
      <c r="A309" s="250" t="s">
        <v>1036</v>
      </c>
      <c r="B309" s="250" t="s">
        <v>881</v>
      </c>
      <c r="C309" s="250" t="s">
        <v>712</v>
      </c>
      <c r="D309" s="250" t="s">
        <v>838</v>
      </c>
      <c r="E309" s="250">
        <v>1.2</v>
      </c>
      <c r="F309" s="251">
        <v>45112.443749999999</v>
      </c>
      <c r="G309" s="250">
        <v>1</v>
      </c>
      <c r="H309" s="250">
        <v>51.370800000000003</v>
      </c>
      <c r="I309" s="250">
        <v>6.8998699999999999</v>
      </c>
      <c r="J309" s="250">
        <v>-5.0050929999999996</v>
      </c>
      <c r="K309" s="250">
        <v>-4.1616270000000002</v>
      </c>
      <c r="L309" s="250">
        <v>1014.71</v>
      </c>
      <c r="M309" s="250">
        <v>100.99884299999999</v>
      </c>
      <c r="N309" s="250">
        <v>14725.063</v>
      </c>
      <c r="O309" s="250">
        <v>14734.7629</v>
      </c>
      <c r="P309" s="250">
        <v>2028.24</v>
      </c>
      <c r="Q309" s="250" t="s">
        <v>18</v>
      </c>
      <c r="R309" s="250" t="s">
        <v>839</v>
      </c>
      <c r="S309" s="250" t="s">
        <v>21</v>
      </c>
      <c r="T309" s="250">
        <v>15</v>
      </c>
      <c r="U309" s="250">
        <v>5</v>
      </c>
      <c r="V309" s="250">
        <v>0.7</v>
      </c>
      <c r="W309" s="250">
        <v>0.7</v>
      </c>
      <c r="X309" s="250">
        <v>0.7</v>
      </c>
      <c r="Y309" s="250">
        <v>1700</v>
      </c>
      <c r="Z309" s="250" t="s">
        <v>840</v>
      </c>
      <c r="AA309" s="250">
        <v>0.85</v>
      </c>
      <c r="AB309" s="250" t="s">
        <v>841</v>
      </c>
      <c r="AC309" s="250" t="s">
        <v>842</v>
      </c>
      <c r="AD309" s="250">
        <v>220</v>
      </c>
      <c r="AE309" s="250"/>
      <c r="AF309" s="250"/>
      <c r="AG309" s="241"/>
    </row>
    <row r="310" spans="1:33" ht="15.75">
      <c r="A310" s="250" t="s">
        <v>1037</v>
      </c>
      <c r="B310" s="250" t="s">
        <v>881</v>
      </c>
      <c r="C310" s="250" t="s">
        <v>712</v>
      </c>
      <c r="D310" s="250" t="s">
        <v>838</v>
      </c>
      <c r="E310" s="250">
        <v>1.2</v>
      </c>
      <c r="F310" s="251">
        <v>45112.446527777778</v>
      </c>
      <c r="G310" s="250">
        <v>1</v>
      </c>
      <c r="H310" s="250">
        <v>51.374099999999999</v>
      </c>
      <c r="I310" s="250">
        <v>6.8516700000000004</v>
      </c>
      <c r="J310" s="250">
        <v>-5.0429240000000002</v>
      </c>
      <c r="K310" s="250">
        <v>-4.2096859999999996</v>
      </c>
      <c r="L310" s="250">
        <v>1027.6500000000001</v>
      </c>
      <c r="M310" s="250">
        <v>107.49997999999999</v>
      </c>
      <c r="N310" s="250">
        <v>14734.5075</v>
      </c>
      <c r="O310" s="250">
        <v>14734.7629</v>
      </c>
      <c r="P310" s="250">
        <v>2028.24</v>
      </c>
      <c r="Q310" s="250" t="s">
        <v>18</v>
      </c>
      <c r="R310" s="250" t="s">
        <v>839</v>
      </c>
      <c r="S310" s="250" t="s">
        <v>21</v>
      </c>
      <c r="T310" s="250">
        <v>15</v>
      </c>
      <c r="U310" s="250">
        <v>5</v>
      </c>
      <c r="V310" s="250">
        <v>0.7</v>
      </c>
      <c r="W310" s="250">
        <v>0.7</v>
      </c>
      <c r="X310" s="250">
        <v>0.7</v>
      </c>
      <c r="Y310" s="250">
        <v>1700</v>
      </c>
      <c r="Z310" s="250" t="s">
        <v>840</v>
      </c>
      <c r="AA310" s="250">
        <v>0.85</v>
      </c>
      <c r="AB310" s="250" t="s">
        <v>841</v>
      </c>
      <c r="AC310" s="250" t="s">
        <v>842</v>
      </c>
      <c r="AD310" s="250">
        <v>220</v>
      </c>
      <c r="AE310" s="250"/>
      <c r="AF310" s="250"/>
      <c r="AG310" s="241"/>
    </row>
    <row r="311" spans="1:33" ht="15.75">
      <c r="A311" s="250" t="s">
        <v>1038</v>
      </c>
      <c r="B311" s="250" t="s">
        <v>888</v>
      </c>
      <c r="C311" s="250" t="s">
        <v>712</v>
      </c>
      <c r="D311" s="250" t="s">
        <v>838</v>
      </c>
      <c r="E311" s="250">
        <v>1.5</v>
      </c>
      <c r="F311" s="251">
        <v>45112.45</v>
      </c>
      <c r="G311" s="250">
        <v>1</v>
      </c>
      <c r="H311" s="250">
        <v>51.3675</v>
      </c>
      <c r="I311" s="250">
        <v>6.8302399999999999</v>
      </c>
      <c r="J311" s="250">
        <v>-5.0605169999999999</v>
      </c>
      <c r="K311" s="250">
        <v>-4.2164760000000001</v>
      </c>
      <c r="L311" s="250">
        <v>1029.45</v>
      </c>
      <c r="M311" s="250">
        <v>109.49896099999999</v>
      </c>
      <c r="N311" s="250">
        <v>18378.432199999999</v>
      </c>
      <c r="O311" s="250">
        <v>18456.9987</v>
      </c>
      <c r="P311" s="250">
        <v>2028.24</v>
      </c>
      <c r="Q311" s="250" t="s">
        <v>18</v>
      </c>
      <c r="R311" s="250" t="s">
        <v>647</v>
      </c>
      <c r="S311" s="250" t="s">
        <v>21</v>
      </c>
      <c r="T311" s="250">
        <v>15</v>
      </c>
      <c r="U311" s="250">
        <v>5</v>
      </c>
      <c r="V311" s="250">
        <v>0.7</v>
      </c>
      <c r="W311" s="250">
        <v>0.7</v>
      </c>
      <c r="X311" s="250">
        <v>0.7</v>
      </c>
      <c r="Y311" s="250">
        <v>1700</v>
      </c>
      <c r="Z311" s="250" t="s">
        <v>840</v>
      </c>
      <c r="AA311" s="250">
        <v>0.85</v>
      </c>
      <c r="AB311" s="250" t="s">
        <v>841</v>
      </c>
      <c r="AC311" s="250" t="s">
        <v>842</v>
      </c>
      <c r="AD311" s="250">
        <v>220</v>
      </c>
      <c r="AE311" s="250"/>
      <c r="AF311" s="250"/>
      <c r="AG311" s="241"/>
    </row>
    <row r="312" spans="1:33" ht="15.75">
      <c r="A312" s="250" t="s">
        <v>1039</v>
      </c>
      <c r="B312" s="250" t="s">
        <v>888</v>
      </c>
      <c r="C312" s="250" t="s">
        <v>712</v>
      </c>
      <c r="D312" s="250" t="s">
        <v>838</v>
      </c>
      <c r="E312" s="250">
        <v>1.5</v>
      </c>
      <c r="F312" s="251">
        <v>45112.453472222223</v>
      </c>
      <c r="G312" s="250">
        <v>1</v>
      </c>
      <c r="H312" s="250">
        <v>51.370800000000003</v>
      </c>
      <c r="I312" s="250">
        <v>6.7573400000000001</v>
      </c>
      <c r="J312" s="250">
        <v>-5.257002</v>
      </c>
      <c r="K312" s="250">
        <v>-4.4343440000000003</v>
      </c>
      <c r="L312" s="250">
        <v>1043.24</v>
      </c>
      <c r="M312" s="250">
        <v>128.00007600000001</v>
      </c>
      <c r="N312" s="250">
        <v>18459.8953</v>
      </c>
      <c r="O312" s="250">
        <v>18456.9987</v>
      </c>
      <c r="P312" s="250">
        <v>2028.24</v>
      </c>
      <c r="Q312" s="250" t="s">
        <v>18</v>
      </c>
      <c r="R312" s="250" t="s">
        <v>839</v>
      </c>
      <c r="S312" s="250" t="s">
        <v>21</v>
      </c>
      <c r="T312" s="250">
        <v>15</v>
      </c>
      <c r="U312" s="250">
        <v>5</v>
      </c>
      <c r="V312" s="250">
        <v>0.7</v>
      </c>
      <c r="W312" s="250">
        <v>0.7</v>
      </c>
      <c r="X312" s="250">
        <v>0.7</v>
      </c>
      <c r="Y312" s="250">
        <v>1700</v>
      </c>
      <c r="Z312" s="250" t="s">
        <v>840</v>
      </c>
      <c r="AA312" s="250">
        <v>0.85</v>
      </c>
      <c r="AB312" s="250" t="s">
        <v>841</v>
      </c>
      <c r="AC312" s="250" t="s">
        <v>842</v>
      </c>
      <c r="AD312" s="250">
        <v>220</v>
      </c>
      <c r="AE312" s="250"/>
      <c r="AF312" s="250"/>
      <c r="AG312" s="241"/>
    </row>
    <row r="313" spans="1:33" ht="15.75">
      <c r="A313" s="250" t="s">
        <v>1040</v>
      </c>
      <c r="B313" s="250" t="s">
        <v>888</v>
      </c>
      <c r="C313" s="250" t="s">
        <v>712</v>
      </c>
      <c r="D313" s="250" t="s">
        <v>838</v>
      </c>
      <c r="E313" s="250">
        <v>1.5</v>
      </c>
      <c r="F313" s="251">
        <v>45112.456944444442</v>
      </c>
      <c r="G313" s="250">
        <v>1</v>
      </c>
      <c r="H313" s="250">
        <v>51.370800000000003</v>
      </c>
      <c r="I313" s="250">
        <v>6.7394100000000003</v>
      </c>
      <c r="J313" s="250">
        <v>-5.2053830000000003</v>
      </c>
      <c r="K313" s="250">
        <v>-4.3709369999999996</v>
      </c>
      <c r="L313" s="250">
        <v>1041.3399999999999</v>
      </c>
      <c r="M313" s="250">
        <v>119.50014</v>
      </c>
      <c r="N313" s="250">
        <v>18448.0952</v>
      </c>
      <c r="O313" s="250">
        <v>18456.9987</v>
      </c>
      <c r="P313" s="250">
        <v>2028.24</v>
      </c>
      <c r="Q313" s="250" t="s">
        <v>18</v>
      </c>
      <c r="R313" s="250" t="s">
        <v>839</v>
      </c>
      <c r="S313" s="250" t="s">
        <v>21</v>
      </c>
      <c r="T313" s="250">
        <v>15</v>
      </c>
      <c r="U313" s="250">
        <v>5</v>
      </c>
      <c r="V313" s="250">
        <v>0.7</v>
      </c>
      <c r="W313" s="250">
        <v>0.7</v>
      </c>
      <c r="X313" s="250">
        <v>0.7</v>
      </c>
      <c r="Y313" s="250">
        <v>1700</v>
      </c>
      <c r="Z313" s="250" t="s">
        <v>840</v>
      </c>
      <c r="AA313" s="250">
        <v>0.85</v>
      </c>
      <c r="AB313" s="250" t="s">
        <v>841</v>
      </c>
      <c r="AC313" s="250" t="s">
        <v>842</v>
      </c>
      <c r="AD313" s="250">
        <v>220</v>
      </c>
      <c r="AE313" s="250"/>
      <c r="AF313" s="250"/>
      <c r="AG313" s="241"/>
    </row>
    <row r="314" spans="1:33" ht="15.75">
      <c r="A314" s="250" t="s">
        <v>1041</v>
      </c>
      <c r="B314" s="250" t="s">
        <v>888</v>
      </c>
      <c r="C314" s="250" t="s">
        <v>712</v>
      </c>
      <c r="D314" s="250" t="s">
        <v>838</v>
      </c>
      <c r="E314" s="250">
        <v>1.5</v>
      </c>
      <c r="F314" s="251">
        <v>45112.461111111108</v>
      </c>
      <c r="G314" s="250">
        <v>1</v>
      </c>
      <c r="H314" s="250">
        <v>51.377400000000002</v>
      </c>
      <c r="I314" s="250">
        <v>6.66655</v>
      </c>
      <c r="J314" s="250">
        <v>-5.1705519999999998</v>
      </c>
      <c r="K314" s="250">
        <v>-4.3223469999999997</v>
      </c>
      <c r="L314" s="250">
        <v>1041.49</v>
      </c>
      <c r="M314" s="250">
        <v>107.000332</v>
      </c>
      <c r="N314" s="250">
        <v>18463.005700000002</v>
      </c>
      <c r="O314" s="250">
        <v>18456.9987</v>
      </c>
      <c r="P314" s="250">
        <v>2028.24</v>
      </c>
      <c r="Q314" s="250" t="s">
        <v>18</v>
      </c>
      <c r="R314" s="250" t="s">
        <v>839</v>
      </c>
      <c r="S314" s="250" t="s">
        <v>21</v>
      </c>
      <c r="T314" s="250">
        <v>15</v>
      </c>
      <c r="U314" s="250">
        <v>5</v>
      </c>
      <c r="V314" s="250">
        <v>0.7</v>
      </c>
      <c r="W314" s="250">
        <v>0.7</v>
      </c>
      <c r="X314" s="250">
        <v>0.7</v>
      </c>
      <c r="Y314" s="250">
        <v>1700</v>
      </c>
      <c r="Z314" s="250" t="s">
        <v>840</v>
      </c>
      <c r="AA314" s="250">
        <v>0.85</v>
      </c>
      <c r="AB314" s="250" t="s">
        <v>841</v>
      </c>
      <c r="AC314" s="250" t="s">
        <v>842</v>
      </c>
      <c r="AD314" s="250">
        <v>220</v>
      </c>
      <c r="AE314" s="250"/>
      <c r="AF314" s="250"/>
      <c r="AG314" s="241"/>
    </row>
    <row r="315" spans="1:33" ht="15.75">
      <c r="A315" s="250" t="s">
        <v>1042</v>
      </c>
      <c r="B315" s="250" t="s">
        <v>893</v>
      </c>
      <c r="C315" s="250" t="s">
        <v>712</v>
      </c>
      <c r="D315" s="250" t="s">
        <v>838</v>
      </c>
      <c r="E315" s="250">
        <v>1.8</v>
      </c>
      <c r="F315" s="251">
        <v>45112.464583333334</v>
      </c>
      <c r="G315" s="250">
        <v>1</v>
      </c>
      <c r="H315" s="250">
        <v>51.370800000000003</v>
      </c>
      <c r="I315" s="250">
        <v>6.6243999999999996</v>
      </c>
      <c r="J315" s="250">
        <v>-5.213946</v>
      </c>
      <c r="K315" s="250">
        <v>-4.3646640000000003</v>
      </c>
      <c r="L315" s="250">
        <v>1033.8399999999999</v>
      </c>
      <c r="M315" s="250">
        <v>118.498493</v>
      </c>
      <c r="N315" s="250">
        <v>22087.369600000002</v>
      </c>
      <c r="O315" s="250">
        <v>22097.873100000001</v>
      </c>
      <c r="P315" s="250">
        <v>2028.24</v>
      </c>
      <c r="Q315" s="250" t="s">
        <v>18</v>
      </c>
      <c r="R315" s="250" t="s">
        <v>839</v>
      </c>
      <c r="S315" s="250" t="s">
        <v>21</v>
      </c>
      <c r="T315" s="250">
        <v>15</v>
      </c>
      <c r="U315" s="250">
        <v>5</v>
      </c>
      <c r="V315" s="250">
        <v>0.7</v>
      </c>
      <c r="W315" s="250">
        <v>0.7</v>
      </c>
      <c r="X315" s="250">
        <v>0.7</v>
      </c>
      <c r="Y315" s="250">
        <v>1700</v>
      </c>
      <c r="Z315" s="250" t="s">
        <v>840</v>
      </c>
      <c r="AA315" s="250">
        <v>0.85</v>
      </c>
      <c r="AB315" s="250" t="s">
        <v>841</v>
      </c>
      <c r="AC315" s="250" t="s">
        <v>842</v>
      </c>
      <c r="AD315" s="250">
        <v>220</v>
      </c>
      <c r="AE315" s="250"/>
      <c r="AF315" s="250"/>
      <c r="AG315" s="241"/>
    </row>
    <row r="316" spans="1:33" ht="15.75">
      <c r="A316" s="250" t="s">
        <v>1043</v>
      </c>
      <c r="B316" s="250" t="s">
        <v>893</v>
      </c>
      <c r="C316" s="250" t="s">
        <v>712</v>
      </c>
      <c r="D316" s="250" t="s">
        <v>838</v>
      </c>
      <c r="E316" s="250">
        <v>1.8</v>
      </c>
      <c r="F316" s="251">
        <v>45112.468055555553</v>
      </c>
      <c r="G316" s="250">
        <v>1</v>
      </c>
      <c r="H316" s="250">
        <v>51.370800000000003</v>
      </c>
      <c r="I316" s="250">
        <v>6.5580600000000002</v>
      </c>
      <c r="J316" s="250">
        <v>-5.3585010000000004</v>
      </c>
      <c r="K316" s="250">
        <v>-4.5089329999999999</v>
      </c>
      <c r="L316" s="250">
        <v>1059.53</v>
      </c>
      <c r="M316" s="250">
        <v>134.50017500000001</v>
      </c>
      <c r="N316" s="250">
        <v>22120.9843</v>
      </c>
      <c r="O316" s="250">
        <v>22097.873100000001</v>
      </c>
      <c r="P316" s="250">
        <v>2028.24</v>
      </c>
      <c r="Q316" s="250" t="s">
        <v>18</v>
      </c>
      <c r="R316" s="250" t="s">
        <v>839</v>
      </c>
      <c r="S316" s="250" t="s">
        <v>21</v>
      </c>
      <c r="T316" s="250">
        <v>15</v>
      </c>
      <c r="U316" s="250">
        <v>5</v>
      </c>
      <c r="V316" s="250">
        <v>0.7</v>
      </c>
      <c r="W316" s="250">
        <v>0.7</v>
      </c>
      <c r="X316" s="250">
        <v>0.7</v>
      </c>
      <c r="Y316" s="250">
        <v>1700</v>
      </c>
      <c r="Z316" s="250" t="s">
        <v>840</v>
      </c>
      <c r="AA316" s="250">
        <v>0.85</v>
      </c>
      <c r="AB316" s="250" t="s">
        <v>841</v>
      </c>
      <c r="AC316" s="250" t="s">
        <v>842</v>
      </c>
      <c r="AD316" s="250">
        <v>220</v>
      </c>
      <c r="AE316" s="250"/>
      <c r="AF316" s="250"/>
      <c r="AG316" s="241"/>
    </row>
    <row r="317" spans="1:33" ht="15.75">
      <c r="A317" s="250" t="s">
        <v>1044</v>
      </c>
      <c r="B317" s="250" t="s">
        <v>893</v>
      </c>
      <c r="C317" s="250" t="s">
        <v>712</v>
      </c>
      <c r="D317" s="250" t="s">
        <v>838</v>
      </c>
      <c r="E317" s="250">
        <v>1.8</v>
      </c>
      <c r="F317" s="251">
        <v>45112.47152777778</v>
      </c>
      <c r="G317" s="250">
        <v>1</v>
      </c>
      <c r="H317" s="250">
        <v>51.3675</v>
      </c>
      <c r="I317" s="250">
        <v>6.5500499999999997</v>
      </c>
      <c r="J317" s="250">
        <v>-5.2922589999999996</v>
      </c>
      <c r="K317" s="250">
        <v>-4.4495620000000002</v>
      </c>
      <c r="L317" s="250">
        <v>1053.06</v>
      </c>
      <c r="M317" s="250">
        <v>137.49910700000001</v>
      </c>
      <c r="N317" s="250">
        <v>22085.2654</v>
      </c>
      <c r="O317" s="250">
        <v>22097.873100000001</v>
      </c>
      <c r="P317" s="250">
        <v>2028.24</v>
      </c>
      <c r="Q317" s="250">
        <v>2028.24</v>
      </c>
      <c r="R317" s="250" t="s">
        <v>839</v>
      </c>
      <c r="S317" s="250" t="s">
        <v>21</v>
      </c>
      <c r="T317" s="250">
        <v>15</v>
      </c>
      <c r="U317" s="250">
        <v>5</v>
      </c>
      <c r="V317" s="250">
        <v>0.7</v>
      </c>
      <c r="W317" s="250">
        <v>0.7</v>
      </c>
      <c r="X317" s="250">
        <v>0.7</v>
      </c>
      <c r="Y317" s="250">
        <v>1700</v>
      </c>
      <c r="Z317" s="250" t="s">
        <v>840</v>
      </c>
      <c r="AA317" s="250">
        <v>0.85</v>
      </c>
      <c r="AB317" s="250" t="s">
        <v>841</v>
      </c>
      <c r="AC317" s="250" t="s">
        <v>842</v>
      </c>
      <c r="AD317" s="250">
        <v>220</v>
      </c>
      <c r="AE317" s="250"/>
      <c r="AF317" s="250"/>
      <c r="AG317" s="241"/>
    </row>
    <row r="318" spans="1:33" ht="15.75">
      <c r="A318" s="250" t="s">
        <v>854</v>
      </c>
      <c r="B318" s="250">
        <v>2</v>
      </c>
      <c r="C318" s="250">
        <v>110</v>
      </c>
      <c r="D318" s="250" t="s">
        <v>898</v>
      </c>
      <c r="E318" s="250">
        <v>1.5</v>
      </c>
      <c r="F318" s="251">
        <v>45112.475694444445</v>
      </c>
      <c r="G318" s="250">
        <v>1</v>
      </c>
      <c r="H318" s="250">
        <v>51.370800000000003</v>
      </c>
      <c r="I318" s="250">
        <v>6.6387700000000001</v>
      </c>
      <c r="J318" s="250">
        <v>-5.3550310000000003</v>
      </c>
      <c r="K318" s="250">
        <v>-4.527444</v>
      </c>
      <c r="L318" s="250">
        <v>1045.8</v>
      </c>
      <c r="M318" s="250">
        <v>115.501452</v>
      </c>
      <c r="N318" s="250">
        <v>18553.462100000001</v>
      </c>
      <c r="O318" s="250">
        <v>18590.198400000001</v>
      </c>
      <c r="P318" s="250">
        <v>2043.08044</v>
      </c>
      <c r="Q318" s="250">
        <v>2043.760749</v>
      </c>
      <c r="R318" s="250" t="s">
        <v>647</v>
      </c>
      <c r="S318" s="250" t="s">
        <v>769</v>
      </c>
      <c r="T318" s="250">
        <v>15</v>
      </c>
      <c r="U318" s="250">
        <v>5</v>
      </c>
      <c r="V318" s="250">
        <v>0.7</v>
      </c>
      <c r="W318" s="250">
        <v>0.7</v>
      </c>
      <c r="X318" s="250">
        <v>0.7</v>
      </c>
      <c r="Y318" s="250">
        <v>1700</v>
      </c>
      <c r="Z318" s="250" t="s">
        <v>840</v>
      </c>
      <c r="AA318" s="250">
        <v>0.85</v>
      </c>
      <c r="AB318" s="250" t="s">
        <v>841</v>
      </c>
      <c r="AC318" s="250" t="s">
        <v>842</v>
      </c>
      <c r="AD318" s="250">
        <v>220</v>
      </c>
      <c r="AE318" s="250"/>
      <c r="AF318" s="250"/>
      <c r="AG318" s="241"/>
    </row>
    <row r="319" spans="1:33" ht="15.75">
      <c r="A319" s="250" t="s">
        <v>1045</v>
      </c>
      <c r="B319" s="250">
        <v>2</v>
      </c>
      <c r="C319" s="250">
        <v>110</v>
      </c>
      <c r="D319" s="250" t="s">
        <v>898</v>
      </c>
      <c r="E319" s="250">
        <v>1.5</v>
      </c>
      <c r="F319" s="251">
        <v>45112.479861111111</v>
      </c>
      <c r="G319" s="250">
        <v>1</v>
      </c>
      <c r="H319" s="250">
        <v>51.364100000000001</v>
      </c>
      <c r="I319" s="250">
        <v>6.6695599999999997</v>
      </c>
      <c r="J319" s="250">
        <v>-5.4392300000000002</v>
      </c>
      <c r="K319" s="250">
        <v>-4.6278610000000002</v>
      </c>
      <c r="L319" s="250">
        <v>1041.8900000000001</v>
      </c>
      <c r="M319" s="250">
        <v>118.999707</v>
      </c>
      <c r="N319" s="250">
        <v>18598.886500000001</v>
      </c>
      <c r="O319" s="250">
        <v>18590.198400000001</v>
      </c>
      <c r="P319" s="250">
        <v>2043.08044</v>
      </c>
      <c r="Q319" s="250">
        <v>2043.760749</v>
      </c>
      <c r="R319" s="250" t="s">
        <v>839</v>
      </c>
      <c r="S319" s="250" t="s">
        <v>769</v>
      </c>
      <c r="T319" s="250">
        <v>15</v>
      </c>
      <c r="U319" s="250">
        <v>5</v>
      </c>
      <c r="V319" s="250">
        <v>0.7</v>
      </c>
      <c r="W319" s="250">
        <v>0.7</v>
      </c>
      <c r="X319" s="250">
        <v>0.7</v>
      </c>
      <c r="Y319" s="250">
        <v>1700</v>
      </c>
      <c r="Z319" s="250" t="s">
        <v>840</v>
      </c>
      <c r="AA319" s="250">
        <v>0.85</v>
      </c>
      <c r="AB319" s="250" t="s">
        <v>841</v>
      </c>
      <c r="AC319" s="250" t="s">
        <v>842</v>
      </c>
      <c r="AD319" s="250">
        <v>220</v>
      </c>
      <c r="AE319" s="250"/>
      <c r="AF319" s="250"/>
      <c r="AG319" s="241"/>
    </row>
    <row r="320" spans="1:33" ht="15.75">
      <c r="A320" s="250" t="s">
        <v>1046</v>
      </c>
      <c r="B320" s="250">
        <v>2</v>
      </c>
      <c r="C320" s="250">
        <v>110</v>
      </c>
      <c r="D320" s="250" t="s">
        <v>898</v>
      </c>
      <c r="E320" s="250">
        <v>1.5</v>
      </c>
      <c r="F320" s="251">
        <v>45112.48333333333</v>
      </c>
      <c r="G320" s="250">
        <v>1</v>
      </c>
      <c r="H320" s="250">
        <v>51.3675</v>
      </c>
      <c r="I320" s="250">
        <v>6.5732499999999998</v>
      </c>
      <c r="J320" s="250">
        <v>-5.3978770000000003</v>
      </c>
      <c r="K320" s="250">
        <v>-4.5748759999999997</v>
      </c>
      <c r="L320" s="250">
        <v>1036.3499999999999</v>
      </c>
      <c r="M320" s="250">
        <v>135.000696</v>
      </c>
      <c r="N320" s="250">
        <v>18559.631700000002</v>
      </c>
      <c r="O320" s="250">
        <v>18590.198400000001</v>
      </c>
      <c r="P320" s="250">
        <v>2043.08044</v>
      </c>
      <c r="Q320" s="250">
        <v>2043.760749</v>
      </c>
      <c r="R320" s="250" t="s">
        <v>647</v>
      </c>
      <c r="S320" s="250" t="s">
        <v>769</v>
      </c>
      <c r="T320" s="250">
        <v>15</v>
      </c>
      <c r="U320" s="250">
        <v>5</v>
      </c>
      <c r="V320" s="250">
        <v>0.7</v>
      </c>
      <c r="W320" s="250">
        <v>0.7</v>
      </c>
      <c r="X320" s="250">
        <v>0.7</v>
      </c>
      <c r="Y320" s="250">
        <v>1700</v>
      </c>
      <c r="Z320" s="250" t="s">
        <v>840</v>
      </c>
      <c r="AA320" s="250">
        <v>0.85</v>
      </c>
      <c r="AB320" s="250" t="s">
        <v>841</v>
      </c>
      <c r="AC320" s="250" t="s">
        <v>842</v>
      </c>
      <c r="AD320" s="250">
        <v>220</v>
      </c>
      <c r="AE320" s="250"/>
      <c r="AF320" s="250"/>
      <c r="AG320" s="241"/>
    </row>
    <row r="321" spans="1:33" ht="15.75">
      <c r="A321" s="250" t="s">
        <v>1047</v>
      </c>
      <c r="B321" s="250">
        <v>2</v>
      </c>
      <c r="C321" s="250">
        <v>110</v>
      </c>
      <c r="D321" s="250" t="s">
        <v>898</v>
      </c>
      <c r="E321" s="250">
        <v>1.5</v>
      </c>
      <c r="F321" s="251">
        <v>45112.486805555556</v>
      </c>
      <c r="G321" s="250">
        <v>1</v>
      </c>
      <c r="H321" s="250">
        <v>51.374099999999999</v>
      </c>
      <c r="I321" s="250">
        <v>6.6044299999999998</v>
      </c>
      <c r="J321" s="250">
        <v>-5.4002949999999998</v>
      </c>
      <c r="K321" s="250">
        <v>-4.5519670000000003</v>
      </c>
      <c r="L321" s="250">
        <v>1059.95</v>
      </c>
      <c r="M321" s="250">
        <v>121.99988500000001</v>
      </c>
      <c r="N321" s="250">
        <v>18588.751499999998</v>
      </c>
      <c r="O321" s="250">
        <v>18590.198400000001</v>
      </c>
      <c r="P321" s="250">
        <v>2043.08044</v>
      </c>
      <c r="Q321" s="250">
        <v>2043.760749</v>
      </c>
      <c r="R321" s="250" t="s">
        <v>839</v>
      </c>
      <c r="S321" s="250" t="s">
        <v>769</v>
      </c>
      <c r="T321" s="250">
        <v>15</v>
      </c>
      <c r="U321" s="250">
        <v>5</v>
      </c>
      <c r="V321" s="250">
        <v>0.7</v>
      </c>
      <c r="W321" s="250">
        <v>0.7</v>
      </c>
      <c r="X321" s="250">
        <v>0.7</v>
      </c>
      <c r="Y321" s="250">
        <v>1700</v>
      </c>
      <c r="Z321" s="250" t="s">
        <v>840</v>
      </c>
      <c r="AA321" s="250">
        <v>0.85</v>
      </c>
      <c r="AB321" s="250" t="s">
        <v>841</v>
      </c>
      <c r="AC321" s="250" t="s">
        <v>842</v>
      </c>
      <c r="AD321" s="250">
        <v>220</v>
      </c>
      <c r="AE321" s="250"/>
      <c r="AF321" s="250"/>
      <c r="AG321" s="241"/>
    </row>
    <row r="322" spans="1:33" ht="15.75">
      <c r="A322" s="250" t="s">
        <v>1048</v>
      </c>
      <c r="B322" s="250">
        <v>2</v>
      </c>
      <c r="C322" s="250">
        <v>110</v>
      </c>
      <c r="D322" s="250" t="s">
        <v>898</v>
      </c>
      <c r="E322" s="250">
        <v>1.5</v>
      </c>
      <c r="F322" s="251">
        <v>45112.490277777775</v>
      </c>
      <c r="G322" s="250">
        <v>1</v>
      </c>
      <c r="H322" s="250">
        <v>51.3675</v>
      </c>
      <c r="I322" s="250">
        <v>6.6750100000000003</v>
      </c>
      <c r="J322" s="250">
        <v>-5.2863730000000002</v>
      </c>
      <c r="K322" s="250">
        <v>-4.4366669999999999</v>
      </c>
      <c r="L322" s="250">
        <v>1058.1199999999999</v>
      </c>
      <c r="M322" s="250">
        <v>119.50055999999999</v>
      </c>
      <c r="N322" s="250">
        <v>18582.9571</v>
      </c>
      <c r="O322" s="250">
        <v>18590.198400000001</v>
      </c>
      <c r="P322" s="250">
        <v>2043.08044</v>
      </c>
      <c r="Q322" s="250">
        <v>2043.760749</v>
      </c>
      <c r="R322" s="250" t="s">
        <v>839</v>
      </c>
      <c r="S322" s="250" t="s">
        <v>769</v>
      </c>
      <c r="T322" s="250">
        <v>15</v>
      </c>
      <c r="U322" s="250">
        <v>5</v>
      </c>
      <c r="V322" s="250">
        <v>0.7</v>
      </c>
      <c r="W322" s="250">
        <v>0.7</v>
      </c>
      <c r="X322" s="250">
        <v>0.7</v>
      </c>
      <c r="Y322" s="250">
        <v>1700</v>
      </c>
      <c r="Z322" s="250" t="s">
        <v>840</v>
      </c>
      <c r="AA322" s="250">
        <v>0.85</v>
      </c>
      <c r="AB322" s="250" t="s">
        <v>841</v>
      </c>
      <c r="AC322" s="250" t="s">
        <v>842</v>
      </c>
      <c r="AD322" s="250">
        <v>220</v>
      </c>
      <c r="AE322" s="250"/>
      <c r="AF322" s="250"/>
      <c r="AG322" s="241"/>
    </row>
    <row r="323" spans="1:33" ht="15.75">
      <c r="A323" s="250" t="s">
        <v>855</v>
      </c>
      <c r="B323" s="250">
        <v>3</v>
      </c>
      <c r="C323" s="250">
        <v>115</v>
      </c>
      <c r="D323" s="250" t="s">
        <v>902</v>
      </c>
      <c r="E323" s="250">
        <v>1.5</v>
      </c>
      <c r="F323" s="251">
        <v>45112.494444444441</v>
      </c>
      <c r="G323" s="250">
        <v>1</v>
      </c>
      <c r="H323" s="250">
        <v>51.370800000000003</v>
      </c>
      <c r="I323" s="250">
        <v>6.76248</v>
      </c>
      <c r="J323" s="250">
        <v>-5.3885990000000001</v>
      </c>
      <c r="K323" s="250">
        <v>-4.539371</v>
      </c>
      <c r="L323" s="250">
        <v>1017.52</v>
      </c>
      <c r="M323" s="250">
        <v>119.000469</v>
      </c>
      <c r="N323" s="250">
        <v>18394.016299999999</v>
      </c>
      <c r="O323" s="250">
        <v>18357.2981</v>
      </c>
      <c r="P323" s="250">
        <v>2017.3746699999999</v>
      </c>
      <c r="Q323" s="250">
        <v>2018.7352880000001</v>
      </c>
      <c r="R323" s="250" t="s">
        <v>647</v>
      </c>
      <c r="S323" s="250" t="s">
        <v>769</v>
      </c>
      <c r="T323" s="250">
        <v>15</v>
      </c>
      <c r="U323" s="250">
        <v>5</v>
      </c>
      <c r="V323" s="250">
        <v>0.7</v>
      </c>
      <c r="W323" s="250">
        <v>0.7</v>
      </c>
      <c r="X323" s="250">
        <v>0.7</v>
      </c>
      <c r="Y323" s="250">
        <v>1700</v>
      </c>
      <c r="Z323" s="250" t="s">
        <v>840</v>
      </c>
      <c r="AA323" s="250">
        <v>0.85</v>
      </c>
      <c r="AB323" s="250" t="s">
        <v>841</v>
      </c>
      <c r="AC323" s="250" t="s">
        <v>842</v>
      </c>
      <c r="AD323" s="250">
        <v>220</v>
      </c>
      <c r="AE323" s="250"/>
      <c r="AF323" s="250"/>
      <c r="AG323" s="241"/>
    </row>
    <row r="324" spans="1:33" ht="15.75">
      <c r="A324" s="250" t="s">
        <v>956</v>
      </c>
      <c r="B324" s="250">
        <v>3</v>
      </c>
      <c r="C324" s="250">
        <v>115</v>
      </c>
      <c r="D324" s="250" t="s">
        <v>902</v>
      </c>
      <c r="E324" s="250">
        <v>1.5</v>
      </c>
      <c r="F324" s="251">
        <v>45112.497916666667</v>
      </c>
      <c r="G324" s="250">
        <v>1</v>
      </c>
      <c r="H324" s="250">
        <v>51.3675</v>
      </c>
      <c r="I324" s="250">
        <v>6.7727500000000003</v>
      </c>
      <c r="J324" s="250">
        <v>-5.3538069999999998</v>
      </c>
      <c r="K324" s="250">
        <v>-4.5086570000000004</v>
      </c>
      <c r="L324" s="250">
        <v>1016.93</v>
      </c>
      <c r="M324" s="250">
        <v>119.000236</v>
      </c>
      <c r="N324" s="250">
        <v>18369.8056</v>
      </c>
      <c r="O324" s="250">
        <v>18357.2981</v>
      </c>
      <c r="P324" s="250">
        <v>2017.3746699999999</v>
      </c>
      <c r="Q324" s="250">
        <v>2018.7352880000001</v>
      </c>
      <c r="R324" s="250" t="s">
        <v>839</v>
      </c>
      <c r="S324" s="250" t="s">
        <v>769</v>
      </c>
      <c r="T324" s="250">
        <v>15</v>
      </c>
      <c r="U324" s="250">
        <v>5</v>
      </c>
      <c r="V324" s="250">
        <v>0.7</v>
      </c>
      <c r="W324" s="250">
        <v>0.7</v>
      </c>
      <c r="X324" s="250">
        <v>0.7</v>
      </c>
      <c r="Y324" s="250">
        <v>1700</v>
      </c>
      <c r="Z324" s="250" t="s">
        <v>840</v>
      </c>
      <c r="AA324" s="250">
        <v>0.85</v>
      </c>
      <c r="AB324" s="250" t="s">
        <v>841</v>
      </c>
      <c r="AC324" s="250" t="s">
        <v>842</v>
      </c>
      <c r="AD324" s="250">
        <v>220</v>
      </c>
      <c r="AE324" s="250"/>
      <c r="AF324" s="250"/>
      <c r="AG324" s="241"/>
    </row>
    <row r="325" spans="1:33" ht="15.75">
      <c r="A325" s="250" t="s">
        <v>957</v>
      </c>
      <c r="B325" s="250">
        <v>3</v>
      </c>
      <c r="C325" s="250">
        <v>115</v>
      </c>
      <c r="D325" s="250" t="s">
        <v>902</v>
      </c>
      <c r="E325" s="250">
        <v>1.5</v>
      </c>
      <c r="F325" s="251">
        <v>45112.501388888886</v>
      </c>
      <c r="G325" s="250">
        <v>1</v>
      </c>
      <c r="H325" s="250">
        <v>51.370800000000003</v>
      </c>
      <c r="I325" s="250">
        <v>6.6826499999999998</v>
      </c>
      <c r="J325" s="250">
        <v>-5.3060520000000002</v>
      </c>
      <c r="K325" s="250">
        <v>-4.4785459999999997</v>
      </c>
      <c r="L325" s="250">
        <v>1027.21</v>
      </c>
      <c r="M325" s="250">
        <v>117.999584</v>
      </c>
      <c r="N325" s="250">
        <v>18339.522700000001</v>
      </c>
      <c r="O325" s="250">
        <v>18357.2981</v>
      </c>
      <c r="P325" s="250">
        <v>2017.3746699999999</v>
      </c>
      <c r="Q325" s="250">
        <v>2018.7352880000001</v>
      </c>
      <c r="R325" s="250" t="s">
        <v>839</v>
      </c>
      <c r="S325" s="250" t="s">
        <v>769</v>
      </c>
      <c r="T325" s="250">
        <v>15</v>
      </c>
      <c r="U325" s="250">
        <v>5</v>
      </c>
      <c r="V325" s="250">
        <v>0.7</v>
      </c>
      <c r="W325" s="250">
        <v>0.7</v>
      </c>
      <c r="X325" s="250">
        <v>0.7</v>
      </c>
      <c r="Y325" s="250">
        <v>1700</v>
      </c>
      <c r="Z325" s="250" t="s">
        <v>840</v>
      </c>
      <c r="AA325" s="250">
        <v>0.85</v>
      </c>
      <c r="AB325" s="250" t="s">
        <v>841</v>
      </c>
      <c r="AC325" s="250" t="s">
        <v>842</v>
      </c>
      <c r="AD325" s="250">
        <v>220</v>
      </c>
      <c r="AE325" s="250"/>
      <c r="AF325" s="250"/>
      <c r="AG325" s="241"/>
    </row>
    <row r="326" spans="1:33" ht="15.75">
      <c r="A326" s="250" t="s">
        <v>958</v>
      </c>
      <c r="B326" s="250">
        <v>3</v>
      </c>
      <c r="C326" s="250">
        <v>115</v>
      </c>
      <c r="D326" s="250" t="s">
        <v>902</v>
      </c>
      <c r="E326" s="250">
        <v>1.5</v>
      </c>
      <c r="F326" s="251">
        <v>45112.504861111112</v>
      </c>
      <c r="G326" s="250">
        <v>1</v>
      </c>
      <c r="H326" s="250">
        <v>51.370800000000003</v>
      </c>
      <c r="I326" s="250">
        <v>6.6330999999999998</v>
      </c>
      <c r="J326" s="250">
        <v>-5.3887140000000002</v>
      </c>
      <c r="K326" s="250">
        <v>-4.5444209999999998</v>
      </c>
      <c r="L326" s="250">
        <v>1041.82</v>
      </c>
      <c r="M326" s="250">
        <v>121.499908</v>
      </c>
      <c r="N326" s="250">
        <v>18409.583500000001</v>
      </c>
      <c r="O326" s="250">
        <v>18357.2981</v>
      </c>
      <c r="P326" s="250">
        <v>2017.3746699999999</v>
      </c>
      <c r="Q326" s="250">
        <v>2018.7352880000001</v>
      </c>
      <c r="R326" s="250" t="s">
        <v>647</v>
      </c>
      <c r="S326" s="250" t="s">
        <v>769</v>
      </c>
      <c r="T326" s="250">
        <v>15</v>
      </c>
      <c r="U326" s="250">
        <v>5</v>
      </c>
      <c r="V326" s="250">
        <v>0.7</v>
      </c>
      <c r="W326" s="250">
        <v>0.7</v>
      </c>
      <c r="X326" s="250">
        <v>0.7</v>
      </c>
      <c r="Y326" s="250">
        <v>1700</v>
      </c>
      <c r="Z326" s="250" t="s">
        <v>840</v>
      </c>
      <c r="AA326" s="250">
        <v>0.85</v>
      </c>
      <c r="AB326" s="250" t="s">
        <v>841</v>
      </c>
      <c r="AC326" s="250" t="s">
        <v>842</v>
      </c>
      <c r="AD326" s="250">
        <v>220</v>
      </c>
      <c r="AE326" s="250"/>
      <c r="AF326" s="250"/>
      <c r="AG326" s="241"/>
    </row>
    <row r="327" spans="1:33" ht="15.75">
      <c r="A327" s="250" t="s">
        <v>1049</v>
      </c>
      <c r="B327" s="250">
        <v>3</v>
      </c>
      <c r="C327" s="250">
        <v>115</v>
      </c>
      <c r="D327" s="250" t="s">
        <v>902</v>
      </c>
      <c r="E327" s="250">
        <v>1.5</v>
      </c>
      <c r="F327" s="251">
        <v>45112.508333333331</v>
      </c>
      <c r="G327" s="250">
        <v>1</v>
      </c>
      <c r="H327" s="250">
        <v>51.370800000000003</v>
      </c>
      <c r="I327" s="250">
        <v>6.6205699999999998</v>
      </c>
      <c r="J327" s="250">
        <v>-5.3436620000000001</v>
      </c>
      <c r="K327" s="250">
        <v>-4.4971860000000001</v>
      </c>
      <c r="L327" s="250">
        <v>1027.6500000000001</v>
      </c>
      <c r="M327" s="250">
        <v>123.00014299999999</v>
      </c>
      <c r="N327" s="250">
        <v>18362.5661</v>
      </c>
      <c r="O327" s="250">
        <v>18357.2981</v>
      </c>
      <c r="P327" s="250">
        <v>2017.3746699999999</v>
      </c>
      <c r="Q327" s="250">
        <v>2018.7352880000001</v>
      </c>
      <c r="R327" s="250" t="s">
        <v>839</v>
      </c>
      <c r="S327" s="250" t="s">
        <v>769</v>
      </c>
      <c r="T327" s="250">
        <v>15</v>
      </c>
      <c r="U327" s="250">
        <v>5</v>
      </c>
      <c r="V327" s="250">
        <v>0.7</v>
      </c>
      <c r="W327" s="250">
        <v>0.7</v>
      </c>
      <c r="X327" s="250">
        <v>0.7</v>
      </c>
      <c r="Y327" s="250">
        <v>1700</v>
      </c>
      <c r="Z327" s="250" t="s">
        <v>840</v>
      </c>
      <c r="AA327" s="250">
        <v>0.85</v>
      </c>
      <c r="AB327" s="250" t="s">
        <v>841</v>
      </c>
      <c r="AC327" s="250" t="s">
        <v>842</v>
      </c>
      <c r="AD327" s="250">
        <v>220</v>
      </c>
      <c r="AE327" s="250"/>
      <c r="AF327" s="250"/>
      <c r="AG327" s="241"/>
    </row>
    <row r="328" spans="1:33" ht="15.75">
      <c r="A328" s="250" t="s">
        <v>856</v>
      </c>
      <c r="B328" s="250">
        <v>4</v>
      </c>
      <c r="C328" s="250">
        <v>122</v>
      </c>
      <c r="D328" s="250" t="s">
        <v>906</v>
      </c>
      <c r="E328" s="250">
        <v>1.5</v>
      </c>
      <c r="F328" s="251">
        <v>45112.512499999997</v>
      </c>
      <c r="G328" s="250">
        <v>1</v>
      </c>
      <c r="H328" s="250">
        <v>51.374099999999999</v>
      </c>
      <c r="I328" s="250">
        <v>6.6904599999999999</v>
      </c>
      <c r="J328" s="250">
        <v>-5.272227</v>
      </c>
      <c r="K328" s="250">
        <v>-4.4291169999999997</v>
      </c>
      <c r="L328" s="250">
        <v>1021.98</v>
      </c>
      <c r="M328" s="250">
        <v>114.99991</v>
      </c>
      <c r="N328" s="250">
        <v>18421.256700000002</v>
      </c>
      <c r="O328" s="250">
        <v>18425.5841</v>
      </c>
      <c r="P328" s="250">
        <v>2024.81645</v>
      </c>
      <c r="Q328" s="250">
        <v>2026.857377</v>
      </c>
      <c r="R328" s="250" t="s">
        <v>839</v>
      </c>
      <c r="S328" s="250" t="s">
        <v>769</v>
      </c>
      <c r="T328" s="250">
        <v>15</v>
      </c>
      <c r="U328" s="250">
        <v>5</v>
      </c>
      <c r="V328" s="250">
        <v>0.7</v>
      </c>
      <c r="W328" s="250">
        <v>0.7</v>
      </c>
      <c r="X328" s="250">
        <v>0.7</v>
      </c>
      <c r="Y328" s="250">
        <v>1700</v>
      </c>
      <c r="Z328" s="250" t="s">
        <v>840</v>
      </c>
      <c r="AA328" s="250">
        <v>0.85</v>
      </c>
      <c r="AB328" s="250" t="s">
        <v>841</v>
      </c>
      <c r="AC328" s="250" t="s">
        <v>842</v>
      </c>
      <c r="AD328" s="250">
        <v>220</v>
      </c>
      <c r="AE328" s="250"/>
      <c r="AF328" s="250"/>
      <c r="AG328" s="241"/>
    </row>
    <row r="329" spans="1:33" ht="15.75">
      <c r="A329" s="250" t="s">
        <v>959</v>
      </c>
      <c r="B329" s="250">
        <v>4</v>
      </c>
      <c r="C329" s="250">
        <v>122</v>
      </c>
      <c r="D329" s="250" t="s">
        <v>906</v>
      </c>
      <c r="E329" s="250">
        <v>1.5</v>
      </c>
      <c r="F329" s="251">
        <v>45112.515972222223</v>
      </c>
      <c r="G329" s="250">
        <v>1</v>
      </c>
      <c r="H329" s="250">
        <v>51.374099999999999</v>
      </c>
      <c r="I329" s="250">
        <v>6.6644600000000001</v>
      </c>
      <c r="J329" s="250">
        <v>-5.2481340000000003</v>
      </c>
      <c r="K329" s="250">
        <v>-4.4083730000000001</v>
      </c>
      <c r="L329" s="250">
        <v>1022.9</v>
      </c>
      <c r="M329" s="250">
        <v>110.99999200000001</v>
      </c>
      <c r="N329" s="250">
        <v>18412.945199999998</v>
      </c>
      <c r="O329" s="250">
        <v>18425.5841</v>
      </c>
      <c r="P329" s="250">
        <v>2024.81645</v>
      </c>
      <c r="Q329" s="250">
        <v>2026.857377</v>
      </c>
      <c r="R329" s="250" t="s">
        <v>839</v>
      </c>
      <c r="S329" s="250" t="s">
        <v>769</v>
      </c>
      <c r="T329" s="250">
        <v>15</v>
      </c>
      <c r="U329" s="250">
        <v>5</v>
      </c>
      <c r="V329" s="250">
        <v>0.7</v>
      </c>
      <c r="W329" s="250">
        <v>0.7</v>
      </c>
      <c r="X329" s="250">
        <v>0.7</v>
      </c>
      <c r="Y329" s="250">
        <v>1700</v>
      </c>
      <c r="Z329" s="250" t="s">
        <v>840</v>
      </c>
      <c r="AA329" s="250">
        <v>0.85</v>
      </c>
      <c r="AB329" s="250" t="s">
        <v>841</v>
      </c>
      <c r="AC329" s="250" t="s">
        <v>842</v>
      </c>
      <c r="AD329" s="250">
        <v>220</v>
      </c>
      <c r="AE329" s="250"/>
      <c r="AF329" s="250"/>
      <c r="AG329" s="241"/>
    </row>
    <row r="330" spans="1:33" ht="15.75">
      <c r="A330" s="250" t="s">
        <v>960</v>
      </c>
      <c r="B330" s="250">
        <v>4</v>
      </c>
      <c r="C330" s="250">
        <v>122</v>
      </c>
      <c r="D330" s="250" t="s">
        <v>906</v>
      </c>
      <c r="E330" s="250">
        <v>1.5</v>
      </c>
      <c r="F330" s="251">
        <v>45112.519444444442</v>
      </c>
      <c r="G330" s="250">
        <v>1</v>
      </c>
      <c r="H330" s="250">
        <v>51.3675</v>
      </c>
      <c r="I330" s="250">
        <v>6.6532600000000004</v>
      </c>
      <c r="J330" s="250">
        <v>-5.543247</v>
      </c>
      <c r="K330" s="250">
        <v>-4.7159829999999996</v>
      </c>
      <c r="L330" s="250">
        <v>1035.81</v>
      </c>
      <c r="M330" s="250">
        <v>115.49990200000001</v>
      </c>
      <c r="N330" s="250">
        <v>18442.5504</v>
      </c>
      <c r="O330" s="250">
        <v>18425.5841</v>
      </c>
      <c r="P330" s="250">
        <v>2024.81645</v>
      </c>
      <c r="Q330" s="250">
        <v>2026.857377</v>
      </c>
      <c r="R330" s="250" t="s">
        <v>839</v>
      </c>
      <c r="S330" s="250" t="s">
        <v>769</v>
      </c>
      <c r="T330" s="250">
        <v>15</v>
      </c>
      <c r="U330" s="250">
        <v>5</v>
      </c>
      <c r="V330" s="250">
        <v>0.7</v>
      </c>
      <c r="W330" s="250">
        <v>0.7</v>
      </c>
      <c r="X330" s="250">
        <v>0.7</v>
      </c>
      <c r="Y330" s="250">
        <v>1700</v>
      </c>
      <c r="Z330" s="250" t="s">
        <v>840</v>
      </c>
      <c r="AA330" s="250">
        <v>0.85</v>
      </c>
      <c r="AB330" s="250" t="s">
        <v>841</v>
      </c>
      <c r="AC330" s="250" t="s">
        <v>842</v>
      </c>
      <c r="AD330" s="250">
        <v>220</v>
      </c>
      <c r="AE330" s="250"/>
      <c r="AF330" s="250"/>
      <c r="AG330" s="241"/>
    </row>
    <row r="331" spans="1:33" ht="15.75">
      <c r="A331" s="250" t="s">
        <v>857</v>
      </c>
      <c r="B331" s="250">
        <v>5</v>
      </c>
      <c r="C331" s="250">
        <v>123</v>
      </c>
      <c r="D331" s="250" t="s">
        <v>911</v>
      </c>
      <c r="E331" s="250">
        <v>1.5</v>
      </c>
      <c r="F331" s="251">
        <v>45112.523611111108</v>
      </c>
      <c r="G331" s="250">
        <v>1</v>
      </c>
      <c r="H331" s="250">
        <v>51.370800000000003</v>
      </c>
      <c r="I331" s="250">
        <v>6.6640899999999998</v>
      </c>
      <c r="J331" s="250">
        <v>-5.5673349999999999</v>
      </c>
      <c r="K331" s="250">
        <v>-4.7194089999999997</v>
      </c>
      <c r="L331" s="250">
        <v>1023.74</v>
      </c>
      <c r="M331" s="250">
        <v>106.99943399999999</v>
      </c>
      <c r="N331" s="250">
        <v>18438.289700000001</v>
      </c>
      <c r="O331" s="250">
        <v>18435.2752</v>
      </c>
      <c r="P331" s="250">
        <v>2025.87258</v>
      </c>
      <c r="Q331" s="250">
        <v>2028.5938160000001</v>
      </c>
      <c r="R331" s="250" t="s">
        <v>839</v>
      </c>
      <c r="S331" s="250" t="s">
        <v>769</v>
      </c>
      <c r="T331" s="250">
        <v>15</v>
      </c>
      <c r="U331" s="250">
        <v>5</v>
      </c>
      <c r="V331" s="250">
        <v>0.7</v>
      </c>
      <c r="W331" s="250">
        <v>0.7</v>
      </c>
      <c r="X331" s="250">
        <v>0.7</v>
      </c>
      <c r="Y331" s="250">
        <v>1700</v>
      </c>
      <c r="Z331" s="250" t="s">
        <v>840</v>
      </c>
      <c r="AA331" s="250">
        <v>0.85</v>
      </c>
      <c r="AB331" s="250" t="s">
        <v>841</v>
      </c>
      <c r="AC331" s="250" t="s">
        <v>842</v>
      </c>
      <c r="AD331" s="250">
        <v>220</v>
      </c>
      <c r="AE331" s="250"/>
      <c r="AF331" s="250"/>
      <c r="AG331" s="241"/>
    </row>
    <row r="332" spans="1:33" ht="15.75">
      <c r="A332" s="250" t="s">
        <v>962</v>
      </c>
      <c r="B332" s="250">
        <v>5</v>
      </c>
      <c r="C332" s="250">
        <v>123</v>
      </c>
      <c r="D332" s="250" t="s">
        <v>911</v>
      </c>
      <c r="E332" s="250">
        <v>1.5</v>
      </c>
      <c r="F332" s="251">
        <v>45112.527083333334</v>
      </c>
      <c r="G332" s="250">
        <v>1</v>
      </c>
      <c r="H332" s="250">
        <v>51.374099999999999</v>
      </c>
      <c r="I332" s="250">
        <v>6.69597</v>
      </c>
      <c r="J332" s="250">
        <v>-5.5215370000000004</v>
      </c>
      <c r="K332" s="250">
        <v>-4.6719520000000001</v>
      </c>
      <c r="L332" s="250">
        <v>1031.8399999999999</v>
      </c>
      <c r="M332" s="250">
        <v>111.99970999999999</v>
      </c>
      <c r="N332" s="250">
        <v>18425.096799999999</v>
      </c>
      <c r="O332" s="250">
        <v>18435.2752</v>
      </c>
      <c r="P332" s="250">
        <v>2025.87258</v>
      </c>
      <c r="Q332" s="250">
        <v>2028.5938160000001</v>
      </c>
      <c r="R332" s="250" t="s">
        <v>839</v>
      </c>
      <c r="S332" s="250" t="s">
        <v>769</v>
      </c>
      <c r="T332" s="250">
        <v>15</v>
      </c>
      <c r="U332" s="250">
        <v>5</v>
      </c>
      <c r="V332" s="250">
        <v>0.7</v>
      </c>
      <c r="W332" s="250">
        <v>0.7</v>
      </c>
      <c r="X332" s="250">
        <v>0.7</v>
      </c>
      <c r="Y332" s="250">
        <v>1700</v>
      </c>
      <c r="Z332" s="250" t="s">
        <v>840</v>
      </c>
      <c r="AA332" s="250">
        <v>0.85</v>
      </c>
      <c r="AB332" s="250" t="s">
        <v>841</v>
      </c>
      <c r="AC332" s="250" t="s">
        <v>842</v>
      </c>
      <c r="AD332" s="250">
        <v>220</v>
      </c>
      <c r="AE332" s="250"/>
      <c r="AF332" s="250"/>
      <c r="AG332" s="241"/>
    </row>
    <row r="333" spans="1:33" ht="15.75">
      <c r="A333" s="250" t="s">
        <v>963</v>
      </c>
      <c r="B333" s="250">
        <v>5</v>
      </c>
      <c r="C333" s="250">
        <v>123</v>
      </c>
      <c r="D333" s="250" t="s">
        <v>911</v>
      </c>
      <c r="E333" s="250">
        <v>1.5</v>
      </c>
      <c r="F333" s="251">
        <v>45112.530555555553</v>
      </c>
      <c r="G333" s="250">
        <v>1</v>
      </c>
      <c r="H333" s="250">
        <v>51.370800000000003</v>
      </c>
      <c r="I333" s="250">
        <v>6.6412899999999997</v>
      </c>
      <c r="J333" s="250">
        <v>-5.5692760000000003</v>
      </c>
      <c r="K333" s="250">
        <v>-4.7253170000000004</v>
      </c>
      <c r="L333" s="250">
        <v>1034.6300000000001</v>
      </c>
      <c r="M333" s="250">
        <v>109.500289</v>
      </c>
      <c r="N333" s="250">
        <v>18442.439200000001</v>
      </c>
      <c r="O333" s="250">
        <v>18435.2752</v>
      </c>
      <c r="P333" s="250">
        <v>2025.87258</v>
      </c>
      <c r="Q333" s="250">
        <v>2028.5938160000001</v>
      </c>
      <c r="R333" s="250" t="s">
        <v>839</v>
      </c>
      <c r="S333" s="250" t="s">
        <v>769</v>
      </c>
      <c r="T333" s="250">
        <v>15</v>
      </c>
      <c r="U333" s="250">
        <v>5</v>
      </c>
      <c r="V333" s="250">
        <v>0.7</v>
      </c>
      <c r="W333" s="250">
        <v>0.7</v>
      </c>
      <c r="X333" s="250">
        <v>0.7</v>
      </c>
      <c r="Y333" s="250">
        <v>1700</v>
      </c>
      <c r="Z333" s="250" t="s">
        <v>840</v>
      </c>
      <c r="AA333" s="250">
        <v>0.85</v>
      </c>
      <c r="AB333" s="250" t="s">
        <v>841</v>
      </c>
      <c r="AC333" s="250" t="s">
        <v>842</v>
      </c>
      <c r="AD333" s="250">
        <v>220</v>
      </c>
      <c r="AE333" s="250"/>
      <c r="AF333" s="250"/>
      <c r="AG333" s="241"/>
    </row>
    <row r="334" spans="1:33" ht="15.75">
      <c r="A334" s="250" t="s">
        <v>858</v>
      </c>
      <c r="B334" s="250">
        <v>6</v>
      </c>
      <c r="C334" s="250">
        <v>126</v>
      </c>
      <c r="D334" s="250" t="s">
        <v>915</v>
      </c>
      <c r="E334" s="250">
        <v>1.5</v>
      </c>
      <c r="F334" s="251">
        <v>45112.534722222219</v>
      </c>
      <c r="G334" s="250">
        <v>1</v>
      </c>
      <c r="H334" s="250">
        <v>51.3675</v>
      </c>
      <c r="I334" s="250">
        <v>6.61416</v>
      </c>
      <c r="J334" s="250">
        <v>-5.7008890000000001</v>
      </c>
      <c r="K334" s="250">
        <v>-4.8527620000000002</v>
      </c>
      <c r="L334" s="250">
        <v>1036.21</v>
      </c>
      <c r="M334" s="250">
        <v>118.99952999999999</v>
      </c>
      <c r="N334" s="250">
        <v>18519.876899999999</v>
      </c>
      <c r="O334" s="250">
        <v>18505.8851</v>
      </c>
      <c r="P334" s="250">
        <v>2033.68668</v>
      </c>
      <c r="Q334" s="250">
        <v>2037.0882240000001</v>
      </c>
      <c r="R334" s="250" t="s">
        <v>839</v>
      </c>
      <c r="S334" s="250" t="s">
        <v>769</v>
      </c>
      <c r="T334" s="250">
        <v>15</v>
      </c>
      <c r="U334" s="250">
        <v>5</v>
      </c>
      <c r="V334" s="250">
        <v>0.7</v>
      </c>
      <c r="W334" s="250">
        <v>0.7</v>
      </c>
      <c r="X334" s="250">
        <v>0.7</v>
      </c>
      <c r="Y334" s="250">
        <v>1700</v>
      </c>
      <c r="Z334" s="250" t="s">
        <v>840</v>
      </c>
      <c r="AA334" s="250">
        <v>0.85</v>
      </c>
      <c r="AB334" s="250" t="s">
        <v>841</v>
      </c>
      <c r="AC334" s="250" t="s">
        <v>842</v>
      </c>
      <c r="AD334" s="250">
        <v>220</v>
      </c>
      <c r="AE334" s="250"/>
      <c r="AF334" s="250"/>
      <c r="AG334" s="241"/>
    </row>
    <row r="335" spans="1:33" ht="15.75">
      <c r="A335" s="250" t="s">
        <v>966</v>
      </c>
      <c r="B335" s="250">
        <v>6</v>
      </c>
      <c r="C335" s="250">
        <v>126</v>
      </c>
      <c r="D335" s="250" t="s">
        <v>915</v>
      </c>
      <c r="E335" s="250">
        <v>1.5</v>
      </c>
      <c r="F335" s="251">
        <v>45112.538194444445</v>
      </c>
      <c r="G335" s="250">
        <v>1</v>
      </c>
      <c r="H335" s="250">
        <v>51.370800000000003</v>
      </c>
      <c r="I335" s="250">
        <v>6.6226000000000003</v>
      </c>
      <c r="J335" s="250">
        <v>-5.750286</v>
      </c>
      <c r="K335" s="250">
        <v>-4.9157859999999998</v>
      </c>
      <c r="L335" s="250">
        <v>1039.57</v>
      </c>
      <c r="M335" s="250">
        <v>115.998988</v>
      </c>
      <c r="N335" s="250">
        <v>18487.0818</v>
      </c>
      <c r="O335" s="250">
        <v>18505.8851</v>
      </c>
      <c r="P335" s="250">
        <v>2033.68668</v>
      </c>
      <c r="Q335" s="250">
        <v>2037.0882240000001</v>
      </c>
      <c r="R335" s="250" t="s">
        <v>839</v>
      </c>
      <c r="S335" s="250" t="s">
        <v>769</v>
      </c>
      <c r="T335" s="250">
        <v>15</v>
      </c>
      <c r="U335" s="250">
        <v>5</v>
      </c>
      <c r="V335" s="250">
        <v>0.7</v>
      </c>
      <c r="W335" s="250">
        <v>0.7</v>
      </c>
      <c r="X335" s="250">
        <v>0.7</v>
      </c>
      <c r="Y335" s="250">
        <v>1700</v>
      </c>
      <c r="Z335" s="250" t="s">
        <v>840</v>
      </c>
      <c r="AA335" s="250">
        <v>0.85</v>
      </c>
      <c r="AB335" s="250" t="s">
        <v>841</v>
      </c>
      <c r="AC335" s="250" t="s">
        <v>842</v>
      </c>
      <c r="AD335" s="250">
        <v>220</v>
      </c>
      <c r="AE335" s="250"/>
      <c r="AF335" s="250"/>
      <c r="AG335" s="241"/>
    </row>
    <row r="336" spans="1:33" ht="15.75">
      <c r="A336" s="250" t="s">
        <v>967</v>
      </c>
      <c r="B336" s="250">
        <v>6</v>
      </c>
      <c r="C336" s="250">
        <v>126</v>
      </c>
      <c r="D336" s="250" t="s">
        <v>915</v>
      </c>
      <c r="E336" s="250">
        <v>1.5</v>
      </c>
      <c r="F336" s="251">
        <v>45112.541666666664</v>
      </c>
      <c r="G336" s="250">
        <v>1</v>
      </c>
      <c r="H336" s="250">
        <v>51.374099999999999</v>
      </c>
      <c r="I336" s="250">
        <v>6.6132600000000004</v>
      </c>
      <c r="J336" s="250">
        <v>-5.8139900000000004</v>
      </c>
      <c r="K336" s="250">
        <v>-4.9731779999999999</v>
      </c>
      <c r="L336" s="250">
        <v>1031.02</v>
      </c>
      <c r="M336" s="250">
        <v>113.500298</v>
      </c>
      <c r="N336" s="250">
        <v>18510.6967</v>
      </c>
      <c r="O336" s="250">
        <v>18505.8851</v>
      </c>
      <c r="P336" s="250">
        <v>2033.68668</v>
      </c>
      <c r="Q336" s="250">
        <v>2037.0882240000001</v>
      </c>
      <c r="R336" s="250" t="s">
        <v>839</v>
      </c>
      <c r="S336" s="250" t="s">
        <v>769</v>
      </c>
      <c r="T336" s="250">
        <v>15</v>
      </c>
      <c r="U336" s="250">
        <v>5</v>
      </c>
      <c r="V336" s="250">
        <v>0.7</v>
      </c>
      <c r="W336" s="250">
        <v>0.7</v>
      </c>
      <c r="X336" s="250">
        <v>0.7</v>
      </c>
      <c r="Y336" s="250">
        <v>1700</v>
      </c>
      <c r="Z336" s="250" t="s">
        <v>840</v>
      </c>
      <c r="AA336" s="250">
        <v>0.85</v>
      </c>
      <c r="AB336" s="250" t="s">
        <v>841</v>
      </c>
      <c r="AC336" s="250" t="s">
        <v>842</v>
      </c>
      <c r="AD336" s="250">
        <v>220</v>
      </c>
      <c r="AE336" s="250"/>
      <c r="AF336" s="250"/>
      <c r="AG336" s="241"/>
    </row>
    <row r="337" spans="1:33" ht="15.75" customHeight="1">
      <c r="A337" s="250" t="s">
        <v>859</v>
      </c>
      <c r="B337" s="250">
        <v>7</v>
      </c>
      <c r="C337" s="250">
        <v>127</v>
      </c>
      <c r="D337" s="250" t="s">
        <v>926</v>
      </c>
      <c r="E337" s="250">
        <v>1.5</v>
      </c>
      <c r="F337" s="251">
        <v>45112.54583333333</v>
      </c>
      <c r="G337" s="250">
        <v>1</v>
      </c>
      <c r="H337" s="250">
        <v>51.370800000000003</v>
      </c>
      <c r="I337" s="250">
        <v>6.6192099999999998</v>
      </c>
      <c r="J337" s="250">
        <v>-5.757498</v>
      </c>
      <c r="K337" s="250">
        <v>-4.9177479999999996</v>
      </c>
      <c r="L337" s="250">
        <v>1041.0999999999999</v>
      </c>
      <c r="M337" s="250">
        <v>118.999424</v>
      </c>
      <c r="N337" s="250">
        <v>18498.235000000001</v>
      </c>
      <c r="O337" s="250">
        <v>18507.3917</v>
      </c>
      <c r="P337" s="250">
        <v>2033.8545300000001</v>
      </c>
      <c r="Q337" s="250">
        <v>2037.936383</v>
      </c>
      <c r="R337" s="250" t="s">
        <v>839</v>
      </c>
      <c r="S337" s="250" t="s">
        <v>769</v>
      </c>
      <c r="T337" s="250">
        <v>15</v>
      </c>
      <c r="U337" s="250">
        <v>5</v>
      </c>
      <c r="V337" s="250">
        <v>0.7</v>
      </c>
      <c r="W337" s="250">
        <v>0.7</v>
      </c>
      <c r="X337" s="250">
        <v>0.7</v>
      </c>
      <c r="Y337" s="250">
        <v>1700</v>
      </c>
      <c r="Z337" s="250" t="s">
        <v>840</v>
      </c>
      <c r="AA337" s="250">
        <v>0.85</v>
      </c>
      <c r="AB337" s="250" t="s">
        <v>841</v>
      </c>
      <c r="AC337" s="250" t="s">
        <v>842</v>
      </c>
      <c r="AD337" s="250">
        <v>220</v>
      </c>
      <c r="AE337" s="250"/>
      <c r="AF337" s="250"/>
      <c r="AG337" s="241"/>
    </row>
    <row r="338" spans="1:33" ht="15.75">
      <c r="A338" s="250" t="s">
        <v>968</v>
      </c>
      <c r="B338" s="250">
        <v>7</v>
      </c>
      <c r="C338" s="250">
        <v>127</v>
      </c>
      <c r="D338" s="250" t="s">
        <v>926</v>
      </c>
      <c r="E338" s="250">
        <v>1.5</v>
      </c>
      <c r="F338" s="251">
        <v>45112.549305555556</v>
      </c>
      <c r="G338" s="250">
        <v>1</v>
      </c>
      <c r="H338" s="250">
        <v>51.374099999999999</v>
      </c>
      <c r="I338" s="250">
        <v>6.6315400000000002</v>
      </c>
      <c r="J338" s="250">
        <v>-5.8348810000000002</v>
      </c>
      <c r="K338" s="250">
        <v>-4.9884089999999999</v>
      </c>
      <c r="L338" s="250">
        <v>1036.75</v>
      </c>
      <c r="M338" s="250">
        <v>113.500635</v>
      </c>
      <c r="N338" s="250">
        <v>18513.5798</v>
      </c>
      <c r="O338" s="250">
        <v>18507.3917</v>
      </c>
      <c r="P338" s="250">
        <v>2033.8545300000001</v>
      </c>
      <c r="Q338" s="250">
        <v>2037.936383</v>
      </c>
      <c r="R338" s="250" t="s">
        <v>839</v>
      </c>
      <c r="S338" s="250" t="s">
        <v>769</v>
      </c>
      <c r="T338" s="250">
        <v>15</v>
      </c>
      <c r="U338" s="250">
        <v>5</v>
      </c>
      <c r="V338" s="250">
        <v>0.7</v>
      </c>
      <c r="W338" s="250">
        <v>0.7</v>
      </c>
      <c r="X338" s="250">
        <v>0.7</v>
      </c>
      <c r="Y338" s="250">
        <v>1700</v>
      </c>
      <c r="Z338" s="250" t="s">
        <v>840</v>
      </c>
      <c r="AA338" s="250">
        <v>0.85</v>
      </c>
      <c r="AB338" s="250" t="s">
        <v>841</v>
      </c>
      <c r="AC338" s="250" t="s">
        <v>842</v>
      </c>
      <c r="AD338" s="250">
        <v>220</v>
      </c>
      <c r="AE338" s="250"/>
      <c r="AF338" s="250"/>
      <c r="AG338" s="241"/>
    </row>
    <row r="339" spans="1:33" ht="15.75">
      <c r="A339" s="250" t="s">
        <v>969</v>
      </c>
      <c r="B339" s="250">
        <v>7</v>
      </c>
      <c r="C339" s="250">
        <v>127</v>
      </c>
      <c r="D339" s="250" t="s">
        <v>926</v>
      </c>
      <c r="E339" s="250">
        <v>1.5</v>
      </c>
      <c r="F339" s="251">
        <v>45112.552777777775</v>
      </c>
      <c r="G339" s="250">
        <v>1</v>
      </c>
      <c r="H339" s="250">
        <v>51.374099999999999</v>
      </c>
      <c r="I339" s="250">
        <v>6.6155900000000001</v>
      </c>
      <c r="J339" s="250">
        <v>-5.8973120000000003</v>
      </c>
      <c r="K339" s="250">
        <v>-5.0551240000000002</v>
      </c>
      <c r="L339" s="250">
        <v>1026.69</v>
      </c>
      <c r="M339" s="250">
        <v>119.999955</v>
      </c>
      <c r="N339" s="250">
        <v>18510.360199999999</v>
      </c>
      <c r="O339" s="250">
        <v>18507.3917</v>
      </c>
      <c r="P339" s="250">
        <v>2033.8545300000001</v>
      </c>
      <c r="Q339" s="250">
        <v>2037.936383</v>
      </c>
      <c r="R339" s="250" t="s">
        <v>839</v>
      </c>
      <c r="S339" s="250" t="s">
        <v>769</v>
      </c>
      <c r="T339" s="250">
        <v>15</v>
      </c>
      <c r="U339" s="250">
        <v>5</v>
      </c>
      <c r="V339" s="250">
        <v>0.7</v>
      </c>
      <c r="W339" s="250">
        <v>0.7</v>
      </c>
      <c r="X339" s="250">
        <v>0.7</v>
      </c>
      <c r="Y339" s="250">
        <v>1700</v>
      </c>
      <c r="Z339" s="250" t="s">
        <v>840</v>
      </c>
      <c r="AA339" s="250">
        <v>0.85</v>
      </c>
      <c r="AB339" s="250" t="s">
        <v>841</v>
      </c>
      <c r="AC339" s="250" t="s">
        <v>842</v>
      </c>
      <c r="AD339" s="250">
        <v>220</v>
      </c>
      <c r="AE339" s="250"/>
      <c r="AF339" s="250"/>
      <c r="AG339" s="241"/>
    </row>
    <row r="340" spans="1:33" ht="15.75">
      <c r="A340" s="250" t="s">
        <v>860</v>
      </c>
      <c r="B340" s="250">
        <v>8</v>
      </c>
      <c r="C340" s="250">
        <v>130</v>
      </c>
      <c r="D340" s="250" t="s">
        <v>930</v>
      </c>
      <c r="E340" s="250">
        <v>1.5</v>
      </c>
      <c r="F340" s="251">
        <v>45112.556250000001</v>
      </c>
      <c r="G340" s="250">
        <v>1</v>
      </c>
      <c r="H340" s="250">
        <v>51.370800000000003</v>
      </c>
      <c r="I340" s="250">
        <v>6.6507500000000004</v>
      </c>
      <c r="J340" s="250">
        <v>-5.9104380000000001</v>
      </c>
      <c r="K340" s="250">
        <v>-5.0642880000000003</v>
      </c>
      <c r="L340" s="250">
        <v>1020.47</v>
      </c>
      <c r="M340" s="250">
        <v>116.500648</v>
      </c>
      <c r="N340" s="250">
        <v>18298.544000000002</v>
      </c>
      <c r="O340" s="250">
        <v>18300.2012</v>
      </c>
      <c r="P340" s="250">
        <v>2011.1522600000001</v>
      </c>
      <c r="Q340" s="250">
        <v>2015.9144220000001</v>
      </c>
      <c r="R340" s="250" t="s">
        <v>839</v>
      </c>
      <c r="S340" s="250" t="s">
        <v>769</v>
      </c>
      <c r="T340" s="250">
        <v>15</v>
      </c>
      <c r="U340" s="250">
        <v>5</v>
      </c>
      <c r="V340" s="250">
        <v>0.7</v>
      </c>
      <c r="W340" s="250">
        <v>0.7</v>
      </c>
      <c r="X340" s="250">
        <v>0.7</v>
      </c>
      <c r="Y340" s="250">
        <v>1700</v>
      </c>
      <c r="Z340" s="250" t="s">
        <v>840</v>
      </c>
      <c r="AA340" s="250">
        <v>0.85</v>
      </c>
      <c r="AB340" s="250" t="s">
        <v>841</v>
      </c>
      <c r="AC340" s="250" t="s">
        <v>842</v>
      </c>
      <c r="AD340" s="250">
        <v>220</v>
      </c>
      <c r="AE340" s="250"/>
      <c r="AF340" s="250"/>
      <c r="AG340" s="241"/>
    </row>
    <row r="341" spans="1:33" ht="15.75">
      <c r="A341" s="250" t="s">
        <v>970</v>
      </c>
      <c r="B341" s="250">
        <v>8</v>
      </c>
      <c r="C341" s="250">
        <v>130</v>
      </c>
      <c r="D341" s="250" t="s">
        <v>930</v>
      </c>
      <c r="E341" s="250">
        <v>1.5</v>
      </c>
      <c r="F341" s="251">
        <v>45112.560416666667</v>
      </c>
      <c r="G341" s="250">
        <v>1</v>
      </c>
      <c r="H341" s="250">
        <v>51.374099999999999</v>
      </c>
      <c r="I341" s="250">
        <v>6.6963900000000001</v>
      </c>
      <c r="J341" s="250">
        <v>-5.8871729999999998</v>
      </c>
      <c r="K341" s="250">
        <v>-5.0455160000000001</v>
      </c>
      <c r="L341" s="250">
        <v>1023.99</v>
      </c>
      <c r="M341" s="250">
        <v>129.998966</v>
      </c>
      <c r="N341" s="250">
        <v>18329.616300000002</v>
      </c>
      <c r="O341" s="250">
        <v>18300.2012</v>
      </c>
      <c r="P341" s="250">
        <v>2011.1522600000001</v>
      </c>
      <c r="Q341" s="250">
        <v>2015.9144220000001</v>
      </c>
      <c r="R341" s="250" t="s">
        <v>647</v>
      </c>
      <c r="S341" s="250" t="s">
        <v>769</v>
      </c>
      <c r="T341" s="250">
        <v>15</v>
      </c>
      <c r="U341" s="250">
        <v>5</v>
      </c>
      <c r="V341" s="250">
        <v>0.7</v>
      </c>
      <c r="W341" s="250">
        <v>0.7</v>
      </c>
      <c r="X341" s="250">
        <v>0.7</v>
      </c>
      <c r="Y341" s="250">
        <v>1700</v>
      </c>
      <c r="Z341" s="250" t="s">
        <v>840</v>
      </c>
      <c r="AA341" s="250">
        <v>0.85</v>
      </c>
      <c r="AB341" s="250" t="s">
        <v>841</v>
      </c>
      <c r="AC341" s="250" t="s">
        <v>842</v>
      </c>
      <c r="AD341" s="250">
        <v>220</v>
      </c>
      <c r="AE341" s="250"/>
      <c r="AF341" s="250"/>
      <c r="AG341" s="241"/>
    </row>
    <row r="342" spans="1:33" ht="15.75">
      <c r="A342" s="250" t="s">
        <v>971</v>
      </c>
      <c r="B342" s="250">
        <v>8</v>
      </c>
      <c r="C342" s="250">
        <v>130</v>
      </c>
      <c r="D342" s="250" t="s">
        <v>930</v>
      </c>
      <c r="E342" s="250">
        <v>1.5</v>
      </c>
      <c r="F342" s="251">
        <v>45112.563888888886</v>
      </c>
      <c r="G342" s="250">
        <v>1</v>
      </c>
      <c r="H342" s="250">
        <v>51.3675</v>
      </c>
      <c r="I342" s="250">
        <v>6.6402099999999997</v>
      </c>
      <c r="J342" s="250">
        <v>-5.9270889999999996</v>
      </c>
      <c r="K342" s="250">
        <v>-5.0860580000000004</v>
      </c>
      <c r="L342" s="250">
        <v>1038.52</v>
      </c>
      <c r="M342" s="250">
        <v>125.000929</v>
      </c>
      <c r="N342" s="250">
        <v>18287.007799999999</v>
      </c>
      <c r="O342" s="250">
        <v>18300.2012</v>
      </c>
      <c r="P342" s="250">
        <v>2011.1522600000001</v>
      </c>
      <c r="Q342" s="250">
        <v>2015.9144220000001</v>
      </c>
      <c r="R342" s="250" t="s">
        <v>839</v>
      </c>
      <c r="S342" s="250" t="s">
        <v>769</v>
      </c>
      <c r="T342" s="250">
        <v>15</v>
      </c>
      <c r="U342" s="250">
        <v>5</v>
      </c>
      <c r="V342" s="250">
        <v>0.7</v>
      </c>
      <c r="W342" s="250">
        <v>0.7</v>
      </c>
      <c r="X342" s="250">
        <v>0.7</v>
      </c>
      <c r="Y342" s="250">
        <v>1700</v>
      </c>
      <c r="Z342" s="250" t="s">
        <v>840</v>
      </c>
      <c r="AA342" s="250">
        <v>0.85</v>
      </c>
      <c r="AB342" s="250" t="s">
        <v>841</v>
      </c>
      <c r="AC342" s="250" t="s">
        <v>842</v>
      </c>
      <c r="AD342" s="250">
        <v>220</v>
      </c>
      <c r="AE342" s="250"/>
      <c r="AF342" s="250"/>
      <c r="AG342" s="241"/>
    </row>
    <row r="343" spans="1:33" ht="15.75">
      <c r="A343" s="250" t="s">
        <v>972</v>
      </c>
      <c r="B343" s="250">
        <v>8</v>
      </c>
      <c r="C343" s="250">
        <v>130</v>
      </c>
      <c r="D343" s="250" t="s">
        <v>930</v>
      </c>
      <c r="E343" s="250">
        <v>1.5</v>
      </c>
      <c r="F343" s="251">
        <v>45112.567361111112</v>
      </c>
      <c r="G343" s="250">
        <v>1</v>
      </c>
      <c r="H343" s="250">
        <v>51.3675</v>
      </c>
      <c r="I343" s="250">
        <v>6.6215999999999999</v>
      </c>
      <c r="J343" s="250">
        <v>-5.9674209999999999</v>
      </c>
      <c r="K343" s="250">
        <v>-5.1355630000000003</v>
      </c>
      <c r="L343" s="250">
        <v>1033.71</v>
      </c>
      <c r="M343" s="250">
        <v>120.99918099999999</v>
      </c>
      <c r="N343" s="250">
        <v>18315.051800000001</v>
      </c>
      <c r="O343" s="250">
        <v>18300.2012</v>
      </c>
      <c r="P343" s="250">
        <v>2011.1522600000001</v>
      </c>
      <c r="Q343" s="250">
        <v>2015.9144220000001</v>
      </c>
      <c r="R343" s="250" t="s">
        <v>839</v>
      </c>
      <c r="S343" s="250" t="s">
        <v>769</v>
      </c>
      <c r="T343" s="250">
        <v>15</v>
      </c>
      <c r="U343" s="250">
        <v>5</v>
      </c>
      <c r="V343" s="250">
        <v>0.7</v>
      </c>
      <c r="W343" s="250">
        <v>0.7</v>
      </c>
      <c r="X343" s="250">
        <v>0.7</v>
      </c>
      <c r="Y343" s="250">
        <v>1700</v>
      </c>
      <c r="Z343" s="250" t="s">
        <v>840</v>
      </c>
      <c r="AA343" s="250">
        <v>0.85</v>
      </c>
      <c r="AB343" s="250" t="s">
        <v>841</v>
      </c>
      <c r="AC343" s="250" t="s">
        <v>842</v>
      </c>
      <c r="AD343" s="250">
        <v>220</v>
      </c>
      <c r="AE343" s="250"/>
      <c r="AF343" s="250"/>
      <c r="AG343" s="241"/>
    </row>
    <row r="344" spans="1:33" ht="15.75">
      <c r="A344" s="250" t="s">
        <v>861</v>
      </c>
      <c r="B344" s="250">
        <v>9</v>
      </c>
      <c r="C344" s="250">
        <v>131</v>
      </c>
      <c r="D344" s="250" t="s">
        <v>936</v>
      </c>
      <c r="E344" s="250">
        <v>1.5</v>
      </c>
      <c r="F344" s="251">
        <v>45112.571527777778</v>
      </c>
      <c r="G344" s="250">
        <v>1</v>
      </c>
      <c r="H344" s="250">
        <v>51.370800000000003</v>
      </c>
      <c r="I344" s="250">
        <v>6.7056899999999997</v>
      </c>
      <c r="J344" s="250">
        <v>-5.954339</v>
      </c>
      <c r="K344" s="250">
        <v>-5.1169539999999998</v>
      </c>
      <c r="L344" s="250">
        <v>1026.52</v>
      </c>
      <c r="M344" s="250">
        <v>122.500574</v>
      </c>
      <c r="N344" s="250">
        <v>18445.833299999998</v>
      </c>
      <c r="O344" s="250">
        <v>18456.5396</v>
      </c>
      <c r="P344" s="250">
        <v>2028.1899699999999</v>
      </c>
      <c r="Q344" s="250">
        <v>2033.632441</v>
      </c>
      <c r="R344" s="250" t="s">
        <v>839</v>
      </c>
      <c r="S344" s="250" t="s">
        <v>769</v>
      </c>
      <c r="T344" s="250">
        <v>15</v>
      </c>
      <c r="U344" s="250">
        <v>5</v>
      </c>
      <c r="V344" s="250">
        <v>0.7</v>
      </c>
      <c r="W344" s="250">
        <v>0.7</v>
      </c>
      <c r="X344" s="250">
        <v>0.7</v>
      </c>
      <c r="Y344" s="250">
        <v>1700</v>
      </c>
      <c r="Z344" s="250" t="s">
        <v>840</v>
      </c>
      <c r="AA344" s="250">
        <v>0.85</v>
      </c>
      <c r="AB344" s="250" t="s">
        <v>841</v>
      </c>
      <c r="AC344" s="250" t="s">
        <v>842</v>
      </c>
      <c r="AD344" s="250">
        <v>220</v>
      </c>
      <c r="AE344" s="250"/>
      <c r="AF344" s="250"/>
      <c r="AG344" s="241"/>
    </row>
    <row r="345" spans="1:33" ht="15.75">
      <c r="A345" s="250" t="s">
        <v>974</v>
      </c>
      <c r="B345" s="250">
        <v>9</v>
      </c>
      <c r="C345" s="250">
        <v>131</v>
      </c>
      <c r="D345" s="250" t="s">
        <v>936</v>
      </c>
      <c r="E345" s="250">
        <v>1.5</v>
      </c>
      <c r="F345" s="251">
        <v>45112.574999999997</v>
      </c>
      <c r="G345" s="250">
        <v>1</v>
      </c>
      <c r="H345" s="250">
        <v>51.3675</v>
      </c>
      <c r="I345" s="250">
        <v>6.7086899999999998</v>
      </c>
      <c r="J345" s="250">
        <v>-6.0474110000000003</v>
      </c>
      <c r="K345" s="250">
        <v>-5.2130510000000001</v>
      </c>
      <c r="L345" s="250">
        <v>1033.3800000000001</v>
      </c>
      <c r="M345" s="250">
        <v>119.000495</v>
      </c>
      <c r="N345" s="250">
        <v>18458.392899999999</v>
      </c>
      <c r="O345" s="250">
        <v>18456.5396</v>
      </c>
      <c r="P345" s="250">
        <v>2028.1899699999999</v>
      </c>
      <c r="Q345" s="250">
        <v>2033.632441</v>
      </c>
      <c r="R345" s="250" t="s">
        <v>839</v>
      </c>
      <c r="S345" s="250" t="s">
        <v>769</v>
      </c>
      <c r="T345" s="250">
        <v>15</v>
      </c>
      <c r="U345" s="250">
        <v>5</v>
      </c>
      <c r="V345" s="250">
        <v>0.7</v>
      </c>
      <c r="W345" s="250">
        <v>0.7</v>
      </c>
      <c r="X345" s="250">
        <v>0.7</v>
      </c>
      <c r="Y345" s="250">
        <v>1700</v>
      </c>
      <c r="Z345" s="250" t="s">
        <v>840</v>
      </c>
      <c r="AA345" s="250">
        <v>0.85</v>
      </c>
      <c r="AB345" s="250" t="s">
        <v>841</v>
      </c>
      <c r="AC345" s="250" t="s">
        <v>842</v>
      </c>
      <c r="AD345" s="250">
        <v>220</v>
      </c>
      <c r="AE345" s="250"/>
      <c r="AF345" s="250"/>
      <c r="AG345" s="241"/>
    </row>
    <row r="346" spans="1:33" ht="15.75">
      <c r="A346" s="250" t="s">
        <v>975</v>
      </c>
      <c r="B346" s="250">
        <v>9</v>
      </c>
      <c r="C346" s="250">
        <v>131</v>
      </c>
      <c r="D346" s="250" t="s">
        <v>936</v>
      </c>
      <c r="E346" s="250">
        <v>1.5</v>
      </c>
      <c r="F346" s="251">
        <v>45112.578472222223</v>
      </c>
      <c r="G346" s="250">
        <v>1</v>
      </c>
      <c r="H346" s="250">
        <v>51.3675</v>
      </c>
      <c r="I346" s="250">
        <v>6.5897600000000001</v>
      </c>
      <c r="J346" s="250">
        <v>-6.0736319999999999</v>
      </c>
      <c r="K346" s="250">
        <v>-5.2254440000000004</v>
      </c>
      <c r="L346" s="250">
        <v>1039.82</v>
      </c>
      <c r="M346" s="250">
        <v>124.00085900000001</v>
      </c>
      <c r="N346" s="250">
        <v>18465.392599999999</v>
      </c>
      <c r="O346" s="250">
        <v>18456.5396</v>
      </c>
      <c r="P346" s="250">
        <v>2028.1899699999999</v>
      </c>
      <c r="Q346" s="250">
        <v>2033.632441</v>
      </c>
      <c r="R346" s="250" t="s">
        <v>839</v>
      </c>
      <c r="S346" s="250" t="s">
        <v>769</v>
      </c>
      <c r="T346" s="250">
        <v>15</v>
      </c>
      <c r="U346" s="250">
        <v>5</v>
      </c>
      <c r="V346" s="250">
        <v>0.7</v>
      </c>
      <c r="W346" s="250">
        <v>0.7</v>
      </c>
      <c r="X346" s="250">
        <v>0.7</v>
      </c>
      <c r="Y346" s="250">
        <v>1700</v>
      </c>
      <c r="Z346" s="250" t="s">
        <v>840</v>
      </c>
      <c r="AA346" s="250">
        <v>0.85</v>
      </c>
      <c r="AB346" s="250" t="s">
        <v>841</v>
      </c>
      <c r="AC346" s="250" t="s">
        <v>842</v>
      </c>
      <c r="AD346" s="250">
        <v>220</v>
      </c>
      <c r="AE346" s="250"/>
      <c r="AF346" s="250"/>
      <c r="AG346" s="241"/>
    </row>
    <row r="347" spans="1:33" ht="15.75">
      <c r="A347" s="250" t="s">
        <v>862</v>
      </c>
      <c r="B347" s="250">
        <v>10</v>
      </c>
      <c r="C347" s="250" t="s">
        <v>712</v>
      </c>
      <c r="D347" s="250" t="s">
        <v>838</v>
      </c>
      <c r="E347" s="250">
        <v>1.5</v>
      </c>
      <c r="F347" s="251">
        <v>45112.582638888889</v>
      </c>
      <c r="G347" s="250">
        <v>1</v>
      </c>
      <c r="H347" s="250">
        <v>51.374099999999999</v>
      </c>
      <c r="I347" s="250">
        <v>6.5926099999999996</v>
      </c>
      <c r="J347" s="250">
        <v>-6.0834060000000001</v>
      </c>
      <c r="K347" s="250">
        <v>-5.2504179999999998</v>
      </c>
      <c r="L347" s="250">
        <v>1043.8800000000001</v>
      </c>
      <c r="M347" s="250">
        <v>124.00067300000001</v>
      </c>
      <c r="N347" s="250">
        <v>18436.524600000001</v>
      </c>
      <c r="O347" s="250">
        <v>18400.815999999999</v>
      </c>
      <c r="P347" s="250">
        <v>2022.1172200000001</v>
      </c>
      <c r="Q347" s="250">
        <v>2028.24</v>
      </c>
      <c r="R347" s="250" t="s">
        <v>647</v>
      </c>
      <c r="S347" s="250" t="s">
        <v>769</v>
      </c>
      <c r="T347" s="250">
        <v>15</v>
      </c>
      <c r="U347" s="250">
        <v>5</v>
      </c>
      <c r="V347" s="250">
        <v>0.7</v>
      </c>
      <c r="W347" s="250">
        <v>0.7</v>
      </c>
      <c r="X347" s="250">
        <v>0.7</v>
      </c>
      <c r="Y347" s="250">
        <v>1700</v>
      </c>
      <c r="Z347" s="250" t="s">
        <v>840</v>
      </c>
      <c r="AA347" s="250">
        <v>0.85</v>
      </c>
      <c r="AB347" s="250" t="s">
        <v>841</v>
      </c>
      <c r="AC347" s="250" t="s">
        <v>842</v>
      </c>
      <c r="AD347" s="250">
        <v>220</v>
      </c>
      <c r="AE347" s="250"/>
      <c r="AF347" s="250"/>
      <c r="AG347" s="241"/>
    </row>
    <row r="348" spans="1:33" ht="15.75">
      <c r="A348" s="250" t="s">
        <v>978</v>
      </c>
      <c r="B348" s="250">
        <v>10</v>
      </c>
      <c r="C348" s="250" t="s">
        <v>712</v>
      </c>
      <c r="D348" s="250" t="s">
        <v>838</v>
      </c>
      <c r="E348" s="250">
        <v>1.5</v>
      </c>
      <c r="F348" s="251">
        <v>45112.586111111108</v>
      </c>
      <c r="G348" s="250">
        <v>1</v>
      </c>
      <c r="H348" s="250">
        <v>51.3675</v>
      </c>
      <c r="I348" s="250">
        <v>6.6794700000000002</v>
      </c>
      <c r="J348" s="250">
        <v>-5.9065690000000002</v>
      </c>
      <c r="K348" s="250">
        <v>-5.0614109999999997</v>
      </c>
      <c r="L348" s="250">
        <v>1018.15</v>
      </c>
      <c r="M348" s="250">
        <v>120.499844</v>
      </c>
      <c r="N348" s="250">
        <v>18417.452000000001</v>
      </c>
      <c r="O348" s="250">
        <v>18400.815999999999</v>
      </c>
      <c r="P348" s="250">
        <v>2022.1172200000001</v>
      </c>
      <c r="Q348" s="250" t="s">
        <v>18</v>
      </c>
      <c r="R348" s="250" t="s">
        <v>839</v>
      </c>
      <c r="S348" s="250" t="s">
        <v>769</v>
      </c>
      <c r="T348" s="250">
        <v>15</v>
      </c>
      <c r="U348" s="250">
        <v>5</v>
      </c>
      <c r="V348" s="250">
        <v>0.7</v>
      </c>
      <c r="W348" s="250">
        <v>0.7</v>
      </c>
      <c r="X348" s="250">
        <v>0.7</v>
      </c>
      <c r="Y348" s="250">
        <v>1700</v>
      </c>
      <c r="Z348" s="250" t="s">
        <v>840</v>
      </c>
      <c r="AA348" s="250">
        <v>0.85</v>
      </c>
      <c r="AB348" s="250" t="s">
        <v>841</v>
      </c>
      <c r="AC348" s="250" t="s">
        <v>842</v>
      </c>
      <c r="AD348" s="250">
        <v>220</v>
      </c>
      <c r="AE348" s="250"/>
      <c r="AF348" s="250"/>
      <c r="AG348" s="241"/>
    </row>
    <row r="349" spans="1:33" ht="15.75">
      <c r="A349" s="250" t="s">
        <v>979</v>
      </c>
      <c r="B349" s="250">
        <v>10</v>
      </c>
      <c r="C349" s="250" t="s">
        <v>712</v>
      </c>
      <c r="D349" s="250" t="s">
        <v>838</v>
      </c>
      <c r="E349" s="250">
        <v>1.5</v>
      </c>
      <c r="F349" s="251">
        <v>45112.589583333334</v>
      </c>
      <c r="G349" s="250">
        <v>1</v>
      </c>
      <c r="H349" s="250">
        <v>51.374099999999999</v>
      </c>
      <c r="I349" s="250">
        <v>6.5644299999999998</v>
      </c>
      <c r="J349" s="250">
        <v>-5.7713289999999997</v>
      </c>
      <c r="K349" s="250">
        <v>-4.9448559999999997</v>
      </c>
      <c r="L349" s="250">
        <v>1020.63</v>
      </c>
      <c r="M349" s="250">
        <v>154.000677</v>
      </c>
      <c r="N349" s="250">
        <v>18387.351500000001</v>
      </c>
      <c r="O349" s="250">
        <v>18400.815999999999</v>
      </c>
      <c r="P349" s="250">
        <v>2022.1172200000001</v>
      </c>
      <c r="Q349" s="250" t="s">
        <v>18</v>
      </c>
      <c r="R349" s="250" t="s">
        <v>839</v>
      </c>
      <c r="S349" s="250" t="s">
        <v>769</v>
      </c>
      <c r="T349" s="250">
        <v>15</v>
      </c>
      <c r="U349" s="250">
        <v>5</v>
      </c>
      <c r="V349" s="250">
        <v>0.7</v>
      </c>
      <c r="W349" s="250">
        <v>0.7</v>
      </c>
      <c r="X349" s="250">
        <v>0.7</v>
      </c>
      <c r="Y349" s="250">
        <v>1700</v>
      </c>
      <c r="Z349" s="250" t="s">
        <v>840</v>
      </c>
      <c r="AA349" s="250">
        <v>0.85</v>
      </c>
      <c r="AB349" s="250" t="s">
        <v>841</v>
      </c>
      <c r="AC349" s="250" t="s">
        <v>842</v>
      </c>
      <c r="AD349" s="250">
        <v>220</v>
      </c>
      <c r="AE349" s="250"/>
      <c r="AF349" s="250"/>
      <c r="AG349" s="241"/>
    </row>
    <row r="350" spans="1:33" ht="15.75">
      <c r="A350" s="250" t="s">
        <v>980</v>
      </c>
      <c r="B350" s="250">
        <v>10</v>
      </c>
      <c r="C350" s="250" t="s">
        <v>712</v>
      </c>
      <c r="D350" s="250" t="s">
        <v>838</v>
      </c>
      <c r="E350" s="250">
        <v>1.5</v>
      </c>
      <c r="F350" s="251">
        <v>45112.59375</v>
      </c>
      <c r="G350" s="250">
        <v>1</v>
      </c>
      <c r="H350" s="250">
        <v>51.374099999999999</v>
      </c>
      <c r="I350" s="250">
        <v>6.6200099999999997</v>
      </c>
      <c r="J350" s="250">
        <v>-5.7155779999999998</v>
      </c>
      <c r="K350" s="250">
        <v>-4.8873090000000001</v>
      </c>
      <c r="L350" s="250">
        <v>1043.58</v>
      </c>
      <c r="M350" s="250">
        <v>116.99979500000001</v>
      </c>
      <c r="N350" s="250">
        <v>18397.644400000001</v>
      </c>
      <c r="O350" s="250">
        <v>18400.815999999999</v>
      </c>
      <c r="P350" s="250">
        <v>2022.1172200000001</v>
      </c>
      <c r="Q350" s="250" t="s">
        <v>18</v>
      </c>
      <c r="R350" s="250" t="s">
        <v>839</v>
      </c>
      <c r="S350" s="250" t="s">
        <v>769</v>
      </c>
      <c r="T350" s="250">
        <v>15</v>
      </c>
      <c r="U350" s="250">
        <v>5</v>
      </c>
      <c r="V350" s="250">
        <v>0.7</v>
      </c>
      <c r="W350" s="250">
        <v>0.7</v>
      </c>
      <c r="X350" s="250">
        <v>0.7</v>
      </c>
      <c r="Y350" s="250">
        <v>1700</v>
      </c>
      <c r="Z350" s="250" t="s">
        <v>840</v>
      </c>
      <c r="AA350" s="250">
        <v>0.85</v>
      </c>
      <c r="AB350" s="250" t="s">
        <v>841</v>
      </c>
      <c r="AC350" s="250" t="s">
        <v>842</v>
      </c>
      <c r="AD350" s="250">
        <v>220</v>
      </c>
      <c r="AE350" s="250"/>
      <c r="AF350" s="250"/>
      <c r="AG350" s="241"/>
    </row>
    <row r="351" spans="1:33" ht="15.75">
      <c r="A351" s="250" t="s">
        <v>863</v>
      </c>
      <c r="B351" s="250">
        <v>11</v>
      </c>
      <c r="C351" s="250" t="s">
        <v>712</v>
      </c>
      <c r="D351" s="250" t="s">
        <v>838</v>
      </c>
      <c r="E351" s="250">
        <v>1.5</v>
      </c>
      <c r="F351" s="251">
        <v>45112.597222222219</v>
      </c>
      <c r="G351" s="250">
        <v>1</v>
      </c>
      <c r="H351" s="250">
        <v>51.3675</v>
      </c>
      <c r="I351" s="250">
        <v>6.5764500000000004</v>
      </c>
      <c r="J351" s="250">
        <v>-5.919384</v>
      </c>
      <c r="K351" s="250">
        <v>-5.0870449999999998</v>
      </c>
      <c r="L351" s="250">
        <v>1032.83</v>
      </c>
      <c r="M351" s="250">
        <v>117.499465</v>
      </c>
      <c r="N351" s="250">
        <v>18402.267599999999</v>
      </c>
      <c r="O351" s="250">
        <v>18397.2333</v>
      </c>
      <c r="P351" s="250">
        <v>2021.7267899999999</v>
      </c>
      <c r="Q351" s="250" t="s">
        <v>18</v>
      </c>
      <c r="R351" s="250" t="s">
        <v>839</v>
      </c>
      <c r="S351" s="250" t="s">
        <v>769</v>
      </c>
      <c r="T351" s="250">
        <v>15</v>
      </c>
      <c r="U351" s="250">
        <v>5</v>
      </c>
      <c r="V351" s="250">
        <v>0.7</v>
      </c>
      <c r="W351" s="250">
        <v>0.7</v>
      </c>
      <c r="X351" s="250">
        <v>0.7</v>
      </c>
      <c r="Y351" s="250">
        <v>1700</v>
      </c>
      <c r="Z351" s="250" t="s">
        <v>840</v>
      </c>
      <c r="AA351" s="250">
        <v>0.85</v>
      </c>
      <c r="AB351" s="250" t="s">
        <v>841</v>
      </c>
      <c r="AC351" s="250" t="s">
        <v>842</v>
      </c>
      <c r="AD351" s="250">
        <v>220</v>
      </c>
      <c r="AE351" s="250"/>
      <c r="AF351" s="250"/>
      <c r="AG351" s="241"/>
    </row>
    <row r="352" spans="1:33" ht="15.75">
      <c r="A352" s="250" t="s">
        <v>983</v>
      </c>
      <c r="B352" s="250">
        <v>11</v>
      </c>
      <c r="C352" s="250" t="s">
        <v>712</v>
      </c>
      <c r="D352" s="250" t="s">
        <v>838</v>
      </c>
      <c r="E352" s="250">
        <v>1.5</v>
      </c>
      <c r="F352" s="251">
        <v>45112.600694444445</v>
      </c>
      <c r="G352" s="250">
        <v>1</v>
      </c>
      <c r="H352" s="250">
        <v>51.364100000000001</v>
      </c>
      <c r="I352" s="250">
        <v>6.5513000000000003</v>
      </c>
      <c r="J352" s="250">
        <v>-5.8662089999999996</v>
      </c>
      <c r="K352" s="250">
        <v>-5.0189009999999996</v>
      </c>
      <c r="L352" s="250">
        <v>1024.42</v>
      </c>
      <c r="M352" s="250">
        <v>116.501023</v>
      </c>
      <c r="N352" s="250">
        <v>18394.589</v>
      </c>
      <c r="O352" s="250">
        <v>18397.2333</v>
      </c>
      <c r="P352" s="250">
        <v>2021.7267899999999</v>
      </c>
      <c r="Q352" s="250" t="s">
        <v>18</v>
      </c>
      <c r="R352" s="250" t="s">
        <v>839</v>
      </c>
      <c r="S352" s="250" t="s">
        <v>769</v>
      </c>
      <c r="T352" s="250">
        <v>15</v>
      </c>
      <c r="U352" s="250">
        <v>5</v>
      </c>
      <c r="V352" s="250">
        <v>0.7</v>
      </c>
      <c r="W352" s="250">
        <v>0.7</v>
      </c>
      <c r="X352" s="250">
        <v>0.7</v>
      </c>
      <c r="Y352" s="250">
        <v>1700</v>
      </c>
      <c r="Z352" s="250" t="s">
        <v>840</v>
      </c>
      <c r="AA352" s="250">
        <v>0.85</v>
      </c>
      <c r="AB352" s="250" t="s">
        <v>841</v>
      </c>
      <c r="AC352" s="250" t="s">
        <v>842</v>
      </c>
      <c r="AD352" s="250">
        <v>220</v>
      </c>
      <c r="AE352" s="250"/>
      <c r="AF352" s="250"/>
      <c r="AG352" s="241"/>
    </row>
    <row r="353" spans="1:33" ht="15.75">
      <c r="A353" s="250" t="s">
        <v>984</v>
      </c>
      <c r="B353" s="250">
        <v>11</v>
      </c>
      <c r="C353" s="250" t="s">
        <v>712</v>
      </c>
      <c r="D353" s="250" t="s">
        <v>838</v>
      </c>
      <c r="E353" s="250">
        <v>1.5</v>
      </c>
      <c r="F353" s="251">
        <v>45112.604166666664</v>
      </c>
      <c r="G353" s="250">
        <v>1</v>
      </c>
      <c r="H353" s="250">
        <v>51.3675</v>
      </c>
      <c r="I353" s="250">
        <v>6.4492799999999999</v>
      </c>
      <c r="J353" s="250">
        <v>-6.0722500000000004</v>
      </c>
      <c r="K353" s="250">
        <v>-5.2268410000000003</v>
      </c>
      <c r="L353" s="250">
        <v>1026.55</v>
      </c>
      <c r="M353" s="250">
        <v>118.00123600000001</v>
      </c>
      <c r="N353" s="250">
        <v>18394.8433</v>
      </c>
      <c r="O353" s="250">
        <v>18397.2333</v>
      </c>
      <c r="P353" s="250">
        <v>2021.7267899999999</v>
      </c>
      <c r="Q353" s="250" t="s">
        <v>18</v>
      </c>
      <c r="R353" s="250" t="s">
        <v>839</v>
      </c>
      <c r="S353" s="250" t="s">
        <v>769</v>
      </c>
      <c r="T353" s="250">
        <v>15</v>
      </c>
      <c r="U353" s="250">
        <v>5</v>
      </c>
      <c r="V353" s="250">
        <v>0.7</v>
      </c>
      <c r="W353" s="250">
        <v>0.7</v>
      </c>
      <c r="X353" s="250">
        <v>0.7</v>
      </c>
      <c r="Y353" s="250">
        <v>1700</v>
      </c>
      <c r="Z353" s="250" t="s">
        <v>840</v>
      </c>
      <c r="AA353" s="250">
        <v>0.85</v>
      </c>
      <c r="AB353" s="250" t="s">
        <v>841</v>
      </c>
      <c r="AC353" s="250" t="s">
        <v>842</v>
      </c>
      <c r="AD353" s="250">
        <v>220</v>
      </c>
      <c r="AE353" s="250"/>
      <c r="AF353" s="250"/>
      <c r="AG353" s="241"/>
    </row>
    <row r="354" spans="1:33" ht="15.75">
      <c r="A354" s="250" t="s">
        <v>864</v>
      </c>
      <c r="B354" s="250">
        <v>12</v>
      </c>
      <c r="C354" s="250" t="s">
        <v>712</v>
      </c>
      <c r="D354" s="250" t="s">
        <v>838</v>
      </c>
      <c r="E354" s="250">
        <v>1.5</v>
      </c>
      <c r="F354" s="251">
        <v>45112.607638888891</v>
      </c>
      <c r="G354" s="250">
        <v>1</v>
      </c>
      <c r="H354" s="250">
        <v>51.370800000000003</v>
      </c>
      <c r="I354" s="250">
        <v>6.5571299999999999</v>
      </c>
      <c r="J354" s="250">
        <v>-6.0668040000000003</v>
      </c>
      <c r="K354" s="250">
        <v>-5.2186529999999998</v>
      </c>
      <c r="L354" s="250">
        <v>1034.3399999999999</v>
      </c>
      <c r="M354" s="250">
        <v>119.499607</v>
      </c>
      <c r="N354" s="250">
        <v>18406.793099999999</v>
      </c>
      <c r="O354" s="250">
        <v>18406.675500000001</v>
      </c>
      <c r="P354" s="250">
        <v>2022.7557899999999</v>
      </c>
      <c r="Q354" s="250" t="s">
        <v>18</v>
      </c>
      <c r="R354" s="250" t="s">
        <v>839</v>
      </c>
      <c r="S354" s="250" t="s">
        <v>769</v>
      </c>
      <c r="T354" s="250">
        <v>15</v>
      </c>
      <c r="U354" s="250">
        <v>5</v>
      </c>
      <c r="V354" s="250">
        <v>0.7</v>
      </c>
      <c r="W354" s="250">
        <v>0.7</v>
      </c>
      <c r="X354" s="250">
        <v>0.7</v>
      </c>
      <c r="Y354" s="250">
        <v>1700</v>
      </c>
      <c r="Z354" s="250" t="s">
        <v>840</v>
      </c>
      <c r="AA354" s="250">
        <v>0.85</v>
      </c>
      <c r="AB354" s="250" t="s">
        <v>841</v>
      </c>
      <c r="AC354" s="250" t="s">
        <v>842</v>
      </c>
      <c r="AD354" s="250">
        <v>220</v>
      </c>
      <c r="AE354" s="250"/>
      <c r="AF354" s="250"/>
      <c r="AG354" s="241"/>
    </row>
    <row r="355" spans="1:33" ht="15.75">
      <c r="A355" s="250" t="s">
        <v>987</v>
      </c>
      <c r="B355" s="250">
        <v>12</v>
      </c>
      <c r="C355" s="250" t="s">
        <v>712</v>
      </c>
      <c r="D355" s="250" t="s">
        <v>838</v>
      </c>
      <c r="E355" s="250">
        <v>1.5</v>
      </c>
      <c r="F355" s="251">
        <v>45112.611805555556</v>
      </c>
      <c r="G355" s="250">
        <v>1</v>
      </c>
      <c r="H355" s="250">
        <v>51.370800000000003</v>
      </c>
      <c r="I355" s="250">
        <v>6.6195399999999998</v>
      </c>
      <c r="J355" s="250">
        <v>-6.0623670000000001</v>
      </c>
      <c r="K355" s="250">
        <v>-5.2165759999999999</v>
      </c>
      <c r="L355" s="250">
        <v>1035.44</v>
      </c>
      <c r="M355" s="250">
        <v>123.00195600000001</v>
      </c>
      <c r="N355" s="250">
        <v>18402.299800000001</v>
      </c>
      <c r="O355" s="250">
        <v>18406.675500000001</v>
      </c>
      <c r="P355" s="250">
        <v>2022.7557899999999</v>
      </c>
      <c r="Q355" s="250" t="s">
        <v>18</v>
      </c>
      <c r="R355" s="250" t="s">
        <v>839</v>
      </c>
      <c r="S355" s="250" t="s">
        <v>769</v>
      </c>
      <c r="T355" s="250">
        <v>15</v>
      </c>
      <c r="U355" s="250">
        <v>5</v>
      </c>
      <c r="V355" s="250">
        <v>0.7</v>
      </c>
      <c r="W355" s="250">
        <v>0.7</v>
      </c>
      <c r="X355" s="250">
        <v>0.7</v>
      </c>
      <c r="Y355" s="250">
        <v>1700</v>
      </c>
      <c r="Z355" s="250" t="s">
        <v>840</v>
      </c>
      <c r="AA355" s="250">
        <v>0.85</v>
      </c>
      <c r="AB355" s="250" t="s">
        <v>841</v>
      </c>
      <c r="AC355" s="250" t="s">
        <v>842</v>
      </c>
      <c r="AD355" s="250">
        <v>220</v>
      </c>
      <c r="AE355" s="250"/>
      <c r="AF355" s="250"/>
      <c r="AG355" s="241"/>
    </row>
    <row r="356" spans="1:33" ht="15.75">
      <c r="A356" s="250" t="s">
        <v>988</v>
      </c>
      <c r="B356" s="250">
        <v>12</v>
      </c>
      <c r="C356" s="250" t="s">
        <v>712</v>
      </c>
      <c r="D356" s="250" t="s">
        <v>838</v>
      </c>
      <c r="E356" s="250">
        <v>1.5</v>
      </c>
      <c r="F356" s="251">
        <v>45112.615277777775</v>
      </c>
      <c r="G356" s="250">
        <v>1</v>
      </c>
      <c r="H356" s="250">
        <v>51.370800000000003</v>
      </c>
      <c r="I356" s="250">
        <v>6.5332100000000004</v>
      </c>
      <c r="J356" s="250">
        <v>-5.9779549999999997</v>
      </c>
      <c r="K356" s="250">
        <v>-5.1515760000000004</v>
      </c>
      <c r="L356" s="250">
        <v>1036.53</v>
      </c>
      <c r="M356" s="250">
        <v>121.50094</v>
      </c>
      <c r="N356" s="250">
        <v>18410.933499999999</v>
      </c>
      <c r="O356" s="250">
        <v>18406.675500000001</v>
      </c>
      <c r="P356" s="250">
        <v>2022.7557899999999</v>
      </c>
      <c r="Q356" s="250">
        <v>2028.23</v>
      </c>
      <c r="R356" s="250" t="s">
        <v>839</v>
      </c>
      <c r="S356" s="250" t="s">
        <v>769</v>
      </c>
      <c r="T356" s="250">
        <v>15</v>
      </c>
      <c r="U356" s="250">
        <v>5</v>
      </c>
      <c r="V356" s="250">
        <v>0.7</v>
      </c>
      <c r="W356" s="250">
        <v>0.7</v>
      </c>
      <c r="X356" s="250">
        <v>0.7</v>
      </c>
      <c r="Y356" s="250">
        <v>1700</v>
      </c>
      <c r="Z356" s="250" t="s">
        <v>840</v>
      </c>
      <c r="AA356" s="250">
        <v>0.85</v>
      </c>
      <c r="AB356" s="250" t="s">
        <v>841</v>
      </c>
      <c r="AC356" s="250" t="s">
        <v>842</v>
      </c>
      <c r="AD356" s="250">
        <v>220</v>
      </c>
      <c r="AE356" s="250"/>
      <c r="AF356" s="250"/>
      <c r="AG356" s="241"/>
    </row>
    <row r="357" spans="1:33" ht="15.75">
      <c r="A357" s="250" t="s">
        <v>865</v>
      </c>
      <c r="B357" s="250">
        <v>13</v>
      </c>
      <c r="C357" s="250">
        <v>128</v>
      </c>
      <c r="D357" s="250" t="s">
        <v>898</v>
      </c>
      <c r="E357" s="250">
        <v>1.5</v>
      </c>
      <c r="F357" s="251">
        <v>45112.619444444441</v>
      </c>
      <c r="G357" s="250">
        <v>1</v>
      </c>
      <c r="H357" s="250">
        <v>51.374099999999999</v>
      </c>
      <c r="I357" s="250">
        <v>6.6377100000000002</v>
      </c>
      <c r="J357" s="250">
        <v>-6.0831879999999998</v>
      </c>
      <c r="K357" s="250">
        <v>-5.2443799999999996</v>
      </c>
      <c r="L357" s="250">
        <v>1020.61</v>
      </c>
      <c r="M357" s="250">
        <v>116.000539</v>
      </c>
      <c r="N357" s="250">
        <v>18205.174500000001</v>
      </c>
      <c r="O357" s="250">
        <v>18210.559499999999</v>
      </c>
      <c r="P357" s="250">
        <v>2001.3831299999999</v>
      </c>
      <c r="Q357" s="250">
        <v>2006.85734</v>
      </c>
      <c r="R357" s="250" t="s">
        <v>839</v>
      </c>
      <c r="S357" s="250" t="s">
        <v>769</v>
      </c>
      <c r="T357" s="250">
        <v>15</v>
      </c>
      <c r="U357" s="250">
        <v>5</v>
      </c>
      <c r="V357" s="250">
        <v>0.7</v>
      </c>
      <c r="W357" s="250">
        <v>0.7</v>
      </c>
      <c r="X357" s="250">
        <v>0.7</v>
      </c>
      <c r="Y357" s="250">
        <v>1700</v>
      </c>
      <c r="Z357" s="250" t="s">
        <v>840</v>
      </c>
      <c r="AA357" s="250">
        <v>0.85</v>
      </c>
      <c r="AB357" s="250" t="s">
        <v>841</v>
      </c>
      <c r="AC357" s="250" t="s">
        <v>842</v>
      </c>
      <c r="AD357" s="250">
        <v>220</v>
      </c>
      <c r="AE357" s="250"/>
      <c r="AF357" s="250"/>
      <c r="AG357" s="241"/>
    </row>
    <row r="358" spans="1:33" ht="15.75">
      <c r="A358" s="250" t="s">
        <v>990</v>
      </c>
      <c r="B358" s="250">
        <v>13</v>
      </c>
      <c r="C358" s="250">
        <v>128</v>
      </c>
      <c r="D358" s="250" t="s">
        <v>898</v>
      </c>
      <c r="E358" s="250">
        <v>1.5</v>
      </c>
      <c r="F358" s="251">
        <v>45112.622916666667</v>
      </c>
      <c r="G358" s="250">
        <v>1</v>
      </c>
      <c r="H358" s="250">
        <v>51.370800000000003</v>
      </c>
      <c r="I358" s="250">
        <v>6.6762199999999998</v>
      </c>
      <c r="J358" s="250">
        <v>-6.0436439999999996</v>
      </c>
      <c r="K358" s="250">
        <v>-5.1951039999999997</v>
      </c>
      <c r="L358" s="250">
        <v>1012.74</v>
      </c>
      <c r="M358" s="250">
        <v>126.00032</v>
      </c>
      <c r="N358" s="250">
        <v>18204.932000000001</v>
      </c>
      <c r="O358" s="250">
        <v>18210.559499999999</v>
      </c>
      <c r="P358" s="250">
        <v>2001.3831299999999</v>
      </c>
      <c r="Q358" s="250">
        <v>2006.85734</v>
      </c>
      <c r="R358" s="250" t="s">
        <v>839</v>
      </c>
      <c r="S358" s="250" t="s">
        <v>769</v>
      </c>
      <c r="T358" s="250">
        <v>15</v>
      </c>
      <c r="U358" s="250">
        <v>5</v>
      </c>
      <c r="V358" s="250">
        <v>0.7</v>
      </c>
      <c r="W358" s="250">
        <v>0.7</v>
      </c>
      <c r="X358" s="250">
        <v>0.7</v>
      </c>
      <c r="Y358" s="250">
        <v>1700</v>
      </c>
      <c r="Z358" s="250" t="s">
        <v>840</v>
      </c>
      <c r="AA358" s="250">
        <v>0.85</v>
      </c>
      <c r="AB358" s="250" t="s">
        <v>841</v>
      </c>
      <c r="AC358" s="250" t="s">
        <v>842</v>
      </c>
      <c r="AD358" s="250">
        <v>220</v>
      </c>
      <c r="AE358" s="250"/>
      <c r="AF358" s="250"/>
      <c r="AG358" s="241"/>
    </row>
    <row r="359" spans="1:33" ht="15.75">
      <c r="A359" s="250" t="s">
        <v>991</v>
      </c>
      <c r="B359" s="250">
        <v>13</v>
      </c>
      <c r="C359" s="250">
        <v>128</v>
      </c>
      <c r="D359" s="250" t="s">
        <v>898</v>
      </c>
      <c r="E359" s="250">
        <v>1.5</v>
      </c>
      <c r="F359" s="251">
        <v>45112.626388888886</v>
      </c>
      <c r="G359" s="250">
        <v>1</v>
      </c>
      <c r="H359" s="250">
        <v>51.374099999999999</v>
      </c>
      <c r="I359" s="250">
        <v>6.6582600000000003</v>
      </c>
      <c r="J359" s="250">
        <v>-5.9968089999999998</v>
      </c>
      <c r="K359" s="250">
        <v>-5.1835060000000004</v>
      </c>
      <c r="L359" s="250">
        <v>1006.12</v>
      </c>
      <c r="M359" s="250">
        <v>117.99979</v>
      </c>
      <c r="N359" s="250">
        <v>18221.571800000002</v>
      </c>
      <c r="O359" s="250">
        <v>18210.559499999999</v>
      </c>
      <c r="P359" s="250">
        <v>2001.3831299999999</v>
      </c>
      <c r="Q359" s="250">
        <v>2006.85734</v>
      </c>
      <c r="R359" s="250" t="s">
        <v>839</v>
      </c>
      <c r="S359" s="250" t="s">
        <v>769</v>
      </c>
      <c r="T359" s="250">
        <v>15</v>
      </c>
      <c r="U359" s="250">
        <v>5</v>
      </c>
      <c r="V359" s="250">
        <v>0.7</v>
      </c>
      <c r="W359" s="250">
        <v>0.7</v>
      </c>
      <c r="X359" s="250">
        <v>0.7</v>
      </c>
      <c r="Y359" s="250">
        <v>1700</v>
      </c>
      <c r="Z359" s="250" t="s">
        <v>840</v>
      </c>
      <c r="AA359" s="250">
        <v>0.85</v>
      </c>
      <c r="AB359" s="250" t="s">
        <v>841</v>
      </c>
      <c r="AC359" s="250" t="s">
        <v>842</v>
      </c>
      <c r="AD359" s="250">
        <v>220</v>
      </c>
      <c r="AE359" s="250"/>
      <c r="AF359" s="250"/>
      <c r="AG359" s="241"/>
    </row>
    <row r="360" spans="1:33" ht="15.75">
      <c r="A360" s="250" t="s">
        <v>866</v>
      </c>
      <c r="B360" s="250">
        <v>14</v>
      </c>
      <c r="C360" s="250">
        <v>129</v>
      </c>
      <c r="D360" s="250" t="s">
        <v>902</v>
      </c>
      <c r="E360" s="250">
        <v>1.5</v>
      </c>
      <c r="F360" s="251">
        <v>45112.630555555559</v>
      </c>
      <c r="G360" s="250">
        <v>1</v>
      </c>
      <c r="H360" s="250">
        <v>51.370800000000003</v>
      </c>
      <c r="I360" s="250">
        <v>6.6068800000000003</v>
      </c>
      <c r="J360" s="250">
        <v>-6.0211009999999998</v>
      </c>
      <c r="K360" s="250">
        <v>-5.1945290000000002</v>
      </c>
      <c r="L360" s="250">
        <v>1030.29</v>
      </c>
      <c r="M360" s="250">
        <v>125.999155</v>
      </c>
      <c r="N360" s="250">
        <v>18256.1937</v>
      </c>
      <c r="O360" s="250">
        <v>18242.543099999999</v>
      </c>
      <c r="P360" s="250">
        <v>2004.8687</v>
      </c>
      <c r="Q360" s="250">
        <v>2010.3429100000001</v>
      </c>
      <c r="R360" s="250" t="s">
        <v>839</v>
      </c>
      <c r="S360" s="250" t="s">
        <v>769</v>
      </c>
      <c r="T360" s="250">
        <v>15</v>
      </c>
      <c r="U360" s="250">
        <v>5</v>
      </c>
      <c r="V360" s="250">
        <v>0.7</v>
      </c>
      <c r="W360" s="250">
        <v>0.7</v>
      </c>
      <c r="X360" s="250">
        <v>0.7</v>
      </c>
      <c r="Y360" s="250">
        <v>1700</v>
      </c>
      <c r="Z360" s="250" t="s">
        <v>840</v>
      </c>
      <c r="AA360" s="250">
        <v>0.85</v>
      </c>
      <c r="AB360" s="250" t="s">
        <v>841</v>
      </c>
      <c r="AC360" s="250" t="s">
        <v>842</v>
      </c>
      <c r="AD360" s="250">
        <v>220</v>
      </c>
      <c r="AE360" s="250"/>
      <c r="AF360" s="250"/>
      <c r="AG360" s="241"/>
    </row>
    <row r="361" spans="1:33" ht="15.75">
      <c r="A361" s="250" t="s">
        <v>993</v>
      </c>
      <c r="B361" s="250">
        <v>14</v>
      </c>
      <c r="C361" s="250">
        <v>129</v>
      </c>
      <c r="D361" s="250" t="s">
        <v>902</v>
      </c>
      <c r="E361" s="250">
        <v>1.5</v>
      </c>
      <c r="F361" s="251">
        <v>45112.634027777778</v>
      </c>
      <c r="G361" s="250">
        <v>1</v>
      </c>
      <c r="H361" s="250">
        <v>51.370800000000003</v>
      </c>
      <c r="I361" s="250">
        <v>6.6770399999999999</v>
      </c>
      <c r="J361" s="250">
        <v>-5.9936020000000001</v>
      </c>
      <c r="K361" s="250">
        <v>-5.1452590000000002</v>
      </c>
      <c r="L361" s="250">
        <v>1017.15</v>
      </c>
      <c r="M361" s="250">
        <v>125.999534</v>
      </c>
      <c r="N361" s="250">
        <v>18242.048599999998</v>
      </c>
      <c r="O361" s="250">
        <v>18242.543099999999</v>
      </c>
      <c r="P361" s="250">
        <v>2004.8687</v>
      </c>
      <c r="Q361" s="250">
        <v>2010.3429100000001</v>
      </c>
      <c r="R361" s="250" t="s">
        <v>839</v>
      </c>
      <c r="S361" s="250" t="s">
        <v>769</v>
      </c>
      <c r="T361" s="250">
        <v>15</v>
      </c>
      <c r="U361" s="250">
        <v>5</v>
      </c>
      <c r="V361" s="250">
        <v>0.7</v>
      </c>
      <c r="W361" s="250">
        <v>0.7</v>
      </c>
      <c r="X361" s="250">
        <v>0.7</v>
      </c>
      <c r="Y361" s="250">
        <v>1700</v>
      </c>
      <c r="Z361" s="250" t="s">
        <v>840</v>
      </c>
      <c r="AA361" s="250">
        <v>0.85</v>
      </c>
      <c r="AB361" s="250" t="s">
        <v>841</v>
      </c>
      <c r="AC361" s="250" t="s">
        <v>842</v>
      </c>
      <c r="AD361" s="250">
        <v>220</v>
      </c>
      <c r="AE361" s="250"/>
      <c r="AF361" s="250"/>
      <c r="AG361" s="241"/>
    </row>
    <row r="362" spans="1:33" ht="15.75">
      <c r="A362" s="250" t="s">
        <v>994</v>
      </c>
      <c r="B362" s="250">
        <v>14</v>
      </c>
      <c r="C362" s="250">
        <v>129</v>
      </c>
      <c r="D362" s="250" t="s">
        <v>902</v>
      </c>
      <c r="E362" s="250">
        <v>1.5</v>
      </c>
      <c r="F362" s="251">
        <v>45112.637499999997</v>
      </c>
      <c r="G362" s="250">
        <v>1</v>
      </c>
      <c r="H362" s="250">
        <v>51.370800000000003</v>
      </c>
      <c r="I362" s="250">
        <v>6.7439299999999998</v>
      </c>
      <c r="J362" s="250">
        <v>-6.0069759999999999</v>
      </c>
      <c r="K362" s="250">
        <v>-5.1705420000000002</v>
      </c>
      <c r="L362" s="250">
        <v>1023.3</v>
      </c>
      <c r="M362" s="250">
        <v>118.49831399999999</v>
      </c>
      <c r="N362" s="250">
        <v>18229.386900000001</v>
      </c>
      <c r="O362" s="250">
        <v>18242.543099999999</v>
      </c>
      <c r="P362" s="250">
        <v>2004.8687</v>
      </c>
      <c r="Q362" s="250">
        <v>2010.3429100000001</v>
      </c>
      <c r="R362" s="250" t="s">
        <v>839</v>
      </c>
      <c r="S362" s="250" t="s">
        <v>769</v>
      </c>
      <c r="T362" s="250">
        <v>15</v>
      </c>
      <c r="U362" s="250">
        <v>5</v>
      </c>
      <c r="V362" s="250">
        <v>0.7</v>
      </c>
      <c r="W362" s="250">
        <v>0.7</v>
      </c>
      <c r="X362" s="250">
        <v>0.7</v>
      </c>
      <c r="Y362" s="250">
        <v>1700</v>
      </c>
      <c r="Z362" s="250" t="s">
        <v>840</v>
      </c>
      <c r="AA362" s="250">
        <v>0.85</v>
      </c>
      <c r="AB362" s="250" t="s">
        <v>841</v>
      </c>
      <c r="AC362" s="250" t="s">
        <v>842</v>
      </c>
      <c r="AD362" s="250">
        <v>220</v>
      </c>
      <c r="AE362" s="250"/>
      <c r="AF362" s="250"/>
      <c r="AG362" s="241"/>
    </row>
    <row r="363" spans="1:33" ht="15.75">
      <c r="A363" s="250" t="s">
        <v>867</v>
      </c>
      <c r="B363" s="250">
        <v>15</v>
      </c>
      <c r="C363" s="250">
        <v>120</v>
      </c>
      <c r="D363" s="250" t="s">
        <v>906</v>
      </c>
      <c r="E363" s="250">
        <v>1.5</v>
      </c>
      <c r="F363" s="251">
        <v>45112.64166666667</v>
      </c>
      <c r="G363" s="250">
        <v>1</v>
      </c>
      <c r="H363" s="250">
        <v>51.370800000000003</v>
      </c>
      <c r="I363" s="250">
        <v>6.7649100000000004</v>
      </c>
      <c r="J363" s="250">
        <v>-6.0199129999999998</v>
      </c>
      <c r="K363" s="250">
        <v>-5.1876670000000003</v>
      </c>
      <c r="L363" s="250">
        <v>1015.51</v>
      </c>
      <c r="M363" s="250">
        <v>129.99938700000001</v>
      </c>
      <c r="N363" s="250">
        <v>18278.641500000002</v>
      </c>
      <c r="O363" s="250">
        <v>18323.9594</v>
      </c>
      <c r="P363" s="250">
        <v>2013.7414200000001</v>
      </c>
      <c r="Q363" s="250">
        <v>2019.2156299999999</v>
      </c>
      <c r="R363" s="250" t="s">
        <v>647</v>
      </c>
      <c r="S363" s="250" t="s">
        <v>769</v>
      </c>
      <c r="T363" s="250">
        <v>15</v>
      </c>
      <c r="U363" s="250">
        <v>5</v>
      </c>
      <c r="V363" s="250">
        <v>0.7</v>
      </c>
      <c r="W363" s="250">
        <v>0.7</v>
      </c>
      <c r="X363" s="250">
        <v>0.7</v>
      </c>
      <c r="Y363" s="250">
        <v>1700</v>
      </c>
      <c r="Z363" s="250" t="s">
        <v>840</v>
      </c>
      <c r="AA363" s="250">
        <v>0.85</v>
      </c>
      <c r="AB363" s="250" t="s">
        <v>841</v>
      </c>
      <c r="AC363" s="250" t="s">
        <v>842</v>
      </c>
      <c r="AD363" s="250">
        <v>220</v>
      </c>
      <c r="AE363" s="250"/>
      <c r="AF363" s="250"/>
      <c r="AG363" s="241"/>
    </row>
    <row r="364" spans="1:33" ht="15.75">
      <c r="A364" s="250" t="s">
        <v>995</v>
      </c>
      <c r="B364" s="250">
        <v>15</v>
      </c>
      <c r="C364" s="250">
        <v>120</v>
      </c>
      <c r="D364" s="250" t="s">
        <v>906</v>
      </c>
      <c r="E364" s="250">
        <v>1.5</v>
      </c>
      <c r="F364" s="251">
        <v>45112.645138888889</v>
      </c>
      <c r="G364" s="250">
        <v>1</v>
      </c>
      <c r="H364" s="250">
        <v>51.370800000000003</v>
      </c>
      <c r="I364" s="250">
        <v>6.7169100000000004</v>
      </c>
      <c r="J364" s="250">
        <v>-6.006265</v>
      </c>
      <c r="K364" s="250">
        <v>-5.1598319999999998</v>
      </c>
      <c r="L364" s="250">
        <v>1030.8399999999999</v>
      </c>
      <c r="M364" s="250">
        <v>121.000124</v>
      </c>
      <c r="N364" s="250">
        <v>18326.8413</v>
      </c>
      <c r="O364" s="250">
        <v>18323.9594</v>
      </c>
      <c r="P364" s="250">
        <v>2013.7414200000001</v>
      </c>
      <c r="Q364" s="250">
        <v>2019.2156299999999</v>
      </c>
      <c r="R364" s="250" t="s">
        <v>839</v>
      </c>
      <c r="S364" s="250" t="s">
        <v>769</v>
      </c>
      <c r="T364" s="250">
        <v>15</v>
      </c>
      <c r="U364" s="250">
        <v>5</v>
      </c>
      <c r="V364" s="250">
        <v>0.7</v>
      </c>
      <c r="W364" s="250">
        <v>0.7</v>
      </c>
      <c r="X364" s="250">
        <v>0.7</v>
      </c>
      <c r="Y364" s="250">
        <v>1700</v>
      </c>
      <c r="Z364" s="250" t="s">
        <v>840</v>
      </c>
      <c r="AA364" s="250">
        <v>0.85</v>
      </c>
      <c r="AB364" s="250" t="s">
        <v>841</v>
      </c>
      <c r="AC364" s="250" t="s">
        <v>842</v>
      </c>
      <c r="AD364" s="250">
        <v>220</v>
      </c>
      <c r="AE364" s="250"/>
      <c r="AF364" s="250"/>
      <c r="AG364" s="241"/>
    </row>
    <row r="365" spans="1:33" ht="15.75">
      <c r="A365" s="250" t="s">
        <v>996</v>
      </c>
      <c r="B365" s="250">
        <v>15</v>
      </c>
      <c r="C365" s="250">
        <v>120</v>
      </c>
      <c r="D365" s="250" t="s">
        <v>906</v>
      </c>
      <c r="E365" s="250">
        <v>1.5</v>
      </c>
      <c r="F365" s="251">
        <v>45112.648611111108</v>
      </c>
      <c r="G365" s="250">
        <v>1</v>
      </c>
      <c r="H365" s="250">
        <v>51.370800000000003</v>
      </c>
      <c r="I365" s="250">
        <v>6.6078900000000003</v>
      </c>
      <c r="J365" s="250">
        <v>-6.0609830000000002</v>
      </c>
      <c r="K365" s="250">
        <v>-5.2319079999999998</v>
      </c>
      <c r="L365" s="250">
        <v>1014.05</v>
      </c>
      <c r="M365" s="250">
        <v>126.99927700000001</v>
      </c>
      <c r="N365" s="250">
        <v>18309.943899999998</v>
      </c>
      <c r="O365" s="250">
        <v>18323.9594</v>
      </c>
      <c r="P365" s="250">
        <v>2013.7414200000001</v>
      </c>
      <c r="Q365" s="250">
        <v>2019.2156299999999</v>
      </c>
      <c r="R365" s="250" t="s">
        <v>839</v>
      </c>
      <c r="S365" s="250" t="s">
        <v>769</v>
      </c>
      <c r="T365" s="250">
        <v>15</v>
      </c>
      <c r="U365" s="250">
        <v>5</v>
      </c>
      <c r="V365" s="250">
        <v>0.7</v>
      </c>
      <c r="W365" s="250">
        <v>0.7</v>
      </c>
      <c r="X365" s="250">
        <v>0.7</v>
      </c>
      <c r="Y365" s="250">
        <v>1700</v>
      </c>
      <c r="Z365" s="250" t="s">
        <v>840</v>
      </c>
      <c r="AA365" s="250">
        <v>0.85</v>
      </c>
      <c r="AB365" s="250" t="s">
        <v>841</v>
      </c>
      <c r="AC365" s="250" t="s">
        <v>842</v>
      </c>
      <c r="AD365" s="250">
        <v>220</v>
      </c>
      <c r="AE365" s="250"/>
      <c r="AF365" s="250"/>
      <c r="AG365" s="241"/>
    </row>
    <row r="366" spans="1:33" ht="15.75">
      <c r="A366" s="250" t="s">
        <v>997</v>
      </c>
      <c r="B366" s="250">
        <v>15</v>
      </c>
      <c r="C366" s="250">
        <v>120</v>
      </c>
      <c r="D366" s="250" t="s">
        <v>906</v>
      </c>
      <c r="E366" s="250">
        <v>1.5</v>
      </c>
      <c r="F366" s="251">
        <v>45112.652777777781</v>
      </c>
      <c r="G366" s="250">
        <v>1</v>
      </c>
      <c r="H366" s="250">
        <v>51.3675</v>
      </c>
      <c r="I366" s="250">
        <v>6.6840099999999998</v>
      </c>
      <c r="J366" s="250">
        <v>-5.9944050000000004</v>
      </c>
      <c r="K366" s="250">
        <v>-5.1578619999999997</v>
      </c>
      <c r="L366" s="250">
        <v>1011.9</v>
      </c>
      <c r="M366" s="250">
        <v>120.500906</v>
      </c>
      <c r="N366" s="250">
        <v>18335.093000000001</v>
      </c>
      <c r="O366" s="250">
        <v>18323.9594</v>
      </c>
      <c r="P366" s="250">
        <v>2013.7414200000001</v>
      </c>
      <c r="Q366" s="250">
        <v>2019.2156299999999</v>
      </c>
      <c r="R366" s="250" t="s">
        <v>839</v>
      </c>
      <c r="S366" s="250" t="s">
        <v>769</v>
      </c>
      <c r="T366" s="250">
        <v>15</v>
      </c>
      <c r="U366" s="250">
        <v>5</v>
      </c>
      <c r="V366" s="250">
        <v>0.7</v>
      </c>
      <c r="W366" s="250">
        <v>0.7</v>
      </c>
      <c r="X366" s="250">
        <v>0.7</v>
      </c>
      <c r="Y366" s="250">
        <v>1700</v>
      </c>
      <c r="Z366" s="250" t="s">
        <v>840</v>
      </c>
      <c r="AA366" s="250">
        <v>0.85</v>
      </c>
      <c r="AB366" s="250" t="s">
        <v>841</v>
      </c>
      <c r="AC366" s="250" t="s">
        <v>842</v>
      </c>
      <c r="AD366" s="250">
        <v>220</v>
      </c>
      <c r="AE366" s="250"/>
      <c r="AF366" s="250"/>
      <c r="AG366" s="241"/>
    </row>
    <row r="367" spans="1:33" ht="15.75">
      <c r="A367" s="250" t="s">
        <v>868</v>
      </c>
      <c r="B367" s="250">
        <v>16</v>
      </c>
      <c r="C367" s="250">
        <v>121</v>
      </c>
      <c r="D367" s="250" t="s">
        <v>911</v>
      </c>
      <c r="E367" s="250">
        <v>1.5</v>
      </c>
      <c r="F367" s="251">
        <v>45112.656944444447</v>
      </c>
      <c r="G367" s="250">
        <v>1</v>
      </c>
      <c r="H367" s="250">
        <v>51.3675</v>
      </c>
      <c r="I367" s="250">
        <v>6.7158199999999999</v>
      </c>
      <c r="J367" s="250">
        <v>-5.949662</v>
      </c>
      <c r="K367" s="250">
        <v>-5.1236959999999998</v>
      </c>
      <c r="L367" s="250">
        <v>1033.93</v>
      </c>
      <c r="M367" s="250">
        <v>116.00024999999999</v>
      </c>
      <c r="N367" s="250">
        <v>18283.3691</v>
      </c>
      <c r="O367" s="250">
        <v>18321.806</v>
      </c>
      <c r="P367" s="250">
        <v>2013.50675</v>
      </c>
      <c r="Q367" s="250">
        <v>2018.9809600000001</v>
      </c>
      <c r="R367" s="250" t="s">
        <v>647</v>
      </c>
      <c r="S367" s="250" t="s">
        <v>769</v>
      </c>
      <c r="T367" s="250">
        <v>15</v>
      </c>
      <c r="U367" s="250">
        <v>5</v>
      </c>
      <c r="V367" s="250">
        <v>0.7</v>
      </c>
      <c r="W367" s="250">
        <v>0.7</v>
      </c>
      <c r="X367" s="250">
        <v>0.7</v>
      </c>
      <c r="Y367" s="250">
        <v>1700</v>
      </c>
      <c r="Z367" s="250" t="s">
        <v>840</v>
      </c>
      <c r="AA367" s="250">
        <v>0.85</v>
      </c>
      <c r="AB367" s="250" t="s">
        <v>841</v>
      </c>
      <c r="AC367" s="250" t="s">
        <v>842</v>
      </c>
      <c r="AD367" s="250">
        <v>220</v>
      </c>
      <c r="AE367" s="250"/>
      <c r="AF367" s="250"/>
      <c r="AG367" s="241"/>
    </row>
    <row r="368" spans="1:33" ht="15.75">
      <c r="A368" s="250" t="s">
        <v>999</v>
      </c>
      <c r="B368" s="250">
        <v>16</v>
      </c>
      <c r="C368" s="250">
        <v>121</v>
      </c>
      <c r="D368" s="250" t="s">
        <v>911</v>
      </c>
      <c r="E368" s="250">
        <v>1.5</v>
      </c>
      <c r="F368" s="251">
        <v>45112.660416666666</v>
      </c>
      <c r="G368" s="250">
        <v>1</v>
      </c>
      <c r="H368" s="250">
        <v>51.370800000000003</v>
      </c>
      <c r="I368" s="250">
        <v>6.6702399999999997</v>
      </c>
      <c r="J368" s="250">
        <v>-5.9868009999999998</v>
      </c>
      <c r="K368" s="250">
        <v>-5.1403340000000002</v>
      </c>
      <c r="L368" s="250">
        <v>1011.5</v>
      </c>
      <c r="M368" s="250">
        <v>125.50109500000001</v>
      </c>
      <c r="N368" s="250">
        <v>18255.820599999999</v>
      </c>
      <c r="O368" s="250">
        <v>18321.806</v>
      </c>
      <c r="P368" s="250">
        <v>2013.50675</v>
      </c>
      <c r="Q368" s="250">
        <v>2018.9809600000001</v>
      </c>
      <c r="R368" s="250" t="s">
        <v>647</v>
      </c>
      <c r="S368" s="250" t="s">
        <v>769</v>
      </c>
      <c r="T368" s="250">
        <v>15</v>
      </c>
      <c r="U368" s="250">
        <v>5</v>
      </c>
      <c r="V368" s="250">
        <v>0.7</v>
      </c>
      <c r="W368" s="250">
        <v>0.7</v>
      </c>
      <c r="X368" s="250">
        <v>0.7</v>
      </c>
      <c r="Y368" s="250">
        <v>1700</v>
      </c>
      <c r="Z368" s="250" t="s">
        <v>840</v>
      </c>
      <c r="AA368" s="250">
        <v>0.85</v>
      </c>
      <c r="AB368" s="250" t="s">
        <v>841</v>
      </c>
      <c r="AC368" s="250" t="s">
        <v>842</v>
      </c>
      <c r="AD368" s="250">
        <v>220</v>
      </c>
      <c r="AE368" s="250"/>
      <c r="AF368" s="250"/>
      <c r="AG368" s="241"/>
    </row>
    <row r="369" spans="1:33" ht="15.75">
      <c r="A369" s="250" t="s">
        <v>1000</v>
      </c>
      <c r="B369" s="250">
        <v>16</v>
      </c>
      <c r="C369" s="250">
        <v>121</v>
      </c>
      <c r="D369" s="250" t="s">
        <v>911</v>
      </c>
      <c r="E369" s="250">
        <v>1.5</v>
      </c>
      <c r="F369" s="251">
        <v>45112.663888888892</v>
      </c>
      <c r="G369" s="250">
        <v>1</v>
      </c>
      <c r="H369" s="250">
        <v>51.3675</v>
      </c>
      <c r="I369" s="250">
        <v>6.6037600000000003</v>
      </c>
      <c r="J369" s="250">
        <v>-5.9792430000000003</v>
      </c>
      <c r="K369" s="250">
        <v>-5.1411709999999999</v>
      </c>
      <c r="L369" s="250">
        <v>1019.72</v>
      </c>
      <c r="M369" s="250">
        <v>133.49893900000001</v>
      </c>
      <c r="N369" s="250">
        <v>18328.5229</v>
      </c>
      <c r="O369" s="250">
        <v>18321.806</v>
      </c>
      <c r="P369" s="250">
        <v>2013.50675</v>
      </c>
      <c r="Q369" s="250">
        <v>2018.9809600000001</v>
      </c>
      <c r="R369" s="250" t="s">
        <v>839</v>
      </c>
      <c r="S369" s="250" t="s">
        <v>769</v>
      </c>
      <c r="T369" s="250">
        <v>15</v>
      </c>
      <c r="U369" s="250">
        <v>5</v>
      </c>
      <c r="V369" s="250">
        <v>0.7</v>
      </c>
      <c r="W369" s="250">
        <v>0.7</v>
      </c>
      <c r="X369" s="250">
        <v>0.7</v>
      </c>
      <c r="Y369" s="250">
        <v>1700</v>
      </c>
      <c r="Z369" s="250" t="s">
        <v>840</v>
      </c>
      <c r="AA369" s="250">
        <v>0.85</v>
      </c>
      <c r="AB369" s="250" t="s">
        <v>841</v>
      </c>
      <c r="AC369" s="250" t="s">
        <v>842</v>
      </c>
      <c r="AD369" s="250">
        <v>220</v>
      </c>
      <c r="AE369" s="250"/>
      <c r="AF369" s="250"/>
      <c r="AG369" s="241"/>
    </row>
    <row r="370" spans="1:33" ht="15.75">
      <c r="A370" s="250" t="s">
        <v>1001</v>
      </c>
      <c r="B370" s="250">
        <v>16</v>
      </c>
      <c r="C370" s="250">
        <v>121</v>
      </c>
      <c r="D370" s="250" t="s">
        <v>911</v>
      </c>
      <c r="E370" s="250">
        <v>1.5</v>
      </c>
      <c r="F370" s="251">
        <v>45112.667361111111</v>
      </c>
      <c r="G370" s="250">
        <v>1</v>
      </c>
      <c r="H370" s="250">
        <v>51.3675</v>
      </c>
      <c r="I370" s="250">
        <v>6.6073300000000001</v>
      </c>
      <c r="J370" s="250">
        <v>-6.038888</v>
      </c>
      <c r="K370" s="250">
        <v>-5.1896610000000001</v>
      </c>
      <c r="L370" s="250">
        <v>1023.01</v>
      </c>
      <c r="M370" s="250">
        <v>123.000916</v>
      </c>
      <c r="N370" s="250">
        <v>18315.653900000001</v>
      </c>
      <c r="O370" s="250">
        <v>18321.806</v>
      </c>
      <c r="P370" s="250">
        <v>2013.50675</v>
      </c>
      <c r="Q370" s="250">
        <v>2018.9809600000001</v>
      </c>
      <c r="R370" s="250" t="s">
        <v>839</v>
      </c>
      <c r="S370" s="250" t="s">
        <v>769</v>
      </c>
      <c r="T370" s="250">
        <v>15</v>
      </c>
      <c r="U370" s="250">
        <v>5</v>
      </c>
      <c r="V370" s="250">
        <v>0.7</v>
      </c>
      <c r="W370" s="250">
        <v>0.7</v>
      </c>
      <c r="X370" s="250">
        <v>0.7</v>
      </c>
      <c r="Y370" s="250">
        <v>1700</v>
      </c>
      <c r="Z370" s="250" t="s">
        <v>840</v>
      </c>
      <c r="AA370" s="250">
        <v>0.85</v>
      </c>
      <c r="AB370" s="250" t="s">
        <v>841</v>
      </c>
      <c r="AC370" s="250" t="s">
        <v>842</v>
      </c>
      <c r="AD370" s="250">
        <v>220</v>
      </c>
      <c r="AE370" s="250"/>
      <c r="AF370" s="250"/>
      <c r="AG370" s="241"/>
    </row>
    <row r="371" spans="1:33" ht="15.75">
      <c r="A371" s="250" t="s">
        <v>1050</v>
      </c>
      <c r="B371" s="250">
        <v>16</v>
      </c>
      <c r="C371" s="250">
        <v>121</v>
      </c>
      <c r="D371" s="250" t="s">
        <v>911</v>
      </c>
      <c r="E371" s="250">
        <v>1.5</v>
      </c>
      <c r="F371" s="251">
        <v>45112.67083333333</v>
      </c>
      <c r="G371" s="250">
        <v>1</v>
      </c>
      <c r="H371" s="250">
        <v>51.370800000000003</v>
      </c>
      <c r="I371" s="250">
        <v>6.5927600000000002</v>
      </c>
      <c r="J371" s="250">
        <v>-6.0323140000000004</v>
      </c>
      <c r="K371" s="250">
        <v>-5.1935289999999998</v>
      </c>
      <c r="L371" s="250">
        <v>1027.5899999999999</v>
      </c>
      <c r="M371" s="250">
        <v>129.49956499999999</v>
      </c>
      <c r="N371" s="250">
        <v>18321.2412</v>
      </c>
      <c r="O371" s="250">
        <v>18321.806</v>
      </c>
      <c r="P371" s="250">
        <v>2013.50675</v>
      </c>
      <c r="Q371" s="250">
        <v>2018.9809600000001</v>
      </c>
      <c r="R371" s="250" t="s">
        <v>839</v>
      </c>
      <c r="S371" s="250" t="s">
        <v>769</v>
      </c>
      <c r="T371" s="250">
        <v>15</v>
      </c>
      <c r="U371" s="250">
        <v>5</v>
      </c>
      <c r="V371" s="250">
        <v>0.7</v>
      </c>
      <c r="W371" s="250">
        <v>0.7</v>
      </c>
      <c r="X371" s="250">
        <v>0.7</v>
      </c>
      <c r="Y371" s="250">
        <v>1700</v>
      </c>
      <c r="Z371" s="250" t="s">
        <v>840</v>
      </c>
      <c r="AA371" s="250">
        <v>0.85</v>
      </c>
      <c r="AB371" s="250" t="s">
        <v>841</v>
      </c>
      <c r="AC371" s="250" t="s">
        <v>842</v>
      </c>
      <c r="AD371" s="250">
        <v>220</v>
      </c>
      <c r="AE371" s="250"/>
      <c r="AF371" s="250"/>
      <c r="AG371" s="241"/>
    </row>
    <row r="372" spans="1:33" ht="15.75">
      <c r="A372" s="250" t="s">
        <v>869</v>
      </c>
      <c r="B372" s="250">
        <v>17</v>
      </c>
      <c r="C372" s="250">
        <v>116</v>
      </c>
      <c r="D372" s="250" t="s">
        <v>915</v>
      </c>
      <c r="E372" s="250">
        <v>1.5</v>
      </c>
      <c r="F372" s="251">
        <v>45112.675000000003</v>
      </c>
      <c r="G372" s="250">
        <v>1</v>
      </c>
      <c r="H372" s="250">
        <v>51.3675</v>
      </c>
      <c r="I372" s="250">
        <v>6.6323100000000004</v>
      </c>
      <c r="J372" s="250">
        <v>-6.063599</v>
      </c>
      <c r="K372" s="250">
        <v>-5.2324109999999999</v>
      </c>
      <c r="L372" s="250">
        <v>1015.79</v>
      </c>
      <c r="M372" s="250">
        <v>126.499617</v>
      </c>
      <c r="N372" s="250">
        <v>18194.5648</v>
      </c>
      <c r="O372" s="250">
        <v>18196.8963</v>
      </c>
      <c r="P372" s="250">
        <v>1999.8941199999999</v>
      </c>
      <c r="Q372" s="250">
        <v>2005.36833</v>
      </c>
      <c r="R372" s="250" t="s">
        <v>839</v>
      </c>
      <c r="S372" s="250" t="s">
        <v>769</v>
      </c>
      <c r="T372" s="250">
        <v>15</v>
      </c>
      <c r="U372" s="250">
        <v>5</v>
      </c>
      <c r="V372" s="250">
        <v>0.7</v>
      </c>
      <c r="W372" s="250">
        <v>0.7</v>
      </c>
      <c r="X372" s="250">
        <v>0.7</v>
      </c>
      <c r="Y372" s="250">
        <v>1700</v>
      </c>
      <c r="Z372" s="250" t="s">
        <v>840</v>
      </c>
      <c r="AA372" s="250">
        <v>0.85</v>
      </c>
      <c r="AB372" s="250" t="s">
        <v>841</v>
      </c>
      <c r="AC372" s="250" t="s">
        <v>842</v>
      </c>
      <c r="AD372" s="250">
        <v>220</v>
      </c>
      <c r="AE372" s="250"/>
      <c r="AF372" s="250"/>
      <c r="AG372" s="241"/>
    </row>
    <row r="373" spans="1:33" ht="15.75">
      <c r="A373" s="250" t="s">
        <v>1002</v>
      </c>
      <c r="B373" s="250">
        <v>17</v>
      </c>
      <c r="C373" s="250">
        <v>116</v>
      </c>
      <c r="D373" s="250" t="s">
        <v>915</v>
      </c>
      <c r="E373" s="250">
        <v>1.5</v>
      </c>
      <c r="F373" s="251">
        <v>45112.679166666669</v>
      </c>
      <c r="G373" s="250">
        <v>1</v>
      </c>
      <c r="H373" s="250">
        <v>51.370800000000003</v>
      </c>
      <c r="I373" s="250">
        <v>6.6616999999999997</v>
      </c>
      <c r="J373" s="250">
        <v>-6.1438899999999999</v>
      </c>
      <c r="K373" s="250">
        <v>-5.2984390000000001</v>
      </c>
      <c r="L373" s="250">
        <v>998.53700000000003</v>
      </c>
      <c r="M373" s="250">
        <v>126.999925</v>
      </c>
      <c r="N373" s="250">
        <v>18186.606299999999</v>
      </c>
      <c r="O373" s="250">
        <v>18196.8963</v>
      </c>
      <c r="P373" s="250">
        <v>1999.8941199999999</v>
      </c>
      <c r="Q373" s="250">
        <v>2005.36833</v>
      </c>
      <c r="R373" s="250" t="s">
        <v>839</v>
      </c>
      <c r="S373" s="250" t="s">
        <v>769</v>
      </c>
      <c r="T373" s="250">
        <v>15</v>
      </c>
      <c r="U373" s="250">
        <v>5</v>
      </c>
      <c r="V373" s="250">
        <v>0.7</v>
      </c>
      <c r="W373" s="250">
        <v>0.7</v>
      </c>
      <c r="X373" s="250">
        <v>0.7</v>
      </c>
      <c r="Y373" s="250">
        <v>1700</v>
      </c>
      <c r="Z373" s="250" t="s">
        <v>840</v>
      </c>
      <c r="AA373" s="250">
        <v>0.85</v>
      </c>
      <c r="AB373" s="250" t="s">
        <v>841</v>
      </c>
      <c r="AC373" s="250" t="s">
        <v>842</v>
      </c>
      <c r="AD373" s="250">
        <v>220</v>
      </c>
      <c r="AE373" s="250"/>
      <c r="AF373" s="250"/>
      <c r="AG373" s="241"/>
    </row>
    <row r="374" spans="1:33" ht="15.75">
      <c r="A374" s="250" t="s">
        <v>1003</v>
      </c>
      <c r="B374" s="250">
        <v>17</v>
      </c>
      <c r="C374" s="250">
        <v>116</v>
      </c>
      <c r="D374" s="250" t="s">
        <v>915</v>
      </c>
      <c r="E374" s="250">
        <v>1.5</v>
      </c>
      <c r="F374" s="251">
        <v>45112.682638888888</v>
      </c>
      <c r="G374" s="250">
        <v>1</v>
      </c>
      <c r="H374" s="250">
        <v>51.3675</v>
      </c>
      <c r="I374" s="250">
        <v>6.58833</v>
      </c>
      <c r="J374" s="250">
        <v>-6.1781790000000001</v>
      </c>
      <c r="K374" s="250">
        <v>-5.3384410000000004</v>
      </c>
      <c r="L374" s="250">
        <v>1009.71</v>
      </c>
      <c r="M374" s="250">
        <v>127.49964900000001</v>
      </c>
      <c r="N374" s="250">
        <v>18209.5177</v>
      </c>
      <c r="O374" s="250">
        <v>18196.8963</v>
      </c>
      <c r="P374" s="250">
        <v>1999.8941199999999</v>
      </c>
      <c r="Q374" s="250">
        <v>2005.36833</v>
      </c>
      <c r="R374" s="250" t="s">
        <v>839</v>
      </c>
      <c r="S374" s="250" t="s">
        <v>769</v>
      </c>
      <c r="T374" s="250">
        <v>15</v>
      </c>
      <c r="U374" s="250">
        <v>5</v>
      </c>
      <c r="V374" s="250">
        <v>0.7</v>
      </c>
      <c r="W374" s="250">
        <v>0.7</v>
      </c>
      <c r="X374" s="250">
        <v>0.7</v>
      </c>
      <c r="Y374" s="250">
        <v>1700</v>
      </c>
      <c r="Z374" s="250" t="s">
        <v>840</v>
      </c>
      <c r="AA374" s="250">
        <v>0.85</v>
      </c>
      <c r="AB374" s="250" t="s">
        <v>841</v>
      </c>
      <c r="AC374" s="250" t="s">
        <v>842</v>
      </c>
      <c r="AD374" s="250">
        <v>220</v>
      </c>
      <c r="AE374" s="250"/>
      <c r="AF374" s="250"/>
      <c r="AG374" s="241"/>
    </row>
    <row r="375" spans="1:33" ht="15.75">
      <c r="A375" s="250" t="s">
        <v>870</v>
      </c>
      <c r="B375" s="250">
        <v>18</v>
      </c>
      <c r="C375" s="250">
        <v>117</v>
      </c>
      <c r="D375" s="250" t="s">
        <v>926</v>
      </c>
      <c r="E375" s="250">
        <v>1.5</v>
      </c>
      <c r="F375" s="251">
        <v>45112.686805555553</v>
      </c>
      <c r="G375" s="250">
        <v>1</v>
      </c>
      <c r="H375" s="250">
        <v>51.370800000000003</v>
      </c>
      <c r="I375" s="250">
        <v>6.71462</v>
      </c>
      <c r="J375" s="250">
        <v>-6.1529569999999998</v>
      </c>
      <c r="K375" s="250">
        <v>-5.3117869999999998</v>
      </c>
      <c r="L375" s="250">
        <v>1011.1</v>
      </c>
      <c r="M375" s="250">
        <v>122.49846100000001</v>
      </c>
      <c r="N375" s="250">
        <v>18303.863600000001</v>
      </c>
      <c r="O375" s="250">
        <v>18292.366099999999</v>
      </c>
      <c r="P375" s="250">
        <v>2010.2983999999999</v>
      </c>
      <c r="Q375" s="250">
        <v>2015.77261</v>
      </c>
      <c r="R375" s="250" t="s">
        <v>839</v>
      </c>
      <c r="S375" s="250" t="s">
        <v>769</v>
      </c>
      <c r="T375" s="250">
        <v>15</v>
      </c>
      <c r="U375" s="250">
        <v>5</v>
      </c>
      <c r="V375" s="250">
        <v>0.7</v>
      </c>
      <c r="W375" s="250">
        <v>0.7</v>
      </c>
      <c r="X375" s="250">
        <v>0.7</v>
      </c>
      <c r="Y375" s="250">
        <v>1700</v>
      </c>
      <c r="Z375" s="250" t="s">
        <v>840</v>
      </c>
      <c r="AA375" s="250">
        <v>0.85</v>
      </c>
      <c r="AB375" s="250" t="s">
        <v>841</v>
      </c>
      <c r="AC375" s="250" t="s">
        <v>842</v>
      </c>
      <c r="AD375" s="250">
        <v>220</v>
      </c>
      <c r="AE375" s="250"/>
      <c r="AF375" s="250"/>
      <c r="AG375" s="241"/>
    </row>
    <row r="376" spans="1:33" ht="15.75">
      <c r="A376" s="250" t="s">
        <v>1004</v>
      </c>
      <c r="B376" s="250">
        <v>18</v>
      </c>
      <c r="C376" s="250">
        <v>117</v>
      </c>
      <c r="D376" s="250" t="s">
        <v>926</v>
      </c>
      <c r="E376" s="250">
        <v>1.5</v>
      </c>
      <c r="F376" s="251">
        <v>45112.69027777778</v>
      </c>
      <c r="G376" s="250">
        <v>1</v>
      </c>
      <c r="H376" s="250">
        <v>51.370800000000003</v>
      </c>
      <c r="I376" s="250">
        <v>6.71584</v>
      </c>
      <c r="J376" s="250">
        <v>-6.112438</v>
      </c>
      <c r="K376" s="250">
        <v>-5.2673579999999998</v>
      </c>
      <c r="L376" s="250">
        <v>1038.5</v>
      </c>
      <c r="M376" s="250">
        <v>117.000947</v>
      </c>
      <c r="N376" s="250">
        <v>18258.009699999999</v>
      </c>
      <c r="O376" s="250">
        <v>18292.366099999999</v>
      </c>
      <c r="P376" s="250">
        <v>2010.2983999999999</v>
      </c>
      <c r="Q376" s="250">
        <v>2015.77261</v>
      </c>
      <c r="R376" s="250" t="s">
        <v>647</v>
      </c>
      <c r="S376" s="250" t="s">
        <v>769</v>
      </c>
      <c r="T376" s="250">
        <v>15</v>
      </c>
      <c r="U376" s="250">
        <v>5</v>
      </c>
      <c r="V376" s="250">
        <v>0.7</v>
      </c>
      <c r="W376" s="250">
        <v>0.7</v>
      </c>
      <c r="X376" s="250">
        <v>0.7</v>
      </c>
      <c r="Y376" s="250">
        <v>1700</v>
      </c>
      <c r="Z376" s="250" t="s">
        <v>840</v>
      </c>
      <c r="AA376" s="250">
        <v>0.85</v>
      </c>
      <c r="AB376" s="250" t="s">
        <v>841</v>
      </c>
      <c r="AC376" s="250" t="s">
        <v>842</v>
      </c>
      <c r="AD376" s="250">
        <v>220</v>
      </c>
      <c r="AE376" s="250"/>
      <c r="AF376" s="250"/>
      <c r="AG376" s="241"/>
    </row>
    <row r="377" spans="1:33" ht="15.75">
      <c r="A377" s="250" t="s">
        <v>1005</v>
      </c>
      <c r="B377" s="250">
        <v>18</v>
      </c>
      <c r="C377" s="250">
        <v>117</v>
      </c>
      <c r="D377" s="250" t="s">
        <v>926</v>
      </c>
      <c r="E377" s="250">
        <v>1.5</v>
      </c>
      <c r="F377" s="251">
        <v>45112.693749999999</v>
      </c>
      <c r="G377" s="250">
        <v>1</v>
      </c>
      <c r="H377" s="250">
        <v>51.3675</v>
      </c>
      <c r="I377" s="250">
        <v>6.7667200000000003</v>
      </c>
      <c r="J377" s="250">
        <v>-6.1738790000000003</v>
      </c>
      <c r="K377" s="250">
        <v>-5.326492</v>
      </c>
      <c r="L377" s="250">
        <v>1016.65</v>
      </c>
      <c r="M377" s="250">
        <v>123.50008200000001</v>
      </c>
      <c r="N377" s="250">
        <v>18279.682700000001</v>
      </c>
      <c r="O377" s="250">
        <v>18292.366099999999</v>
      </c>
      <c r="P377" s="250">
        <v>2010.2983999999999</v>
      </c>
      <c r="Q377" s="250">
        <v>2015.77261</v>
      </c>
      <c r="R377" s="250" t="s">
        <v>839</v>
      </c>
      <c r="S377" s="250" t="s">
        <v>769</v>
      </c>
      <c r="T377" s="250">
        <v>15</v>
      </c>
      <c r="U377" s="250">
        <v>5</v>
      </c>
      <c r="V377" s="250">
        <v>0.7</v>
      </c>
      <c r="W377" s="250">
        <v>0.7</v>
      </c>
      <c r="X377" s="250">
        <v>0.7</v>
      </c>
      <c r="Y377" s="250">
        <v>1700</v>
      </c>
      <c r="Z377" s="250" t="s">
        <v>840</v>
      </c>
      <c r="AA377" s="250">
        <v>0.85</v>
      </c>
      <c r="AB377" s="250" t="s">
        <v>841</v>
      </c>
      <c r="AC377" s="250" t="s">
        <v>842</v>
      </c>
      <c r="AD377" s="250">
        <v>220</v>
      </c>
      <c r="AE377" s="250"/>
      <c r="AF377" s="250"/>
      <c r="AG377" s="241"/>
    </row>
    <row r="378" spans="1:33" ht="15.75">
      <c r="A378" s="250" t="s">
        <v>1032</v>
      </c>
      <c r="B378" s="250">
        <v>18</v>
      </c>
      <c r="C378" s="250">
        <v>117</v>
      </c>
      <c r="D378" s="250" t="s">
        <v>926</v>
      </c>
      <c r="E378" s="250">
        <v>1.5</v>
      </c>
      <c r="F378" s="251">
        <v>45112.697222222225</v>
      </c>
      <c r="G378" s="250">
        <v>1</v>
      </c>
      <c r="H378" s="250">
        <v>51.3675</v>
      </c>
      <c r="I378" s="250">
        <v>6.74397</v>
      </c>
      <c r="J378" s="250">
        <v>-6.3147060000000002</v>
      </c>
      <c r="K378" s="250">
        <v>-5.4661270000000002</v>
      </c>
      <c r="L378" s="250">
        <v>1014.98</v>
      </c>
      <c r="M378" s="250">
        <v>132.00043500000001</v>
      </c>
      <c r="N378" s="250">
        <v>18293.552199999998</v>
      </c>
      <c r="O378" s="250">
        <v>18292.366099999999</v>
      </c>
      <c r="P378" s="250">
        <v>2010.2983999999999</v>
      </c>
      <c r="Q378" s="250">
        <v>2015.77261</v>
      </c>
      <c r="R378" s="250" t="s">
        <v>839</v>
      </c>
      <c r="S378" s="250" t="s">
        <v>769</v>
      </c>
      <c r="T378" s="250">
        <v>15</v>
      </c>
      <c r="U378" s="250">
        <v>5</v>
      </c>
      <c r="V378" s="250">
        <v>0.7</v>
      </c>
      <c r="W378" s="250">
        <v>0.7</v>
      </c>
      <c r="X378" s="250">
        <v>0.7</v>
      </c>
      <c r="Y378" s="250">
        <v>1700</v>
      </c>
      <c r="Z378" s="250" t="s">
        <v>840</v>
      </c>
      <c r="AA378" s="250">
        <v>0.85</v>
      </c>
      <c r="AB378" s="250" t="s">
        <v>841</v>
      </c>
      <c r="AC378" s="250" t="s">
        <v>842</v>
      </c>
      <c r="AD378" s="250">
        <v>220</v>
      </c>
      <c r="AE378" s="250"/>
      <c r="AF378" s="250"/>
      <c r="AG378" s="241"/>
    </row>
    <row r="379" spans="1:33" ht="15.75">
      <c r="A379" s="250" t="s">
        <v>871</v>
      </c>
      <c r="B379" s="250">
        <v>19</v>
      </c>
      <c r="C379" s="250">
        <v>132</v>
      </c>
      <c r="D379" s="250" t="s">
        <v>930</v>
      </c>
      <c r="E379" s="250">
        <v>1.5</v>
      </c>
      <c r="F379" s="251">
        <v>45112.701388888891</v>
      </c>
      <c r="G379" s="250">
        <v>1</v>
      </c>
      <c r="H379" s="250">
        <v>51.370800000000003</v>
      </c>
      <c r="I379" s="250">
        <v>6.7048300000000003</v>
      </c>
      <c r="J379" s="250">
        <v>-6.2291860000000003</v>
      </c>
      <c r="K379" s="250">
        <v>-5.3802989999999999</v>
      </c>
      <c r="L379" s="250">
        <v>1032.3800000000001</v>
      </c>
      <c r="M379" s="250">
        <v>139.499831</v>
      </c>
      <c r="N379" s="250">
        <v>18304.750499999998</v>
      </c>
      <c r="O379" s="250">
        <v>18295.9954</v>
      </c>
      <c r="P379" s="250">
        <v>2010.6939199999999</v>
      </c>
      <c r="Q379" s="250">
        <v>2016.16813</v>
      </c>
      <c r="R379" s="250" t="s">
        <v>839</v>
      </c>
      <c r="S379" s="250" t="s">
        <v>769</v>
      </c>
      <c r="T379" s="250">
        <v>15</v>
      </c>
      <c r="U379" s="250">
        <v>5</v>
      </c>
      <c r="V379" s="250">
        <v>0.7</v>
      </c>
      <c r="W379" s="250">
        <v>0.7</v>
      </c>
      <c r="X379" s="250">
        <v>0.7</v>
      </c>
      <c r="Y379" s="250">
        <v>1700</v>
      </c>
      <c r="Z379" s="250" t="s">
        <v>840</v>
      </c>
      <c r="AA379" s="250">
        <v>0.85</v>
      </c>
      <c r="AB379" s="250" t="s">
        <v>841</v>
      </c>
      <c r="AC379" s="250" t="s">
        <v>842</v>
      </c>
      <c r="AD379" s="250">
        <v>220</v>
      </c>
      <c r="AE379" s="250"/>
      <c r="AF379" s="250"/>
      <c r="AG379" s="241"/>
    </row>
    <row r="380" spans="1:33" ht="15.75">
      <c r="A380" s="250" t="s">
        <v>1006</v>
      </c>
      <c r="B380" s="250">
        <v>19</v>
      </c>
      <c r="C380" s="250">
        <v>132</v>
      </c>
      <c r="D380" s="250" t="s">
        <v>930</v>
      </c>
      <c r="E380" s="250">
        <v>1.5</v>
      </c>
      <c r="F380" s="251">
        <v>45112.705555555556</v>
      </c>
      <c r="G380" s="250">
        <v>1</v>
      </c>
      <c r="H380" s="250">
        <v>51.370800000000003</v>
      </c>
      <c r="I380" s="250">
        <v>6.7339700000000002</v>
      </c>
      <c r="J380" s="250">
        <v>-6.1079319999999999</v>
      </c>
      <c r="K380" s="250">
        <v>-5.2713020000000004</v>
      </c>
      <c r="L380" s="250">
        <v>1030.44</v>
      </c>
      <c r="M380" s="250">
        <v>126.000935</v>
      </c>
      <c r="N380" s="250">
        <v>18298.995500000001</v>
      </c>
      <c r="O380" s="250">
        <v>18295.9954</v>
      </c>
      <c r="P380" s="250">
        <v>2010.6939199999999</v>
      </c>
      <c r="Q380" s="250">
        <v>2016.16813</v>
      </c>
      <c r="R380" s="250" t="s">
        <v>839</v>
      </c>
      <c r="S380" s="250" t="s">
        <v>769</v>
      </c>
      <c r="T380" s="250">
        <v>15</v>
      </c>
      <c r="U380" s="250">
        <v>5</v>
      </c>
      <c r="V380" s="250">
        <v>0.7</v>
      </c>
      <c r="W380" s="250">
        <v>0.7</v>
      </c>
      <c r="X380" s="250">
        <v>0.7</v>
      </c>
      <c r="Y380" s="250">
        <v>1700</v>
      </c>
      <c r="Z380" s="250" t="s">
        <v>840</v>
      </c>
      <c r="AA380" s="250">
        <v>0.85</v>
      </c>
      <c r="AB380" s="250" t="s">
        <v>841</v>
      </c>
      <c r="AC380" s="250" t="s">
        <v>842</v>
      </c>
      <c r="AD380" s="250">
        <v>220</v>
      </c>
      <c r="AE380" s="250"/>
      <c r="AF380" s="250"/>
      <c r="AG380" s="241"/>
    </row>
    <row r="381" spans="1:33" ht="15.75">
      <c r="A381" s="250" t="s">
        <v>1007</v>
      </c>
      <c r="B381" s="250">
        <v>19</v>
      </c>
      <c r="C381" s="250">
        <v>132</v>
      </c>
      <c r="D381" s="250" t="s">
        <v>930</v>
      </c>
      <c r="E381" s="250">
        <v>1.5</v>
      </c>
      <c r="F381" s="251">
        <v>45112.709027777775</v>
      </c>
      <c r="G381" s="250">
        <v>1</v>
      </c>
      <c r="H381" s="250">
        <v>51.360799999999998</v>
      </c>
      <c r="I381" s="250">
        <v>6.7486800000000002</v>
      </c>
      <c r="J381" s="250">
        <v>-6.1293490000000004</v>
      </c>
      <c r="K381" s="250">
        <v>-5.3135120000000002</v>
      </c>
      <c r="L381" s="250">
        <v>1009.36</v>
      </c>
      <c r="M381" s="250">
        <v>125.499999</v>
      </c>
      <c r="N381" s="250">
        <v>18284.2402</v>
      </c>
      <c r="O381" s="250">
        <v>18295.9954</v>
      </c>
      <c r="P381" s="250">
        <v>2010.6939199999999</v>
      </c>
      <c r="Q381" s="250">
        <v>2016.16813</v>
      </c>
      <c r="R381" s="250" t="s">
        <v>839</v>
      </c>
      <c r="S381" s="250" t="s">
        <v>769</v>
      </c>
      <c r="T381" s="250">
        <v>15</v>
      </c>
      <c r="U381" s="250">
        <v>5</v>
      </c>
      <c r="V381" s="250">
        <v>0.7</v>
      </c>
      <c r="W381" s="250">
        <v>0.7</v>
      </c>
      <c r="X381" s="250">
        <v>0.7</v>
      </c>
      <c r="Y381" s="250">
        <v>1700</v>
      </c>
      <c r="Z381" s="250" t="s">
        <v>840</v>
      </c>
      <c r="AA381" s="250">
        <v>0.85</v>
      </c>
      <c r="AB381" s="250" t="s">
        <v>841</v>
      </c>
      <c r="AC381" s="250" t="s">
        <v>842</v>
      </c>
      <c r="AD381" s="250">
        <v>220</v>
      </c>
      <c r="AE381" s="250"/>
      <c r="AF381" s="250"/>
      <c r="AG381" s="241"/>
    </row>
    <row r="382" spans="1:33" ht="15.75">
      <c r="A382" s="250" t="s">
        <v>872</v>
      </c>
      <c r="B382" s="250">
        <v>20</v>
      </c>
      <c r="C382" s="250">
        <v>133</v>
      </c>
      <c r="D382" s="250" t="s">
        <v>936</v>
      </c>
      <c r="E382" s="250">
        <v>1.5</v>
      </c>
      <c r="F382" s="251">
        <v>45112.713194444441</v>
      </c>
      <c r="G382" s="250">
        <v>1</v>
      </c>
      <c r="H382" s="250">
        <v>51.370800000000003</v>
      </c>
      <c r="I382" s="250">
        <v>6.7233799999999997</v>
      </c>
      <c r="J382" s="250">
        <v>-6.1173919999999997</v>
      </c>
      <c r="K382" s="250">
        <v>-5.2717660000000004</v>
      </c>
      <c r="L382" s="250">
        <v>1022.34</v>
      </c>
      <c r="M382" s="250">
        <v>128.50071600000001</v>
      </c>
      <c r="N382" s="250">
        <v>18404.171399999999</v>
      </c>
      <c r="O382" s="250">
        <v>18387.297399999999</v>
      </c>
      <c r="P382" s="250">
        <v>2020.6439800000001</v>
      </c>
      <c r="Q382" s="250">
        <v>2026.1181899999999</v>
      </c>
      <c r="R382" s="250" t="s">
        <v>839</v>
      </c>
      <c r="S382" s="250" t="s">
        <v>769</v>
      </c>
      <c r="T382" s="250">
        <v>15</v>
      </c>
      <c r="U382" s="250">
        <v>5</v>
      </c>
      <c r="V382" s="250">
        <v>0.7</v>
      </c>
      <c r="W382" s="250">
        <v>0.7</v>
      </c>
      <c r="X382" s="250">
        <v>0.7</v>
      </c>
      <c r="Y382" s="250">
        <v>1700</v>
      </c>
      <c r="Z382" s="250" t="s">
        <v>840</v>
      </c>
      <c r="AA382" s="250">
        <v>0.85</v>
      </c>
      <c r="AB382" s="250" t="s">
        <v>841</v>
      </c>
      <c r="AC382" s="250" t="s">
        <v>842</v>
      </c>
      <c r="AD382" s="250">
        <v>220</v>
      </c>
      <c r="AE382" s="250"/>
      <c r="AF382" s="250"/>
      <c r="AG382" s="241"/>
    </row>
    <row r="383" spans="1:33" ht="15.75">
      <c r="A383" s="250" t="s">
        <v>1010</v>
      </c>
      <c r="B383" s="250">
        <v>20</v>
      </c>
      <c r="C383" s="250">
        <v>133</v>
      </c>
      <c r="D383" s="250" t="s">
        <v>936</v>
      </c>
      <c r="E383" s="250">
        <v>1.5</v>
      </c>
      <c r="F383" s="251">
        <v>45112.716666666667</v>
      </c>
      <c r="G383" s="250">
        <v>1</v>
      </c>
      <c r="H383" s="250">
        <v>51.3675</v>
      </c>
      <c r="I383" s="250">
        <v>6.7194099999999999</v>
      </c>
      <c r="J383" s="250">
        <v>-6.0654170000000001</v>
      </c>
      <c r="K383" s="250">
        <v>-5.2179359999999999</v>
      </c>
      <c r="L383" s="250">
        <v>1033.03</v>
      </c>
      <c r="M383" s="250">
        <v>117.500159</v>
      </c>
      <c r="N383" s="250">
        <v>18368.59</v>
      </c>
      <c r="O383" s="250">
        <v>18387.297399999999</v>
      </c>
      <c r="P383" s="250">
        <v>2020.6439800000001</v>
      </c>
      <c r="Q383" s="250">
        <v>2026.1181899999999</v>
      </c>
      <c r="R383" s="250" t="s">
        <v>839</v>
      </c>
      <c r="S383" s="250" t="s">
        <v>769</v>
      </c>
      <c r="T383" s="250">
        <v>15</v>
      </c>
      <c r="U383" s="250">
        <v>5</v>
      </c>
      <c r="V383" s="250">
        <v>0.7</v>
      </c>
      <c r="W383" s="250">
        <v>0.7</v>
      </c>
      <c r="X383" s="250">
        <v>0.7</v>
      </c>
      <c r="Y383" s="250">
        <v>1700</v>
      </c>
      <c r="Z383" s="250" t="s">
        <v>840</v>
      </c>
      <c r="AA383" s="250">
        <v>0.85</v>
      </c>
      <c r="AB383" s="250" t="s">
        <v>841</v>
      </c>
      <c r="AC383" s="250" t="s">
        <v>842</v>
      </c>
      <c r="AD383" s="250">
        <v>220</v>
      </c>
      <c r="AE383" s="250"/>
      <c r="AF383" s="250"/>
      <c r="AG383" s="241"/>
    </row>
    <row r="384" spans="1:33" ht="15.75">
      <c r="A384" s="250" t="s">
        <v>1011</v>
      </c>
      <c r="B384" s="250">
        <v>20</v>
      </c>
      <c r="C384" s="250">
        <v>133</v>
      </c>
      <c r="D384" s="250" t="s">
        <v>936</v>
      </c>
      <c r="E384" s="250">
        <v>1.5</v>
      </c>
      <c r="F384" s="251">
        <v>45112.720138888886</v>
      </c>
      <c r="G384" s="250">
        <v>1</v>
      </c>
      <c r="H384" s="250">
        <v>51.370800000000003</v>
      </c>
      <c r="I384" s="250">
        <v>6.6592000000000002</v>
      </c>
      <c r="J384" s="250">
        <v>-6.0959510000000003</v>
      </c>
      <c r="K384" s="250">
        <v>-5.2550049999999997</v>
      </c>
      <c r="L384" s="250">
        <v>1026.57</v>
      </c>
      <c r="M384" s="250">
        <v>116.500699</v>
      </c>
      <c r="N384" s="250">
        <v>18335.135900000001</v>
      </c>
      <c r="O384" s="250">
        <v>18387.297399999999</v>
      </c>
      <c r="P384" s="250">
        <v>2020.6439800000001</v>
      </c>
      <c r="Q384" s="250">
        <v>2026.1181899999999</v>
      </c>
      <c r="R384" s="250" t="s">
        <v>647</v>
      </c>
      <c r="S384" s="250" t="s">
        <v>769</v>
      </c>
      <c r="T384" s="250">
        <v>15</v>
      </c>
      <c r="U384" s="250">
        <v>5</v>
      </c>
      <c r="V384" s="250">
        <v>0.7</v>
      </c>
      <c r="W384" s="250">
        <v>0.7</v>
      </c>
      <c r="X384" s="250">
        <v>0.7</v>
      </c>
      <c r="Y384" s="250">
        <v>1700</v>
      </c>
      <c r="Z384" s="250" t="s">
        <v>840</v>
      </c>
      <c r="AA384" s="250">
        <v>0.85</v>
      </c>
      <c r="AB384" s="250" t="s">
        <v>841</v>
      </c>
      <c r="AC384" s="250" t="s">
        <v>842</v>
      </c>
      <c r="AD384" s="250">
        <v>220</v>
      </c>
      <c r="AE384" s="250"/>
      <c r="AF384" s="250"/>
      <c r="AG384" s="241"/>
    </row>
    <row r="385" spans="1:33" ht="15.75">
      <c r="A385" s="250" t="s">
        <v>1012</v>
      </c>
      <c r="B385" s="250">
        <v>20</v>
      </c>
      <c r="C385" s="250">
        <v>133</v>
      </c>
      <c r="D385" s="250" t="s">
        <v>936</v>
      </c>
      <c r="E385" s="250">
        <v>1.5</v>
      </c>
      <c r="F385" s="251">
        <v>45112.723611111112</v>
      </c>
      <c r="G385" s="250">
        <v>1</v>
      </c>
      <c r="H385" s="250">
        <v>51.3675</v>
      </c>
      <c r="I385" s="250">
        <v>6.7750000000000004</v>
      </c>
      <c r="J385" s="250">
        <v>-6.1315020000000002</v>
      </c>
      <c r="K385" s="250">
        <v>-5.287579</v>
      </c>
      <c r="L385" s="250">
        <v>1033.56</v>
      </c>
      <c r="M385" s="250">
        <v>124.499914</v>
      </c>
      <c r="N385" s="250">
        <v>18389.130799999999</v>
      </c>
      <c r="O385" s="250">
        <v>18387.297399999999</v>
      </c>
      <c r="P385" s="250">
        <v>2020.6439800000001</v>
      </c>
      <c r="Q385" s="250">
        <v>2026.1181899999999</v>
      </c>
      <c r="R385" s="250" t="s">
        <v>839</v>
      </c>
      <c r="S385" s="250" t="s">
        <v>769</v>
      </c>
      <c r="T385" s="250">
        <v>15</v>
      </c>
      <c r="U385" s="250">
        <v>5</v>
      </c>
      <c r="V385" s="250">
        <v>0.7</v>
      </c>
      <c r="W385" s="250">
        <v>0.7</v>
      </c>
      <c r="X385" s="250">
        <v>0.7</v>
      </c>
      <c r="Y385" s="250">
        <v>1700</v>
      </c>
      <c r="Z385" s="250" t="s">
        <v>840</v>
      </c>
      <c r="AA385" s="250">
        <v>0.85</v>
      </c>
      <c r="AB385" s="250" t="s">
        <v>841</v>
      </c>
      <c r="AC385" s="250" t="s">
        <v>842</v>
      </c>
      <c r="AD385" s="250">
        <v>220</v>
      </c>
      <c r="AE385" s="250"/>
      <c r="AF385" s="250"/>
      <c r="AG385" s="241"/>
    </row>
    <row r="386" spans="1:33" ht="15.75">
      <c r="A386" s="250" t="s">
        <v>873</v>
      </c>
      <c r="B386" s="250">
        <v>21</v>
      </c>
      <c r="C386" s="250" t="s">
        <v>712</v>
      </c>
      <c r="D386" s="250" t="s">
        <v>838</v>
      </c>
      <c r="E386" s="250">
        <v>1.5</v>
      </c>
      <c r="F386" s="251">
        <v>45112.727777777778</v>
      </c>
      <c r="G386" s="250">
        <v>1</v>
      </c>
      <c r="H386" s="250">
        <v>51.370800000000003</v>
      </c>
      <c r="I386" s="250">
        <v>6.6737200000000003</v>
      </c>
      <c r="J386" s="250">
        <v>-6.1555020000000003</v>
      </c>
      <c r="K386" s="250">
        <v>-5.3066469999999999</v>
      </c>
      <c r="L386" s="250">
        <v>1025.1199999999999</v>
      </c>
      <c r="M386" s="250">
        <v>126.50144400000001</v>
      </c>
      <c r="N386" s="250">
        <v>18398.070299999999</v>
      </c>
      <c r="O386" s="250">
        <v>18393.758699999998</v>
      </c>
      <c r="P386" s="250">
        <v>2021.3481200000001</v>
      </c>
      <c r="Q386" s="250">
        <v>2026.82233</v>
      </c>
      <c r="R386" s="250" t="s">
        <v>839</v>
      </c>
      <c r="S386" s="250" t="s">
        <v>769</v>
      </c>
      <c r="T386" s="250">
        <v>15</v>
      </c>
      <c r="U386" s="250">
        <v>5</v>
      </c>
      <c r="V386" s="250">
        <v>0.7</v>
      </c>
      <c r="W386" s="250">
        <v>0.7</v>
      </c>
      <c r="X386" s="250">
        <v>0.7</v>
      </c>
      <c r="Y386" s="250">
        <v>1700</v>
      </c>
      <c r="Z386" s="250" t="s">
        <v>840</v>
      </c>
      <c r="AA386" s="250">
        <v>0.85</v>
      </c>
      <c r="AB386" s="250" t="s">
        <v>841</v>
      </c>
      <c r="AC386" s="250" t="s">
        <v>842</v>
      </c>
      <c r="AD386" s="250">
        <v>220</v>
      </c>
      <c r="AE386" s="250"/>
      <c r="AF386" s="250"/>
      <c r="AG386" s="241"/>
    </row>
    <row r="387" spans="1:33" ht="15.75">
      <c r="A387" s="250" t="s">
        <v>1013</v>
      </c>
      <c r="B387" s="250">
        <v>21</v>
      </c>
      <c r="C387" s="250" t="s">
        <v>712</v>
      </c>
      <c r="D387" s="250" t="s">
        <v>838</v>
      </c>
      <c r="E387" s="250">
        <v>1.5</v>
      </c>
      <c r="F387" s="251">
        <v>45112.731944444444</v>
      </c>
      <c r="G387" s="250">
        <v>1</v>
      </c>
      <c r="H387" s="250">
        <v>51.370800000000003</v>
      </c>
      <c r="I387" s="250">
        <v>6.6176700000000004</v>
      </c>
      <c r="J387" s="250">
        <v>-6.2222340000000003</v>
      </c>
      <c r="K387" s="250">
        <v>-5.373577</v>
      </c>
      <c r="L387" s="250">
        <v>1020.86</v>
      </c>
      <c r="M387" s="250">
        <v>136.000395</v>
      </c>
      <c r="N387" s="250">
        <v>18404.9738</v>
      </c>
      <c r="O387" s="250">
        <v>18393.758699999998</v>
      </c>
      <c r="P387" s="250">
        <v>2021.3481200000001</v>
      </c>
      <c r="Q387" s="250">
        <v>2026.82233</v>
      </c>
      <c r="R387" s="250" t="s">
        <v>839</v>
      </c>
      <c r="S387" s="250" t="s">
        <v>769</v>
      </c>
      <c r="T387" s="250">
        <v>15</v>
      </c>
      <c r="U387" s="250">
        <v>5</v>
      </c>
      <c r="V387" s="250">
        <v>0.7</v>
      </c>
      <c r="W387" s="250">
        <v>0.7</v>
      </c>
      <c r="X387" s="250">
        <v>0.7</v>
      </c>
      <c r="Y387" s="250">
        <v>1700</v>
      </c>
      <c r="Z387" s="250" t="s">
        <v>840</v>
      </c>
      <c r="AA387" s="250">
        <v>0.85</v>
      </c>
      <c r="AB387" s="250" t="s">
        <v>841</v>
      </c>
      <c r="AC387" s="250" t="s">
        <v>842</v>
      </c>
      <c r="AD387" s="250">
        <v>220</v>
      </c>
      <c r="AE387" s="250"/>
      <c r="AF387" s="250"/>
      <c r="AG387" s="241"/>
    </row>
    <row r="388" spans="1:33" ht="15.75">
      <c r="A388" s="250" t="s">
        <v>1014</v>
      </c>
      <c r="B388" s="250">
        <v>21</v>
      </c>
      <c r="C388" s="250" t="s">
        <v>712</v>
      </c>
      <c r="D388" s="250" t="s">
        <v>838</v>
      </c>
      <c r="E388" s="250">
        <v>1.5</v>
      </c>
      <c r="F388" s="251">
        <v>45112.73541666667</v>
      </c>
      <c r="G388" s="250">
        <v>1</v>
      </c>
      <c r="H388" s="250">
        <v>51.370800000000003</v>
      </c>
      <c r="I388" s="250">
        <v>6.6290199999999997</v>
      </c>
      <c r="J388" s="250">
        <v>-6.1976599999999999</v>
      </c>
      <c r="K388" s="250">
        <v>-5.3501440000000002</v>
      </c>
      <c r="L388" s="250">
        <v>1014.71</v>
      </c>
      <c r="M388" s="250">
        <v>132.500293</v>
      </c>
      <c r="N388" s="250">
        <v>18378.232</v>
      </c>
      <c r="O388" s="250">
        <v>18393.758699999998</v>
      </c>
      <c r="P388" s="250">
        <v>2021.3481200000001</v>
      </c>
      <c r="Q388" s="250">
        <v>2026.82233</v>
      </c>
      <c r="R388" s="250" t="s">
        <v>839</v>
      </c>
      <c r="S388" s="250" t="s">
        <v>769</v>
      </c>
      <c r="T388" s="250">
        <v>15</v>
      </c>
      <c r="U388" s="250">
        <v>5</v>
      </c>
      <c r="V388" s="250">
        <v>0.7</v>
      </c>
      <c r="W388" s="250">
        <v>0.7</v>
      </c>
      <c r="X388" s="250">
        <v>0.7</v>
      </c>
      <c r="Y388" s="250">
        <v>1700</v>
      </c>
      <c r="Z388" s="250" t="s">
        <v>840</v>
      </c>
      <c r="AA388" s="250">
        <v>0.85</v>
      </c>
      <c r="AB388" s="250" t="s">
        <v>841</v>
      </c>
      <c r="AC388" s="250" t="s">
        <v>842</v>
      </c>
      <c r="AD388" s="250">
        <v>220</v>
      </c>
      <c r="AE388" s="250"/>
      <c r="AF388" s="250"/>
      <c r="AG388" s="241"/>
    </row>
    <row r="389" spans="1:33" ht="15.75">
      <c r="A389" s="250" t="s">
        <v>835</v>
      </c>
      <c r="B389" s="250" t="s">
        <v>836</v>
      </c>
      <c r="C389" s="250" t="s">
        <v>837</v>
      </c>
      <c r="D389" s="250" t="s">
        <v>838</v>
      </c>
      <c r="E389" s="250">
        <v>1</v>
      </c>
      <c r="F389" s="251">
        <v>45113.361805555556</v>
      </c>
      <c r="G389" s="250">
        <v>1</v>
      </c>
      <c r="H389" s="250">
        <v>51.370800000000003</v>
      </c>
      <c r="I389" s="250">
        <v>9.7114200000000004</v>
      </c>
      <c r="J389" s="250">
        <v>-5.2293419999999999</v>
      </c>
      <c r="K389" s="250">
        <v>-4.4052350000000002</v>
      </c>
      <c r="L389" s="250">
        <v>904.56700000000001</v>
      </c>
      <c r="M389" s="250">
        <v>91.000193999999993</v>
      </c>
      <c r="N389" s="250">
        <v>11919.367899999999</v>
      </c>
      <c r="O389" s="250">
        <v>11919.367899999999</v>
      </c>
      <c r="P389" s="250">
        <v>1973.6568</v>
      </c>
      <c r="Q389" s="250" t="s">
        <v>18</v>
      </c>
      <c r="R389" s="250" t="s">
        <v>839</v>
      </c>
      <c r="S389" s="250" t="s">
        <v>21</v>
      </c>
      <c r="T389" s="250">
        <v>15</v>
      </c>
      <c r="U389" s="250">
        <v>5</v>
      </c>
      <c r="V389" s="250">
        <v>0.7</v>
      </c>
      <c r="W389" s="250">
        <v>0.7</v>
      </c>
      <c r="X389" s="250">
        <v>0.7</v>
      </c>
      <c r="Y389" s="250">
        <v>1700</v>
      </c>
      <c r="Z389" s="250" t="s">
        <v>840</v>
      </c>
      <c r="AA389" s="250">
        <v>0.85</v>
      </c>
      <c r="AB389" s="250" t="s">
        <v>841</v>
      </c>
      <c r="AC389" s="250" t="s">
        <v>842</v>
      </c>
      <c r="AD389" s="250">
        <v>220</v>
      </c>
      <c r="AE389" s="250"/>
      <c r="AF389" s="250"/>
      <c r="AG389" s="241"/>
    </row>
    <row r="390" spans="1:33" ht="15.75">
      <c r="A390" s="250" t="s">
        <v>843</v>
      </c>
      <c r="B390" s="250" t="s">
        <v>836</v>
      </c>
      <c r="C390" s="250" t="s">
        <v>837</v>
      </c>
      <c r="D390" s="250" t="s">
        <v>838</v>
      </c>
      <c r="E390" s="250">
        <v>1</v>
      </c>
      <c r="F390" s="251">
        <v>45113.364583333336</v>
      </c>
      <c r="G390" s="250">
        <v>1</v>
      </c>
      <c r="H390" s="250">
        <v>51.364100000000001</v>
      </c>
      <c r="I390" s="250">
        <v>7.8728999999999996</v>
      </c>
      <c r="J390" s="250">
        <v>-5.6922410000000001</v>
      </c>
      <c r="K390" s="250">
        <v>-4.844455</v>
      </c>
      <c r="L390" s="250">
        <v>916.99699999999996</v>
      </c>
      <c r="M390" s="250">
        <v>97.999487000000002</v>
      </c>
      <c r="N390" s="250">
        <v>11830.9951</v>
      </c>
      <c r="O390" s="250">
        <v>11830.9951</v>
      </c>
      <c r="P390" s="250">
        <v>1959.21055</v>
      </c>
      <c r="Q390" s="250" t="s">
        <v>18</v>
      </c>
      <c r="R390" s="250" t="s">
        <v>839</v>
      </c>
      <c r="S390" s="250" t="s">
        <v>21</v>
      </c>
      <c r="T390" s="250">
        <v>15</v>
      </c>
      <c r="U390" s="250">
        <v>5</v>
      </c>
      <c r="V390" s="250">
        <v>0.7</v>
      </c>
      <c r="W390" s="250">
        <v>0.7</v>
      </c>
      <c r="X390" s="250">
        <v>0.7</v>
      </c>
      <c r="Y390" s="250">
        <v>1700</v>
      </c>
      <c r="Z390" s="250" t="s">
        <v>840</v>
      </c>
      <c r="AA390" s="250">
        <v>0.85</v>
      </c>
      <c r="AB390" s="250" t="s">
        <v>841</v>
      </c>
      <c r="AC390" s="250" t="s">
        <v>842</v>
      </c>
      <c r="AD390" s="250">
        <v>220</v>
      </c>
      <c r="AE390" s="250"/>
      <c r="AF390" s="250"/>
      <c r="AG390" s="241"/>
    </row>
    <row r="391" spans="1:33" ht="15.75">
      <c r="A391" s="250" t="s">
        <v>844</v>
      </c>
      <c r="B391" s="250" t="s">
        <v>836</v>
      </c>
      <c r="C391" s="250" t="s">
        <v>837</v>
      </c>
      <c r="D391" s="250" t="s">
        <v>838</v>
      </c>
      <c r="E391" s="250">
        <v>1</v>
      </c>
      <c r="F391" s="251">
        <v>45113.367361111108</v>
      </c>
      <c r="G391" s="250">
        <v>1</v>
      </c>
      <c r="H391" s="250">
        <v>51.3675</v>
      </c>
      <c r="I391" s="250">
        <v>7.21488</v>
      </c>
      <c r="J391" s="250">
        <v>-5.7571009999999996</v>
      </c>
      <c r="K391" s="250">
        <v>-4.9166090000000002</v>
      </c>
      <c r="L391" s="250">
        <v>911.22400000000005</v>
      </c>
      <c r="M391" s="250">
        <v>92.500339999999994</v>
      </c>
      <c r="N391" s="250">
        <v>11838.499400000001</v>
      </c>
      <c r="O391" s="250">
        <v>11838.499400000001</v>
      </c>
      <c r="P391" s="250">
        <v>1960.4372599999999</v>
      </c>
      <c r="Q391" s="250" t="s">
        <v>18</v>
      </c>
      <c r="R391" s="250" t="s">
        <v>839</v>
      </c>
      <c r="S391" s="250" t="s">
        <v>21</v>
      </c>
      <c r="T391" s="250">
        <v>15</v>
      </c>
      <c r="U391" s="250">
        <v>5</v>
      </c>
      <c r="V391" s="250">
        <v>0.7</v>
      </c>
      <c r="W391" s="250">
        <v>0.7</v>
      </c>
      <c r="X391" s="250">
        <v>0.7</v>
      </c>
      <c r="Y391" s="250">
        <v>1700</v>
      </c>
      <c r="Z391" s="250" t="s">
        <v>840</v>
      </c>
      <c r="AA391" s="250">
        <v>0.85</v>
      </c>
      <c r="AB391" s="250" t="s">
        <v>841</v>
      </c>
      <c r="AC391" s="250" t="s">
        <v>842</v>
      </c>
      <c r="AD391" s="250">
        <v>220</v>
      </c>
      <c r="AE391" s="250"/>
      <c r="AF391" s="250"/>
      <c r="AG391" s="241"/>
    </row>
    <row r="392" spans="1:33" ht="15.75">
      <c r="A392" s="250" t="s">
        <v>845</v>
      </c>
      <c r="B392" s="250" t="s">
        <v>836</v>
      </c>
      <c r="C392" s="250" t="s">
        <v>837</v>
      </c>
      <c r="D392" s="250" t="s">
        <v>838</v>
      </c>
      <c r="E392" s="250">
        <v>1</v>
      </c>
      <c r="F392" s="251">
        <v>45113.370833333334</v>
      </c>
      <c r="G392" s="250">
        <v>1</v>
      </c>
      <c r="H392" s="250">
        <v>51.364100000000001</v>
      </c>
      <c r="I392" s="250">
        <v>6.9597199999999999</v>
      </c>
      <c r="J392" s="250">
        <v>-5.8699430000000001</v>
      </c>
      <c r="K392" s="250">
        <v>-5.0393970000000001</v>
      </c>
      <c r="L392" s="250">
        <v>907.27499999999998</v>
      </c>
      <c r="M392" s="250">
        <v>96.500418999999994</v>
      </c>
      <c r="N392" s="250">
        <v>11835.126200000001</v>
      </c>
      <c r="O392" s="250">
        <v>11835.126200000001</v>
      </c>
      <c r="P392" s="250">
        <v>1959.8858600000001</v>
      </c>
      <c r="Q392" s="250" t="s">
        <v>18</v>
      </c>
      <c r="R392" s="250" t="s">
        <v>839</v>
      </c>
      <c r="S392" s="250" t="s">
        <v>21</v>
      </c>
      <c r="T392" s="250">
        <v>15</v>
      </c>
      <c r="U392" s="250">
        <v>5</v>
      </c>
      <c r="V392" s="250">
        <v>0.7</v>
      </c>
      <c r="W392" s="250">
        <v>0.7</v>
      </c>
      <c r="X392" s="250">
        <v>0.7</v>
      </c>
      <c r="Y392" s="250">
        <v>1700</v>
      </c>
      <c r="Z392" s="250" t="s">
        <v>840</v>
      </c>
      <c r="AA392" s="250">
        <v>0.85</v>
      </c>
      <c r="AB392" s="250" t="s">
        <v>841</v>
      </c>
      <c r="AC392" s="250" t="s">
        <v>842</v>
      </c>
      <c r="AD392" s="250">
        <v>220</v>
      </c>
      <c r="AE392" s="250"/>
      <c r="AF392" s="250"/>
      <c r="AG392" s="241"/>
    </row>
    <row r="393" spans="1:33" ht="15.75">
      <c r="A393" s="250" t="s">
        <v>1051</v>
      </c>
      <c r="B393" s="250" t="s">
        <v>881</v>
      </c>
      <c r="C393" s="250" t="s">
        <v>802</v>
      </c>
      <c r="D393" s="250" t="s">
        <v>838</v>
      </c>
      <c r="E393" s="250">
        <v>1.2</v>
      </c>
      <c r="F393" s="251">
        <v>45113.385416666664</v>
      </c>
      <c r="G393" s="250">
        <v>1</v>
      </c>
      <c r="H393" s="250">
        <v>51.370800000000003</v>
      </c>
      <c r="I393" s="250">
        <v>7.0467700000000004</v>
      </c>
      <c r="J393" s="250">
        <v>-6.0456760000000003</v>
      </c>
      <c r="K393" s="250">
        <v>-5.2068640000000004</v>
      </c>
      <c r="L393" s="250">
        <v>1016.15</v>
      </c>
      <c r="M393" s="250">
        <v>110.499492</v>
      </c>
      <c r="N393" s="250">
        <v>14623.436400000001</v>
      </c>
      <c r="O393" s="250">
        <v>0</v>
      </c>
      <c r="P393" s="250">
        <v>2028.23</v>
      </c>
      <c r="Q393" s="250" t="s">
        <v>18</v>
      </c>
      <c r="R393" s="250" t="s">
        <v>916</v>
      </c>
      <c r="S393" s="250" t="s">
        <v>28</v>
      </c>
      <c r="T393" s="250">
        <v>15</v>
      </c>
      <c r="U393" s="250">
        <v>5</v>
      </c>
      <c r="V393" s="250">
        <v>0.7</v>
      </c>
      <c r="W393" s="250">
        <v>0.7</v>
      </c>
      <c r="X393" s="250">
        <v>0.7</v>
      </c>
      <c r="Y393" s="250">
        <v>1700</v>
      </c>
      <c r="Z393" s="250" t="s">
        <v>840</v>
      </c>
      <c r="AA393" s="250">
        <v>0.85</v>
      </c>
      <c r="AB393" s="250" t="s">
        <v>841</v>
      </c>
      <c r="AC393" s="250" t="s">
        <v>842</v>
      </c>
      <c r="AD393" s="250">
        <v>220</v>
      </c>
      <c r="AE393" s="250"/>
      <c r="AF393" s="250"/>
      <c r="AG393" s="241"/>
    </row>
    <row r="394" spans="1:33" ht="15.75">
      <c r="A394" s="250" t="s">
        <v>1052</v>
      </c>
      <c r="B394" s="250" t="s">
        <v>881</v>
      </c>
      <c r="C394" s="250" t="s">
        <v>802</v>
      </c>
      <c r="D394" s="250" t="s">
        <v>838</v>
      </c>
      <c r="E394" s="250">
        <v>1.2</v>
      </c>
      <c r="F394" s="251">
        <v>45113.388888888891</v>
      </c>
      <c r="G394" s="250">
        <v>1</v>
      </c>
      <c r="H394" s="250">
        <v>51.374099999999999</v>
      </c>
      <c r="I394" s="250">
        <v>6.8653000000000004</v>
      </c>
      <c r="J394" s="250">
        <v>-5.9639319999999998</v>
      </c>
      <c r="K394" s="250">
        <v>-5.1202350000000001</v>
      </c>
      <c r="L394" s="250">
        <v>1026.73</v>
      </c>
      <c r="M394" s="250">
        <v>103.00055500000001</v>
      </c>
      <c r="N394" s="250">
        <v>14759.5995</v>
      </c>
      <c r="O394" s="250">
        <v>0</v>
      </c>
      <c r="P394" s="250">
        <v>2028.23</v>
      </c>
      <c r="Q394" s="250" t="s">
        <v>18</v>
      </c>
      <c r="R394" s="250" t="s">
        <v>916</v>
      </c>
      <c r="S394" s="250" t="s">
        <v>28</v>
      </c>
      <c r="T394" s="250">
        <v>15</v>
      </c>
      <c r="U394" s="250">
        <v>5</v>
      </c>
      <c r="V394" s="250">
        <v>0.7</v>
      </c>
      <c r="W394" s="250">
        <v>0.7</v>
      </c>
      <c r="X394" s="250">
        <v>0.7</v>
      </c>
      <c r="Y394" s="250">
        <v>1700</v>
      </c>
      <c r="Z394" s="250" t="s">
        <v>840</v>
      </c>
      <c r="AA394" s="250">
        <v>0.85</v>
      </c>
      <c r="AB394" s="250" t="s">
        <v>841</v>
      </c>
      <c r="AC394" s="250" t="s">
        <v>842</v>
      </c>
      <c r="AD394" s="250">
        <v>220</v>
      </c>
      <c r="AE394" s="250"/>
      <c r="AF394" s="250"/>
      <c r="AG394" s="241"/>
    </row>
    <row r="395" spans="1:33" ht="15.75">
      <c r="A395" s="250" t="s">
        <v>1053</v>
      </c>
      <c r="B395" s="250" t="s">
        <v>881</v>
      </c>
      <c r="C395" s="250" t="s">
        <v>802</v>
      </c>
      <c r="D395" s="250" t="s">
        <v>838</v>
      </c>
      <c r="E395" s="250">
        <v>1.2</v>
      </c>
      <c r="F395" s="251">
        <v>45113.39166666667</v>
      </c>
      <c r="G395" s="250">
        <v>1</v>
      </c>
      <c r="H395" s="250">
        <v>51.3675</v>
      </c>
      <c r="I395" s="250">
        <v>6.8241100000000001</v>
      </c>
      <c r="J395" s="250">
        <v>-6.0197839999999996</v>
      </c>
      <c r="K395" s="250">
        <v>-5.1861940000000004</v>
      </c>
      <c r="L395" s="250">
        <v>1020.4</v>
      </c>
      <c r="M395" s="250">
        <v>97.001200999999995</v>
      </c>
      <c r="N395" s="250">
        <v>14726.069</v>
      </c>
      <c r="O395" s="250">
        <v>0</v>
      </c>
      <c r="P395" s="250">
        <v>2028.23</v>
      </c>
      <c r="Q395" s="250" t="s">
        <v>18</v>
      </c>
      <c r="R395" s="250" t="s">
        <v>916</v>
      </c>
      <c r="S395" s="250" t="s">
        <v>28</v>
      </c>
      <c r="T395" s="250">
        <v>15</v>
      </c>
      <c r="U395" s="250">
        <v>5</v>
      </c>
      <c r="V395" s="250">
        <v>0.7</v>
      </c>
      <c r="W395" s="250">
        <v>0.7</v>
      </c>
      <c r="X395" s="250">
        <v>0.7</v>
      </c>
      <c r="Y395" s="250">
        <v>1700</v>
      </c>
      <c r="Z395" s="250" t="s">
        <v>840</v>
      </c>
      <c r="AA395" s="250">
        <v>0.85</v>
      </c>
      <c r="AB395" s="250" t="s">
        <v>841</v>
      </c>
      <c r="AC395" s="250" t="s">
        <v>842</v>
      </c>
      <c r="AD395" s="250">
        <v>220</v>
      </c>
      <c r="AE395" s="250"/>
      <c r="AF395" s="250"/>
      <c r="AG395" s="241"/>
    </row>
    <row r="396" spans="1:33" ht="15.75">
      <c r="A396" s="250" t="s">
        <v>1054</v>
      </c>
      <c r="B396" s="250" t="s">
        <v>881</v>
      </c>
      <c r="C396" s="250" t="s">
        <v>802</v>
      </c>
      <c r="D396" s="250" t="s">
        <v>838</v>
      </c>
      <c r="E396" s="250">
        <v>1.2</v>
      </c>
      <c r="F396" s="251">
        <v>45113.395138888889</v>
      </c>
      <c r="G396" s="250">
        <v>1</v>
      </c>
      <c r="H396" s="250">
        <v>51.374099999999999</v>
      </c>
      <c r="I396" s="250">
        <v>6.8374100000000002</v>
      </c>
      <c r="J396" s="250">
        <v>-6.12974</v>
      </c>
      <c r="K396" s="250">
        <v>-5.2806610000000003</v>
      </c>
      <c r="L396" s="250">
        <v>994.69</v>
      </c>
      <c r="M396" s="250">
        <v>100.000817</v>
      </c>
      <c r="N396" s="250">
        <v>14759.585499999999</v>
      </c>
      <c r="O396" s="250">
        <v>0</v>
      </c>
      <c r="P396" s="250">
        <v>2028.23</v>
      </c>
      <c r="Q396" s="250" t="s">
        <v>18</v>
      </c>
      <c r="R396" s="250" t="s">
        <v>916</v>
      </c>
      <c r="S396" s="250" t="s">
        <v>28</v>
      </c>
      <c r="T396" s="250">
        <v>15</v>
      </c>
      <c r="U396" s="250">
        <v>5</v>
      </c>
      <c r="V396" s="250">
        <v>0.7</v>
      </c>
      <c r="W396" s="250">
        <v>0.7</v>
      </c>
      <c r="X396" s="250">
        <v>0.7</v>
      </c>
      <c r="Y396" s="250">
        <v>1700</v>
      </c>
      <c r="Z396" s="250" t="s">
        <v>840</v>
      </c>
      <c r="AA396" s="250">
        <v>0.85</v>
      </c>
      <c r="AB396" s="250" t="s">
        <v>841</v>
      </c>
      <c r="AC396" s="250" t="s">
        <v>842</v>
      </c>
      <c r="AD396" s="250">
        <v>220</v>
      </c>
      <c r="AE396" s="250"/>
      <c r="AF396" s="250"/>
      <c r="AG396" s="241"/>
    </row>
    <row r="397" spans="1:33" ht="15.75">
      <c r="A397" s="250" t="s">
        <v>1055</v>
      </c>
      <c r="B397" s="250" t="s">
        <v>881</v>
      </c>
      <c r="C397" s="250" t="s">
        <v>802</v>
      </c>
      <c r="D397" s="250" t="s">
        <v>838</v>
      </c>
      <c r="E397" s="250">
        <v>1.2</v>
      </c>
      <c r="F397" s="251">
        <v>45113.398611111108</v>
      </c>
      <c r="G397" s="250">
        <v>1</v>
      </c>
      <c r="H397" s="250">
        <v>51.374099999999999</v>
      </c>
      <c r="I397" s="250">
        <v>6.7993499999999996</v>
      </c>
      <c r="J397" s="250">
        <v>-6.1449090000000002</v>
      </c>
      <c r="K397" s="250">
        <v>-5.3115870000000003</v>
      </c>
      <c r="L397" s="250">
        <v>1003.75</v>
      </c>
      <c r="M397" s="250">
        <v>100.50082999999999</v>
      </c>
      <c r="N397" s="250">
        <v>14722.619000000001</v>
      </c>
      <c r="O397" s="250">
        <v>0</v>
      </c>
      <c r="P397" s="250">
        <v>2028.23</v>
      </c>
      <c r="Q397" s="250" t="s">
        <v>18</v>
      </c>
      <c r="R397" s="250" t="s">
        <v>916</v>
      </c>
      <c r="S397" s="250" t="s">
        <v>28</v>
      </c>
      <c r="T397" s="250">
        <v>15</v>
      </c>
      <c r="U397" s="250">
        <v>5</v>
      </c>
      <c r="V397" s="250">
        <v>0.7</v>
      </c>
      <c r="W397" s="250">
        <v>0.7</v>
      </c>
      <c r="X397" s="250">
        <v>0.7</v>
      </c>
      <c r="Y397" s="250">
        <v>1700</v>
      </c>
      <c r="Z397" s="250" t="s">
        <v>840</v>
      </c>
      <c r="AA397" s="250">
        <v>0.85</v>
      </c>
      <c r="AB397" s="250" t="s">
        <v>841</v>
      </c>
      <c r="AC397" s="250" t="s">
        <v>842</v>
      </c>
      <c r="AD397" s="250">
        <v>220</v>
      </c>
      <c r="AE397" s="250"/>
      <c r="AF397" s="250"/>
      <c r="AG397" s="241"/>
    </row>
    <row r="398" spans="1:33" ht="15.75">
      <c r="A398" s="250" t="s">
        <v>1056</v>
      </c>
      <c r="B398" s="250" t="s">
        <v>881</v>
      </c>
      <c r="C398" s="250" t="s">
        <v>802</v>
      </c>
      <c r="D398" s="250" t="s">
        <v>838</v>
      </c>
      <c r="E398" s="250">
        <v>1.2</v>
      </c>
      <c r="F398" s="251">
        <v>45113.401388888888</v>
      </c>
      <c r="G398" s="250">
        <v>2</v>
      </c>
      <c r="H398" s="250">
        <v>51.374099999999999</v>
      </c>
      <c r="I398" s="250">
        <v>6.74383</v>
      </c>
      <c r="J398" s="250">
        <v>-6.1800420000000003</v>
      </c>
      <c r="K398" s="250">
        <v>-5.335572</v>
      </c>
      <c r="L398" s="250">
        <v>1021.3</v>
      </c>
      <c r="M398" s="250">
        <v>102.499692</v>
      </c>
      <c r="N398" s="250">
        <v>14716.4848</v>
      </c>
      <c r="O398" s="250">
        <v>14713.4794</v>
      </c>
      <c r="P398" s="250">
        <v>2028.23</v>
      </c>
      <c r="Q398" s="250" t="s">
        <v>18</v>
      </c>
      <c r="R398" s="250" t="s">
        <v>839</v>
      </c>
      <c r="S398" s="250" t="s">
        <v>21</v>
      </c>
      <c r="T398" s="250">
        <v>15</v>
      </c>
      <c r="U398" s="250">
        <v>5</v>
      </c>
      <c r="V398" s="250">
        <v>0.7</v>
      </c>
      <c r="W398" s="250">
        <v>0.7</v>
      </c>
      <c r="X398" s="250">
        <v>0.7</v>
      </c>
      <c r="Y398" s="250">
        <v>1700</v>
      </c>
      <c r="Z398" s="250" t="s">
        <v>840</v>
      </c>
      <c r="AA398" s="250">
        <v>0.85</v>
      </c>
      <c r="AB398" s="250" t="s">
        <v>841</v>
      </c>
      <c r="AC398" s="250" t="s">
        <v>842</v>
      </c>
      <c r="AD398" s="250">
        <v>220</v>
      </c>
      <c r="AE398" s="250"/>
      <c r="AF398" s="250"/>
      <c r="AG398" s="241"/>
    </row>
    <row r="399" spans="1:33" ht="15.75">
      <c r="A399" s="250" t="s">
        <v>1057</v>
      </c>
      <c r="B399" s="250" t="s">
        <v>881</v>
      </c>
      <c r="C399" s="250" t="s">
        <v>802</v>
      </c>
      <c r="D399" s="250" t="s">
        <v>838</v>
      </c>
      <c r="E399" s="250">
        <v>1.2</v>
      </c>
      <c r="F399" s="251">
        <v>45113.404861111114</v>
      </c>
      <c r="G399" s="250">
        <v>2</v>
      </c>
      <c r="H399" s="250">
        <v>51.374099999999999</v>
      </c>
      <c r="I399" s="250">
        <v>6.7114399999999996</v>
      </c>
      <c r="J399" s="250">
        <v>-6.0759869999999996</v>
      </c>
      <c r="K399" s="250">
        <v>-5.2471889999999997</v>
      </c>
      <c r="L399" s="250">
        <v>1000.82</v>
      </c>
      <c r="M399" s="250">
        <v>111.00011000000001</v>
      </c>
      <c r="N399" s="250">
        <v>14721.338900000001</v>
      </c>
      <c r="O399" s="250">
        <v>14713.4794</v>
      </c>
      <c r="P399" s="250">
        <v>2028.23</v>
      </c>
      <c r="Q399" s="250" t="s">
        <v>18</v>
      </c>
      <c r="R399" s="250" t="s">
        <v>839</v>
      </c>
      <c r="S399" s="250" t="s">
        <v>21</v>
      </c>
      <c r="T399" s="250">
        <v>15</v>
      </c>
      <c r="U399" s="250">
        <v>5</v>
      </c>
      <c r="V399" s="250">
        <v>0.7</v>
      </c>
      <c r="W399" s="250">
        <v>0.7</v>
      </c>
      <c r="X399" s="250">
        <v>0.7</v>
      </c>
      <c r="Y399" s="250">
        <v>1700</v>
      </c>
      <c r="Z399" s="250" t="s">
        <v>840</v>
      </c>
      <c r="AA399" s="250">
        <v>0.85</v>
      </c>
      <c r="AB399" s="250" t="s">
        <v>841</v>
      </c>
      <c r="AC399" s="250" t="s">
        <v>842</v>
      </c>
      <c r="AD399" s="250">
        <v>220</v>
      </c>
      <c r="AE399" s="250"/>
      <c r="AF399" s="250"/>
      <c r="AG399" s="241"/>
    </row>
    <row r="400" spans="1:33" ht="15.75">
      <c r="A400" s="250" t="s">
        <v>1058</v>
      </c>
      <c r="B400" s="250" t="s">
        <v>881</v>
      </c>
      <c r="C400" s="250" t="s">
        <v>802</v>
      </c>
      <c r="D400" s="250" t="s">
        <v>838</v>
      </c>
      <c r="E400" s="250">
        <v>1.2</v>
      </c>
      <c r="F400" s="251">
        <v>45113.408333333333</v>
      </c>
      <c r="G400" s="250">
        <v>2</v>
      </c>
      <c r="H400" s="250">
        <v>51.370800000000003</v>
      </c>
      <c r="I400" s="250">
        <v>6.6476800000000003</v>
      </c>
      <c r="J400" s="250">
        <v>-6.1058830000000004</v>
      </c>
      <c r="K400" s="250">
        <v>-5.2579890000000002</v>
      </c>
      <c r="L400" s="250">
        <v>1008.72</v>
      </c>
      <c r="M400" s="250">
        <v>106.998808</v>
      </c>
      <c r="N400" s="250">
        <v>14692.990400000001</v>
      </c>
      <c r="O400" s="250">
        <v>14713.4794</v>
      </c>
      <c r="P400" s="250">
        <v>2028.23</v>
      </c>
      <c r="Q400" s="250" t="s">
        <v>18</v>
      </c>
      <c r="R400" s="250" t="s">
        <v>647</v>
      </c>
      <c r="S400" s="250" t="s">
        <v>21</v>
      </c>
      <c r="T400" s="250">
        <v>15</v>
      </c>
      <c r="U400" s="250">
        <v>5</v>
      </c>
      <c r="V400" s="250">
        <v>0.7</v>
      </c>
      <c r="W400" s="250">
        <v>0.7</v>
      </c>
      <c r="X400" s="250">
        <v>0.7</v>
      </c>
      <c r="Y400" s="250">
        <v>1700</v>
      </c>
      <c r="Z400" s="250" t="s">
        <v>840</v>
      </c>
      <c r="AA400" s="250">
        <v>0.85</v>
      </c>
      <c r="AB400" s="250" t="s">
        <v>841</v>
      </c>
      <c r="AC400" s="250" t="s">
        <v>842</v>
      </c>
      <c r="AD400" s="250">
        <v>220</v>
      </c>
      <c r="AE400" s="250"/>
      <c r="AF400" s="250"/>
      <c r="AG400" s="241"/>
    </row>
    <row r="401" spans="1:33" ht="15.75">
      <c r="A401" s="250" t="s">
        <v>1059</v>
      </c>
      <c r="B401" s="250" t="s">
        <v>881</v>
      </c>
      <c r="C401" s="250" t="s">
        <v>802</v>
      </c>
      <c r="D401" s="250" t="s">
        <v>838</v>
      </c>
      <c r="E401" s="250">
        <v>1.2</v>
      </c>
      <c r="F401" s="251">
        <v>45113.411805555559</v>
      </c>
      <c r="G401" s="250">
        <v>2</v>
      </c>
      <c r="H401" s="250">
        <v>51.3675</v>
      </c>
      <c r="I401" s="250">
        <v>6.6515899999999997</v>
      </c>
      <c r="J401" s="250">
        <v>-6.1615010000000003</v>
      </c>
      <c r="K401" s="250">
        <v>-5.314908</v>
      </c>
      <c r="L401" s="250">
        <v>1006.58</v>
      </c>
      <c r="M401" s="250">
        <v>104.50046</v>
      </c>
      <c r="N401" s="250">
        <v>14702.614600000001</v>
      </c>
      <c r="O401" s="250">
        <v>14713.4794</v>
      </c>
      <c r="P401" s="250">
        <v>2028.23</v>
      </c>
      <c r="Q401" s="250" t="s">
        <v>18</v>
      </c>
      <c r="R401" s="250" t="s">
        <v>839</v>
      </c>
      <c r="S401" s="250" t="s">
        <v>21</v>
      </c>
      <c r="T401" s="250">
        <v>15</v>
      </c>
      <c r="U401" s="250">
        <v>5</v>
      </c>
      <c r="V401" s="250">
        <v>0.7</v>
      </c>
      <c r="W401" s="250">
        <v>0.7</v>
      </c>
      <c r="X401" s="250">
        <v>0.7</v>
      </c>
      <c r="Y401" s="250">
        <v>1700</v>
      </c>
      <c r="Z401" s="250" t="s">
        <v>840</v>
      </c>
      <c r="AA401" s="250">
        <v>0.85</v>
      </c>
      <c r="AB401" s="250" t="s">
        <v>841</v>
      </c>
      <c r="AC401" s="250" t="s">
        <v>842</v>
      </c>
      <c r="AD401" s="250">
        <v>220</v>
      </c>
      <c r="AE401" s="250"/>
      <c r="AF401" s="250"/>
      <c r="AG401" s="241"/>
    </row>
    <row r="402" spans="1:33" ht="15.75">
      <c r="A402" s="250" t="s">
        <v>1060</v>
      </c>
      <c r="B402" s="250" t="s">
        <v>888</v>
      </c>
      <c r="C402" s="250" t="s">
        <v>802</v>
      </c>
      <c r="D402" s="250" t="s">
        <v>838</v>
      </c>
      <c r="E402" s="250">
        <v>1.5</v>
      </c>
      <c r="F402" s="251">
        <v>45113.415277777778</v>
      </c>
      <c r="G402" s="250">
        <v>1</v>
      </c>
      <c r="H402" s="250">
        <v>51.3675</v>
      </c>
      <c r="I402" s="250">
        <v>6.6579800000000002</v>
      </c>
      <c r="J402" s="250">
        <v>-6.2581939999999996</v>
      </c>
      <c r="K402" s="250">
        <v>-5.4319040000000003</v>
      </c>
      <c r="L402" s="250">
        <v>1040.3900000000001</v>
      </c>
      <c r="M402" s="250">
        <v>117.000039</v>
      </c>
      <c r="N402" s="250">
        <v>18415.8452</v>
      </c>
      <c r="O402" s="250">
        <v>18413.6525</v>
      </c>
      <c r="P402" s="250">
        <v>2028.23</v>
      </c>
      <c r="Q402" s="250" t="s">
        <v>18</v>
      </c>
      <c r="R402" s="250" t="s">
        <v>839</v>
      </c>
      <c r="S402" s="250" t="s">
        <v>21</v>
      </c>
      <c r="T402" s="250">
        <v>15</v>
      </c>
      <c r="U402" s="250">
        <v>5</v>
      </c>
      <c r="V402" s="250">
        <v>0.7</v>
      </c>
      <c r="W402" s="250">
        <v>0.7</v>
      </c>
      <c r="X402" s="250">
        <v>0.7</v>
      </c>
      <c r="Y402" s="250">
        <v>1700</v>
      </c>
      <c r="Z402" s="250" t="s">
        <v>840</v>
      </c>
      <c r="AA402" s="250">
        <v>0.85</v>
      </c>
      <c r="AB402" s="250" t="s">
        <v>841</v>
      </c>
      <c r="AC402" s="250" t="s">
        <v>842</v>
      </c>
      <c r="AD402" s="250">
        <v>220</v>
      </c>
      <c r="AE402" s="250"/>
      <c r="AF402" s="250"/>
      <c r="AG402" s="241"/>
    </row>
    <row r="403" spans="1:33" ht="15.75">
      <c r="A403" s="250" t="s">
        <v>1061</v>
      </c>
      <c r="B403" s="250" t="s">
        <v>888</v>
      </c>
      <c r="C403" s="250" t="s">
        <v>802</v>
      </c>
      <c r="D403" s="250" t="s">
        <v>838</v>
      </c>
      <c r="E403" s="250">
        <v>1.5</v>
      </c>
      <c r="F403" s="251">
        <v>45113.418749999997</v>
      </c>
      <c r="G403" s="250">
        <v>1</v>
      </c>
      <c r="H403" s="250">
        <v>51.370800000000003</v>
      </c>
      <c r="I403" s="250">
        <v>6.5659400000000003</v>
      </c>
      <c r="J403" s="250">
        <v>-6.2078490000000004</v>
      </c>
      <c r="K403" s="250">
        <v>-5.3738669999999997</v>
      </c>
      <c r="L403" s="250">
        <v>1035.44</v>
      </c>
      <c r="M403" s="250">
        <v>121.500713</v>
      </c>
      <c r="N403" s="250">
        <v>18377.965499999998</v>
      </c>
      <c r="O403" s="250">
        <v>18413.6525</v>
      </c>
      <c r="P403" s="250">
        <v>2028.23</v>
      </c>
      <c r="Q403" s="250" t="s">
        <v>18</v>
      </c>
      <c r="R403" s="250" t="s">
        <v>647</v>
      </c>
      <c r="S403" s="250" t="s">
        <v>21</v>
      </c>
      <c r="T403" s="250">
        <v>15</v>
      </c>
      <c r="U403" s="250">
        <v>5</v>
      </c>
      <c r="V403" s="250">
        <v>0.7</v>
      </c>
      <c r="W403" s="250">
        <v>0.7</v>
      </c>
      <c r="X403" s="250">
        <v>0.7</v>
      </c>
      <c r="Y403" s="250">
        <v>1700</v>
      </c>
      <c r="Z403" s="250" t="s">
        <v>840</v>
      </c>
      <c r="AA403" s="250">
        <v>0.85</v>
      </c>
      <c r="AB403" s="250" t="s">
        <v>841</v>
      </c>
      <c r="AC403" s="250" t="s">
        <v>842</v>
      </c>
      <c r="AD403" s="250">
        <v>220</v>
      </c>
      <c r="AE403" s="250"/>
      <c r="AF403" s="250"/>
      <c r="AG403" s="241"/>
    </row>
    <row r="404" spans="1:33" ht="15.75">
      <c r="A404" s="250" t="s">
        <v>1062</v>
      </c>
      <c r="B404" s="250" t="s">
        <v>888</v>
      </c>
      <c r="C404" s="250" t="s">
        <v>802</v>
      </c>
      <c r="D404" s="250" t="s">
        <v>838</v>
      </c>
      <c r="E404" s="250">
        <v>1.5</v>
      </c>
      <c r="F404" s="251">
        <v>45113.422222222223</v>
      </c>
      <c r="G404" s="250">
        <v>1</v>
      </c>
      <c r="H404" s="250">
        <v>51.374099999999999</v>
      </c>
      <c r="I404" s="250">
        <v>6.5418599999999998</v>
      </c>
      <c r="J404" s="250">
        <v>-6.2156339999999997</v>
      </c>
      <c r="K404" s="250">
        <v>-5.373545</v>
      </c>
      <c r="L404" s="250">
        <v>1010.02</v>
      </c>
      <c r="M404" s="250">
        <v>125.49967100000001</v>
      </c>
      <c r="N404" s="250">
        <v>18262.7896</v>
      </c>
      <c r="O404" s="250">
        <v>18413.6525</v>
      </c>
      <c r="P404" s="250">
        <v>2028.23</v>
      </c>
      <c r="Q404" s="250" t="s">
        <v>18</v>
      </c>
      <c r="R404" s="250" t="s">
        <v>647</v>
      </c>
      <c r="S404" s="250" t="s">
        <v>21</v>
      </c>
      <c r="T404" s="250">
        <v>15</v>
      </c>
      <c r="U404" s="250">
        <v>5</v>
      </c>
      <c r="V404" s="250">
        <v>0.7</v>
      </c>
      <c r="W404" s="250">
        <v>0.7</v>
      </c>
      <c r="X404" s="250">
        <v>0.7</v>
      </c>
      <c r="Y404" s="250">
        <v>1700</v>
      </c>
      <c r="Z404" s="250" t="s">
        <v>840</v>
      </c>
      <c r="AA404" s="250">
        <v>0.85</v>
      </c>
      <c r="AB404" s="250" t="s">
        <v>841</v>
      </c>
      <c r="AC404" s="250" t="s">
        <v>842</v>
      </c>
      <c r="AD404" s="250">
        <v>220</v>
      </c>
      <c r="AE404" s="250"/>
      <c r="AF404" s="250"/>
      <c r="AG404" s="241"/>
    </row>
    <row r="405" spans="1:33" ht="15.75">
      <c r="A405" s="250" t="s">
        <v>1063</v>
      </c>
      <c r="B405" s="250" t="s">
        <v>888</v>
      </c>
      <c r="C405" s="250" t="s">
        <v>802</v>
      </c>
      <c r="D405" s="250" t="s">
        <v>838</v>
      </c>
      <c r="E405" s="250">
        <v>1.5</v>
      </c>
      <c r="F405" s="251">
        <v>45113.425694444442</v>
      </c>
      <c r="G405" s="250">
        <v>1</v>
      </c>
      <c r="H405" s="250">
        <v>51.370800000000003</v>
      </c>
      <c r="I405" s="250">
        <v>6.5425399999999998</v>
      </c>
      <c r="J405" s="250">
        <v>-6.307023</v>
      </c>
      <c r="K405" s="250">
        <v>-5.4838259999999996</v>
      </c>
      <c r="L405" s="250">
        <v>1039.69</v>
      </c>
      <c r="M405" s="250">
        <v>121.500728</v>
      </c>
      <c r="N405" s="250">
        <v>18428.442800000001</v>
      </c>
      <c r="O405" s="250">
        <v>18413.6525</v>
      </c>
      <c r="P405" s="250">
        <v>2028.23</v>
      </c>
      <c r="Q405" s="250" t="s">
        <v>18</v>
      </c>
      <c r="R405" s="250" t="s">
        <v>839</v>
      </c>
      <c r="S405" s="250" t="s">
        <v>21</v>
      </c>
      <c r="T405" s="250">
        <v>15</v>
      </c>
      <c r="U405" s="250">
        <v>5</v>
      </c>
      <c r="V405" s="250">
        <v>0.7</v>
      </c>
      <c r="W405" s="250">
        <v>0.7</v>
      </c>
      <c r="X405" s="250">
        <v>0.7</v>
      </c>
      <c r="Y405" s="250">
        <v>1700</v>
      </c>
      <c r="Z405" s="250" t="s">
        <v>840</v>
      </c>
      <c r="AA405" s="250">
        <v>0.85</v>
      </c>
      <c r="AB405" s="250" t="s">
        <v>841</v>
      </c>
      <c r="AC405" s="250" t="s">
        <v>842</v>
      </c>
      <c r="AD405" s="250">
        <v>220</v>
      </c>
      <c r="AE405" s="250"/>
      <c r="AF405" s="250"/>
      <c r="AG405" s="241"/>
    </row>
    <row r="406" spans="1:33" ht="15.75">
      <c r="A406" s="250" t="s">
        <v>1064</v>
      </c>
      <c r="B406" s="250" t="s">
        <v>888</v>
      </c>
      <c r="C406" s="250" t="s">
        <v>802</v>
      </c>
      <c r="D406" s="250" t="s">
        <v>838</v>
      </c>
      <c r="E406" s="250">
        <v>1.5</v>
      </c>
      <c r="F406" s="251">
        <v>45113.429166666669</v>
      </c>
      <c r="G406" s="250">
        <v>1</v>
      </c>
      <c r="H406" s="250">
        <v>51.364100000000001</v>
      </c>
      <c r="I406" s="250">
        <v>6.5021800000000001</v>
      </c>
      <c r="J406" s="250">
        <v>-6.2268499999999998</v>
      </c>
      <c r="K406" s="250">
        <v>-5.377059</v>
      </c>
      <c r="L406" s="250">
        <v>1012.75</v>
      </c>
      <c r="M406" s="250">
        <v>120.999914</v>
      </c>
      <c r="N406" s="250">
        <v>18396.669399999999</v>
      </c>
      <c r="O406" s="250">
        <v>18413.6525</v>
      </c>
      <c r="P406" s="250">
        <v>2028.23</v>
      </c>
      <c r="Q406" s="250" t="s">
        <v>18</v>
      </c>
      <c r="R406" s="250" t="s">
        <v>839</v>
      </c>
      <c r="S406" s="250" t="s">
        <v>21</v>
      </c>
      <c r="T406" s="250">
        <v>15</v>
      </c>
      <c r="U406" s="250">
        <v>5</v>
      </c>
      <c r="V406" s="250">
        <v>0.7</v>
      </c>
      <c r="W406" s="250">
        <v>0.7</v>
      </c>
      <c r="X406" s="250">
        <v>0.7</v>
      </c>
      <c r="Y406" s="250">
        <v>1700</v>
      </c>
      <c r="Z406" s="250" t="s">
        <v>840</v>
      </c>
      <c r="AA406" s="250">
        <v>0.85</v>
      </c>
      <c r="AB406" s="250" t="s">
        <v>841</v>
      </c>
      <c r="AC406" s="250" t="s">
        <v>842</v>
      </c>
      <c r="AD406" s="250">
        <v>220</v>
      </c>
      <c r="AE406" s="250"/>
      <c r="AF406" s="250"/>
      <c r="AG406" s="241"/>
    </row>
    <row r="407" spans="1:33" ht="15.75">
      <c r="A407" s="250" t="s">
        <v>1065</v>
      </c>
      <c r="B407" s="250" t="s">
        <v>893</v>
      </c>
      <c r="C407" s="250" t="s">
        <v>802</v>
      </c>
      <c r="D407" s="250" t="s">
        <v>838</v>
      </c>
      <c r="E407" s="250">
        <v>1.8</v>
      </c>
      <c r="F407" s="251">
        <v>45113.432638888888</v>
      </c>
      <c r="G407" s="250">
        <v>1</v>
      </c>
      <c r="H407" s="250">
        <v>51.377400000000002</v>
      </c>
      <c r="I407" s="250">
        <v>6.5561199999999999</v>
      </c>
      <c r="J407" s="250">
        <v>-6.1876340000000001</v>
      </c>
      <c r="K407" s="250">
        <v>-5.3486310000000001</v>
      </c>
      <c r="L407" s="250">
        <v>1046.95</v>
      </c>
      <c r="M407" s="250">
        <v>127.999664</v>
      </c>
      <c r="N407" s="250">
        <v>22104.861700000001</v>
      </c>
      <c r="O407" s="250">
        <v>22084.190299999998</v>
      </c>
      <c r="P407" s="250">
        <v>2028.23</v>
      </c>
      <c r="Q407" s="250" t="s">
        <v>18</v>
      </c>
      <c r="R407" s="250" t="s">
        <v>839</v>
      </c>
      <c r="S407" s="250" t="s">
        <v>21</v>
      </c>
      <c r="T407" s="250">
        <v>15</v>
      </c>
      <c r="U407" s="250">
        <v>5</v>
      </c>
      <c r="V407" s="250">
        <v>0.7</v>
      </c>
      <c r="W407" s="250">
        <v>0.7</v>
      </c>
      <c r="X407" s="250">
        <v>0.7</v>
      </c>
      <c r="Y407" s="250">
        <v>1700</v>
      </c>
      <c r="Z407" s="250" t="s">
        <v>840</v>
      </c>
      <c r="AA407" s="250">
        <v>0.85</v>
      </c>
      <c r="AB407" s="250" t="s">
        <v>841</v>
      </c>
      <c r="AC407" s="250" t="s">
        <v>842</v>
      </c>
      <c r="AD407" s="250">
        <v>220</v>
      </c>
      <c r="AE407" s="250"/>
      <c r="AF407" s="250"/>
      <c r="AG407" s="241"/>
    </row>
    <row r="408" spans="1:33" ht="15.75">
      <c r="A408" s="250" t="s">
        <v>1066</v>
      </c>
      <c r="B408" s="250" t="s">
        <v>893</v>
      </c>
      <c r="C408" s="250" t="s">
        <v>802</v>
      </c>
      <c r="D408" s="250" t="s">
        <v>838</v>
      </c>
      <c r="E408" s="250">
        <v>1.8</v>
      </c>
      <c r="F408" s="251">
        <v>45113.436805555553</v>
      </c>
      <c r="G408" s="250">
        <v>1</v>
      </c>
      <c r="H408" s="250">
        <v>51.374099999999999</v>
      </c>
      <c r="I408" s="250">
        <v>6.4750300000000003</v>
      </c>
      <c r="J408" s="250">
        <v>-6.2750649999999997</v>
      </c>
      <c r="K408" s="250">
        <v>-5.4379439999999999</v>
      </c>
      <c r="L408" s="250">
        <v>1041.04</v>
      </c>
      <c r="M408" s="250">
        <v>139.00059899999999</v>
      </c>
      <c r="N408" s="250">
        <v>22119.496899999998</v>
      </c>
      <c r="O408" s="250">
        <v>22084.190299999998</v>
      </c>
      <c r="P408" s="250">
        <v>2028.23</v>
      </c>
      <c r="Q408" s="250" t="s">
        <v>18</v>
      </c>
      <c r="R408" s="250" t="s">
        <v>647</v>
      </c>
      <c r="S408" s="250" t="s">
        <v>21</v>
      </c>
      <c r="T408" s="250">
        <v>15</v>
      </c>
      <c r="U408" s="250">
        <v>5</v>
      </c>
      <c r="V408" s="250">
        <v>0.7</v>
      </c>
      <c r="W408" s="250">
        <v>0.7</v>
      </c>
      <c r="X408" s="250">
        <v>0.7</v>
      </c>
      <c r="Y408" s="250">
        <v>1700</v>
      </c>
      <c r="Z408" s="250" t="s">
        <v>840</v>
      </c>
      <c r="AA408" s="250">
        <v>0.85</v>
      </c>
      <c r="AB408" s="250" t="s">
        <v>841</v>
      </c>
      <c r="AC408" s="250" t="s">
        <v>842</v>
      </c>
      <c r="AD408" s="250">
        <v>220</v>
      </c>
      <c r="AE408" s="250"/>
      <c r="AF408" s="250"/>
      <c r="AG408" s="241"/>
    </row>
    <row r="409" spans="1:33" ht="15.75">
      <c r="A409" s="250" t="s">
        <v>1067</v>
      </c>
      <c r="B409" s="250" t="s">
        <v>893</v>
      </c>
      <c r="C409" s="250" t="s">
        <v>802</v>
      </c>
      <c r="D409" s="250" t="s">
        <v>838</v>
      </c>
      <c r="E409" s="250">
        <v>1.8</v>
      </c>
      <c r="F409" s="251">
        <v>45113.44027777778</v>
      </c>
      <c r="G409" s="250">
        <v>1</v>
      </c>
      <c r="H409" s="250">
        <v>51.370800000000003</v>
      </c>
      <c r="I409" s="250">
        <v>6.4320899999999996</v>
      </c>
      <c r="J409" s="250">
        <v>-6.2418690000000003</v>
      </c>
      <c r="K409" s="250">
        <v>-5.3978630000000001</v>
      </c>
      <c r="L409" s="250">
        <v>1043.51</v>
      </c>
      <c r="M409" s="250">
        <v>129.99981700000001</v>
      </c>
      <c r="N409" s="250">
        <v>22075.813300000002</v>
      </c>
      <c r="O409" s="250">
        <v>22084.190299999998</v>
      </c>
      <c r="P409" s="250">
        <v>2028.23</v>
      </c>
      <c r="Q409" s="250" t="s">
        <v>18</v>
      </c>
      <c r="R409" s="250" t="s">
        <v>839</v>
      </c>
      <c r="S409" s="250" t="s">
        <v>21</v>
      </c>
      <c r="T409" s="250">
        <v>15</v>
      </c>
      <c r="U409" s="250">
        <v>5</v>
      </c>
      <c r="V409" s="250">
        <v>0.7</v>
      </c>
      <c r="W409" s="250">
        <v>0.7</v>
      </c>
      <c r="X409" s="250">
        <v>0.7</v>
      </c>
      <c r="Y409" s="250">
        <v>1700</v>
      </c>
      <c r="Z409" s="250" t="s">
        <v>840</v>
      </c>
      <c r="AA409" s="250">
        <v>0.85</v>
      </c>
      <c r="AB409" s="250" t="s">
        <v>841</v>
      </c>
      <c r="AC409" s="250" t="s">
        <v>842</v>
      </c>
      <c r="AD409" s="250">
        <v>220</v>
      </c>
      <c r="AE409" s="250"/>
      <c r="AF409" s="250"/>
      <c r="AG409" s="241"/>
    </row>
    <row r="410" spans="1:33" ht="15.75">
      <c r="A410" s="250" t="s">
        <v>1068</v>
      </c>
      <c r="B410" s="250" t="s">
        <v>893</v>
      </c>
      <c r="C410" s="250" t="s">
        <v>802</v>
      </c>
      <c r="D410" s="250" t="s">
        <v>838</v>
      </c>
      <c r="E410" s="250">
        <v>1.8</v>
      </c>
      <c r="F410" s="251">
        <v>45113.444444444445</v>
      </c>
      <c r="G410" s="250">
        <v>1</v>
      </c>
      <c r="H410" s="250">
        <v>51.3675</v>
      </c>
      <c r="I410" s="250">
        <v>6.5457999999999998</v>
      </c>
      <c r="J410" s="250">
        <v>-6.225867</v>
      </c>
      <c r="K410" s="250">
        <v>-5.3850280000000001</v>
      </c>
      <c r="L410" s="250">
        <v>1057.02</v>
      </c>
      <c r="M410" s="250">
        <v>133.999032</v>
      </c>
      <c r="N410" s="250">
        <v>22071.8959</v>
      </c>
      <c r="O410" s="250">
        <v>22084.190299999998</v>
      </c>
      <c r="P410" s="250">
        <v>2028.23</v>
      </c>
      <c r="Q410" s="250">
        <v>2028.23</v>
      </c>
      <c r="R410" s="250" t="s">
        <v>839</v>
      </c>
      <c r="S410" s="250" t="s">
        <v>21</v>
      </c>
      <c r="T410" s="250">
        <v>15</v>
      </c>
      <c r="U410" s="250">
        <v>5</v>
      </c>
      <c r="V410" s="250">
        <v>0.7</v>
      </c>
      <c r="W410" s="250">
        <v>0.7</v>
      </c>
      <c r="X410" s="250">
        <v>0.7</v>
      </c>
      <c r="Y410" s="250">
        <v>1700</v>
      </c>
      <c r="Z410" s="250" t="s">
        <v>840</v>
      </c>
      <c r="AA410" s="250">
        <v>0.85</v>
      </c>
      <c r="AB410" s="250" t="s">
        <v>841</v>
      </c>
      <c r="AC410" s="250" t="s">
        <v>842</v>
      </c>
      <c r="AD410" s="250">
        <v>220</v>
      </c>
      <c r="AE410" s="250"/>
      <c r="AF410" s="250"/>
      <c r="AG410" s="241"/>
    </row>
    <row r="411" spans="1:33" ht="15.75">
      <c r="A411" s="250" t="s">
        <v>847</v>
      </c>
      <c r="B411" s="250">
        <v>2</v>
      </c>
      <c r="C411" s="250">
        <v>144</v>
      </c>
      <c r="D411" s="250" t="s">
        <v>898</v>
      </c>
      <c r="E411" s="250">
        <v>1.5</v>
      </c>
      <c r="F411" s="251">
        <v>45113.448611111111</v>
      </c>
      <c r="G411" s="250">
        <v>1</v>
      </c>
      <c r="H411" s="250">
        <v>51.3675</v>
      </c>
      <c r="I411" s="250">
        <v>6.5032699999999997</v>
      </c>
      <c r="J411" s="250">
        <v>-6.3687430000000003</v>
      </c>
      <c r="K411" s="250">
        <v>-5.5354390000000002</v>
      </c>
      <c r="L411" s="250">
        <v>1034.8599999999999</v>
      </c>
      <c r="M411" s="250">
        <v>130.49998299999999</v>
      </c>
      <c r="N411" s="250">
        <v>18494.4751</v>
      </c>
      <c r="O411" s="250">
        <v>18479.181400000001</v>
      </c>
      <c r="P411" s="250">
        <v>2035.4718700000001</v>
      </c>
      <c r="Q411" s="250">
        <v>2036.152094</v>
      </c>
      <c r="R411" s="250" t="s">
        <v>839</v>
      </c>
      <c r="S411" s="250" t="s">
        <v>769</v>
      </c>
      <c r="T411" s="250">
        <v>15</v>
      </c>
      <c r="U411" s="250">
        <v>5</v>
      </c>
      <c r="V411" s="250">
        <v>0.7</v>
      </c>
      <c r="W411" s="250">
        <v>0.7</v>
      </c>
      <c r="X411" s="250">
        <v>0.7</v>
      </c>
      <c r="Y411" s="250">
        <v>1700</v>
      </c>
      <c r="Z411" s="250" t="s">
        <v>840</v>
      </c>
      <c r="AA411" s="250">
        <v>0.85</v>
      </c>
      <c r="AB411" s="250" t="s">
        <v>841</v>
      </c>
      <c r="AC411" s="250" t="s">
        <v>842</v>
      </c>
      <c r="AD411" s="250">
        <v>220</v>
      </c>
      <c r="AE411" s="250"/>
      <c r="AF411" s="250"/>
      <c r="AG411" s="241"/>
    </row>
    <row r="412" spans="1:33" ht="15.75">
      <c r="A412" s="250" t="s">
        <v>1069</v>
      </c>
      <c r="B412" s="250">
        <v>2</v>
      </c>
      <c r="C412" s="250">
        <v>144</v>
      </c>
      <c r="D412" s="250" t="s">
        <v>898</v>
      </c>
      <c r="E412" s="250">
        <v>1.5</v>
      </c>
      <c r="F412" s="251">
        <v>45113.45208333333</v>
      </c>
      <c r="G412" s="250">
        <v>1</v>
      </c>
      <c r="H412" s="250">
        <v>51.370800000000003</v>
      </c>
      <c r="I412" s="250">
        <v>6.62141</v>
      </c>
      <c r="J412" s="250">
        <v>-6.3050790000000001</v>
      </c>
      <c r="K412" s="250">
        <v>-5.4631959999999999</v>
      </c>
      <c r="L412" s="250">
        <v>1029.32</v>
      </c>
      <c r="M412" s="250">
        <v>125.49996899999999</v>
      </c>
      <c r="N412" s="250">
        <v>18469.835800000001</v>
      </c>
      <c r="O412" s="250">
        <v>18479.181400000001</v>
      </c>
      <c r="P412" s="250">
        <v>2035.4718700000001</v>
      </c>
      <c r="Q412" s="250">
        <v>2036.152094</v>
      </c>
      <c r="R412" s="250" t="s">
        <v>839</v>
      </c>
      <c r="S412" s="250" t="s">
        <v>769</v>
      </c>
      <c r="T412" s="250">
        <v>15</v>
      </c>
      <c r="U412" s="250">
        <v>5</v>
      </c>
      <c r="V412" s="250">
        <v>0.7</v>
      </c>
      <c r="W412" s="250">
        <v>0.7</v>
      </c>
      <c r="X412" s="250">
        <v>0.7</v>
      </c>
      <c r="Y412" s="250">
        <v>1700</v>
      </c>
      <c r="Z412" s="250" t="s">
        <v>840</v>
      </c>
      <c r="AA412" s="250">
        <v>0.85</v>
      </c>
      <c r="AB412" s="250" t="s">
        <v>841</v>
      </c>
      <c r="AC412" s="250" t="s">
        <v>842</v>
      </c>
      <c r="AD412" s="250">
        <v>220</v>
      </c>
      <c r="AE412" s="250"/>
      <c r="AF412" s="250"/>
      <c r="AG412" s="241"/>
    </row>
    <row r="413" spans="1:33" ht="15.75">
      <c r="A413" s="250" t="s">
        <v>1070</v>
      </c>
      <c r="B413" s="250">
        <v>2</v>
      </c>
      <c r="C413" s="250">
        <v>144</v>
      </c>
      <c r="D413" s="250" t="s">
        <v>898</v>
      </c>
      <c r="E413" s="250">
        <v>1.5</v>
      </c>
      <c r="F413" s="251">
        <v>45113.455555555556</v>
      </c>
      <c r="G413" s="250">
        <v>1</v>
      </c>
      <c r="H413" s="250">
        <v>51.377400000000002</v>
      </c>
      <c r="I413" s="250">
        <v>6.6234999999999999</v>
      </c>
      <c r="J413" s="250">
        <v>-6.3357479999999997</v>
      </c>
      <c r="K413" s="250">
        <v>-5.5066290000000002</v>
      </c>
      <c r="L413" s="250">
        <v>1026.55</v>
      </c>
      <c r="M413" s="250">
        <v>118.49851</v>
      </c>
      <c r="N413" s="250">
        <v>18473.2333</v>
      </c>
      <c r="O413" s="250">
        <v>18479.181400000001</v>
      </c>
      <c r="P413" s="250">
        <v>2035.4718700000001</v>
      </c>
      <c r="Q413" s="250">
        <v>2036.152094</v>
      </c>
      <c r="R413" s="250" t="s">
        <v>839</v>
      </c>
      <c r="S413" s="250" t="s">
        <v>769</v>
      </c>
      <c r="T413" s="250">
        <v>15</v>
      </c>
      <c r="U413" s="250">
        <v>5</v>
      </c>
      <c r="V413" s="250">
        <v>0.7</v>
      </c>
      <c r="W413" s="250">
        <v>0.7</v>
      </c>
      <c r="X413" s="250">
        <v>0.7</v>
      </c>
      <c r="Y413" s="250">
        <v>1700</v>
      </c>
      <c r="Z413" s="250" t="s">
        <v>840</v>
      </c>
      <c r="AA413" s="250">
        <v>0.85</v>
      </c>
      <c r="AB413" s="250" t="s">
        <v>841</v>
      </c>
      <c r="AC413" s="250" t="s">
        <v>842</v>
      </c>
      <c r="AD413" s="250">
        <v>220</v>
      </c>
      <c r="AE413" s="250"/>
      <c r="AF413" s="250"/>
      <c r="AG413" s="241"/>
    </row>
    <row r="414" spans="1:33" ht="15.75">
      <c r="A414" s="250" t="s">
        <v>848</v>
      </c>
      <c r="B414" s="250">
        <v>3</v>
      </c>
      <c r="C414" s="250">
        <v>145</v>
      </c>
      <c r="D414" s="250" t="s">
        <v>902</v>
      </c>
      <c r="E414" s="250">
        <v>1.5</v>
      </c>
      <c r="F414" s="251">
        <v>45113.459722222222</v>
      </c>
      <c r="G414" s="250">
        <v>1</v>
      </c>
      <c r="H414" s="250">
        <v>51.3675</v>
      </c>
      <c r="I414" s="250">
        <v>6.58596</v>
      </c>
      <c r="J414" s="250">
        <v>-6.2839510000000001</v>
      </c>
      <c r="K414" s="250">
        <v>-5.4405070000000002</v>
      </c>
      <c r="L414" s="250">
        <v>1045.06</v>
      </c>
      <c r="M414" s="250">
        <v>120.001729</v>
      </c>
      <c r="N414" s="250">
        <v>18597.954300000001</v>
      </c>
      <c r="O414" s="250">
        <v>18589.875</v>
      </c>
      <c r="P414" s="250">
        <v>2047.70507</v>
      </c>
      <c r="Q414" s="250">
        <v>2049.0655190000002</v>
      </c>
      <c r="R414" s="250" t="s">
        <v>839</v>
      </c>
      <c r="S414" s="250" t="s">
        <v>769</v>
      </c>
      <c r="T414" s="250">
        <v>15</v>
      </c>
      <c r="U414" s="250">
        <v>5</v>
      </c>
      <c r="V414" s="250">
        <v>0.7</v>
      </c>
      <c r="W414" s="250">
        <v>0.7</v>
      </c>
      <c r="X414" s="250">
        <v>0.7</v>
      </c>
      <c r="Y414" s="250">
        <v>1700</v>
      </c>
      <c r="Z414" s="250" t="s">
        <v>840</v>
      </c>
      <c r="AA414" s="250">
        <v>0.85</v>
      </c>
      <c r="AB414" s="250" t="s">
        <v>841</v>
      </c>
      <c r="AC414" s="250" t="s">
        <v>842</v>
      </c>
      <c r="AD414" s="250">
        <v>220</v>
      </c>
      <c r="AE414" s="250"/>
      <c r="AF414" s="250"/>
      <c r="AG414" s="241"/>
    </row>
    <row r="415" spans="1:33" ht="15.75">
      <c r="A415" s="250" t="s">
        <v>1071</v>
      </c>
      <c r="B415" s="250">
        <v>3</v>
      </c>
      <c r="C415" s="250">
        <v>145</v>
      </c>
      <c r="D415" s="250" t="s">
        <v>902</v>
      </c>
      <c r="E415" s="250">
        <v>1.5</v>
      </c>
      <c r="F415" s="251">
        <v>45113.463194444441</v>
      </c>
      <c r="G415" s="250">
        <v>1</v>
      </c>
      <c r="H415" s="250">
        <v>51.374099999999999</v>
      </c>
      <c r="I415" s="250">
        <v>6.5564299999999998</v>
      </c>
      <c r="J415" s="250">
        <v>-6.3088550000000003</v>
      </c>
      <c r="K415" s="250">
        <v>-5.4603109999999999</v>
      </c>
      <c r="L415" s="250">
        <v>1026.6400000000001</v>
      </c>
      <c r="M415" s="250">
        <v>119.500322</v>
      </c>
      <c r="N415" s="250">
        <v>18597.822</v>
      </c>
      <c r="O415" s="250">
        <v>18589.875</v>
      </c>
      <c r="P415" s="250">
        <v>2047.70507</v>
      </c>
      <c r="Q415" s="250">
        <v>2049.0655190000002</v>
      </c>
      <c r="R415" s="250" t="s">
        <v>839</v>
      </c>
      <c r="S415" s="250" t="s">
        <v>769</v>
      </c>
      <c r="T415" s="250">
        <v>15</v>
      </c>
      <c r="U415" s="250">
        <v>5</v>
      </c>
      <c r="V415" s="250">
        <v>0.7</v>
      </c>
      <c r="W415" s="250">
        <v>0.7</v>
      </c>
      <c r="X415" s="250">
        <v>0.7</v>
      </c>
      <c r="Y415" s="250">
        <v>1700</v>
      </c>
      <c r="Z415" s="250" t="s">
        <v>840</v>
      </c>
      <c r="AA415" s="250">
        <v>0.85</v>
      </c>
      <c r="AB415" s="250" t="s">
        <v>841</v>
      </c>
      <c r="AC415" s="250" t="s">
        <v>842</v>
      </c>
      <c r="AD415" s="250">
        <v>220</v>
      </c>
      <c r="AE415" s="250"/>
      <c r="AF415" s="250"/>
      <c r="AG415" s="241"/>
    </row>
    <row r="416" spans="1:33" ht="15.75">
      <c r="A416" s="250" t="s">
        <v>1072</v>
      </c>
      <c r="B416" s="250">
        <v>3</v>
      </c>
      <c r="C416" s="250">
        <v>145</v>
      </c>
      <c r="D416" s="250" t="s">
        <v>902</v>
      </c>
      <c r="E416" s="250">
        <v>1.5</v>
      </c>
      <c r="F416" s="251">
        <v>45113.466666666667</v>
      </c>
      <c r="G416" s="250">
        <v>1</v>
      </c>
      <c r="H416" s="250">
        <v>51.370800000000003</v>
      </c>
      <c r="I416" s="250">
        <v>6.6087400000000001</v>
      </c>
      <c r="J416" s="250">
        <v>-6.4736279999999997</v>
      </c>
      <c r="K416" s="250">
        <v>-5.6291450000000003</v>
      </c>
      <c r="L416" s="250">
        <v>1012.86</v>
      </c>
      <c r="M416" s="250">
        <v>129.00008399999999</v>
      </c>
      <c r="N416" s="250">
        <v>18546.964199999999</v>
      </c>
      <c r="O416" s="250">
        <v>18589.875</v>
      </c>
      <c r="P416" s="250">
        <v>2047.70507</v>
      </c>
      <c r="Q416" s="250">
        <v>2049.0655190000002</v>
      </c>
      <c r="R416" s="250" t="s">
        <v>647</v>
      </c>
      <c r="S416" s="250" t="s">
        <v>769</v>
      </c>
      <c r="T416" s="250">
        <v>15</v>
      </c>
      <c r="U416" s="250">
        <v>5</v>
      </c>
      <c r="V416" s="250">
        <v>0.7</v>
      </c>
      <c r="W416" s="250">
        <v>0.7</v>
      </c>
      <c r="X416" s="250">
        <v>0.7</v>
      </c>
      <c r="Y416" s="250">
        <v>1700</v>
      </c>
      <c r="Z416" s="250" t="s">
        <v>840</v>
      </c>
      <c r="AA416" s="250">
        <v>0.85</v>
      </c>
      <c r="AB416" s="250" t="s">
        <v>841</v>
      </c>
      <c r="AC416" s="250" t="s">
        <v>842</v>
      </c>
      <c r="AD416" s="250">
        <v>220</v>
      </c>
      <c r="AE416" s="250"/>
      <c r="AF416" s="250"/>
      <c r="AG416" s="241"/>
    </row>
    <row r="417" spans="1:33" ht="15.75">
      <c r="A417" s="250" t="s">
        <v>1073</v>
      </c>
      <c r="B417" s="250">
        <v>3</v>
      </c>
      <c r="C417" s="250">
        <v>145</v>
      </c>
      <c r="D417" s="250" t="s">
        <v>902</v>
      </c>
      <c r="E417" s="250">
        <v>1.5</v>
      </c>
      <c r="F417" s="251">
        <v>45113.470833333333</v>
      </c>
      <c r="G417" s="250">
        <v>1</v>
      </c>
      <c r="H417" s="250">
        <v>51.3675</v>
      </c>
      <c r="I417" s="250">
        <v>6.6932099999999997</v>
      </c>
      <c r="J417" s="250">
        <v>-6.3829310000000001</v>
      </c>
      <c r="K417" s="250">
        <v>-5.5424939999999996</v>
      </c>
      <c r="L417" s="250">
        <v>1048.81</v>
      </c>
      <c r="M417" s="250">
        <v>117.00081</v>
      </c>
      <c r="N417" s="250">
        <v>18573.848699999999</v>
      </c>
      <c r="O417" s="250">
        <v>18589.875</v>
      </c>
      <c r="P417" s="250">
        <v>2047.70507</v>
      </c>
      <c r="Q417" s="250">
        <v>2049.0655190000002</v>
      </c>
      <c r="R417" s="250" t="s">
        <v>839</v>
      </c>
      <c r="S417" s="250" t="s">
        <v>769</v>
      </c>
      <c r="T417" s="250">
        <v>15</v>
      </c>
      <c r="U417" s="250">
        <v>5</v>
      </c>
      <c r="V417" s="250">
        <v>0.7</v>
      </c>
      <c r="W417" s="250">
        <v>0.7</v>
      </c>
      <c r="X417" s="250">
        <v>0.7</v>
      </c>
      <c r="Y417" s="250">
        <v>1700</v>
      </c>
      <c r="Z417" s="250" t="s">
        <v>840</v>
      </c>
      <c r="AA417" s="250">
        <v>0.85</v>
      </c>
      <c r="AB417" s="250" t="s">
        <v>841</v>
      </c>
      <c r="AC417" s="250" t="s">
        <v>842</v>
      </c>
      <c r="AD417" s="250">
        <v>220</v>
      </c>
      <c r="AE417" s="250"/>
      <c r="AF417" s="250"/>
      <c r="AG417" s="241"/>
    </row>
    <row r="418" spans="1:33" ht="15.75">
      <c r="A418" s="250" t="s">
        <v>849</v>
      </c>
      <c r="B418" s="250">
        <v>4</v>
      </c>
      <c r="C418" s="250">
        <v>146</v>
      </c>
      <c r="D418" s="250" t="s">
        <v>906</v>
      </c>
      <c r="E418" s="250">
        <v>1.5</v>
      </c>
      <c r="F418" s="251">
        <v>45113.474999999999</v>
      </c>
      <c r="G418" s="250">
        <v>1</v>
      </c>
      <c r="H418" s="250">
        <v>51.370800000000003</v>
      </c>
      <c r="I418" s="250">
        <v>6.69231</v>
      </c>
      <c r="J418" s="250">
        <v>-6.361758</v>
      </c>
      <c r="K418" s="250">
        <v>-5.5248229999999996</v>
      </c>
      <c r="L418" s="250">
        <v>994.03899999999999</v>
      </c>
      <c r="M418" s="250">
        <v>108.498751</v>
      </c>
      <c r="N418" s="250">
        <v>17982.890899999999</v>
      </c>
      <c r="O418" s="250">
        <v>18000.154500000001</v>
      </c>
      <c r="P418" s="250">
        <v>1982.8986600000001</v>
      </c>
      <c r="Q418" s="250">
        <v>1984.939333</v>
      </c>
      <c r="R418" s="250" t="s">
        <v>839</v>
      </c>
      <c r="S418" s="250" t="s">
        <v>769</v>
      </c>
      <c r="T418" s="250">
        <v>15</v>
      </c>
      <c r="U418" s="250">
        <v>5</v>
      </c>
      <c r="V418" s="250">
        <v>0.7</v>
      </c>
      <c r="W418" s="250">
        <v>0.7</v>
      </c>
      <c r="X418" s="250">
        <v>0.7</v>
      </c>
      <c r="Y418" s="250">
        <v>1700</v>
      </c>
      <c r="Z418" s="250" t="s">
        <v>840</v>
      </c>
      <c r="AA418" s="250">
        <v>0.85</v>
      </c>
      <c r="AB418" s="250" t="s">
        <v>841</v>
      </c>
      <c r="AC418" s="250" t="s">
        <v>842</v>
      </c>
      <c r="AD418" s="250">
        <v>220</v>
      </c>
      <c r="AE418" s="250"/>
      <c r="AF418" s="250"/>
      <c r="AG418" s="241"/>
    </row>
    <row r="419" spans="1:33" ht="15.75">
      <c r="A419" s="250" t="s">
        <v>1074</v>
      </c>
      <c r="B419" s="250">
        <v>4</v>
      </c>
      <c r="C419" s="250">
        <v>146</v>
      </c>
      <c r="D419" s="250" t="s">
        <v>906</v>
      </c>
      <c r="E419" s="250">
        <v>1.5</v>
      </c>
      <c r="F419" s="251">
        <v>45113.478472222225</v>
      </c>
      <c r="G419" s="250">
        <v>1</v>
      </c>
      <c r="H419" s="250">
        <v>51.374099999999999</v>
      </c>
      <c r="I419" s="250">
        <v>6.6610300000000002</v>
      </c>
      <c r="J419" s="250">
        <v>-6.5265060000000004</v>
      </c>
      <c r="K419" s="250">
        <v>-5.6868470000000002</v>
      </c>
      <c r="L419" s="250">
        <v>1016.14</v>
      </c>
      <c r="M419" s="250">
        <v>123.501045</v>
      </c>
      <c r="N419" s="250">
        <v>18035.803899999999</v>
      </c>
      <c r="O419" s="250">
        <v>18000.154500000001</v>
      </c>
      <c r="P419" s="250">
        <v>1982.8986600000001</v>
      </c>
      <c r="Q419" s="250">
        <v>1984.939333</v>
      </c>
      <c r="R419" s="250" t="s">
        <v>647</v>
      </c>
      <c r="S419" s="250" t="s">
        <v>769</v>
      </c>
      <c r="T419" s="250">
        <v>15</v>
      </c>
      <c r="U419" s="250">
        <v>5</v>
      </c>
      <c r="V419" s="250">
        <v>0.7</v>
      </c>
      <c r="W419" s="250">
        <v>0.7</v>
      </c>
      <c r="X419" s="250">
        <v>0.7</v>
      </c>
      <c r="Y419" s="250">
        <v>1700</v>
      </c>
      <c r="Z419" s="250" t="s">
        <v>840</v>
      </c>
      <c r="AA419" s="250">
        <v>0.85</v>
      </c>
      <c r="AB419" s="250" t="s">
        <v>841</v>
      </c>
      <c r="AC419" s="250" t="s">
        <v>842</v>
      </c>
      <c r="AD419" s="250">
        <v>220</v>
      </c>
      <c r="AE419" s="250"/>
      <c r="AF419" s="250"/>
      <c r="AG419" s="241"/>
    </row>
    <row r="420" spans="1:33" ht="15.75">
      <c r="A420" s="250" t="s">
        <v>1075</v>
      </c>
      <c r="B420" s="250">
        <v>4</v>
      </c>
      <c r="C420" s="250">
        <v>146</v>
      </c>
      <c r="D420" s="250" t="s">
        <v>906</v>
      </c>
      <c r="E420" s="250">
        <v>1.5</v>
      </c>
      <c r="F420" s="251">
        <v>45113.481944444444</v>
      </c>
      <c r="G420" s="250">
        <v>1</v>
      </c>
      <c r="H420" s="250">
        <v>51.370800000000003</v>
      </c>
      <c r="I420" s="250">
        <v>6.80307</v>
      </c>
      <c r="J420" s="250">
        <v>-6.4540819999999997</v>
      </c>
      <c r="K420" s="250">
        <v>-5.6045109999999996</v>
      </c>
      <c r="L420" s="250">
        <v>999.14599999999996</v>
      </c>
      <c r="M420" s="250">
        <v>121.99912999999999</v>
      </c>
      <c r="N420" s="250">
        <v>17999.317200000001</v>
      </c>
      <c r="O420" s="250">
        <v>18000.154500000001</v>
      </c>
      <c r="P420" s="250">
        <v>1982.8986600000001</v>
      </c>
      <c r="Q420" s="250">
        <v>1984.939333</v>
      </c>
      <c r="R420" s="250" t="s">
        <v>839</v>
      </c>
      <c r="S420" s="250" t="s">
        <v>769</v>
      </c>
      <c r="T420" s="250">
        <v>15</v>
      </c>
      <c r="U420" s="250">
        <v>5</v>
      </c>
      <c r="V420" s="250">
        <v>0.7</v>
      </c>
      <c r="W420" s="250">
        <v>0.7</v>
      </c>
      <c r="X420" s="250">
        <v>0.7</v>
      </c>
      <c r="Y420" s="250">
        <v>1700</v>
      </c>
      <c r="Z420" s="250" t="s">
        <v>840</v>
      </c>
      <c r="AA420" s="250">
        <v>0.85</v>
      </c>
      <c r="AB420" s="250" t="s">
        <v>841</v>
      </c>
      <c r="AC420" s="250" t="s">
        <v>842</v>
      </c>
      <c r="AD420" s="250">
        <v>220</v>
      </c>
      <c r="AE420" s="250"/>
      <c r="AF420" s="250"/>
      <c r="AG420" s="241"/>
    </row>
    <row r="421" spans="1:33" ht="15.75">
      <c r="A421" s="250" t="s">
        <v>1076</v>
      </c>
      <c r="B421" s="250">
        <v>4</v>
      </c>
      <c r="C421" s="250">
        <v>146</v>
      </c>
      <c r="D421" s="250" t="s">
        <v>906</v>
      </c>
      <c r="E421" s="250">
        <v>1.5</v>
      </c>
      <c r="F421" s="251">
        <v>45113.48541666667</v>
      </c>
      <c r="G421" s="250">
        <v>1</v>
      </c>
      <c r="H421" s="250">
        <v>51.370800000000003</v>
      </c>
      <c r="I421" s="250">
        <v>6.8377400000000002</v>
      </c>
      <c r="J421" s="250">
        <v>-6.4303340000000002</v>
      </c>
      <c r="K421" s="250">
        <v>-5.5813769999999998</v>
      </c>
      <c r="L421" s="250">
        <v>988.51</v>
      </c>
      <c r="M421" s="250">
        <v>136.999886</v>
      </c>
      <c r="N421" s="250">
        <v>18018.255300000001</v>
      </c>
      <c r="O421" s="250">
        <v>18000.154500000001</v>
      </c>
      <c r="P421" s="250">
        <v>1982.8986600000001</v>
      </c>
      <c r="Q421" s="250">
        <v>1984.939333</v>
      </c>
      <c r="R421" s="250" t="s">
        <v>839</v>
      </c>
      <c r="S421" s="250" t="s">
        <v>769</v>
      </c>
      <c r="T421" s="250">
        <v>15</v>
      </c>
      <c r="U421" s="250">
        <v>5</v>
      </c>
      <c r="V421" s="250">
        <v>0.7</v>
      </c>
      <c r="W421" s="250">
        <v>0.7</v>
      </c>
      <c r="X421" s="250">
        <v>0.7</v>
      </c>
      <c r="Y421" s="250">
        <v>1700</v>
      </c>
      <c r="Z421" s="250" t="s">
        <v>840</v>
      </c>
      <c r="AA421" s="250">
        <v>0.85</v>
      </c>
      <c r="AB421" s="250" t="s">
        <v>841</v>
      </c>
      <c r="AC421" s="250" t="s">
        <v>842</v>
      </c>
      <c r="AD421" s="250">
        <v>220</v>
      </c>
      <c r="AE421" s="250"/>
      <c r="AF421" s="250"/>
      <c r="AG421" s="241"/>
    </row>
    <row r="422" spans="1:33" ht="15.75">
      <c r="A422" s="250" t="s">
        <v>850</v>
      </c>
      <c r="B422" s="250">
        <v>5</v>
      </c>
      <c r="C422" s="250">
        <v>147</v>
      </c>
      <c r="D422" s="250" t="s">
        <v>911</v>
      </c>
      <c r="E422" s="250">
        <v>1.5</v>
      </c>
      <c r="F422" s="251">
        <v>45113.489583333336</v>
      </c>
      <c r="G422" s="250">
        <v>1</v>
      </c>
      <c r="H422" s="250">
        <v>51.3675</v>
      </c>
      <c r="I422" s="250">
        <v>6.7660099999999996</v>
      </c>
      <c r="J422" s="250">
        <v>-6.4939</v>
      </c>
      <c r="K422" s="250">
        <v>-5.6441759999999999</v>
      </c>
      <c r="L422" s="250">
        <v>1013.51</v>
      </c>
      <c r="M422" s="250">
        <v>121.99986800000001</v>
      </c>
      <c r="N422" s="250">
        <v>18028.1198</v>
      </c>
      <c r="O422" s="250">
        <v>18024.956600000001</v>
      </c>
      <c r="P422" s="250">
        <v>1985.61769</v>
      </c>
      <c r="Q422" s="250">
        <v>1988.3385880000001</v>
      </c>
      <c r="R422" s="250" t="s">
        <v>839</v>
      </c>
      <c r="S422" s="250" t="s">
        <v>769</v>
      </c>
      <c r="T422" s="250">
        <v>15</v>
      </c>
      <c r="U422" s="250">
        <v>5</v>
      </c>
      <c r="V422" s="250">
        <v>0.7</v>
      </c>
      <c r="W422" s="250">
        <v>0.7</v>
      </c>
      <c r="X422" s="250">
        <v>0.7</v>
      </c>
      <c r="Y422" s="250">
        <v>1700</v>
      </c>
      <c r="Z422" s="250" t="s">
        <v>840</v>
      </c>
      <c r="AA422" s="250">
        <v>0.85</v>
      </c>
      <c r="AB422" s="250" t="s">
        <v>841</v>
      </c>
      <c r="AC422" s="250" t="s">
        <v>842</v>
      </c>
      <c r="AD422" s="250">
        <v>220</v>
      </c>
      <c r="AE422" s="250"/>
      <c r="AF422" s="250"/>
      <c r="AG422" s="241"/>
    </row>
    <row r="423" spans="1:33" ht="15.75">
      <c r="A423" s="250" t="s">
        <v>1077</v>
      </c>
      <c r="B423" s="250">
        <v>5</v>
      </c>
      <c r="C423" s="250">
        <v>147</v>
      </c>
      <c r="D423" s="250" t="s">
        <v>911</v>
      </c>
      <c r="E423" s="250">
        <v>1.5</v>
      </c>
      <c r="F423" s="251">
        <v>45113.493055555555</v>
      </c>
      <c r="G423" s="250">
        <v>1</v>
      </c>
      <c r="H423" s="250">
        <v>51.3675</v>
      </c>
      <c r="I423" s="250">
        <v>6.6577900000000003</v>
      </c>
      <c r="J423" s="250">
        <v>-6.4807189999999997</v>
      </c>
      <c r="K423" s="250">
        <v>-5.6347529999999999</v>
      </c>
      <c r="L423" s="250">
        <v>1015.14</v>
      </c>
      <c r="M423" s="250">
        <v>123.998456</v>
      </c>
      <c r="N423" s="250">
        <v>18027.401000000002</v>
      </c>
      <c r="O423" s="250">
        <v>18024.956600000001</v>
      </c>
      <c r="P423" s="250">
        <v>1985.61769</v>
      </c>
      <c r="Q423" s="250">
        <v>1988.3385880000001</v>
      </c>
      <c r="R423" s="250" t="s">
        <v>839</v>
      </c>
      <c r="S423" s="250" t="s">
        <v>769</v>
      </c>
      <c r="T423" s="250">
        <v>15</v>
      </c>
      <c r="U423" s="250">
        <v>5</v>
      </c>
      <c r="V423" s="250">
        <v>0.7</v>
      </c>
      <c r="W423" s="250">
        <v>0.7</v>
      </c>
      <c r="X423" s="250">
        <v>0.7</v>
      </c>
      <c r="Y423" s="250">
        <v>1700</v>
      </c>
      <c r="Z423" s="250" t="s">
        <v>840</v>
      </c>
      <c r="AA423" s="250">
        <v>0.85</v>
      </c>
      <c r="AB423" s="250" t="s">
        <v>841</v>
      </c>
      <c r="AC423" s="250" t="s">
        <v>842</v>
      </c>
      <c r="AD423" s="250">
        <v>220</v>
      </c>
      <c r="AE423" s="250"/>
      <c r="AF423" s="250"/>
      <c r="AG423" s="241"/>
    </row>
    <row r="424" spans="1:33" ht="15.75">
      <c r="A424" s="250" t="s">
        <v>1078</v>
      </c>
      <c r="B424" s="250">
        <v>5</v>
      </c>
      <c r="C424" s="250">
        <v>147</v>
      </c>
      <c r="D424" s="250" t="s">
        <v>911</v>
      </c>
      <c r="E424" s="250">
        <v>1.5</v>
      </c>
      <c r="F424" s="251">
        <v>45113.496527777781</v>
      </c>
      <c r="G424" s="250">
        <v>1</v>
      </c>
      <c r="H424" s="250">
        <v>51.374099999999999</v>
      </c>
      <c r="I424" s="250">
        <v>6.7159899999999997</v>
      </c>
      <c r="J424" s="250">
        <v>-6.4038849999999998</v>
      </c>
      <c r="K424" s="250">
        <v>-5.5640840000000003</v>
      </c>
      <c r="L424" s="250">
        <v>1011.65</v>
      </c>
      <c r="M424" s="250">
        <v>120.500553</v>
      </c>
      <c r="N424" s="250">
        <v>18019.348999999998</v>
      </c>
      <c r="O424" s="250">
        <v>18024.956600000001</v>
      </c>
      <c r="P424" s="250">
        <v>1985.61769</v>
      </c>
      <c r="Q424" s="250">
        <v>1988.3385880000001</v>
      </c>
      <c r="R424" s="250" t="s">
        <v>839</v>
      </c>
      <c r="S424" s="250" t="s">
        <v>769</v>
      </c>
      <c r="T424" s="250">
        <v>15</v>
      </c>
      <c r="U424" s="250">
        <v>5</v>
      </c>
      <c r="V424" s="250">
        <v>0.7</v>
      </c>
      <c r="W424" s="250">
        <v>0.7</v>
      </c>
      <c r="X424" s="250">
        <v>0.7</v>
      </c>
      <c r="Y424" s="250">
        <v>1700</v>
      </c>
      <c r="Z424" s="250" t="s">
        <v>840</v>
      </c>
      <c r="AA424" s="250">
        <v>0.85</v>
      </c>
      <c r="AB424" s="250" t="s">
        <v>841</v>
      </c>
      <c r="AC424" s="250" t="s">
        <v>842</v>
      </c>
      <c r="AD424" s="250">
        <v>220</v>
      </c>
      <c r="AE424" s="250"/>
      <c r="AF424" s="250"/>
      <c r="AG424" s="241"/>
    </row>
    <row r="425" spans="1:33" ht="15.75">
      <c r="A425" s="250" t="s">
        <v>851</v>
      </c>
      <c r="B425" s="250">
        <v>6</v>
      </c>
      <c r="C425" s="250">
        <v>150</v>
      </c>
      <c r="D425" s="250" t="s">
        <v>915</v>
      </c>
      <c r="E425" s="250">
        <v>1.5</v>
      </c>
      <c r="F425" s="251">
        <v>45113.500694444447</v>
      </c>
      <c r="G425" s="250">
        <v>1</v>
      </c>
      <c r="H425" s="250">
        <v>51.374099999999999</v>
      </c>
      <c r="I425" s="250">
        <v>6.6591699999999996</v>
      </c>
      <c r="J425" s="250">
        <v>-6.5030809999999999</v>
      </c>
      <c r="K425" s="250">
        <v>-5.6643429999999997</v>
      </c>
      <c r="L425" s="250">
        <v>1033.9000000000001</v>
      </c>
      <c r="M425" s="250">
        <v>119.00142</v>
      </c>
      <c r="N425" s="250">
        <v>18440.554199999999</v>
      </c>
      <c r="O425" s="250">
        <v>18428.165799999999</v>
      </c>
      <c r="P425" s="250">
        <v>2029.83393</v>
      </c>
      <c r="Q425" s="250">
        <v>2033.235052</v>
      </c>
      <c r="R425" s="250" t="s">
        <v>839</v>
      </c>
      <c r="S425" s="250" t="s">
        <v>769</v>
      </c>
      <c r="T425" s="250">
        <v>15</v>
      </c>
      <c r="U425" s="250">
        <v>5</v>
      </c>
      <c r="V425" s="250">
        <v>0.7</v>
      </c>
      <c r="W425" s="250">
        <v>0.7</v>
      </c>
      <c r="X425" s="250">
        <v>0.7</v>
      </c>
      <c r="Y425" s="250">
        <v>1700</v>
      </c>
      <c r="Z425" s="250" t="s">
        <v>840</v>
      </c>
      <c r="AA425" s="250">
        <v>0.85</v>
      </c>
      <c r="AB425" s="250" t="s">
        <v>841</v>
      </c>
      <c r="AC425" s="250" t="s">
        <v>842</v>
      </c>
      <c r="AD425" s="250">
        <v>220</v>
      </c>
      <c r="AE425" s="250"/>
      <c r="AF425" s="250"/>
      <c r="AG425" s="241"/>
    </row>
    <row r="426" spans="1:33" ht="15.75">
      <c r="A426" s="250" t="s">
        <v>853</v>
      </c>
      <c r="B426" s="250">
        <v>6</v>
      </c>
      <c r="C426" s="250">
        <v>150</v>
      </c>
      <c r="D426" s="250" t="s">
        <v>915</v>
      </c>
      <c r="E426" s="250">
        <v>1.5</v>
      </c>
      <c r="F426" s="251">
        <v>45113.504166666666</v>
      </c>
      <c r="G426" s="250">
        <v>1</v>
      </c>
      <c r="H426" s="250">
        <v>51.370800000000003</v>
      </c>
      <c r="I426" s="250">
        <v>6.7393099999999997</v>
      </c>
      <c r="J426" s="250">
        <v>-6.4705700000000004</v>
      </c>
      <c r="K426" s="250">
        <v>-5.6381670000000002</v>
      </c>
      <c r="L426" s="250">
        <v>1035.33</v>
      </c>
      <c r="M426" s="250">
        <v>118.499892</v>
      </c>
      <c r="N426" s="250">
        <v>18415.9156</v>
      </c>
      <c r="O426" s="250">
        <v>18428.165799999999</v>
      </c>
      <c r="P426" s="250">
        <v>2029.83393</v>
      </c>
      <c r="Q426" s="250">
        <v>2033.235052</v>
      </c>
      <c r="R426" s="250" t="s">
        <v>839</v>
      </c>
      <c r="S426" s="250" t="s">
        <v>769</v>
      </c>
      <c r="T426" s="250">
        <v>15</v>
      </c>
      <c r="U426" s="250">
        <v>5</v>
      </c>
      <c r="V426" s="250">
        <v>0.7</v>
      </c>
      <c r="W426" s="250">
        <v>0.7</v>
      </c>
      <c r="X426" s="250">
        <v>0.7</v>
      </c>
      <c r="Y426" s="250">
        <v>1700</v>
      </c>
      <c r="Z426" s="250" t="s">
        <v>840</v>
      </c>
      <c r="AA426" s="250">
        <v>0.85</v>
      </c>
      <c r="AB426" s="250" t="s">
        <v>841</v>
      </c>
      <c r="AC426" s="250" t="s">
        <v>842</v>
      </c>
      <c r="AD426" s="250">
        <v>220</v>
      </c>
      <c r="AE426" s="250"/>
      <c r="AF426" s="250"/>
      <c r="AG426" s="241"/>
    </row>
    <row r="427" spans="1:33" ht="15.75">
      <c r="A427" s="250" t="s">
        <v>1079</v>
      </c>
      <c r="B427" s="250">
        <v>6</v>
      </c>
      <c r="C427" s="250">
        <v>150</v>
      </c>
      <c r="D427" s="250" t="s">
        <v>915</v>
      </c>
      <c r="E427" s="250">
        <v>1.5</v>
      </c>
      <c r="F427" s="251">
        <v>45113.507638888892</v>
      </c>
      <c r="G427" s="250">
        <v>1</v>
      </c>
      <c r="H427" s="250">
        <v>51.370800000000003</v>
      </c>
      <c r="I427" s="250">
        <v>6.65238</v>
      </c>
      <c r="J427" s="250">
        <v>-6.477957</v>
      </c>
      <c r="K427" s="250">
        <v>-5.6308090000000002</v>
      </c>
      <c r="L427" s="250">
        <v>1027.52</v>
      </c>
      <c r="M427" s="250">
        <v>118.999731</v>
      </c>
      <c r="N427" s="250">
        <v>18399.5072</v>
      </c>
      <c r="O427" s="250">
        <v>18428.165799999999</v>
      </c>
      <c r="P427" s="250">
        <v>2029.83393</v>
      </c>
      <c r="Q427" s="250">
        <v>2033.235052</v>
      </c>
      <c r="R427" s="250" t="s">
        <v>647</v>
      </c>
      <c r="S427" s="250" t="s">
        <v>769</v>
      </c>
      <c r="T427" s="250">
        <v>15</v>
      </c>
      <c r="U427" s="250">
        <v>5</v>
      </c>
      <c r="V427" s="250">
        <v>0.7</v>
      </c>
      <c r="W427" s="250">
        <v>0.7</v>
      </c>
      <c r="X427" s="250">
        <v>0.7</v>
      </c>
      <c r="Y427" s="250">
        <v>1700</v>
      </c>
      <c r="Z427" s="250" t="s">
        <v>840</v>
      </c>
      <c r="AA427" s="250">
        <v>0.85</v>
      </c>
      <c r="AB427" s="250" t="s">
        <v>841</v>
      </c>
      <c r="AC427" s="250" t="s">
        <v>842</v>
      </c>
      <c r="AD427" s="250">
        <v>220</v>
      </c>
      <c r="AE427" s="250"/>
      <c r="AF427" s="250"/>
      <c r="AG427" s="241"/>
    </row>
    <row r="428" spans="1:33" ht="15.75">
      <c r="A428" s="250" t="s">
        <v>1080</v>
      </c>
      <c r="B428" s="250">
        <v>6</v>
      </c>
      <c r="C428" s="250">
        <v>150</v>
      </c>
      <c r="D428" s="250" t="s">
        <v>915</v>
      </c>
      <c r="E428" s="250">
        <v>1.5</v>
      </c>
      <c r="F428" s="251">
        <v>45113.511111111111</v>
      </c>
      <c r="G428" s="250">
        <v>1</v>
      </c>
      <c r="H428" s="250">
        <v>51.370800000000003</v>
      </c>
      <c r="I428" s="250">
        <v>6.6367200000000004</v>
      </c>
      <c r="J428" s="250">
        <v>-6.5679689999999997</v>
      </c>
      <c r="K428" s="250">
        <v>-5.7184189999999999</v>
      </c>
      <c r="L428" s="250">
        <v>1036.79</v>
      </c>
      <c r="M428" s="250">
        <v>129.001418</v>
      </c>
      <c r="N428" s="250">
        <v>18428.027600000001</v>
      </c>
      <c r="O428" s="250">
        <v>18428.165799999999</v>
      </c>
      <c r="P428" s="250">
        <v>2029.83393</v>
      </c>
      <c r="Q428" s="250">
        <v>2033.235052</v>
      </c>
      <c r="R428" s="250" t="s">
        <v>839</v>
      </c>
      <c r="S428" s="250" t="s">
        <v>769</v>
      </c>
      <c r="T428" s="250">
        <v>15</v>
      </c>
      <c r="U428" s="250">
        <v>5</v>
      </c>
      <c r="V428" s="250">
        <v>0.7</v>
      </c>
      <c r="W428" s="250">
        <v>0.7</v>
      </c>
      <c r="X428" s="250">
        <v>0.7</v>
      </c>
      <c r="Y428" s="250">
        <v>1700</v>
      </c>
      <c r="Z428" s="250" t="s">
        <v>840</v>
      </c>
      <c r="AA428" s="250">
        <v>0.85</v>
      </c>
      <c r="AB428" s="250" t="s">
        <v>841</v>
      </c>
      <c r="AC428" s="250" t="s">
        <v>842</v>
      </c>
      <c r="AD428" s="250">
        <v>220</v>
      </c>
      <c r="AE428" s="250"/>
      <c r="AF428" s="250"/>
      <c r="AG428" s="241"/>
    </row>
    <row r="429" spans="1:33" ht="15.75">
      <c r="A429" s="250" t="s">
        <v>854</v>
      </c>
      <c r="B429" s="250">
        <v>7</v>
      </c>
      <c r="C429" s="250">
        <v>151</v>
      </c>
      <c r="D429" s="250" t="s">
        <v>926</v>
      </c>
      <c r="E429" s="250">
        <v>1.5</v>
      </c>
      <c r="F429" s="251">
        <v>45113.515277777777</v>
      </c>
      <c r="G429" s="250">
        <v>1</v>
      </c>
      <c r="H429" s="250">
        <v>51.3675</v>
      </c>
      <c r="I429" s="250">
        <v>6.6274300000000004</v>
      </c>
      <c r="J429" s="250">
        <v>-6.4616470000000001</v>
      </c>
      <c r="K429" s="250">
        <v>-5.6416120000000003</v>
      </c>
      <c r="L429" s="250">
        <v>1027.48</v>
      </c>
      <c r="M429" s="250">
        <v>119.999517</v>
      </c>
      <c r="N429" s="250">
        <v>18433.502400000001</v>
      </c>
      <c r="O429" s="250">
        <v>18427.227800000001</v>
      </c>
      <c r="P429" s="250">
        <v>2029.73027</v>
      </c>
      <c r="Q429" s="250">
        <v>2033.8116170000001</v>
      </c>
      <c r="R429" s="250" t="s">
        <v>839</v>
      </c>
      <c r="S429" s="250" t="s">
        <v>769</v>
      </c>
      <c r="T429" s="250">
        <v>15</v>
      </c>
      <c r="U429" s="250">
        <v>5</v>
      </c>
      <c r="V429" s="250">
        <v>0.7</v>
      </c>
      <c r="W429" s="250">
        <v>0.7</v>
      </c>
      <c r="X429" s="250">
        <v>0.7</v>
      </c>
      <c r="Y429" s="250">
        <v>1700</v>
      </c>
      <c r="Z429" s="250" t="s">
        <v>840</v>
      </c>
      <c r="AA429" s="250">
        <v>0.85</v>
      </c>
      <c r="AB429" s="250" t="s">
        <v>841</v>
      </c>
      <c r="AC429" s="250" t="s">
        <v>842</v>
      </c>
      <c r="AD429" s="250">
        <v>220</v>
      </c>
      <c r="AE429" s="250"/>
      <c r="AF429" s="250"/>
      <c r="AG429" s="241"/>
    </row>
    <row r="430" spans="1:33" ht="15.75">
      <c r="A430" s="250" t="s">
        <v>1045</v>
      </c>
      <c r="B430" s="250">
        <v>7</v>
      </c>
      <c r="C430" s="250">
        <v>151</v>
      </c>
      <c r="D430" s="250" t="s">
        <v>926</v>
      </c>
      <c r="E430" s="250">
        <v>1.5</v>
      </c>
      <c r="F430" s="251">
        <v>45113.519444444442</v>
      </c>
      <c r="G430" s="250">
        <v>1</v>
      </c>
      <c r="H430" s="250">
        <v>51.370800000000003</v>
      </c>
      <c r="I430" s="250">
        <v>6.6959900000000001</v>
      </c>
      <c r="J430" s="250">
        <v>-6.4468579999999998</v>
      </c>
      <c r="K430" s="250">
        <v>-5.5990330000000004</v>
      </c>
      <c r="L430" s="250">
        <v>1041.76</v>
      </c>
      <c r="M430" s="250">
        <v>119.999115</v>
      </c>
      <c r="N430" s="250">
        <v>18457.877799999998</v>
      </c>
      <c r="O430" s="250">
        <v>18427.227800000001</v>
      </c>
      <c r="P430" s="250">
        <v>2029.73027</v>
      </c>
      <c r="Q430" s="250">
        <v>2033.8116170000001</v>
      </c>
      <c r="R430" s="250" t="s">
        <v>647</v>
      </c>
      <c r="S430" s="250" t="s">
        <v>769</v>
      </c>
      <c r="T430" s="250">
        <v>15</v>
      </c>
      <c r="U430" s="250">
        <v>5</v>
      </c>
      <c r="V430" s="250">
        <v>0.7</v>
      </c>
      <c r="W430" s="250">
        <v>0.7</v>
      </c>
      <c r="X430" s="250">
        <v>0.7</v>
      </c>
      <c r="Y430" s="250">
        <v>1700</v>
      </c>
      <c r="Z430" s="250" t="s">
        <v>840</v>
      </c>
      <c r="AA430" s="250">
        <v>0.85</v>
      </c>
      <c r="AB430" s="250" t="s">
        <v>841</v>
      </c>
      <c r="AC430" s="250" t="s">
        <v>842</v>
      </c>
      <c r="AD430" s="250">
        <v>220</v>
      </c>
      <c r="AE430" s="250"/>
      <c r="AF430" s="250"/>
      <c r="AG430" s="241"/>
    </row>
    <row r="431" spans="1:33" ht="15.75">
      <c r="A431" s="250" t="s">
        <v>1046</v>
      </c>
      <c r="B431" s="250">
        <v>7</v>
      </c>
      <c r="C431" s="250">
        <v>151</v>
      </c>
      <c r="D431" s="250" t="s">
        <v>926</v>
      </c>
      <c r="E431" s="250">
        <v>1.5</v>
      </c>
      <c r="F431" s="251">
        <v>45113.522916666669</v>
      </c>
      <c r="G431" s="250">
        <v>1</v>
      </c>
      <c r="H431" s="250">
        <v>51.3675</v>
      </c>
      <c r="I431" s="250">
        <v>6.7660600000000004</v>
      </c>
      <c r="J431" s="250">
        <v>-6.438104</v>
      </c>
      <c r="K431" s="250">
        <v>-5.5925849999999997</v>
      </c>
      <c r="L431" s="250">
        <v>1035.23</v>
      </c>
      <c r="M431" s="250">
        <v>115.99964</v>
      </c>
      <c r="N431" s="250">
        <v>18418.766</v>
      </c>
      <c r="O431" s="250">
        <v>18427.227800000001</v>
      </c>
      <c r="P431" s="250">
        <v>2029.73027</v>
      </c>
      <c r="Q431" s="250">
        <v>2033.8116170000001</v>
      </c>
      <c r="R431" s="250" t="s">
        <v>839</v>
      </c>
      <c r="S431" s="250" t="s">
        <v>769</v>
      </c>
      <c r="T431" s="250">
        <v>15</v>
      </c>
      <c r="U431" s="250">
        <v>5</v>
      </c>
      <c r="V431" s="250">
        <v>0.7</v>
      </c>
      <c r="W431" s="250">
        <v>0.7</v>
      </c>
      <c r="X431" s="250">
        <v>0.7</v>
      </c>
      <c r="Y431" s="250">
        <v>1700</v>
      </c>
      <c r="Z431" s="250" t="s">
        <v>840</v>
      </c>
      <c r="AA431" s="250">
        <v>0.85</v>
      </c>
      <c r="AB431" s="250" t="s">
        <v>841</v>
      </c>
      <c r="AC431" s="250" t="s">
        <v>842</v>
      </c>
      <c r="AD431" s="250">
        <v>220</v>
      </c>
      <c r="AE431" s="250"/>
      <c r="AF431" s="250"/>
      <c r="AG431" s="241"/>
    </row>
    <row r="432" spans="1:33" ht="15.75">
      <c r="A432" s="250" t="s">
        <v>1047</v>
      </c>
      <c r="B432" s="250">
        <v>7</v>
      </c>
      <c r="C432" s="250">
        <v>151</v>
      </c>
      <c r="D432" s="250" t="s">
        <v>926</v>
      </c>
      <c r="E432" s="250">
        <v>1.5</v>
      </c>
      <c r="F432" s="251">
        <v>45113.526388888888</v>
      </c>
      <c r="G432" s="250">
        <v>1</v>
      </c>
      <c r="H432" s="250">
        <v>51.3675</v>
      </c>
      <c r="I432" s="250">
        <v>6.8026900000000001</v>
      </c>
      <c r="J432" s="250">
        <v>-6.3610749999999996</v>
      </c>
      <c r="K432" s="250">
        <v>-5.5209260000000002</v>
      </c>
      <c r="L432" s="250">
        <v>1036.3</v>
      </c>
      <c r="M432" s="250">
        <v>118.500315</v>
      </c>
      <c r="N432" s="250">
        <v>18373.207699999999</v>
      </c>
      <c r="O432" s="250">
        <v>18427.227800000001</v>
      </c>
      <c r="P432" s="250">
        <v>2029.73027</v>
      </c>
      <c r="Q432" s="250">
        <v>2033.8116170000001</v>
      </c>
      <c r="R432" s="250" t="s">
        <v>647</v>
      </c>
      <c r="S432" s="250" t="s">
        <v>769</v>
      </c>
      <c r="T432" s="250">
        <v>15</v>
      </c>
      <c r="U432" s="250">
        <v>5</v>
      </c>
      <c r="V432" s="250">
        <v>0.7</v>
      </c>
      <c r="W432" s="250">
        <v>0.7</v>
      </c>
      <c r="X432" s="250">
        <v>0.7</v>
      </c>
      <c r="Y432" s="250">
        <v>1700</v>
      </c>
      <c r="Z432" s="250" t="s">
        <v>840</v>
      </c>
      <c r="AA432" s="250">
        <v>0.85</v>
      </c>
      <c r="AB432" s="250" t="s">
        <v>841</v>
      </c>
      <c r="AC432" s="250" t="s">
        <v>842</v>
      </c>
      <c r="AD432" s="250">
        <v>220</v>
      </c>
      <c r="AE432" s="250"/>
      <c r="AF432" s="250"/>
      <c r="AG432" s="241"/>
    </row>
    <row r="433" spans="1:33" ht="15.75">
      <c r="A433" s="250" t="s">
        <v>1048</v>
      </c>
      <c r="B433" s="250">
        <v>7</v>
      </c>
      <c r="C433" s="250">
        <v>151</v>
      </c>
      <c r="D433" s="250" t="s">
        <v>926</v>
      </c>
      <c r="E433" s="250">
        <v>1.5</v>
      </c>
      <c r="F433" s="251">
        <v>45113.529861111114</v>
      </c>
      <c r="G433" s="250">
        <v>1</v>
      </c>
      <c r="H433" s="250">
        <v>51.364100000000001</v>
      </c>
      <c r="I433" s="250">
        <v>6.7850599999999996</v>
      </c>
      <c r="J433" s="250">
        <v>-6.4686630000000003</v>
      </c>
      <c r="K433" s="250">
        <v>-5.6315270000000002</v>
      </c>
      <c r="L433" s="250">
        <v>1027.32</v>
      </c>
      <c r="M433" s="250">
        <v>124.49975499999999</v>
      </c>
      <c r="N433" s="250">
        <v>18429.415099999998</v>
      </c>
      <c r="O433" s="250">
        <v>18427.227800000001</v>
      </c>
      <c r="P433" s="250">
        <v>2029.73027</v>
      </c>
      <c r="Q433" s="250">
        <v>2033.8116170000001</v>
      </c>
      <c r="R433" s="250" t="s">
        <v>839</v>
      </c>
      <c r="S433" s="250" t="s">
        <v>769</v>
      </c>
      <c r="T433" s="250">
        <v>15</v>
      </c>
      <c r="U433" s="250">
        <v>5</v>
      </c>
      <c r="V433" s="250">
        <v>0.7</v>
      </c>
      <c r="W433" s="250">
        <v>0.7</v>
      </c>
      <c r="X433" s="250">
        <v>0.7</v>
      </c>
      <c r="Y433" s="250">
        <v>1700</v>
      </c>
      <c r="Z433" s="250" t="s">
        <v>840</v>
      </c>
      <c r="AA433" s="250">
        <v>0.85</v>
      </c>
      <c r="AB433" s="250" t="s">
        <v>841</v>
      </c>
      <c r="AC433" s="250" t="s">
        <v>842</v>
      </c>
      <c r="AD433" s="250">
        <v>220</v>
      </c>
      <c r="AE433" s="250"/>
      <c r="AF433" s="250"/>
      <c r="AG433" s="241"/>
    </row>
    <row r="434" spans="1:33" ht="15.75">
      <c r="A434" s="250" t="s">
        <v>855</v>
      </c>
      <c r="B434" s="250">
        <v>8</v>
      </c>
      <c r="C434" s="250">
        <v>143</v>
      </c>
      <c r="D434" s="250" t="s">
        <v>930</v>
      </c>
      <c r="E434" s="250">
        <v>1.5</v>
      </c>
      <c r="F434" s="251">
        <v>45113.53402777778</v>
      </c>
      <c r="G434" s="250">
        <v>1</v>
      </c>
      <c r="H434" s="250">
        <v>51.3675</v>
      </c>
      <c r="I434" s="250">
        <v>6.7172200000000002</v>
      </c>
      <c r="J434" s="250">
        <v>-6.5137640000000001</v>
      </c>
      <c r="K434" s="250">
        <v>-5.6657289999999998</v>
      </c>
      <c r="L434" s="250">
        <v>1017.66</v>
      </c>
      <c r="M434" s="250">
        <v>124.000274</v>
      </c>
      <c r="N434" s="250">
        <v>18358.310000000001</v>
      </c>
      <c r="O434" s="250">
        <v>18358.980100000001</v>
      </c>
      <c r="P434" s="250">
        <v>2022.23632</v>
      </c>
      <c r="Q434" s="250">
        <v>2026.997891</v>
      </c>
      <c r="R434" s="250" t="s">
        <v>839</v>
      </c>
      <c r="S434" s="250" t="s">
        <v>769</v>
      </c>
      <c r="T434" s="250">
        <v>15</v>
      </c>
      <c r="U434" s="250">
        <v>5</v>
      </c>
      <c r="V434" s="250">
        <v>0.7</v>
      </c>
      <c r="W434" s="250">
        <v>0.7</v>
      </c>
      <c r="X434" s="250">
        <v>0.7</v>
      </c>
      <c r="Y434" s="250">
        <v>1700</v>
      </c>
      <c r="Z434" s="250" t="s">
        <v>840</v>
      </c>
      <c r="AA434" s="250">
        <v>0.85</v>
      </c>
      <c r="AB434" s="250" t="s">
        <v>841</v>
      </c>
      <c r="AC434" s="250" t="s">
        <v>842</v>
      </c>
      <c r="AD434" s="250">
        <v>220</v>
      </c>
      <c r="AE434" s="250"/>
      <c r="AF434" s="250"/>
      <c r="AG434" s="241"/>
    </row>
    <row r="435" spans="1:33" ht="15.75">
      <c r="A435" s="250" t="s">
        <v>956</v>
      </c>
      <c r="B435" s="250">
        <v>8</v>
      </c>
      <c r="C435" s="250">
        <v>143</v>
      </c>
      <c r="D435" s="250" t="s">
        <v>930</v>
      </c>
      <c r="E435" s="250">
        <v>1.5</v>
      </c>
      <c r="F435" s="251">
        <v>45113.537499999999</v>
      </c>
      <c r="G435" s="250">
        <v>1</v>
      </c>
      <c r="H435" s="250">
        <v>51.370800000000003</v>
      </c>
      <c r="I435" s="250">
        <v>6.6658400000000002</v>
      </c>
      <c r="J435" s="250">
        <v>-6.5125900000000003</v>
      </c>
      <c r="K435" s="250">
        <v>-5.687735</v>
      </c>
      <c r="L435" s="250">
        <v>1029.74</v>
      </c>
      <c r="M435" s="250">
        <v>125.50110100000001</v>
      </c>
      <c r="N435" s="250">
        <v>18367.148099999999</v>
      </c>
      <c r="O435" s="250">
        <v>18358.980100000001</v>
      </c>
      <c r="P435" s="250">
        <v>2022.23632</v>
      </c>
      <c r="Q435" s="250">
        <v>2026.997891</v>
      </c>
      <c r="R435" s="250" t="s">
        <v>839</v>
      </c>
      <c r="S435" s="250" t="s">
        <v>769</v>
      </c>
      <c r="T435" s="250">
        <v>15</v>
      </c>
      <c r="U435" s="250">
        <v>5</v>
      </c>
      <c r="V435" s="250">
        <v>0.7</v>
      </c>
      <c r="W435" s="250">
        <v>0.7</v>
      </c>
      <c r="X435" s="250">
        <v>0.7</v>
      </c>
      <c r="Y435" s="250">
        <v>1700</v>
      </c>
      <c r="Z435" s="250" t="s">
        <v>840</v>
      </c>
      <c r="AA435" s="250">
        <v>0.85</v>
      </c>
      <c r="AB435" s="250" t="s">
        <v>841</v>
      </c>
      <c r="AC435" s="250" t="s">
        <v>842</v>
      </c>
      <c r="AD435" s="250">
        <v>220</v>
      </c>
      <c r="AE435" s="250"/>
      <c r="AF435" s="250"/>
      <c r="AG435" s="241"/>
    </row>
    <row r="436" spans="1:33" ht="15.75">
      <c r="A436" s="250" t="s">
        <v>957</v>
      </c>
      <c r="B436" s="250">
        <v>8</v>
      </c>
      <c r="C436" s="250">
        <v>143</v>
      </c>
      <c r="D436" s="250" t="s">
        <v>930</v>
      </c>
      <c r="E436" s="250">
        <v>1.5</v>
      </c>
      <c r="F436" s="251">
        <v>45113.540972222225</v>
      </c>
      <c r="G436" s="250">
        <v>1</v>
      </c>
      <c r="H436" s="250">
        <v>51.370800000000003</v>
      </c>
      <c r="I436" s="250">
        <v>6.7261499999999996</v>
      </c>
      <c r="J436" s="250">
        <v>-6.3826960000000001</v>
      </c>
      <c r="K436" s="250">
        <v>-5.5340759999999998</v>
      </c>
      <c r="L436" s="250">
        <v>1019.93</v>
      </c>
      <c r="M436" s="250">
        <v>127.999038</v>
      </c>
      <c r="N436" s="250">
        <v>18351.482100000001</v>
      </c>
      <c r="O436" s="250">
        <v>18358.980100000001</v>
      </c>
      <c r="P436" s="250">
        <v>2022.23632</v>
      </c>
      <c r="Q436" s="250">
        <v>2026.997891</v>
      </c>
      <c r="R436" s="250" t="s">
        <v>839</v>
      </c>
      <c r="S436" s="250" t="s">
        <v>769</v>
      </c>
      <c r="T436" s="250">
        <v>15</v>
      </c>
      <c r="U436" s="250">
        <v>5</v>
      </c>
      <c r="V436" s="250">
        <v>0.7</v>
      </c>
      <c r="W436" s="250">
        <v>0.7</v>
      </c>
      <c r="X436" s="250">
        <v>0.7</v>
      </c>
      <c r="Y436" s="250">
        <v>1700</v>
      </c>
      <c r="Z436" s="250" t="s">
        <v>840</v>
      </c>
      <c r="AA436" s="250">
        <v>0.85</v>
      </c>
      <c r="AB436" s="250" t="s">
        <v>841</v>
      </c>
      <c r="AC436" s="250" t="s">
        <v>842</v>
      </c>
      <c r="AD436" s="250">
        <v>220</v>
      </c>
      <c r="AE436" s="250"/>
      <c r="AF436" s="250"/>
      <c r="AG436" s="241"/>
    </row>
    <row r="437" spans="1:33" ht="15.75">
      <c r="A437" s="250" t="s">
        <v>856</v>
      </c>
      <c r="B437" s="250">
        <v>9</v>
      </c>
      <c r="C437" s="250">
        <v>142</v>
      </c>
      <c r="D437" s="250" t="s">
        <v>936</v>
      </c>
      <c r="E437" s="250">
        <v>1.5</v>
      </c>
      <c r="F437" s="251">
        <v>45113.545138888891</v>
      </c>
      <c r="G437" s="250">
        <v>1</v>
      </c>
      <c r="H437" s="250">
        <v>51.370800000000003</v>
      </c>
      <c r="I437" s="250">
        <v>6.6965199999999996</v>
      </c>
      <c r="J437" s="250">
        <v>-6.3727320000000001</v>
      </c>
      <c r="K437" s="250">
        <v>-5.5236140000000002</v>
      </c>
      <c r="L437" s="250">
        <v>1026.27</v>
      </c>
      <c r="M437" s="250">
        <v>127.49890600000001</v>
      </c>
      <c r="N437" s="250">
        <v>18314.085200000001</v>
      </c>
      <c r="O437" s="250">
        <v>18356.9709</v>
      </c>
      <c r="P437" s="250">
        <v>2022.0160599999999</v>
      </c>
      <c r="Q437" s="250">
        <v>2027.457856</v>
      </c>
      <c r="R437" s="250" t="s">
        <v>647</v>
      </c>
      <c r="S437" s="250" t="s">
        <v>769</v>
      </c>
      <c r="T437" s="250">
        <v>15</v>
      </c>
      <c r="U437" s="250">
        <v>5</v>
      </c>
      <c r="V437" s="250">
        <v>0.7</v>
      </c>
      <c r="W437" s="250">
        <v>0.7</v>
      </c>
      <c r="X437" s="250">
        <v>0.7</v>
      </c>
      <c r="Y437" s="250">
        <v>1700</v>
      </c>
      <c r="Z437" s="250" t="s">
        <v>840</v>
      </c>
      <c r="AA437" s="250">
        <v>0.85</v>
      </c>
      <c r="AB437" s="250" t="s">
        <v>841</v>
      </c>
      <c r="AC437" s="250" t="s">
        <v>842</v>
      </c>
      <c r="AD437" s="250">
        <v>220</v>
      </c>
      <c r="AE437" s="250"/>
      <c r="AF437" s="250"/>
      <c r="AG437" s="241"/>
    </row>
    <row r="438" spans="1:33" ht="15.75">
      <c r="A438" s="250" t="s">
        <v>959</v>
      </c>
      <c r="B438" s="250">
        <v>9</v>
      </c>
      <c r="C438" s="250">
        <v>142</v>
      </c>
      <c r="D438" s="250" t="s">
        <v>936</v>
      </c>
      <c r="E438" s="250">
        <v>1.5</v>
      </c>
      <c r="F438" s="251">
        <v>45113.548611111109</v>
      </c>
      <c r="G438" s="250">
        <v>1</v>
      </c>
      <c r="H438" s="250">
        <v>51.374099999999999</v>
      </c>
      <c r="I438" s="250">
        <v>6.6806099999999997</v>
      </c>
      <c r="J438" s="250">
        <v>-6.4887490000000003</v>
      </c>
      <c r="K438" s="250">
        <v>-5.6569560000000001</v>
      </c>
      <c r="L438" s="250">
        <v>954.83600000000001</v>
      </c>
      <c r="M438" s="250">
        <v>132.50089800000001</v>
      </c>
      <c r="N438" s="250">
        <v>18018.815500000001</v>
      </c>
      <c r="O438" s="250">
        <v>18356.9709</v>
      </c>
      <c r="P438" s="250">
        <v>2022.0160599999999</v>
      </c>
      <c r="Q438" s="250">
        <v>2027.457856</v>
      </c>
      <c r="R438" s="250" t="s">
        <v>647</v>
      </c>
      <c r="S438" s="250" t="s">
        <v>769</v>
      </c>
      <c r="T438" s="250">
        <v>15</v>
      </c>
      <c r="U438" s="250">
        <v>5</v>
      </c>
      <c r="V438" s="250">
        <v>0.7</v>
      </c>
      <c r="W438" s="250">
        <v>0.7</v>
      </c>
      <c r="X438" s="250">
        <v>0.7</v>
      </c>
      <c r="Y438" s="250">
        <v>1700</v>
      </c>
      <c r="Z438" s="250" t="s">
        <v>840</v>
      </c>
      <c r="AA438" s="250">
        <v>0.85</v>
      </c>
      <c r="AB438" s="250" t="s">
        <v>841</v>
      </c>
      <c r="AC438" s="250" t="s">
        <v>842</v>
      </c>
      <c r="AD438" s="250">
        <v>220</v>
      </c>
      <c r="AE438" s="250"/>
      <c r="AF438" s="250"/>
      <c r="AG438" s="241"/>
    </row>
    <row r="439" spans="1:33" ht="15.75">
      <c r="A439" s="250" t="s">
        <v>960</v>
      </c>
      <c r="B439" s="250">
        <v>9</v>
      </c>
      <c r="C439" s="250">
        <v>142</v>
      </c>
      <c r="D439" s="250" t="s">
        <v>936</v>
      </c>
      <c r="E439" s="250">
        <v>1.5</v>
      </c>
      <c r="F439" s="251">
        <v>45113.552777777775</v>
      </c>
      <c r="G439" s="250">
        <v>1</v>
      </c>
      <c r="H439" s="250">
        <v>51.370800000000003</v>
      </c>
      <c r="I439" s="250">
        <v>6.6605100000000004</v>
      </c>
      <c r="J439" s="250">
        <v>-6.4937690000000003</v>
      </c>
      <c r="K439" s="250">
        <v>-5.6610240000000003</v>
      </c>
      <c r="L439" s="250">
        <v>1021.83</v>
      </c>
      <c r="M439" s="250">
        <v>133.49922599999999</v>
      </c>
      <c r="N439" s="250">
        <v>18359.189999999999</v>
      </c>
      <c r="O439" s="250">
        <v>18356.9709</v>
      </c>
      <c r="P439" s="250">
        <v>2022.0160599999999</v>
      </c>
      <c r="Q439" s="250">
        <v>2027.457856</v>
      </c>
      <c r="R439" s="250" t="s">
        <v>839</v>
      </c>
      <c r="S439" s="250" t="s">
        <v>769</v>
      </c>
      <c r="T439" s="250">
        <v>15</v>
      </c>
      <c r="U439" s="250">
        <v>5</v>
      </c>
      <c r="V439" s="250">
        <v>0.7</v>
      </c>
      <c r="W439" s="250">
        <v>0.7</v>
      </c>
      <c r="X439" s="250">
        <v>0.7</v>
      </c>
      <c r="Y439" s="250">
        <v>1700</v>
      </c>
      <c r="Z439" s="250" t="s">
        <v>840</v>
      </c>
      <c r="AA439" s="250">
        <v>0.85</v>
      </c>
      <c r="AB439" s="250" t="s">
        <v>841</v>
      </c>
      <c r="AC439" s="250" t="s">
        <v>842</v>
      </c>
      <c r="AD439" s="250">
        <v>220</v>
      </c>
      <c r="AE439" s="250"/>
      <c r="AF439" s="250"/>
      <c r="AG439" s="241"/>
    </row>
    <row r="440" spans="1:33" ht="15.75">
      <c r="A440" s="250" t="s">
        <v>961</v>
      </c>
      <c r="B440" s="250">
        <v>9</v>
      </c>
      <c r="C440" s="250">
        <v>142</v>
      </c>
      <c r="D440" s="250" t="s">
        <v>936</v>
      </c>
      <c r="E440" s="250">
        <v>1.5</v>
      </c>
      <c r="F440" s="251">
        <v>45113.556250000001</v>
      </c>
      <c r="G440" s="250">
        <v>1</v>
      </c>
      <c r="H440" s="250">
        <v>51.374099999999999</v>
      </c>
      <c r="I440" s="250">
        <v>6.6520200000000003</v>
      </c>
      <c r="J440" s="250">
        <v>-6.3122220000000002</v>
      </c>
      <c r="K440" s="250">
        <v>-5.4658899999999999</v>
      </c>
      <c r="L440" s="250">
        <v>1038.81</v>
      </c>
      <c r="M440" s="250">
        <v>119.500366</v>
      </c>
      <c r="N440" s="250">
        <v>18369.715499999998</v>
      </c>
      <c r="O440" s="250">
        <v>18356.9709</v>
      </c>
      <c r="P440" s="250">
        <v>2022.0160599999999</v>
      </c>
      <c r="Q440" s="250">
        <v>2027.457856</v>
      </c>
      <c r="R440" s="250" t="s">
        <v>839</v>
      </c>
      <c r="S440" s="250" t="s">
        <v>769</v>
      </c>
      <c r="T440" s="250">
        <v>15</v>
      </c>
      <c r="U440" s="250">
        <v>5</v>
      </c>
      <c r="V440" s="250">
        <v>0.7</v>
      </c>
      <c r="W440" s="250">
        <v>0.7</v>
      </c>
      <c r="X440" s="250">
        <v>0.7</v>
      </c>
      <c r="Y440" s="250">
        <v>1700</v>
      </c>
      <c r="Z440" s="250" t="s">
        <v>840</v>
      </c>
      <c r="AA440" s="250">
        <v>0.85</v>
      </c>
      <c r="AB440" s="250" t="s">
        <v>841</v>
      </c>
      <c r="AC440" s="250" t="s">
        <v>842</v>
      </c>
      <c r="AD440" s="250">
        <v>220</v>
      </c>
      <c r="AE440" s="250"/>
      <c r="AF440" s="250"/>
      <c r="AG440" s="241"/>
    </row>
    <row r="441" spans="1:33" ht="15.75">
      <c r="A441" s="250" t="s">
        <v>1019</v>
      </c>
      <c r="B441" s="250">
        <v>9</v>
      </c>
      <c r="C441" s="250">
        <v>142</v>
      </c>
      <c r="D441" s="250" t="s">
        <v>936</v>
      </c>
      <c r="E441" s="250">
        <v>1.5</v>
      </c>
      <c r="F441" s="251">
        <v>45113.55972222222</v>
      </c>
      <c r="G441" s="250">
        <v>1</v>
      </c>
      <c r="H441" s="250">
        <v>51.370800000000003</v>
      </c>
      <c r="I441" s="250">
        <v>6.6577099999999998</v>
      </c>
      <c r="J441" s="250">
        <v>-6.3787430000000001</v>
      </c>
      <c r="K441" s="250">
        <v>-5.564959</v>
      </c>
      <c r="L441" s="250">
        <v>1024.07</v>
      </c>
      <c r="M441" s="250">
        <v>122.99883699999999</v>
      </c>
      <c r="N441" s="250">
        <v>18342.007300000001</v>
      </c>
      <c r="O441" s="250">
        <v>18356.9709</v>
      </c>
      <c r="P441" s="250">
        <v>2022.0160599999999</v>
      </c>
      <c r="Q441" s="250">
        <v>2027.457856</v>
      </c>
      <c r="R441" s="250" t="s">
        <v>839</v>
      </c>
      <c r="S441" s="250" t="s">
        <v>769</v>
      </c>
      <c r="T441" s="250">
        <v>15</v>
      </c>
      <c r="U441" s="250">
        <v>5</v>
      </c>
      <c r="V441" s="250">
        <v>0.7</v>
      </c>
      <c r="W441" s="250">
        <v>0.7</v>
      </c>
      <c r="X441" s="250">
        <v>0.7</v>
      </c>
      <c r="Y441" s="250">
        <v>1700</v>
      </c>
      <c r="Z441" s="250" t="s">
        <v>840</v>
      </c>
      <c r="AA441" s="250">
        <v>0.85</v>
      </c>
      <c r="AB441" s="250" t="s">
        <v>841</v>
      </c>
      <c r="AC441" s="250" t="s">
        <v>842</v>
      </c>
      <c r="AD441" s="250">
        <v>220</v>
      </c>
      <c r="AE441" s="250"/>
      <c r="AF441" s="250"/>
      <c r="AG441" s="241"/>
    </row>
    <row r="442" spans="1:33" ht="15.75">
      <c r="A442" s="250" t="s">
        <v>857</v>
      </c>
      <c r="B442" s="250">
        <v>10</v>
      </c>
      <c r="C442" s="250" t="s">
        <v>802</v>
      </c>
      <c r="D442" s="250" t="s">
        <v>838</v>
      </c>
      <c r="E442" s="250">
        <v>1.5</v>
      </c>
      <c r="F442" s="251">
        <v>45113.563888888886</v>
      </c>
      <c r="G442" s="250">
        <v>1</v>
      </c>
      <c r="H442" s="250">
        <v>51.3675</v>
      </c>
      <c r="I442" s="250">
        <v>6.6836399999999996</v>
      </c>
      <c r="J442" s="250">
        <v>-6.4158140000000001</v>
      </c>
      <c r="K442" s="250">
        <v>-5.581404</v>
      </c>
      <c r="L442" s="250">
        <v>1024.1600000000001</v>
      </c>
      <c r="M442" s="250">
        <v>119.001024</v>
      </c>
      <c r="N442" s="250">
        <v>18356.331200000001</v>
      </c>
      <c r="O442" s="250">
        <v>18357.809399999998</v>
      </c>
      <c r="P442" s="250">
        <v>2022.10798</v>
      </c>
      <c r="Q442" s="250">
        <v>2028.23</v>
      </c>
      <c r="R442" s="250" t="s">
        <v>839</v>
      </c>
      <c r="S442" s="250" t="s">
        <v>769</v>
      </c>
      <c r="T442" s="250">
        <v>15</v>
      </c>
      <c r="U442" s="250">
        <v>5</v>
      </c>
      <c r="V442" s="250">
        <v>0.7</v>
      </c>
      <c r="W442" s="250">
        <v>0.7</v>
      </c>
      <c r="X442" s="250">
        <v>0.7</v>
      </c>
      <c r="Y442" s="250">
        <v>1700</v>
      </c>
      <c r="Z442" s="250" t="s">
        <v>840</v>
      </c>
      <c r="AA442" s="250">
        <v>0.85</v>
      </c>
      <c r="AB442" s="250" t="s">
        <v>841</v>
      </c>
      <c r="AC442" s="250" t="s">
        <v>842</v>
      </c>
      <c r="AD442" s="250">
        <v>220</v>
      </c>
      <c r="AE442" s="250"/>
      <c r="AF442" s="250"/>
      <c r="AG442" s="241"/>
    </row>
    <row r="443" spans="1:33" ht="15.75">
      <c r="A443" s="250" t="s">
        <v>962</v>
      </c>
      <c r="B443" s="250">
        <v>10</v>
      </c>
      <c r="C443" s="250" t="s">
        <v>802</v>
      </c>
      <c r="D443" s="250" t="s">
        <v>838</v>
      </c>
      <c r="E443" s="250">
        <v>1.5</v>
      </c>
      <c r="F443" s="251">
        <v>45113.567361111112</v>
      </c>
      <c r="G443" s="250">
        <v>1</v>
      </c>
      <c r="H443" s="250">
        <v>51.3675</v>
      </c>
      <c r="I443" s="250">
        <v>6.6602600000000001</v>
      </c>
      <c r="J443" s="250">
        <v>-6.417916</v>
      </c>
      <c r="K443" s="250">
        <v>-5.5736470000000002</v>
      </c>
      <c r="L443" s="250">
        <v>1033.05</v>
      </c>
      <c r="M443" s="250">
        <v>122.99861</v>
      </c>
      <c r="N443" s="250">
        <v>18392.4663</v>
      </c>
      <c r="O443" s="250">
        <v>18357.809399999998</v>
      </c>
      <c r="P443" s="250">
        <v>2022.10798</v>
      </c>
      <c r="Q443" s="250">
        <v>2028.23</v>
      </c>
      <c r="R443" s="250" t="s">
        <v>647</v>
      </c>
      <c r="S443" s="250" t="s">
        <v>769</v>
      </c>
      <c r="T443" s="250">
        <v>15</v>
      </c>
      <c r="U443" s="250">
        <v>5</v>
      </c>
      <c r="V443" s="250">
        <v>0.7</v>
      </c>
      <c r="W443" s="250">
        <v>0.7</v>
      </c>
      <c r="X443" s="250">
        <v>0.7</v>
      </c>
      <c r="Y443" s="250">
        <v>1700</v>
      </c>
      <c r="Z443" s="250" t="s">
        <v>840</v>
      </c>
      <c r="AA443" s="250">
        <v>0.85</v>
      </c>
      <c r="AB443" s="250" t="s">
        <v>841</v>
      </c>
      <c r="AC443" s="250" t="s">
        <v>842</v>
      </c>
      <c r="AD443" s="250">
        <v>220</v>
      </c>
      <c r="AE443" s="250"/>
      <c r="AF443" s="250"/>
      <c r="AG443" s="241"/>
    </row>
    <row r="444" spans="1:33" ht="15.75">
      <c r="A444" s="250" t="s">
        <v>963</v>
      </c>
      <c r="B444" s="250">
        <v>10</v>
      </c>
      <c r="C444" s="250" t="s">
        <v>802</v>
      </c>
      <c r="D444" s="250" t="s">
        <v>838</v>
      </c>
      <c r="E444" s="250">
        <v>1.5</v>
      </c>
      <c r="F444" s="251">
        <v>45113.570833333331</v>
      </c>
      <c r="G444" s="250">
        <v>1</v>
      </c>
      <c r="H444" s="250">
        <v>51.374099999999999</v>
      </c>
      <c r="I444" s="250">
        <v>6.6419199999999998</v>
      </c>
      <c r="J444" s="250">
        <v>-6.4038659999999998</v>
      </c>
      <c r="K444" s="250">
        <v>-5.5624099999999999</v>
      </c>
      <c r="L444" s="250">
        <v>1022.99</v>
      </c>
      <c r="M444" s="250">
        <v>125.000924</v>
      </c>
      <c r="N444" s="250">
        <v>18341.2896</v>
      </c>
      <c r="O444" s="250">
        <v>18357.809399999998</v>
      </c>
      <c r="P444" s="250">
        <v>2022.10798</v>
      </c>
      <c r="Q444" s="250">
        <v>2028.23</v>
      </c>
      <c r="R444" s="250" t="s">
        <v>839</v>
      </c>
      <c r="S444" s="250" t="s">
        <v>769</v>
      </c>
      <c r="T444" s="250">
        <v>15</v>
      </c>
      <c r="U444" s="250">
        <v>5</v>
      </c>
      <c r="V444" s="250">
        <v>0.7</v>
      </c>
      <c r="W444" s="250">
        <v>0.7</v>
      </c>
      <c r="X444" s="250">
        <v>0.7</v>
      </c>
      <c r="Y444" s="250">
        <v>1700</v>
      </c>
      <c r="Z444" s="250" t="s">
        <v>840</v>
      </c>
      <c r="AA444" s="250">
        <v>0.85</v>
      </c>
      <c r="AB444" s="250" t="s">
        <v>841</v>
      </c>
      <c r="AC444" s="250" t="s">
        <v>842</v>
      </c>
      <c r="AD444" s="250">
        <v>220</v>
      </c>
      <c r="AE444" s="250"/>
      <c r="AF444" s="250"/>
      <c r="AG444" s="241"/>
    </row>
    <row r="445" spans="1:33" ht="15.75">
      <c r="A445" s="250" t="s">
        <v>964</v>
      </c>
      <c r="B445" s="250">
        <v>10</v>
      </c>
      <c r="C445" s="250" t="s">
        <v>802</v>
      </c>
      <c r="D445" s="250" t="s">
        <v>838</v>
      </c>
      <c r="E445" s="250">
        <v>1.5</v>
      </c>
      <c r="F445" s="251">
        <v>45113.574999999997</v>
      </c>
      <c r="G445" s="250">
        <v>1</v>
      </c>
      <c r="H445" s="250">
        <v>51.370800000000003</v>
      </c>
      <c r="I445" s="250">
        <v>6.6400399999999999</v>
      </c>
      <c r="J445" s="250">
        <v>-6.3842600000000003</v>
      </c>
      <c r="K445" s="250">
        <v>-5.5379909999999999</v>
      </c>
      <c r="L445" s="250">
        <v>1031.4100000000001</v>
      </c>
      <c r="M445" s="250">
        <v>121.501227</v>
      </c>
      <c r="N445" s="250">
        <v>18375.8073</v>
      </c>
      <c r="O445" s="250">
        <v>18357.809399999998</v>
      </c>
      <c r="P445" s="250">
        <v>2022.10798</v>
      </c>
      <c r="Q445" s="250">
        <v>2028.5078530000001</v>
      </c>
      <c r="R445" s="250" t="s">
        <v>839</v>
      </c>
      <c r="S445" s="250" t="s">
        <v>769</v>
      </c>
      <c r="T445" s="250">
        <v>15</v>
      </c>
      <c r="U445" s="250">
        <v>5</v>
      </c>
      <c r="V445" s="250">
        <v>0.7</v>
      </c>
      <c r="W445" s="250">
        <v>0.7</v>
      </c>
      <c r="X445" s="250">
        <v>0.7</v>
      </c>
      <c r="Y445" s="250">
        <v>1700</v>
      </c>
      <c r="Z445" s="250" t="s">
        <v>840</v>
      </c>
      <c r="AA445" s="250">
        <v>0.85</v>
      </c>
      <c r="AB445" s="250" t="s">
        <v>841</v>
      </c>
      <c r="AC445" s="250" t="s">
        <v>842</v>
      </c>
      <c r="AD445" s="250">
        <v>220</v>
      </c>
      <c r="AE445" s="250"/>
      <c r="AF445" s="250"/>
      <c r="AG445" s="241"/>
    </row>
    <row r="446" spans="1:33" ht="15.75">
      <c r="A446" s="250" t="s">
        <v>858</v>
      </c>
      <c r="B446" s="250">
        <v>11</v>
      </c>
      <c r="C446" s="250">
        <v>141</v>
      </c>
      <c r="D446" s="250" t="s">
        <v>898</v>
      </c>
      <c r="E446" s="250">
        <v>1.5</v>
      </c>
      <c r="F446" s="251">
        <v>45113.57916666667</v>
      </c>
      <c r="G446" s="250">
        <v>1</v>
      </c>
      <c r="H446" s="250">
        <v>51.370800000000003</v>
      </c>
      <c r="I446" s="250">
        <v>6.6008399999999998</v>
      </c>
      <c r="J446" s="250">
        <v>-6.4027729999999998</v>
      </c>
      <c r="K446" s="250">
        <v>-5.5530520000000001</v>
      </c>
      <c r="L446" s="250">
        <v>1027.0899999999999</v>
      </c>
      <c r="M446" s="250">
        <v>125.00069999999999</v>
      </c>
      <c r="N446" s="250">
        <v>18187.830300000001</v>
      </c>
      <c r="O446" s="250">
        <v>18194.893400000001</v>
      </c>
      <c r="P446" s="250">
        <v>2004.2476799999999</v>
      </c>
      <c r="Q446" s="250">
        <v>2010.647553</v>
      </c>
      <c r="R446" s="250" t="s">
        <v>839</v>
      </c>
      <c r="S446" s="250" t="s">
        <v>769</v>
      </c>
      <c r="T446" s="250">
        <v>15</v>
      </c>
      <c r="U446" s="250">
        <v>5</v>
      </c>
      <c r="V446" s="250">
        <v>0.7</v>
      </c>
      <c r="W446" s="250">
        <v>0.7</v>
      </c>
      <c r="X446" s="250">
        <v>0.7</v>
      </c>
      <c r="Y446" s="250">
        <v>1700</v>
      </c>
      <c r="Z446" s="250" t="s">
        <v>840</v>
      </c>
      <c r="AA446" s="250">
        <v>0.85</v>
      </c>
      <c r="AB446" s="250" t="s">
        <v>841</v>
      </c>
      <c r="AC446" s="250" t="s">
        <v>842</v>
      </c>
      <c r="AD446" s="250">
        <v>220</v>
      </c>
      <c r="AE446" s="250"/>
      <c r="AF446" s="250"/>
      <c r="AG446" s="241"/>
    </row>
    <row r="447" spans="1:33" ht="15.75">
      <c r="A447" s="250" t="s">
        <v>966</v>
      </c>
      <c r="B447" s="250">
        <v>11</v>
      </c>
      <c r="C447" s="250">
        <v>141</v>
      </c>
      <c r="D447" s="250" t="s">
        <v>898</v>
      </c>
      <c r="E447" s="250">
        <v>1.5</v>
      </c>
      <c r="F447" s="251">
        <v>45113.582638888889</v>
      </c>
      <c r="G447" s="250">
        <v>1</v>
      </c>
      <c r="H447" s="250">
        <v>51.370800000000003</v>
      </c>
      <c r="I447" s="250">
        <v>6.7015099999999999</v>
      </c>
      <c r="J447" s="250">
        <v>-6.5072970000000003</v>
      </c>
      <c r="K447" s="250">
        <v>-5.6614300000000002</v>
      </c>
      <c r="L447" s="250">
        <v>1013.54</v>
      </c>
      <c r="M447" s="250">
        <v>125.501637</v>
      </c>
      <c r="N447" s="250">
        <v>18187.126</v>
      </c>
      <c r="O447" s="250">
        <v>18194.893400000001</v>
      </c>
      <c r="P447" s="250">
        <v>2004.2476799999999</v>
      </c>
      <c r="Q447" s="250">
        <v>2010.647553</v>
      </c>
      <c r="R447" s="250" t="s">
        <v>839</v>
      </c>
      <c r="S447" s="250" t="s">
        <v>769</v>
      </c>
      <c r="T447" s="250">
        <v>15</v>
      </c>
      <c r="U447" s="250">
        <v>5</v>
      </c>
      <c r="V447" s="250">
        <v>0.7</v>
      </c>
      <c r="W447" s="250">
        <v>0.7</v>
      </c>
      <c r="X447" s="250">
        <v>0.7</v>
      </c>
      <c r="Y447" s="250">
        <v>1700</v>
      </c>
      <c r="Z447" s="250" t="s">
        <v>840</v>
      </c>
      <c r="AA447" s="250">
        <v>0.85</v>
      </c>
      <c r="AB447" s="250" t="s">
        <v>841</v>
      </c>
      <c r="AC447" s="250" t="s">
        <v>842</v>
      </c>
      <c r="AD447" s="250">
        <v>220</v>
      </c>
      <c r="AE447" s="250"/>
      <c r="AF447" s="250"/>
      <c r="AG447" s="241"/>
    </row>
    <row r="448" spans="1:33" ht="15.75">
      <c r="A448" s="250" t="s">
        <v>967</v>
      </c>
      <c r="B448" s="250">
        <v>11</v>
      </c>
      <c r="C448" s="250">
        <v>141</v>
      </c>
      <c r="D448" s="250" t="s">
        <v>898</v>
      </c>
      <c r="E448" s="250">
        <v>1.5</v>
      </c>
      <c r="F448" s="251">
        <v>45113.586111111108</v>
      </c>
      <c r="G448" s="250">
        <v>1</v>
      </c>
      <c r="H448" s="250">
        <v>51.374099999999999</v>
      </c>
      <c r="I448" s="250">
        <v>6.6600700000000002</v>
      </c>
      <c r="J448" s="250">
        <v>-6.4225029999999999</v>
      </c>
      <c r="K448" s="250">
        <v>-5.5872770000000003</v>
      </c>
      <c r="L448" s="250">
        <v>1021.32</v>
      </c>
      <c r="M448" s="250">
        <v>138.499932</v>
      </c>
      <c r="N448" s="250">
        <v>18209.723999999998</v>
      </c>
      <c r="O448" s="250">
        <v>18194.893400000001</v>
      </c>
      <c r="P448" s="250">
        <v>2004.2476799999999</v>
      </c>
      <c r="Q448" s="250">
        <v>2010.647553</v>
      </c>
      <c r="R448" s="250" t="s">
        <v>839</v>
      </c>
      <c r="S448" s="250" t="s">
        <v>769</v>
      </c>
      <c r="T448" s="250">
        <v>15</v>
      </c>
      <c r="U448" s="250">
        <v>5</v>
      </c>
      <c r="V448" s="250">
        <v>0.7</v>
      </c>
      <c r="W448" s="250">
        <v>0.7</v>
      </c>
      <c r="X448" s="250">
        <v>0.7</v>
      </c>
      <c r="Y448" s="250">
        <v>1700</v>
      </c>
      <c r="Z448" s="250" t="s">
        <v>840</v>
      </c>
      <c r="AA448" s="250">
        <v>0.85</v>
      </c>
      <c r="AB448" s="250" t="s">
        <v>841</v>
      </c>
      <c r="AC448" s="250" t="s">
        <v>842</v>
      </c>
      <c r="AD448" s="250">
        <v>220</v>
      </c>
      <c r="AE448" s="250"/>
      <c r="AF448" s="250"/>
      <c r="AG448" s="241"/>
    </row>
    <row r="449" spans="1:33" ht="15.75">
      <c r="A449" s="250" t="s">
        <v>859</v>
      </c>
      <c r="B449" s="250">
        <v>12</v>
      </c>
      <c r="C449" s="250">
        <v>140</v>
      </c>
      <c r="D449" s="250" t="s">
        <v>902</v>
      </c>
      <c r="E449" s="250">
        <v>1.5</v>
      </c>
      <c r="F449" s="251">
        <v>45113.590277777781</v>
      </c>
      <c r="G449" s="250">
        <v>1</v>
      </c>
      <c r="H449" s="250">
        <v>51.3675</v>
      </c>
      <c r="I449" s="250">
        <v>6.6565000000000003</v>
      </c>
      <c r="J449" s="250">
        <v>-6.4653119999999999</v>
      </c>
      <c r="K449" s="250">
        <v>-5.6187440000000004</v>
      </c>
      <c r="L449" s="250">
        <v>1022.71</v>
      </c>
      <c r="M449" s="250">
        <v>126.499471</v>
      </c>
      <c r="N449" s="250">
        <v>18200.851299999998</v>
      </c>
      <c r="O449" s="250">
        <v>18227.239300000001</v>
      </c>
      <c r="P449" s="250">
        <v>2007.7937199999999</v>
      </c>
      <c r="Q449" s="250">
        <v>2014.4714469999999</v>
      </c>
      <c r="R449" s="250" t="s">
        <v>647</v>
      </c>
      <c r="S449" s="250" t="s">
        <v>769</v>
      </c>
      <c r="T449" s="250">
        <v>15</v>
      </c>
      <c r="U449" s="250">
        <v>5</v>
      </c>
      <c r="V449" s="250">
        <v>0.7</v>
      </c>
      <c r="W449" s="250">
        <v>0.7</v>
      </c>
      <c r="X449" s="250">
        <v>0.7</v>
      </c>
      <c r="Y449" s="250">
        <v>1700</v>
      </c>
      <c r="Z449" s="250" t="s">
        <v>840</v>
      </c>
      <c r="AA449" s="250">
        <v>0.85</v>
      </c>
      <c r="AB449" s="250" t="s">
        <v>841</v>
      </c>
      <c r="AC449" s="250" t="s">
        <v>842</v>
      </c>
      <c r="AD449" s="250">
        <v>220</v>
      </c>
      <c r="AE449" s="250"/>
      <c r="AF449" s="250"/>
      <c r="AG449" s="241"/>
    </row>
    <row r="450" spans="1:33" ht="15.75">
      <c r="A450" s="250" t="s">
        <v>968</v>
      </c>
      <c r="B450" s="250">
        <v>12</v>
      </c>
      <c r="C450" s="250">
        <v>140</v>
      </c>
      <c r="D450" s="250" t="s">
        <v>902</v>
      </c>
      <c r="E450" s="250">
        <v>1.5</v>
      </c>
      <c r="F450" s="251">
        <v>45113.59375</v>
      </c>
      <c r="G450" s="250">
        <v>1</v>
      </c>
      <c r="H450" s="250">
        <v>51.3675</v>
      </c>
      <c r="I450" s="250">
        <v>6.7018599999999999</v>
      </c>
      <c r="J450" s="250">
        <v>-6.5034770000000002</v>
      </c>
      <c r="K450" s="250">
        <v>-5.6579620000000004</v>
      </c>
      <c r="L450" s="250">
        <v>1012.74</v>
      </c>
      <c r="M450" s="250">
        <v>126.001526</v>
      </c>
      <c r="N450" s="250">
        <v>18236.368600000002</v>
      </c>
      <c r="O450" s="250">
        <v>18227.239300000001</v>
      </c>
      <c r="P450" s="250">
        <v>2007.7937199999999</v>
      </c>
      <c r="Q450" s="250">
        <v>2014.4714469999999</v>
      </c>
      <c r="R450" s="250" t="s">
        <v>839</v>
      </c>
      <c r="S450" s="250" t="s">
        <v>769</v>
      </c>
      <c r="T450" s="250">
        <v>15</v>
      </c>
      <c r="U450" s="250">
        <v>5</v>
      </c>
      <c r="V450" s="250">
        <v>0.7</v>
      </c>
      <c r="W450" s="250">
        <v>0.7</v>
      </c>
      <c r="X450" s="250">
        <v>0.7</v>
      </c>
      <c r="Y450" s="250">
        <v>1700</v>
      </c>
      <c r="Z450" s="250" t="s">
        <v>840</v>
      </c>
      <c r="AA450" s="250">
        <v>0.85</v>
      </c>
      <c r="AB450" s="250" t="s">
        <v>841</v>
      </c>
      <c r="AC450" s="250" t="s">
        <v>842</v>
      </c>
      <c r="AD450" s="250">
        <v>220</v>
      </c>
      <c r="AE450" s="250"/>
      <c r="AF450" s="250"/>
      <c r="AG450" s="241"/>
    </row>
    <row r="451" spans="1:33" ht="15.75">
      <c r="A451" s="250" t="s">
        <v>969</v>
      </c>
      <c r="B451" s="250">
        <v>12</v>
      </c>
      <c r="C451" s="250">
        <v>140</v>
      </c>
      <c r="D451" s="250" t="s">
        <v>902</v>
      </c>
      <c r="E451" s="250">
        <v>1.5</v>
      </c>
      <c r="F451" s="251">
        <v>45113.597916666666</v>
      </c>
      <c r="G451" s="250">
        <v>1</v>
      </c>
      <c r="H451" s="250">
        <v>51.374099999999999</v>
      </c>
      <c r="I451" s="250">
        <v>6.6673400000000003</v>
      </c>
      <c r="J451" s="250">
        <v>-6.4599909999999996</v>
      </c>
      <c r="K451" s="250">
        <v>-5.6341679999999998</v>
      </c>
      <c r="L451" s="250">
        <v>1012.88</v>
      </c>
      <c r="M451" s="250">
        <v>125.500142</v>
      </c>
      <c r="N451" s="250">
        <v>18206.881700000002</v>
      </c>
      <c r="O451" s="250">
        <v>18227.239300000001</v>
      </c>
      <c r="P451" s="250">
        <v>2007.7937199999999</v>
      </c>
      <c r="Q451" s="250">
        <v>2014.4714469999999</v>
      </c>
      <c r="R451" s="250" t="s">
        <v>839</v>
      </c>
      <c r="S451" s="250" t="s">
        <v>769</v>
      </c>
      <c r="T451" s="250">
        <v>15</v>
      </c>
      <c r="U451" s="250">
        <v>5</v>
      </c>
      <c r="V451" s="250">
        <v>0.7</v>
      </c>
      <c r="W451" s="250">
        <v>0.7</v>
      </c>
      <c r="X451" s="250">
        <v>0.7</v>
      </c>
      <c r="Y451" s="250">
        <v>1700</v>
      </c>
      <c r="Z451" s="250" t="s">
        <v>840</v>
      </c>
      <c r="AA451" s="250">
        <v>0.85</v>
      </c>
      <c r="AB451" s="250" t="s">
        <v>841</v>
      </c>
      <c r="AC451" s="250" t="s">
        <v>842</v>
      </c>
      <c r="AD451" s="250">
        <v>220</v>
      </c>
      <c r="AE451" s="250"/>
      <c r="AF451" s="250"/>
      <c r="AG451" s="241"/>
    </row>
    <row r="452" spans="1:33" ht="15.75">
      <c r="A452" s="250" t="s">
        <v>1081</v>
      </c>
      <c r="B452" s="250">
        <v>12</v>
      </c>
      <c r="C452" s="250">
        <v>140</v>
      </c>
      <c r="D452" s="250" t="s">
        <v>902</v>
      </c>
      <c r="E452" s="250">
        <v>1.5</v>
      </c>
      <c r="F452" s="251">
        <v>45113.601388888892</v>
      </c>
      <c r="G452" s="250">
        <v>1</v>
      </c>
      <c r="H452" s="250">
        <v>51.370800000000003</v>
      </c>
      <c r="I452" s="250">
        <v>6.6425599999999996</v>
      </c>
      <c r="J452" s="250">
        <v>-6.4403540000000001</v>
      </c>
      <c r="K452" s="250">
        <v>-5.5999220000000003</v>
      </c>
      <c r="L452" s="250">
        <v>1023.66</v>
      </c>
      <c r="M452" s="250">
        <v>121.001482</v>
      </c>
      <c r="N452" s="250">
        <v>18238.467499999999</v>
      </c>
      <c r="O452" s="250">
        <v>18227.239300000001</v>
      </c>
      <c r="P452" s="250">
        <v>2007.7937199999999</v>
      </c>
      <c r="Q452" s="250">
        <v>2014.4714469999999</v>
      </c>
      <c r="R452" s="250" t="s">
        <v>839</v>
      </c>
      <c r="S452" s="250" t="s">
        <v>769</v>
      </c>
      <c r="T452" s="250">
        <v>15</v>
      </c>
      <c r="U452" s="250">
        <v>5</v>
      </c>
      <c r="V452" s="250">
        <v>0.7</v>
      </c>
      <c r="W452" s="250">
        <v>0.7</v>
      </c>
      <c r="X452" s="250">
        <v>0.7</v>
      </c>
      <c r="Y452" s="250">
        <v>1700</v>
      </c>
      <c r="Z452" s="250" t="s">
        <v>840</v>
      </c>
      <c r="AA452" s="250">
        <v>0.85</v>
      </c>
      <c r="AB452" s="250" t="s">
        <v>841</v>
      </c>
      <c r="AC452" s="250" t="s">
        <v>842</v>
      </c>
      <c r="AD452" s="250">
        <v>220</v>
      </c>
      <c r="AE452" s="250"/>
      <c r="AF452" s="250"/>
      <c r="AG452" s="241"/>
    </row>
    <row r="453" spans="1:33" ht="15.75">
      <c r="A453" s="250" t="s">
        <v>860</v>
      </c>
      <c r="B453" s="250">
        <v>13</v>
      </c>
      <c r="C453" s="250">
        <v>138</v>
      </c>
      <c r="D453" s="250" t="s">
        <v>906</v>
      </c>
      <c r="E453" s="250">
        <v>1.5</v>
      </c>
      <c r="F453" s="251">
        <v>45113.605555555558</v>
      </c>
      <c r="G453" s="250">
        <v>1</v>
      </c>
      <c r="H453" s="250">
        <v>51.370800000000003</v>
      </c>
      <c r="I453" s="250">
        <v>6.5853700000000002</v>
      </c>
      <c r="J453" s="250">
        <v>-6.473338</v>
      </c>
      <c r="K453" s="250">
        <v>-5.636031</v>
      </c>
      <c r="L453" s="250">
        <v>1017.87</v>
      </c>
      <c r="M453" s="250">
        <v>130.49996899999999</v>
      </c>
      <c r="N453" s="250">
        <v>18237.322100000001</v>
      </c>
      <c r="O453" s="250">
        <v>18223.235100000002</v>
      </c>
      <c r="P453" s="250">
        <v>2007.35475</v>
      </c>
      <c r="Q453" s="250">
        <v>2014.31033</v>
      </c>
      <c r="R453" s="250" t="s">
        <v>839</v>
      </c>
      <c r="S453" s="250" t="s">
        <v>769</v>
      </c>
      <c r="T453" s="250">
        <v>15</v>
      </c>
      <c r="U453" s="250">
        <v>5</v>
      </c>
      <c r="V453" s="250">
        <v>0.7</v>
      </c>
      <c r="W453" s="250">
        <v>0.7</v>
      </c>
      <c r="X453" s="250">
        <v>0.7</v>
      </c>
      <c r="Y453" s="250">
        <v>1700</v>
      </c>
      <c r="Z453" s="250" t="s">
        <v>840</v>
      </c>
      <c r="AA453" s="250">
        <v>0.85</v>
      </c>
      <c r="AB453" s="250" t="s">
        <v>841</v>
      </c>
      <c r="AC453" s="250" t="s">
        <v>842</v>
      </c>
      <c r="AD453" s="250">
        <v>220</v>
      </c>
      <c r="AE453" s="250"/>
      <c r="AF453" s="250"/>
      <c r="AG453" s="241"/>
    </row>
    <row r="454" spans="1:33" ht="15.75">
      <c r="A454" s="250" t="s">
        <v>970</v>
      </c>
      <c r="B454" s="250">
        <v>13</v>
      </c>
      <c r="C454" s="250">
        <v>138</v>
      </c>
      <c r="D454" s="250" t="s">
        <v>906</v>
      </c>
      <c r="E454" s="250">
        <v>1.5</v>
      </c>
      <c r="F454" s="251">
        <v>45113.609027777777</v>
      </c>
      <c r="G454" s="250">
        <v>1</v>
      </c>
      <c r="H454" s="250">
        <v>51.374099999999999</v>
      </c>
      <c r="I454" s="250">
        <v>6.6321599999999998</v>
      </c>
      <c r="J454" s="250">
        <v>-6.4171930000000001</v>
      </c>
      <c r="K454" s="250">
        <v>-5.5688219999999999</v>
      </c>
      <c r="L454" s="250">
        <v>1015.71</v>
      </c>
      <c r="M454" s="250">
        <v>130.001375</v>
      </c>
      <c r="N454" s="250">
        <v>18192.305400000001</v>
      </c>
      <c r="O454" s="250">
        <v>18223.235100000002</v>
      </c>
      <c r="P454" s="250">
        <v>2007.35475</v>
      </c>
      <c r="Q454" s="250">
        <v>2014.31033</v>
      </c>
      <c r="R454" s="250" t="s">
        <v>647</v>
      </c>
      <c r="S454" s="250" t="s">
        <v>769</v>
      </c>
      <c r="T454" s="250">
        <v>15</v>
      </c>
      <c r="U454" s="250">
        <v>5</v>
      </c>
      <c r="V454" s="250">
        <v>0.7</v>
      </c>
      <c r="W454" s="250">
        <v>0.7</v>
      </c>
      <c r="X454" s="250">
        <v>0.7</v>
      </c>
      <c r="Y454" s="250">
        <v>1700</v>
      </c>
      <c r="Z454" s="250" t="s">
        <v>840</v>
      </c>
      <c r="AA454" s="250">
        <v>0.85</v>
      </c>
      <c r="AB454" s="250" t="s">
        <v>841</v>
      </c>
      <c r="AC454" s="250" t="s">
        <v>842</v>
      </c>
      <c r="AD454" s="250">
        <v>220</v>
      </c>
      <c r="AE454" s="250"/>
      <c r="AF454" s="250"/>
      <c r="AG454" s="241"/>
    </row>
    <row r="455" spans="1:33" ht="15.75">
      <c r="A455" s="250" t="s">
        <v>971</v>
      </c>
      <c r="B455" s="250">
        <v>13</v>
      </c>
      <c r="C455" s="250">
        <v>138</v>
      </c>
      <c r="D455" s="250" t="s">
        <v>906</v>
      </c>
      <c r="E455" s="250">
        <v>1.5</v>
      </c>
      <c r="F455" s="251">
        <v>45113.612500000003</v>
      </c>
      <c r="G455" s="250">
        <v>1</v>
      </c>
      <c r="H455" s="250">
        <v>51.3675</v>
      </c>
      <c r="I455" s="250">
        <v>6.6108200000000004</v>
      </c>
      <c r="J455" s="250">
        <v>-6.4767260000000002</v>
      </c>
      <c r="K455" s="250">
        <v>-5.6413890000000002</v>
      </c>
      <c r="L455" s="250">
        <v>1008.72</v>
      </c>
      <c r="M455" s="250">
        <v>123.00126</v>
      </c>
      <c r="N455" s="250">
        <v>18219.052599999999</v>
      </c>
      <c r="O455" s="250">
        <v>18223.235100000002</v>
      </c>
      <c r="P455" s="250">
        <v>2007.35475</v>
      </c>
      <c r="Q455" s="250">
        <v>2014.31033</v>
      </c>
      <c r="R455" s="250" t="s">
        <v>839</v>
      </c>
      <c r="S455" s="250" t="s">
        <v>769</v>
      </c>
      <c r="T455" s="250">
        <v>15</v>
      </c>
      <c r="U455" s="250">
        <v>5</v>
      </c>
      <c r="V455" s="250">
        <v>0.7</v>
      </c>
      <c r="W455" s="250">
        <v>0.7</v>
      </c>
      <c r="X455" s="250">
        <v>0.7</v>
      </c>
      <c r="Y455" s="250">
        <v>1700</v>
      </c>
      <c r="Z455" s="250" t="s">
        <v>840</v>
      </c>
      <c r="AA455" s="250">
        <v>0.85</v>
      </c>
      <c r="AB455" s="250" t="s">
        <v>841</v>
      </c>
      <c r="AC455" s="250" t="s">
        <v>842</v>
      </c>
      <c r="AD455" s="250">
        <v>220</v>
      </c>
      <c r="AE455" s="250"/>
      <c r="AF455" s="250"/>
      <c r="AG455" s="241"/>
    </row>
    <row r="456" spans="1:33" ht="15.75">
      <c r="A456" s="250" t="s">
        <v>972</v>
      </c>
      <c r="B456" s="250">
        <v>13</v>
      </c>
      <c r="C456" s="250">
        <v>138</v>
      </c>
      <c r="D456" s="250" t="s">
        <v>906</v>
      </c>
      <c r="E456" s="250">
        <v>1.5</v>
      </c>
      <c r="F456" s="251">
        <v>45113.615972222222</v>
      </c>
      <c r="G456" s="250">
        <v>1</v>
      </c>
      <c r="H456" s="250">
        <v>51.374099999999999</v>
      </c>
      <c r="I456" s="250">
        <v>6.5368700000000004</v>
      </c>
      <c r="J456" s="250">
        <v>-6.3907119999999997</v>
      </c>
      <c r="K456" s="250">
        <v>-5.5507730000000004</v>
      </c>
      <c r="L456" s="250">
        <v>1025.53</v>
      </c>
      <c r="M456" s="250">
        <v>129.000179</v>
      </c>
      <c r="N456" s="250">
        <v>18213.330699999999</v>
      </c>
      <c r="O456" s="250">
        <v>18223.235100000002</v>
      </c>
      <c r="P456" s="250">
        <v>2007.35475</v>
      </c>
      <c r="Q456" s="250">
        <v>2014.31033</v>
      </c>
      <c r="R456" s="250" t="s">
        <v>839</v>
      </c>
      <c r="S456" s="250" t="s">
        <v>769</v>
      </c>
      <c r="T456" s="250">
        <v>15</v>
      </c>
      <c r="U456" s="250">
        <v>5</v>
      </c>
      <c r="V456" s="250">
        <v>0.7</v>
      </c>
      <c r="W456" s="250">
        <v>0.7</v>
      </c>
      <c r="X456" s="250">
        <v>0.7</v>
      </c>
      <c r="Y456" s="250">
        <v>1700</v>
      </c>
      <c r="Z456" s="250" t="s">
        <v>840</v>
      </c>
      <c r="AA456" s="250">
        <v>0.85</v>
      </c>
      <c r="AB456" s="250" t="s">
        <v>841</v>
      </c>
      <c r="AC456" s="250" t="s">
        <v>842</v>
      </c>
      <c r="AD456" s="250">
        <v>220</v>
      </c>
      <c r="AE456" s="250"/>
      <c r="AF456" s="250"/>
      <c r="AG456" s="241"/>
    </row>
    <row r="457" spans="1:33" ht="15.75">
      <c r="A457" s="250" t="s">
        <v>861</v>
      </c>
      <c r="B457" s="250">
        <v>14</v>
      </c>
      <c r="C457" s="250">
        <v>139</v>
      </c>
      <c r="D457" s="250" t="s">
        <v>911</v>
      </c>
      <c r="E457" s="250">
        <v>1.5</v>
      </c>
      <c r="F457" s="251">
        <v>45113.620138888888</v>
      </c>
      <c r="G457" s="250">
        <v>1</v>
      </c>
      <c r="H457" s="250">
        <v>51.374099999999999</v>
      </c>
      <c r="I457" s="250">
        <v>6.6125299999999996</v>
      </c>
      <c r="J457" s="250">
        <v>-6.3801059999999996</v>
      </c>
      <c r="K457" s="250">
        <v>-5.5321559999999996</v>
      </c>
      <c r="L457" s="250">
        <v>1022.35</v>
      </c>
      <c r="M457" s="250">
        <v>125.00127999999999</v>
      </c>
      <c r="N457" s="250">
        <v>18190.591700000001</v>
      </c>
      <c r="O457" s="250">
        <v>18192.2559</v>
      </c>
      <c r="P457" s="250">
        <v>2003.9585300000001</v>
      </c>
      <c r="Q457" s="250">
        <v>2011.191963</v>
      </c>
      <c r="R457" s="250" t="s">
        <v>839</v>
      </c>
      <c r="S457" s="250" t="s">
        <v>769</v>
      </c>
      <c r="T457" s="250">
        <v>15</v>
      </c>
      <c r="U457" s="250">
        <v>5</v>
      </c>
      <c r="V457" s="250">
        <v>0.7</v>
      </c>
      <c r="W457" s="250">
        <v>0.7</v>
      </c>
      <c r="X457" s="250">
        <v>0.7</v>
      </c>
      <c r="Y457" s="250">
        <v>1700</v>
      </c>
      <c r="Z457" s="250" t="s">
        <v>840</v>
      </c>
      <c r="AA457" s="250">
        <v>0.85</v>
      </c>
      <c r="AB457" s="250" t="s">
        <v>841</v>
      </c>
      <c r="AC457" s="250" t="s">
        <v>842</v>
      </c>
      <c r="AD457" s="250">
        <v>220</v>
      </c>
      <c r="AE457" s="250"/>
      <c r="AF457" s="250"/>
      <c r="AG457" s="241"/>
    </row>
    <row r="458" spans="1:33" ht="15.75">
      <c r="A458" s="250" t="s">
        <v>974</v>
      </c>
      <c r="B458" s="250">
        <v>14</v>
      </c>
      <c r="C458" s="250">
        <v>139</v>
      </c>
      <c r="D458" s="250" t="s">
        <v>911</v>
      </c>
      <c r="E458" s="250">
        <v>1.5</v>
      </c>
      <c r="F458" s="251">
        <v>45113.624305555553</v>
      </c>
      <c r="G458" s="250">
        <v>1</v>
      </c>
      <c r="H458" s="250">
        <v>51.3675</v>
      </c>
      <c r="I458" s="250">
        <v>6.6641300000000001</v>
      </c>
      <c r="J458" s="250">
        <v>-6.5239659999999997</v>
      </c>
      <c r="K458" s="250">
        <v>-5.6926589999999999</v>
      </c>
      <c r="L458" s="250">
        <v>1026.8399999999999</v>
      </c>
      <c r="M458" s="250">
        <v>122.999859</v>
      </c>
      <c r="N458" s="250">
        <v>18205.203300000001</v>
      </c>
      <c r="O458" s="250">
        <v>18192.2559</v>
      </c>
      <c r="P458" s="250">
        <v>2003.9585300000001</v>
      </c>
      <c r="Q458" s="250">
        <v>2011.191963</v>
      </c>
      <c r="R458" s="250" t="s">
        <v>839</v>
      </c>
      <c r="S458" s="250" t="s">
        <v>769</v>
      </c>
      <c r="T458" s="250">
        <v>15</v>
      </c>
      <c r="U458" s="250">
        <v>5</v>
      </c>
      <c r="V458" s="250">
        <v>0.7</v>
      </c>
      <c r="W458" s="250">
        <v>0.7</v>
      </c>
      <c r="X458" s="250">
        <v>0.7</v>
      </c>
      <c r="Y458" s="250">
        <v>1700</v>
      </c>
      <c r="Z458" s="250" t="s">
        <v>840</v>
      </c>
      <c r="AA458" s="250">
        <v>0.85</v>
      </c>
      <c r="AB458" s="250" t="s">
        <v>841</v>
      </c>
      <c r="AC458" s="250" t="s">
        <v>842</v>
      </c>
      <c r="AD458" s="250">
        <v>220</v>
      </c>
      <c r="AE458" s="250"/>
      <c r="AF458" s="250"/>
      <c r="AG458" s="241"/>
    </row>
    <row r="459" spans="1:33" ht="15.75">
      <c r="A459" s="250" t="s">
        <v>975</v>
      </c>
      <c r="B459" s="250">
        <v>14</v>
      </c>
      <c r="C459" s="250">
        <v>139</v>
      </c>
      <c r="D459" s="250" t="s">
        <v>911</v>
      </c>
      <c r="E459" s="250">
        <v>1.5</v>
      </c>
      <c r="F459" s="251">
        <v>45113.62777777778</v>
      </c>
      <c r="G459" s="250">
        <v>1</v>
      </c>
      <c r="H459" s="250">
        <v>51.370800000000003</v>
      </c>
      <c r="I459" s="250">
        <v>6.6477500000000003</v>
      </c>
      <c r="J459" s="250">
        <v>-6.4782630000000001</v>
      </c>
      <c r="K459" s="250">
        <v>-5.6396509999999997</v>
      </c>
      <c r="L459" s="250">
        <v>1010.36</v>
      </c>
      <c r="M459" s="250">
        <v>122.50192199999999</v>
      </c>
      <c r="N459" s="250">
        <v>18180.972600000001</v>
      </c>
      <c r="O459" s="250">
        <v>18192.2559</v>
      </c>
      <c r="P459" s="250">
        <v>2003.9585300000001</v>
      </c>
      <c r="Q459" s="250">
        <v>2011.191963</v>
      </c>
      <c r="R459" s="250" t="s">
        <v>839</v>
      </c>
      <c r="S459" s="250" t="s">
        <v>769</v>
      </c>
      <c r="T459" s="250">
        <v>15</v>
      </c>
      <c r="U459" s="250">
        <v>5</v>
      </c>
      <c r="V459" s="250">
        <v>0.7</v>
      </c>
      <c r="W459" s="250">
        <v>0.7</v>
      </c>
      <c r="X459" s="250">
        <v>0.7</v>
      </c>
      <c r="Y459" s="250">
        <v>1700</v>
      </c>
      <c r="Z459" s="250" t="s">
        <v>840</v>
      </c>
      <c r="AA459" s="250">
        <v>0.85</v>
      </c>
      <c r="AB459" s="250" t="s">
        <v>841</v>
      </c>
      <c r="AC459" s="250" t="s">
        <v>842</v>
      </c>
      <c r="AD459" s="250">
        <v>220</v>
      </c>
      <c r="AE459" s="250"/>
      <c r="AF459" s="250"/>
      <c r="AG459" s="241"/>
    </row>
    <row r="460" spans="1:33" ht="15.75">
      <c r="A460" s="250" t="s">
        <v>862</v>
      </c>
      <c r="B460" s="250">
        <v>15</v>
      </c>
      <c r="C460" s="250">
        <v>173</v>
      </c>
      <c r="D460" s="250" t="s">
        <v>915</v>
      </c>
      <c r="E460" s="250">
        <v>1.5</v>
      </c>
      <c r="F460" s="251">
        <v>45113.631944444445</v>
      </c>
      <c r="G460" s="250">
        <v>1</v>
      </c>
      <c r="H460" s="250">
        <v>51.370800000000003</v>
      </c>
      <c r="I460" s="250">
        <v>6.5992300000000004</v>
      </c>
      <c r="J460" s="250">
        <v>-6.4045920000000001</v>
      </c>
      <c r="K460" s="250">
        <v>-5.5705809999999998</v>
      </c>
      <c r="L460" s="250">
        <v>1024.48</v>
      </c>
      <c r="M460" s="250">
        <v>125.49905099999999</v>
      </c>
      <c r="N460" s="250">
        <v>18261.251899999999</v>
      </c>
      <c r="O460" s="250">
        <v>18339.803100000001</v>
      </c>
      <c r="P460" s="250">
        <v>2020.1339700000001</v>
      </c>
      <c r="Q460" s="250">
        <v>2027.6452569999999</v>
      </c>
      <c r="R460" s="250" t="s">
        <v>647</v>
      </c>
      <c r="S460" s="250" t="s">
        <v>769</v>
      </c>
      <c r="T460" s="250">
        <v>15</v>
      </c>
      <c r="U460" s="250">
        <v>5</v>
      </c>
      <c r="V460" s="250">
        <v>0.7</v>
      </c>
      <c r="W460" s="250">
        <v>0.7</v>
      </c>
      <c r="X460" s="250">
        <v>0.7</v>
      </c>
      <c r="Y460" s="250">
        <v>1700</v>
      </c>
      <c r="Z460" s="250" t="s">
        <v>840</v>
      </c>
      <c r="AA460" s="250">
        <v>0.85</v>
      </c>
      <c r="AB460" s="250" t="s">
        <v>841</v>
      </c>
      <c r="AC460" s="250" t="s">
        <v>842</v>
      </c>
      <c r="AD460" s="250">
        <v>220</v>
      </c>
      <c r="AE460" s="250"/>
      <c r="AF460" s="250"/>
      <c r="AG460" s="241"/>
    </row>
    <row r="461" spans="1:33" ht="15.75">
      <c r="A461" s="250" t="s">
        <v>978</v>
      </c>
      <c r="B461" s="250">
        <v>15</v>
      </c>
      <c r="C461" s="250">
        <v>173</v>
      </c>
      <c r="D461" s="250" t="s">
        <v>915</v>
      </c>
      <c r="E461" s="250">
        <v>1.5</v>
      </c>
      <c r="F461" s="251">
        <v>45113.635416666664</v>
      </c>
      <c r="G461" s="250">
        <v>1</v>
      </c>
      <c r="H461" s="250">
        <v>51.370800000000003</v>
      </c>
      <c r="I461" s="250">
        <v>6.7277199999999997</v>
      </c>
      <c r="J461" s="250">
        <v>-6.456715</v>
      </c>
      <c r="K461" s="250">
        <v>-5.6176599999999999</v>
      </c>
      <c r="L461" s="250">
        <v>1030.6400000000001</v>
      </c>
      <c r="M461" s="250">
        <v>125.998909</v>
      </c>
      <c r="N461" s="250">
        <v>18356.409</v>
      </c>
      <c r="O461" s="250">
        <v>18339.803100000001</v>
      </c>
      <c r="P461" s="250">
        <v>2020.1339700000001</v>
      </c>
      <c r="Q461" s="250">
        <v>2027.6452569999999</v>
      </c>
      <c r="R461" s="250" t="s">
        <v>839</v>
      </c>
      <c r="S461" s="250" t="s">
        <v>769</v>
      </c>
      <c r="T461" s="250">
        <v>15</v>
      </c>
      <c r="U461" s="250">
        <v>5</v>
      </c>
      <c r="V461" s="250">
        <v>0.7</v>
      </c>
      <c r="W461" s="250">
        <v>0.7</v>
      </c>
      <c r="X461" s="250">
        <v>0.7</v>
      </c>
      <c r="Y461" s="250">
        <v>1700</v>
      </c>
      <c r="Z461" s="250" t="s">
        <v>840</v>
      </c>
      <c r="AA461" s="250">
        <v>0.85</v>
      </c>
      <c r="AB461" s="250" t="s">
        <v>841</v>
      </c>
      <c r="AC461" s="250" t="s">
        <v>842</v>
      </c>
      <c r="AD461" s="250">
        <v>220</v>
      </c>
      <c r="AE461" s="250"/>
      <c r="AF461" s="250"/>
      <c r="AG461" s="241"/>
    </row>
    <row r="462" spans="1:33" ht="15.75">
      <c r="A462" s="250" t="s">
        <v>979</v>
      </c>
      <c r="B462" s="250">
        <v>15</v>
      </c>
      <c r="C462" s="250">
        <v>173</v>
      </c>
      <c r="D462" s="250" t="s">
        <v>915</v>
      </c>
      <c r="E462" s="250">
        <v>1.5</v>
      </c>
      <c r="F462" s="251">
        <v>45113.638888888891</v>
      </c>
      <c r="G462" s="250">
        <v>1</v>
      </c>
      <c r="H462" s="250">
        <v>51.370800000000003</v>
      </c>
      <c r="I462" s="250">
        <v>6.7803100000000001</v>
      </c>
      <c r="J462" s="250">
        <v>-6.3964610000000004</v>
      </c>
      <c r="K462" s="250">
        <v>-5.5575070000000002</v>
      </c>
      <c r="L462" s="250">
        <v>1024.99</v>
      </c>
      <c r="M462" s="250">
        <v>123.500241</v>
      </c>
      <c r="N462" s="250">
        <v>18326.3485</v>
      </c>
      <c r="O462" s="250">
        <v>18339.803100000001</v>
      </c>
      <c r="P462" s="250">
        <v>2020.1339700000001</v>
      </c>
      <c r="Q462" s="250">
        <v>2027.6452569999999</v>
      </c>
      <c r="R462" s="250" t="s">
        <v>839</v>
      </c>
      <c r="S462" s="250" t="s">
        <v>769</v>
      </c>
      <c r="T462" s="250">
        <v>15</v>
      </c>
      <c r="U462" s="250">
        <v>5</v>
      </c>
      <c r="V462" s="250">
        <v>0.7</v>
      </c>
      <c r="W462" s="250">
        <v>0.7</v>
      </c>
      <c r="X462" s="250">
        <v>0.7</v>
      </c>
      <c r="Y462" s="250">
        <v>1700</v>
      </c>
      <c r="Z462" s="250" t="s">
        <v>840</v>
      </c>
      <c r="AA462" s="250">
        <v>0.85</v>
      </c>
      <c r="AB462" s="250" t="s">
        <v>841</v>
      </c>
      <c r="AC462" s="250" t="s">
        <v>842</v>
      </c>
      <c r="AD462" s="250">
        <v>220</v>
      </c>
      <c r="AE462" s="250"/>
      <c r="AF462" s="250"/>
      <c r="AG462" s="241"/>
    </row>
    <row r="463" spans="1:33" ht="15.75">
      <c r="A463" s="250" t="s">
        <v>980</v>
      </c>
      <c r="B463" s="250">
        <v>15</v>
      </c>
      <c r="C463" s="250">
        <v>173</v>
      </c>
      <c r="D463" s="250" t="s">
        <v>915</v>
      </c>
      <c r="E463" s="250">
        <v>1.5</v>
      </c>
      <c r="F463" s="251">
        <v>45113.642361111109</v>
      </c>
      <c r="G463" s="250">
        <v>1</v>
      </c>
      <c r="H463" s="250">
        <v>51.370800000000003</v>
      </c>
      <c r="I463" s="250">
        <v>6.7276699999999998</v>
      </c>
      <c r="J463" s="250">
        <v>-6.2886730000000002</v>
      </c>
      <c r="K463" s="250">
        <v>-5.4392050000000003</v>
      </c>
      <c r="L463" s="250">
        <v>1023.15</v>
      </c>
      <c r="M463" s="250">
        <v>127.00096000000001</v>
      </c>
      <c r="N463" s="250">
        <v>18336.651699999999</v>
      </c>
      <c r="O463" s="250">
        <v>18339.803100000001</v>
      </c>
      <c r="P463" s="250">
        <v>2020.1339700000001</v>
      </c>
      <c r="Q463" s="250">
        <v>2027.6452569999999</v>
      </c>
      <c r="R463" s="250" t="s">
        <v>839</v>
      </c>
      <c r="S463" s="250" t="s">
        <v>769</v>
      </c>
      <c r="T463" s="250">
        <v>15</v>
      </c>
      <c r="U463" s="250">
        <v>5</v>
      </c>
      <c r="V463" s="250">
        <v>0.7</v>
      </c>
      <c r="W463" s="250">
        <v>0.7</v>
      </c>
      <c r="X463" s="250">
        <v>0.7</v>
      </c>
      <c r="Y463" s="250">
        <v>1700</v>
      </c>
      <c r="Z463" s="250" t="s">
        <v>840</v>
      </c>
      <c r="AA463" s="250">
        <v>0.85</v>
      </c>
      <c r="AB463" s="250" t="s">
        <v>841</v>
      </c>
      <c r="AC463" s="250" t="s">
        <v>842</v>
      </c>
      <c r="AD463" s="250">
        <v>220</v>
      </c>
      <c r="AE463" s="250"/>
      <c r="AF463" s="250"/>
      <c r="AG463" s="241"/>
    </row>
    <row r="464" spans="1:33" ht="15.75">
      <c r="A464" s="250" t="s">
        <v>863</v>
      </c>
      <c r="B464" s="250">
        <v>16</v>
      </c>
      <c r="C464" s="250">
        <v>172</v>
      </c>
      <c r="D464" s="250" t="s">
        <v>926</v>
      </c>
      <c r="E464" s="250">
        <v>1.5</v>
      </c>
      <c r="F464" s="251">
        <v>45113.646527777775</v>
      </c>
      <c r="G464" s="250">
        <v>1</v>
      </c>
      <c r="H464" s="250">
        <v>51.374099999999999</v>
      </c>
      <c r="I464" s="250">
        <v>6.7518200000000004</v>
      </c>
      <c r="J464" s="250">
        <v>-6.4924189999999999</v>
      </c>
      <c r="K464" s="250">
        <v>-5.6551980000000004</v>
      </c>
      <c r="L464" s="250">
        <v>1026.82</v>
      </c>
      <c r="M464" s="250">
        <v>121.99992399999999</v>
      </c>
      <c r="N464" s="250">
        <v>18424.251</v>
      </c>
      <c r="O464" s="250">
        <v>18427.343499999999</v>
      </c>
      <c r="P464" s="250">
        <v>2029.74305</v>
      </c>
      <c r="Q464" s="250">
        <v>2037.5321899999999</v>
      </c>
      <c r="R464" s="250" t="s">
        <v>839</v>
      </c>
      <c r="S464" s="250" t="s">
        <v>769</v>
      </c>
      <c r="T464" s="250">
        <v>15</v>
      </c>
      <c r="U464" s="250">
        <v>5</v>
      </c>
      <c r="V464" s="250">
        <v>0.7</v>
      </c>
      <c r="W464" s="250">
        <v>0.7</v>
      </c>
      <c r="X464" s="250">
        <v>0.7</v>
      </c>
      <c r="Y464" s="250">
        <v>1700</v>
      </c>
      <c r="Z464" s="250" t="s">
        <v>840</v>
      </c>
      <c r="AA464" s="250">
        <v>0.85</v>
      </c>
      <c r="AB464" s="250" t="s">
        <v>841</v>
      </c>
      <c r="AC464" s="250" t="s">
        <v>842</v>
      </c>
      <c r="AD464" s="250">
        <v>220</v>
      </c>
      <c r="AE464" s="250"/>
      <c r="AF464" s="250"/>
      <c r="AG464" s="241"/>
    </row>
    <row r="465" spans="1:33" ht="15.75">
      <c r="A465" s="250" t="s">
        <v>983</v>
      </c>
      <c r="B465" s="250">
        <v>16</v>
      </c>
      <c r="C465" s="250">
        <v>172</v>
      </c>
      <c r="D465" s="250" t="s">
        <v>926</v>
      </c>
      <c r="E465" s="250">
        <v>1.5</v>
      </c>
      <c r="F465" s="251">
        <v>45113.65</v>
      </c>
      <c r="G465" s="250">
        <v>1</v>
      </c>
      <c r="H465" s="250">
        <v>51.3675</v>
      </c>
      <c r="I465" s="250">
        <v>6.8258200000000002</v>
      </c>
      <c r="J465" s="250">
        <v>-6.4912749999999999</v>
      </c>
      <c r="K465" s="250">
        <v>-5.6444559999999999</v>
      </c>
      <c r="L465" s="250">
        <v>1028.93</v>
      </c>
      <c r="M465" s="250">
        <v>129.499483</v>
      </c>
      <c r="N465" s="250">
        <v>18422.367399999999</v>
      </c>
      <c r="O465" s="250">
        <v>18427.343499999999</v>
      </c>
      <c r="P465" s="250">
        <v>2029.74305</v>
      </c>
      <c r="Q465" s="250">
        <v>2037.5321899999999</v>
      </c>
      <c r="R465" s="250" t="s">
        <v>839</v>
      </c>
      <c r="S465" s="250" t="s">
        <v>769</v>
      </c>
      <c r="T465" s="250">
        <v>15</v>
      </c>
      <c r="U465" s="250">
        <v>5</v>
      </c>
      <c r="V465" s="250">
        <v>0.7</v>
      </c>
      <c r="W465" s="250">
        <v>0.7</v>
      </c>
      <c r="X465" s="250">
        <v>0.7</v>
      </c>
      <c r="Y465" s="250">
        <v>1700</v>
      </c>
      <c r="Z465" s="250" t="s">
        <v>840</v>
      </c>
      <c r="AA465" s="250">
        <v>0.85</v>
      </c>
      <c r="AB465" s="250" t="s">
        <v>841</v>
      </c>
      <c r="AC465" s="250" t="s">
        <v>842</v>
      </c>
      <c r="AD465" s="250">
        <v>220</v>
      </c>
      <c r="AE465" s="250"/>
      <c r="AF465" s="250"/>
      <c r="AG465" s="241"/>
    </row>
    <row r="466" spans="1:33" ht="15.75">
      <c r="A466" s="250" t="s">
        <v>984</v>
      </c>
      <c r="B466" s="250">
        <v>16</v>
      </c>
      <c r="C466" s="250">
        <v>172</v>
      </c>
      <c r="D466" s="250" t="s">
        <v>926</v>
      </c>
      <c r="E466" s="250">
        <v>1.5</v>
      </c>
      <c r="F466" s="251">
        <v>45113.654166666667</v>
      </c>
      <c r="G466" s="250">
        <v>1</v>
      </c>
      <c r="H466" s="250">
        <v>51.370800000000003</v>
      </c>
      <c r="I466" s="250">
        <v>6.79976</v>
      </c>
      <c r="J466" s="250">
        <v>-6.417529</v>
      </c>
      <c r="K466" s="250">
        <v>-5.570208</v>
      </c>
      <c r="L466" s="250">
        <v>1019.4</v>
      </c>
      <c r="M466" s="250">
        <v>143.50009299999999</v>
      </c>
      <c r="N466" s="250">
        <v>18435.412100000001</v>
      </c>
      <c r="O466" s="250">
        <v>18427.343499999999</v>
      </c>
      <c r="P466" s="250">
        <v>2029.74305</v>
      </c>
      <c r="Q466" s="250">
        <v>2037.5321899999999</v>
      </c>
      <c r="R466" s="250" t="s">
        <v>839</v>
      </c>
      <c r="S466" s="250" t="s">
        <v>769</v>
      </c>
      <c r="T466" s="250">
        <v>15</v>
      </c>
      <c r="U466" s="250">
        <v>5</v>
      </c>
      <c r="V466" s="250">
        <v>0.7</v>
      </c>
      <c r="W466" s="250">
        <v>0.7</v>
      </c>
      <c r="X466" s="250">
        <v>0.7</v>
      </c>
      <c r="Y466" s="250">
        <v>1700</v>
      </c>
      <c r="Z466" s="250" t="s">
        <v>840</v>
      </c>
      <c r="AA466" s="250">
        <v>0.85</v>
      </c>
      <c r="AB466" s="250" t="s">
        <v>841</v>
      </c>
      <c r="AC466" s="250" t="s">
        <v>842</v>
      </c>
      <c r="AD466" s="250">
        <v>220</v>
      </c>
      <c r="AE466" s="250"/>
      <c r="AF466" s="250"/>
      <c r="AG466" s="241"/>
    </row>
    <row r="467" spans="1:33" ht="15.75">
      <c r="A467" s="250" t="s">
        <v>864</v>
      </c>
      <c r="B467" s="250">
        <v>17</v>
      </c>
      <c r="C467" s="250">
        <v>174</v>
      </c>
      <c r="D467" s="250" t="s">
        <v>930</v>
      </c>
      <c r="E467" s="250">
        <v>1.5</v>
      </c>
      <c r="F467" s="251">
        <v>45113.658333333333</v>
      </c>
      <c r="G467" s="250">
        <v>1</v>
      </c>
      <c r="H467" s="250">
        <v>51.3675</v>
      </c>
      <c r="I467" s="250">
        <v>6.7135199999999999</v>
      </c>
      <c r="J467" s="250">
        <v>-6.523015</v>
      </c>
      <c r="K467" s="250">
        <v>-5.6798489999999999</v>
      </c>
      <c r="L467" s="250">
        <v>1037.1199999999999</v>
      </c>
      <c r="M467" s="250">
        <v>132.498761</v>
      </c>
      <c r="N467" s="250">
        <v>18320.714400000001</v>
      </c>
      <c r="O467" s="250">
        <v>18332.064399999999</v>
      </c>
      <c r="P467" s="250">
        <v>2019.28559</v>
      </c>
      <c r="Q467" s="250">
        <v>2027.3525830000001</v>
      </c>
      <c r="R467" s="250" t="s">
        <v>839</v>
      </c>
      <c r="S467" s="250" t="s">
        <v>769</v>
      </c>
      <c r="T467" s="250">
        <v>15</v>
      </c>
      <c r="U467" s="250">
        <v>5</v>
      </c>
      <c r="V467" s="250">
        <v>0.7</v>
      </c>
      <c r="W467" s="250">
        <v>0.7</v>
      </c>
      <c r="X467" s="250">
        <v>0.7</v>
      </c>
      <c r="Y467" s="250">
        <v>1700</v>
      </c>
      <c r="Z467" s="250" t="s">
        <v>840</v>
      </c>
      <c r="AA467" s="250">
        <v>0.85</v>
      </c>
      <c r="AB467" s="250" t="s">
        <v>841</v>
      </c>
      <c r="AC467" s="250" t="s">
        <v>842</v>
      </c>
      <c r="AD467" s="250">
        <v>220</v>
      </c>
      <c r="AE467" s="250"/>
      <c r="AF467" s="250"/>
      <c r="AG467" s="241"/>
    </row>
    <row r="468" spans="1:33" ht="15.75">
      <c r="A468" s="250" t="s">
        <v>987</v>
      </c>
      <c r="B468" s="250">
        <v>17</v>
      </c>
      <c r="C468" s="250">
        <v>174</v>
      </c>
      <c r="D468" s="250" t="s">
        <v>930</v>
      </c>
      <c r="E468" s="250">
        <v>1.5</v>
      </c>
      <c r="F468" s="251">
        <v>45113.661805555559</v>
      </c>
      <c r="G468" s="250">
        <v>1</v>
      </c>
      <c r="H468" s="250">
        <v>51.370800000000003</v>
      </c>
      <c r="I468" s="250">
        <v>6.6135099999999998</v>
      </c>
      <c r="J468" s="250">
        <v>-6.5515020000000002</v>
      </c>
      <c r="K468" s="250">
        <v>-5.7263729999999997</v>
      </c>
      <c r="L468" s="250">
        <v>1035.04</v>
      </c>
      <c r="M468" s="250">
        <v>133.00055800000001</v>
      </c>
      <c r="N468" s="250">
        <v>18350.593799999999</v>
      </c>
      <c r="O468" s="250">
        <v>18332.064399999999</v>
      </c>
      <c r="P468" s="250">
        <v>2019.28559</v>
      </c>
      <c r="Q468" s="250">
        <v>2027.3525830000001</v>
      </c>
      <c r="R468" s="250" t="s">
        <v>839</v>
      </c>
      <c r="S468" s="250" t="s">
        <v>769</v>
      </c>
      <c r="T468" s="250">
        <v>15</v>
      </c>
      <c r="U468" s="250">
        <v>5</v>
      </c>
      <c r="V468" s="250">
        <v>0.7</v>
      </c>
      <c r="W468" s="250">
        <v>0.7</v>
      </c>
      <c r="X468" s="250">
        <v>0.7</v>
      </c>
      <c r="Y468" s="250">
        <v>1700</v>
      </c>
      <c r="Z468" s="250" t="s">
        <v>840</v>
      </c>
      <c r="AA468" s="250">
        <v>0.85</v>
      </c>
      <c r="AB468" s="250" t="s">
        <v>841</v>
      </c>
      <c r="AC468" s="250" t="s">
        <v>842</v>
      </c>
      <c r="AD468" s="250">
        <v>220</v>
      </c>
      <c r="AE468" s="250"/>
      <c r="AF468" s="250"/>
      <c r="AG468" s="241"/>
    </row>
    <row r="469" spans="1:33" ht="15.75">
      <c r="A469" s="250" t="s">
        <v>988</v>
      </c>
      <c r="B469" s="250">
        <v>17</v>
      </c>
      <c r="C469" s="250">
        <v>174</v>
      </c>
      <c r="D469" s="250" t="s">
        <v>930</v>
      </c>
      <c r="E469" s="250">
        <v>1.5</v>
      </c>
      <c r="F469" s="251">
        <v>45113.665972222225</v>
      </c>
      <c r="G469" s="250">
        <v>1</v>
      </c>
      <c r="H469" s="250">
        <v>51.370800000000003</v>
      </c>
      <c r="I469" s="250">
        <v>6.7313499999999999</v>
      </c>
      <c r="J469" s="250">
        <v>-6.5011669999999997</v>
      </c>
      <c r="K469" s="250">
        <v>-5.6579579999999998</v>
      </c>
      <c r="L469" s="250">
        <v>1020.15</v>
      </c>
      <c r="M469" s="250">
        <v>120.49956400000001</v>
      </c>
      <c r="N469" s="250">
        <v>18324.8851</v>
      </c>
      <c r="O469" s="250">
        <v>18332.064399999999</v>
      </c>
      <c r="P469" s="250">
        <v>2019.28559</v>
      </c>
      <c r="Q469" s="250">
        <v>2027.3525830000001</v>
      </c>
      <c r="R469" s="250" t="s">
        <v>839</v>
      </c>
      <c r="S469" s="250" t="s">
        <v>769</v>
      </c>
      <c r="T469" s="250">
        <v>15</v>
      </c>
      <c r="U469" s="250">
        <v>5</v>
      </c>
      <c r="V469" s="250">
        <v>0.7</v>
      </c>
      <c r="W469" s="250">
        <v>0.7</v>
      </c>
      <c r="X469" s="250">
        <v>0.7</v>
      </c>
      <c r="Y469" s="250">
        <v>1700</v>
      </c>
      <c r="Z469" s="250" t="s">
        <v>840</v>
      </c>
      <c r="AA469" s="250">
        <v>0.85</v>
      </c>
      <c r="AB469" s="250" t="s">
        <v>841</v>
      </c>
      <c r="AC469" s="250" t="s">
        <v>842</v>
      </c>
      <c r="AD469" s="250">
        <v>220</v>
      </c>
      <c r="AE469" s="250"/>
      <c r="AF469" s="250"/>
      <c r="AG469" s="241"/>
    </row>
    <row r="470" spans="1:33" ht="15.75">
      <c r="A470" s="250" t="s">
        <v>865</v>
      </c>
      <c r="B470" s="250">
        <v>18</v>
      </c>
      <c r="C470" s="250">
        <v>175</v>
      </c>
      <c r="D470" s="250" t="s">
        <v>936</v>
      </c>
      <c r="E470" s="250">
        <v>1.5</v>
      </c>
      <c r="F470" s="251">
        <v>45113.669444444444</v>
      </c>
      <c r="G470" s="250">
        <v>1</v>
      </c>
      <c r="H470" s="250">
        <v>51.370800000000003</v>
      </c>
      <c r="I470" s="250">
        <v>6.63368</v>
      </c>
      <c r="J470" s="250">
        <v>-6.4021949999999999</v>
      </c>
      <c r="K470" s="250">
        <v>-5.5643269999999996</v>
      </c>
      <c r="L470" s="250">
        <v>1017.92</v>
      </c>
      <c r="M470" s="250">
        <v>133.99966800000001</v>
      </c>
      <c r="N470" s="250">
        <v>18378.797900000001</v>
      </c>
      <c r="O470" s="250">
        <v>18386.254799999999</v>
      </c>
      <c r="P470" s="250">
        <v>2025.22642</v>
      </c>
      <c r="Q470" s="250">
        <v>2033.571267</v>
      </c>
      <c r="R470" s="250" t="s">
        <v>839</v>
      </c>
      <c r="S470" s="250" t="s">
        <v>769</v>
      </c>
      <c r="T470" s="250">
        <v>15</v>
      </c>
      <c r="U470" s="250">
        <v>5</v>
      </c>
      <c r="V470" s="250">
        <v>0.7</v>
      </c>
      <c r="W470" s="250">
        <v>0.7</v>
      </c>
      <c r="X470" s="250">
        <v>0.7</v>
      </c>
      <c r="Y470" s="250">
        <v>1700</v>
      </c>
      <c r="Z470" s="250" t="s">
        <v>840</v>
      </c>
      <c r="AA470" s="250">
        <v>0.85</v>
      </c>
      <c r="AB470" s="250" t="s">
        <v>841</v>
      </c>
      <c r="AC470" s="250" t="s">
        <v>842</v>
      </c>
      <c r="AD470" s="250">
        <v>220</v>
      </c>
      <c r="AE470" s="250"/>
      <c r="AF470" s="250"/>
      <c r="AG470" s="241"/>
    </row>
    <row r="471" spans="1:33" ht="15.75">
      <c r="A471" s="250" t="s">
        <v>990</v>
      </c>
      <c r="B471" s="250">
        <v>18</v>
      </c>
      <c r="C471" s="250">
        <v>175</v>
      </c>
      <c r="D471" s="250" t="s">
        <v>936</v>
      </c>
      <c r="E471" s="250">
        <v>1.5</v>
      </c>
      <c r="F471" s="251">
        <v>45113.673611111109</v>
      </c>
      <c r="G471" s="250">
        <v>1</v>
      </c>
      <c r="H471" s="250">
        <v>51.370800000000003</v>
      </c>
      <c r="I471" s="250">
        <v>6.7114200000000004</v>
      </c>
      <c r="J471" s="250">
        <v>-6.5014969999999996</v>
      </c>
      <c r="K471" s="250">
        <v>-5.6768720000000004</v>
      </c>
      <c r="L471" s="250">
        <v>1028.6400000000001</v>
      </c>
      <c r="M471" s="250">
        <v>134.00019499999999</v>
      </c>
      <c r="N471" s="250">
        <v>18420.319100000001</v>
      </c>
      <c r="O471" s="250">
        <v>18386.254799999999</v>
      </c>
      <c r="P471" s="250">
        <v>2025.22642</v>
      </c>
      <c r="Q471" s="250">
        <v>2033.571267</v>
      </c>
      <c r="R471" s="250" t="s">
        <v>647</v>
      </c>
      <c r="S471" s="250" t="s">
        <v>769</v>
      </c>
      <c r="T471" s="250">
        <v>15</v>
      </c>
      <c r="U471" s="250">
        <v>5</v>
      </c>
      <c r="V471" s="250">
        <v>0.7</v>
      </c>
      <c r="W471" s="250">
        <v>0.7</v>
      </c>
      <c r="X471" s="250">
        <v>0.7</v>
      </c>
      <c r="Y471" s="250">
        <v>1700</v>
      </c>
      <c r="Z471" s="250" t="s">
        <v>840</v>
      </c>
      <c r="AA471" s="250">
        <v>0.85</v>
      </c>
      <c r="AB471" s="250" t="s">
        <v>841</v>
      </c>
      <c r="AC471" s="250" t="s">
        <v>842</v>
      </c>
      <c r="AD471" s="250">
        <v>220</v>
      </c>
      <c r="AE471" s="250"/>
      <c r="AF471" s="250"/>
      <c r="AG471" s="241"/>
    </row>
    <row r="472" spans="1:33" ht="15.75">
      <c r="A472" s="250" t="s">
        <v>991</v>
      </c>
      <c r="B472" s="250">
        <v>18</v>
      </c>
      <c r="C472" s="250">
        <v>175</v>
      </c>
      <c r="D472" s="250" t="s">
        <v>936</v>
      </c>
      <c r="E472" s="250">
        <v>1.5</v>
      </c>
      <c r="F472" s="251">
        <v>45113.677083333336</v>
      </c>
      <c r="G472" s="250">
        <v>1</v>
      </c>
      <c r="H472" s="250">
        <v>51.370800000000003</v>
      </c>
      <c r="I472" s="250">
        <v>6.75</v>
      </c>
      <c r="J472" s="250">
        <v>-6.5108670000000002</v>
      </c>
      <c r="K472" s="250">
        <v>-5.6783060000000001</v>
      </c>
      <c r="L472" s="250">
        <v>1038.7</v>
      </c>
      <c r="M472" s="250">
        <v>121.499306</v>
      </c>
      <c r="N472" s="250">
        <v>18375.313699999999</v>
      </c>
      <c r="O472" s="250">
        <v>18386.254799999999</v>
      </c>
      <c r="P472" s="250">
        <v>2025.22642</v>
      </c>
      <c r="Q472" s="250">
        <v>2033.571267</v>
      </c>
      <c r="R472" s="250" t="s">
        <v>839</v>
      </c>
      <c r="S472" s="250" t="s">
        <v>769</v>
      </c>
      <c r="T472" s="250">
        <v>15</v>
      </c>
      <c r="U472" s="250">
        <v>5</v>
      </c>
      <c r="V472" s="250">
        <v>0.7</v>
      </c>
      <c r="W472" s="250">
        <v>0.7</v>
      </c>
      <c r="X472" s="250">
        <v>0.7</v>
      </c>
      <c r="Y472" s="250">
        <v>1700</v>
      </c>
      <c r="Z472" s="250" t="s">
        <v>840</v>
      </c>
      <c r="AA472" s="250">
        <v>0.85</v>
      </c>
      <c r="AB472" s="250" t="s">
        <v>841</v>
      </c>
      <c r="AC472" s="250" t="s">
        <v>842</v>
      </c>
      <c r="AD472" s="250">
        <v>220</v>
      </c>
      <c r="AE472" s="250"/>
      <c r="AF472" s="250"/>
      <c r="AG472" s="241"/>
    </row>
    <row r="473" spans="1:33" ht="15.75">
      <c r="A473" s="250" t="s">
        <v>992</v>
      </c>
      <c r="B473" s="250">
        <v>18</v>
      </c>
      <c r="C473" s="250">
        <v>175</v>
      </c>
      <c r="D473" s="250" t="s">
        <v>936</v>
      </c>
      <c r="E473" s="250">
        <v>1.5</v>
      </c>
      <c r="F473" s="251">
        <v>45113.680555555555</v>
      </c>
      <c r="G473" s="250">
        <v>1</v>
      </c>
      <c r="H473" s="250">
        <v>51.374099999999999</v>
      </c>
      <c r="I473" s="250">
        <v>6.7237799999999996</v>
      </c>
      <c r="J473" s="250">
        <v>-6.5525789999999997</v>
      </c>
      <c r="K473" s="250">
        <v>-5.7180910000000003</v>
      </c>
      <c r="L473" s="250">
        <v>1024.29</v>
      </c>
      <c r="M473" s="250">
        <v>122</v>
      </c>
      <c r="N473" s="250">
        <v>18404.6528</v>
      </c>
      <c r="O473" s="250">
        <v>18386.254799999999</v>
      </c>
      <c r="P473" s="250">
        <v>2025.22642</v>
      </c>
      <c r="Q473" s="250">
        <v>2033.571267</v>
      </c>
      <c r="R473" s="250" t="s">
        <v>839</v>
      </c>
      <c r="S473" s="250" t="s">
        <v>769</v>
      </c>
      <c r="T473" s="250">
        <v>15</v>
      </c>
      <c r="U473" s="250">
        <v>5</v>
      </c>
      <c r="V473" s="250">
        <v>0.7</v>
      </c>
      <c r="W473" s="250">
        <v>0.7</v>
      </c>
      <c r="X473" s="250">
        <v>0.7</v>
      </c>
      <c r="Y473" s="250">
        <v>1700</v>
      </c>
      <c r="Z473" s="250" t="s">
        <v>840</v>
      </c>
      <c r="AA473" s="250">
        <v>0.85</v>
      </c>
      <c r="AB473" s="250" t="s">
        <v>841</v>
      </c>
      <c r="AC473" s="250" t="s">
        <v>842</v>
      </c>
      <c r="AD473" s="250">
        <v>220</v>
      </c>
      <c r="AE473" s="250"/>
      <c r="AF473" s="250"/>
      <c r="AG473" s="241"/>
    </row>
    <row r="474" spans="1:33" ht="15.75">
      <c r="A474" s="250" t="s">
        <v>866</v>
      </c>
      <c r="B474" s="250">
        <v>19</v>
      </c>
      <c r="C474" s="250" t="s">
        <v>802</v>
      </c>
      <c r="D474" s="250" t="s">
        <v>838</v>
      </c>
      <c r="E474" s="250">
        <v>1.5</v>
      </c>
      <c r="F474" s="251">
        <v>45113.68472222222</v>
      </c>
      <c r="G474" s="250">
        <v>1</v>
      </c>
      <c r="H474" s="250">
        <v>51.370800000000003</v>
      </c>
      <c r="I474" s="250">
        <v>6.5885499999999997</v>
      </c>
      <c r="J474" s="250">
        <v>-6.5666859999999998</v>
      </c>
      <c r="K474" s="250">
        <v>-5.7304190000000004</v>
      </c>
      <c r="L474" s="250">
        <v>1034.72</v>
      </c>
      <c r="M474" s="250">
        <v>131.49908500000001</v>
      </c>
      <c r="N474" s="250">
        <v>18342.776000000002</v>
      </c>
      <c r="O474" s="250">
        <v>18334.998899999999</v>
      </c>
      <c r="P474" s="250">
        <v>2019.6072999999999</v>
      </c>
      <c r="Q474" s="250">
        <v>2028.23</v>
      </c>
      <c r="R474" s="250" t="s">
        <v>839</v>
      </c>
      <c r="S474" s="250" t="s">
        <v>769</v>
      </c>
      <c r="T474" s="250">
        <v>15</v>
      </c>
      <c r="U474" s="250">
        <v>5</v>
      </c>
      <c r="V474" s="250">
        <v>0.7</v>
      </c>
      <c r="W474" s="250">
        <v>0.7</v>
      </c>
      <c r="X474" s="250">
        <v>0.7</v>
      </c>
      <c r="Y474" s="250">
        <v>1700</v>
      </c>
      <c r="Z474" s="250" t="s">
        <v>840</v>
      </c>
      <c r="AA474" s="250">
        <v>0.85</v>
      </c>
      <c r="AB474" s="250" t="s">
        <v>841</v>
      </c>
      <c r="AC474" s="250" t="s">
        <v>842</v>
      </c>
      <c r="AD474" s="250">
        <v>220</v>
      </c>
      <c r="AE474" s="250"/>
      <c r="AF474" s="250"/>
      <c r="AG474" s="241"/>
    </row>
    <row r="475" spans="1:33" ht="15.75">
      <c r="A475" s="250" t="s">
        <v>993</v>
      </c>
      <c r="B475" s="250">
        <v>19</v>
      </c>
      <c r="C475" s="250" t="s">
        <v>802</v>
      </c>
      <c r="D475" s="250" t="s">
        <v>838</v>
      </c>
      <c r="E475" s="250">
        <v>1.5</v>
      </c>
      <c r="F475" s="251">
        <v>45113.688888888886</v>
      </c>
      <c r="G475" s="250">
        <v>1</v>
      </c>
      <c r="H475" s="250">
        <v>51.374099999999999</v>
      </c>
      <c r="I475" s="250">
        <v>6.7010300000000003</v>
      </c>
      <c r="J475" s="250">
        <v>-6.4297969999999998</v>
      </c>
      <c r="K475" s="250">
        <v>-5.6033660000000003</v>
      </c>
      <c r="L475" s="250">
        <v>1020.72</v>
      </c>
      <c r="M475" s="250">
        <v>116.50095399999999</v>
      </c>
      <c r="N475" s="250">
        <v>18315.884300000002</v>
      </c>
      <c r="O475" s="250">
        <v>18334.998899999999</v>
      </c>
      <c r="P475" s="250">
        <v>2019.6072999999999</v>
      </c>
      <c r="Q475" s="250" t="s">
        <v>18</v>
      </c>
      <c r="R475" s="250" t="s">
        <v>839</v>
      </c>
      <c r="S475" s="250" t="s">
        <v>769</v>
      </c>
      <c r="T475" s="250">
        <v>15</v>
      </c>
      <c r="U475" s="250">
        <v>5</v>
      </c>
      <c r="V475" s="250">
        <v>0.7</v>
      </c>
      <c r="W475" s="250">
        <v>0.7</v>
      </c>
      <c r="X475" s="250">
        <v>0.7</v>
      </c>
      <c r="Y475" s="250">
        <v>1700</v>
      </c>
      <c r="Z475" s="250" t="s">
        <v>840</v>
      </c>
      <c r="AA475" s="250">
        <v>0.85</v>
      </c>
      <c r="AB475" s="250" t="s">
        <v>841</v>
      </c>
      <c r="AC475" s="250" t="s">
        <v>842</v>
      </c>
      <c r="AD475" s="250">
        <v>220</v>
      </c>
      <c r="AE475" s="250"/>
      <c r="AF475" s="250"/>
      <c r="AG475" s="241"/>
    </row>
    <row r="476" spans="1:33" ht="15.75">
      <c r="A476" s="250" t="s">
        <v>994</v>
      </c>
      <c r="B476" s="250">
        <v>19</v>
      </c>
      <c r="C476" s="250" t="s">
        <v>802</v>
      </c>
      <c r="D476" s="250" t="s">
        <v>838</v>
      </c>
      <c r="E476" s="250">
        <v>1.5</v>
      </c>
      <c r="F476" s="251">
        <v>45113.692361111112</v>
      </c>
      <c r="G476" s="250">
        <v>1</v>
      </c>
      <c r="H476" s="250">
        <v>51.374099999999999</v>
      </c>
      <c r="I476" s="250">
        <v>6.6395900000000001</v>
      </c>
      <c r="J476" s="250">
        <v>-6.6013039999999998</v>
      </c>
      <c r="K476" s="250">
        <v>-5.7789390000000003</v>
      </c>
      <c r="L476" s="250">
        <v>1019.02</v>
      </c>
      <c r="M476" s="250">
        <v>132.50062</v>
      </c>
      <c r="N476" s="250">
        <v>18346.336500000001</v>
      </c>
      <c r="O476" s="250">
        <v>18334.998899999999</v>
      </c>
      <c r="P476" s="250">
        <v>2019.6072999999999</v>
      </c>
      <c r="Q476" s="250" t="s">
        <v>18</v>
      </c>
      <c r="R476" s="250" t="s">
        <v>839</v>
      </c>
      <c r="S476" s="250" t="s">
        <v>769</v>
      </c>
      <c r="T476" s="250">
        <v>15</v>
      </c>
      <c r="U476" s="250">
        <v>5</v>
      </c>
      <c r="V476" s="250">
        <v>0.7</v>
      </c>
      <c r="W476" s="250">
        <v>0.7</v>
      </c>
      <c r="X476" s="250">
        <v>0.7</v>
      </c>
      <c r="Y476" s="250">
        <v>1700</v>
      </c>
      <c r="Z476" s="250" t="s">
        <v>840</v>
      </c>
      <c r="AA476" s="250">
        <v>0.85</v>
      </c>
      <c r="AB476" s="250" t="s">
        <v>841</v>
      </c>
      <c r="AC476" s="250" t="s">
        <v>842</v>
      </c>
      <c r="AD476" s="250">
        <v>220</v>
      </c>
      <c r="AE476" s="250"/>
      <c r="AF476" s="250"/>
      <c r="AG476" s="241"/>
    </row>
    <row r="477" spans="1:33" ht="15.75">
      <c r="A477" s="250" t="s">
        <v>867</v>
      </c>
      <c r="B477" s="250">
        <v>20</v>
      </c>
      <c r="C477" s="250"/>
      <c r="D477" s="250" t="s">
        <v>906</v>
      </c>
      <c r="E477" s="250">
        <v>1.5</v>
      </c>
      <c r="F477" s="251">
        <v>45113.696527777778</v>
      </c>
      <c r="G477" s="250">
        <v>1</v>
      </c>
      <c r="H477" s="250">
        <v>51.3675</v>
      </c>
      <c r="I477" s="250">
        <v>6.60731</v>
      </c>
      <c r="J477" s="250">
        <v>-6.5066519999999999</v>
      </c>
      <c r="K477" s="250">
        <v>-5.685676</v>
      </c>
      <c r="L477" s="250">
        <v>1030.71</v>
      </c>
      <c r="M477" s="250">
        <v>121.000147</v>
      </c>
      <c r="N477" s="250">
        <v>18255.485400000001</v>
      </c>
      <c r="O477" s="250">
        <v>0</v>
      </c>
      <c r="P477" s="250">
        <v>0</v>
      </c>
      <c r="Q477" s="250" t="s">
        <v>18</v>
      </c>
      <c r="R477" s="250" t="s">
        <v>916</v>
      </c>
      <c r="S477" s="250" t="s">
        <v>28</v>
      </c>
      <c r="T477" s="250">
        <v>15</v>
      </c>
      <c r="U477" s="250">
        <v>5</v>
      </c>
      <c r="V477" s="250">
        <v>0.7</v>
      </c>
      <c r="W477" s="250">
        <v>0.7</v>
      </c>
      <c r="X477" s="250">
        <v>0.7</v>
      </c>
      <c r="Y477" s="250">
        <v>1700</v>
      </c>
      <c r="Z477" s="250" t="s">
        <v>840</v>
      </c>
      <c r="AA477" s="250">
        <v>0.85</v>
      </c>
      <c r="AB477" s="250" t="s">
        <v>841</v>
      </c>
      <c r="AC477" s="250" t="s">
        <v>842</v>
      </c>
      <c r="AD477" s="250">
        <v>220</v>
      </c>
      <c r="AE477" s="250"/>
      <c r="AF477" s="250"/>
      <c r="AG477" s="241"/>
    </row>
    <row r="478" spans="1:33" ht="15.75">
      <c r="A478" s="250" t="s">
        <v>995</v>
      </c>
      <c r="B478" s="250">
        <v>20</v>
      </c>
      <c r="C478" s="250"/>
      <c r="D478" s="250" t="s">
        <v>906</v>
      </c>
      <c r="E478" s="250">
        <v>1.5</v>
      </c>
      <c r="F478" s="251">
        <v>45113.7</v>
      </c>
      <c r="G478" s="250">
        <v>1</v>
      </c>
      <c r="H478" s="250">
        <v>51.374099999999999</v>
      </c>
      <c r="I478" s="250">
        <v>6.6263100000000001</v>
      </c>
      <c r="J478" s="250">
        <v>-6.4813720000000004</v>
      </c>
      <c r="K478" s="250">
        <v>-5.6412339999999999</v>
      </c>
      <c r="L478" s="250">
        <v>361.75900000000001</v>
      </c>
      <c r="M478" s="250">
        <v>81.501670000000004</v>
      </c>
      <c r="N478" s="250">
        <v>3419.2542800000001</v>
      </c>
      <c r="O478" s="250">
        <v>0</v>
      </c>
      <c r="P478" s="250">
        <v>0</v>
      </c>
      <c r="Q478" s="250" t="s">
        <v>18</v>
      </c>
      <c r="R478" s="250" t="s">
        <v>916</v>
      </c>
      <c r="S478" s="250" t="s">
        <v>28</v>
      </c>
      <c r="T478" s="250">
        <v>15</v>
      </c>
      <c r="U478" s="250">
        <v>5</v>
      </c>
      <c r="V478" s="250">
        <v>0.7</v>
      </c>
      <c r="W478" s="250">
        <v>0.7</v>
      </c>
      <c r="X478" s="250">
        <v>0.7</v>
      </c>
      <c r="Y478" s="250">
        <v>1700</v>
      </c>
      <c r="Z478" s="250" t="s">
        <v>840</v>
      </c>
      <c r="AA478" s="250">
        <v>0.85</v>
      </c>
      <c r="AB478" s="250" t="s">
        <v>841</v>
      </c>
      <c r="AC478" s="250" t="s">
        <v>842</v>
      </c>
      <c r="AD478" s="250">
        <v>220</v>
      </c>
      <c r="AE478" s="250"/>
      <c r="AF478" s="250"/>
      <c r="AG478" s="241"/>
    </row>
    <row r="479" spans="1:33" ht="15.75">
      <c r="A479" s="250" t="s">
        <v>996</v>
      </c>
      <c r="B479" s="250">
        <v>20</v>
      </c>
      <c r="C479" s="250"/>
      <c r="D479" s="250" t="s">
        <v>906</v>
      </c>
      <c r="E479" s="250">
        <v>1.5</v>
      </c>
      <c r="F479" s="251">
        <v>45113.702777777777</v>
      </c>
      <c r="G479" s="250">
        <v>1</v>
      </c>
      <c r="H479" s="250">
        <v>51.3675</v>
      </c>
      <c r="I479" s="250">
        <v>6.6486200000000002</v>
      </c>
      <c r="J479" s="250">
        <v>-6.4924039999999996</v>
      </c>
      <c r="K479" s="250">
        <v>-5.7279249999999999</v>
      </c>
      <c r="L479" s="250">
        <v>14.249599999999999</v>
      </c>
      <c r="M479" s="250">
        <v>57.501291999999999</v>
      </c>
      <c r="N479" s="250">
        <v>464.58098699999999</v>
      </c>
      <c r="O479" s="250">
        <v>0</v>
      </c>
      <c r="P479" s="250">
        <v>0</v>
      </c>
      <c r="Q479" s="250" t="s">
        <v>18</v>
      </c>
      <c r="R479" s="250" t="s">
        <v>916</v>
      </c>
      <c r="S479" s="250" t="s">
        <v>28</v>
      </c>
      <c r="T479" s="250">
        <v>15</v>
      </c>
      <c r="U479" s="250">
        <v>5</v>
      </c>
      <c r="V479" s="250">
        <v>0.7</v>
      </c>
      <c r="W479" s="250">
        <v>0.7</v>
      </c>
      <c r="X479" s="250">
        <v>0.7</v>
      </c>
      <c r="Y479" s="250">
        <v>1700</v>
      </c>
      <c r="Z479" s="250" t="s">
        <v>840</v>
      </c>
      <c r="AA479" s="250">
        <v>0.85</v>
      </c>
      <c r="AB479" s="250" t="s">
        <v>841</v>
      </c>
      <c r="AC479" s="250" t="s">
        <v>842</v>
      </c>
      <c r="AD479" s="250">
        <v>220</v>
      </c>
      <c r="AE479" s="250"/>
      <c r="AF479" s="250"/>
      <c r="AG479" s="241"/>
    </row>
    <row r="480" spans="1:33" ht="15.75">
      <c r="A480" s="250" t="s">
        <v>997</v>
      </c>
      <c r="B480" s="250">
        <v>20</v>
      </c>
      <c r="C480" s="250"/>
      <c r="D480" s="250" t="s">
        <v>906</v>
      </c>
      <c r="E480" s="250">
        <v>1.5</v>
      </c>
      <c r="F480" s="251">
        <v>45113.705555555556</v>
      </c>
      <c r="G480" s="250">
        <v>1</v>
      </c>
      <c r="H480" s="250">
        <v>51.374099999999999</v>
      </c>
      <c r="I480" s="250">
        <v>6.6197299999999997</v>
      </c>
      <c r="J480" s="250">
        <v>-6.5679999999999996</v>
      </c>
      <c r="K480" s="250">
        <v>-5.7586930000000001</v>
      </c>
      <c r="L480" s="250">
        <v>16.414999999999999</v>
      </c>
      <c r="M480" s="250">
        <v>58.500785</v>
      </c>
      <c r="N480" s="250">
        <v>480.70567599999998</v>
      </c>
      <c r="O480" s="250">
        <v>0</v>
      </c>
      <c r="P480" s="250">
        <v>0</v>
      </c>
      <c r="Q480" s="250" t="s">
        <v>18</v>
      </c>
      <c r="R480" s="250" t="s">
        <v>916</v>
      </c>
      <c r="S480" s="250" t="s">
        <v>28</v>
      </c>
      <c r="T480" s="250">
        <v>15</v>
      </c>
      <c r="U480" s="250">
        <v>5</v>
      </c>
      <c r="V480" s="250">
        <v>0.7</v>
      </c>
      <c r="W480" s="250">
        <v>0.7</v>
      </c>
      <c r="X480" s="250">
        <v>0.7</v>
      </c>
      <c r="Y480" s="250">
        <v>1700</v>
      </c>
      <c r="Z480" s="250" t="s">
        <v>840</v>
      </c>
      <c r="AA480" s="250">
        <v>0.85</v>
      </c>
      <c r="AB480" s="250" t="s">
        <v>841</v>
      </c>
      <c r="AC480" s="250" t="s">
        <v>842</v>
      </c>
      <c r="AD480" s="250">
        <v>220</v>
      </c>
      <c r="AE480" s="250"/>
      <c r="AF480" s="250"/>
      <c r="AG480" s="241"/>
    </row>
    <row r="481" spans="1:33" ht="15.75">
      <c r="A481" s="250" t="s">
        <v>998</v>
      </c>
      <c r="B481" s="250">
        <v>20</v>
      </c>
      <c r="C481" s="250"/>
      <c r="D481" s="250" t="s">
        <v>906</v>
      </c>
      <c r="E481" s="250">
        <v>1.5</v>
      </c>
      <c r="F481" s="251">
        <v>45113.708333333336</v>
      </c>
      <c r="G481" s="250">
        <v>1</v>
      </c>
      <c r="H481" s="250">
        <v>51.370800000000003</v>
      </c>
      <c r="I481" s="250">
        <v>6.6791299999999998</v>
      </c>
      <c r="J481" s="250">
        <v>-6.5227709999999997</v>
      </c>
      <c r="K481" s="250">
        <v>-5.7413239999999996</v>
      </c>
      <c r="L481" s="250">
        <v>16.046399999999998</v>
      </c>
      <c r="M481" s="250">
        <v>58.000942999999999</v>
      </c>
      <c r="N481" s="250">
        <v>466.11213400000003</v>
      </c>
      <c r="O481" s="250">
        <v>0</v>
      </c>
      <c r="P481" s="250">
        <v>0</v>
      </c>
      <c r="Q481" s="250" t="s">
        <v>18</v>
      </c>
      <c r="R481" s="250" t="s">
        <v>916</v>
      </c>
      <c r="S481" s="250" t="s">
        <v>28</v>
      </c>
      <c r="T481" s="250">
        <v>15</v>
      </c>
      <c r="U481" s="250">
        <v>5</v>
      </c>
      <c r="V481" s="250">
        <v>0.7</v>
      </c>
      <c r="W481" s="250">
        <v>0.7</v>
      </c>
      <c r="X481" s="250">
        <v>0.7</v>
      </c>
      <c r="Y481" s="250">
        <v>1700</v>
      </c>
      <c r="Z481" s="250" t="s">
        <v>840</v>
      </c>
      <c r="AA481" s="250">
        <v>0.85</v>
      </c>
      <c r="AB481" s="250" t="s">
        <v>841</v>
      </c>
      <c r="AC481" s="250" t="s">
        <v>842</v>
      </c>
      <c r="AD481" s="250">
        <v>220</v>
      </c>
      <c r="AE481" s="250"/>
      <c r="AF481" s="250"/>
      <c r="AG481" s="241"/>
    </row>
    <row r="482" spans="1:33" ht="15.75">
      <c r="A482" s="250" t="s">
        <v>1082</v>
      </c>
      <c r="B482" s="250">
        <v>20</v>
      </c>
      <c r="C482" s="250"/>
      <c r="D482" s="250" t="s">
        <v>906</v>
      </c>
      <c r="E482" s="250">
        <v>1.5</v>
      </c>
      <c r="F482" s="251">
        <v>45113.711805555555</v>
      </c>
      <c r="G482" s="250">
        <v>2</v>
      </c>
      <c r="H482" s="250">
        <v>51.3675</v>
      </c>
      <c r="I482" s="250">
        <v>6.6555900000000001</v>
      </c>
      <c r="J482" s="250">
        <v>-6.5078860000000001</v>
      </c>
      <c r="K482" s="250">
        <v>-5.6986910000000002</v>
      </c>
      <c r="L482" s="250">
        <v>12.775399999999999</v>
      </c>
      <c r="M482" s="250">
        <v>57.499898000000002</v>
      </c>
      <c r="N482" s="250">
        <v>407.41358600000001</v>
      </c>
      <c r="O482" s="250">
        <v>0</v>
      </c>
      <c r="P482" s="250">
        <v>0</v>
      </c>
      <c r="Q482" s="250" t="s">
        <v>18</v>
      </c>
      <c r="R482" s="250" t="s">
        <v>1083</v>
      </c>
      <c r="S482" s="250" t="s">
        <v>28</v>
      </c>
      <c r="T482" s="250">
        <v>15</v>
      </c>
      <c r="U482" s="250">
        <v>5</v>
      </c>
      <c r="V482" s="250">
        <v>0.7</v>
      </c>
      <c r="W482" s="250">
        <v>0.7</v>
      </c>
      <c r="X482" s="250">
        <v>0.7</v>
      </c>
      <c r="Y482" s="250">
        <v>1700</v>
      </c>
      <c r="Z482" s="250" t="s">
        <v>840</v>
      </c>
      <c r="AA482" s="250">
        <v>0.85</v>
      </c>
      <c r="AB482" s="250" t="s">
        <v>841</v>
      </c>
      <c r="AC482" s="250" t="s">
        <v>842</v>
      </c>
      <c r="AD482" s="250">
        <v>220</v>
      </c>
      <c r="AE482" s="250"/>
      <c r="AF482" s="250"/>
      <c r="AG482" s="241"/>
    </row>
    <row r="483" spans="1:33" ht="15.75">
      <c r="A483" s="250" t="s">
        <v>1084</v>
      </c>
      <c r="B483" s="250">
        <v>20</v>
      </c>
      <c r="C483" s="250"/>
      <c r="D483" s="250" t="s">
        <v>906</v>
      </c>
      <c r="E483" s="250">
        <v>1.5</v>
      </c>
      <c r="F483" s="251">
        <v>45113.714583333334</v>
      </c>
      <c r="G483" s="250">
        <v>2</v>
      </c>
      <c r="H483" s="250">
        <v>0</v>
      </c>
      <c r="I483" s="250">
        <v>0</v>
      </c>
      <c r="J483" s="250">
        <v>0</v>
      </c>
      <c r="K483" s="250">
        <v>0</v>
      </c>
      <c r="L483" s="250">
        <v>0</v>
      </c>
      <c r="M483" s="250">
        <v>0</v>
      </c>
      <c r="N483" s="250">
        <v>0</v>
      </c>
      <c r="O483" s="250">
        <v>0</v>
      </c>
      <c r="P483" s="250">
        <v>0</v>
      </c>
      <c r="Q483" s="250" t="s">
        <v>18</v>
      </c>
      <c r="R483" s="250" t="s">
        <v>852</v>
      </c>
      <c r="S483" s="250" t="s">
        <v>28</v>
      </c>
      <c r="T483" s="250">
        <v>15</v>
      </c>
      <c r="U483" s="250">
        <v>5</v>
      </c>
      <c r="V483" s="250">
        <v>0.7</v>
      </c>
      <c r="W483" s="250">
        <v>0.7</v>
      </c>
      <c r="X483" s="250">
        <v>0.7</v>
      </c>
      <c r="Y483" s="250">
        <v>1700</v>
      </c>
      <c r="Z483" s="250"/>
      <c r="AA483" s="250"/>
      <c r="AB483" s="250" t="s">
        <v>841</v>
      </c>
      <c r="AC483" s="250" t="s">
        <v>842</v>
      </c>
      <c r="AD483" s="250">
        <v>220</v>
      </c>
      <c r="AE483" s="250"/>
      <c r="AF483" s="250"/>
      <c r="AG483" s="241"/>
    </row>
    <row r="484" spans="1:33" ht="15.75">
      <c r="A484" s="250" t="s">
        <v>835</v>
      </c>
      <c r="B484" s="250" t="s">
        <v>836</v>
      </c>
      <c r="C484" s="250" t="s">
        <v>837</v>
      </c>
      <c r="D484" s="250" t="s">
        <v>838</v>
      </c>
      <c r="E484" s="250">
        <v>1</v>
      </c>
      <c r="F484" s="251">
        <v>45114.341354166667</v>
      </c>
      <c r="G484" s="250">
        <v>1</v>
      </c>
      <c r="H484" s="250">
        <v>51.3675</v>
      </c>
      <c r="I484" s="250">
        <v>10.2615</v>
      </c>
      <c r="J484" s="250">
        <v>-5.5712349999999997</v>
      </c>
      <c r="K484" s="250">
        <v>-4.7373440000000002</v>
      </c>
      <c r="L484" s="250">
        <v>747.23800000000006</v>
      </c>
      <c r="M484" s="250">
        <v>88.000145000000003</v>
      </c>
      <c r="N484" s="250">
        <v>9665.0918199999996</v>
      </c>
      <c r="O484" s="250">
        <v>9665.0918199999996</v>
      </c>
      <c r="P484" s="250">
        <v>1603.7020199999999</v>
      </c>
      <c r="Q484" s="250" t="s">
        <v>18</v>
      </c>
      <c r="R484" s="250" t="s">
        <v>839</v>
      </c>
      <c r="S484" s="250" t="s">
        <v>28</v>
      </c>
      <c r="T484" s="250">
        <v>15</v>
      </c>
      <c r="U484" s="250">
        <v>5</v>
      </c>
      <c r="V484" s="250">
        <v>0.7</v>
      </c>
      <c r="W484" s="250">
        <v>0.7</v>
      </c>
      <c r="X484" s="250">
        <v>0.7</v>
      </c>
      <c r="Y484" s="250">
        <v>1700</v>
      </c>
      <c r="Z484" s="250" t="s">
        <v>840</v>
      </c>
      <c r="AA484" s="250">
        <v>0.85</v>
      </c>
      <c r="AB484" s="250" t="s">
        <v>841</v>
      </c>
      <c r="AC484" s="250" t="s">
        <v>842</v>
      </c>
      <c r="AD484" s="250">
        <v>220</v>
      </c>
      <c r="AE484" s="250"/>
      <c r="AF484" s="250"/>
      <c r="AG484" s="241"/>
    </row>
    <row r="485" spans="1:33" ht="15.75">
      <c r="A485" s="250" t="s">
        <v>843</v>
      </c>
      <c r="B485" s="250" t="s">
        <v>836</v>
      </c>
      <c r="C485" s="250" t="s">
        <v>837</v>
      </c>
      <c r="D485" s="250" t="s">
        <v>838</v>
      </c>
      <c r="E485" s="250">
        <v>1</v>
      </c>
      <c r="F485" s="250"/>
      <c r="G485" s="250">
        <v>1</v>
      </c>
      <c r="H485" s="250">
        <v>0</v>
      </c>
      <c r="I485" s="250">
        <v>0</v>
      </c>
      <c r="J485" s="250">
        <v>0</v>
      </c>
      <c r="K485" s="250">
        <v>0</v>
      </c>
      <c r="L485" s="250">
        <v>0</v>
      </c>
      <c r="M485" s="250">
        <v>0</v>
      </c>
      <c r="N485" s="250">
        <v>0</v>
      </c>
      <c r="O485" s="250">
        <v>0</v>
      </c>
      <c r="P485" s="250">
        <v>0</v>
      </c>
      <c r="Q485" s="250" t="s">
        <v>18</v>
      </c>
      <c r="R485" s="250" t="s">
        <v>852</v>
      </c>
      <c r="S485" s="250" t="s">
        <v>28</v>
      </c>
      <c r="T485" s="250">
        <v>15</v>
      </c>
      <c r="U485" s="250">
        <v>5</v>
      </c>
      <c r="V485" s="250">
        <v>0.7</v>
      </c>
      <c r="W485" s="250">
        <v>0.7</v>
      </c>
      <c r="X485" s="250">
        <v>0.7</v>
      </c>
      <c r="Y485" s="250">
        <v>1700</v>
      </c>
      <c r="Z485" s="250"/>
      <c r="AA485" s="250"/>
      <c r="AB485" s="250" t="s">
        <v>841</v>
      </c>
      <c r="AC485" s="250" t="s">
        <v>842</v>
      </c>
      <c r="AD485" s="250">
        <v>220</v>
      </c>
      <c r="AE485" s="250"/>
      <c r="AF485" s="250"/>
      <c r="AG485" s="241"/>
    </row>
    <row r="486" spans="1:33" ht="15.75">
      <c r="A486" s="250" t="s">
        <v>1085</v>
      </c>
      <c r="B486" s="250" t="s">
        <v>836</v>
      </c>
      <c r="C486" s="250" t="s">
        <v>837</v>
      </c>
      <c r="D486" s="250" t="s">
        <v>838</v>
      </c>
      <c r="E486" s="250">
        <v>1</v>
      </c>
      <c r="F486" s="251">
        <v>45114.351550925923</v>
      </c>
      <c r="G486" s="250">
        <v>1</v>
      </c>
      <c r="H486" s="250">
        <v>51.370800000000003</v>
      </c>
      <c r="I486" s="250">
        <v>6.8666400000000003</v>
      </c>
      <c r="J486" s="250">
        <v>-5.8599259999999997</v>
      </c>
      <c r="K486" s="250">
        <v>-5.026993</v>
      </c>
      <c r="L486" s="250">
        <v>889.88699999999994</v>
      </c>
      <c r="M486" s="250">
        <v>110.00000199999999</v>
      </c>
      <c r="N486" s="250">
        <v>11980.604499999999</v>
      </c>
      <c r="O486" s="250">
        <v>11980.604499999999</v>
      </c>
      <c r="P486" s="250">
        <v>1984.4727700000001</v>
      </c>
      <c r="Q486" s="250" t="s">
        <v>18</v>
      </c>
      <c r="R486" s="250" t="s">
        <v>839</v>
      </c>
      <c r="S486" s="250" t="s">
        <v>21</v>
      </c>
      <c r="T486" s="250">
        <v>15</v>
      </c>
      <c r="U486" s="250">
        <v>5</v>
      </c>
      <c r="V486" s="250">
        <v>0.7</v>
      </c>
      <c r="W486" s="250">
        <v>0.7</v>
      </c>
      <c r="X486" s="250">
        <v>0.7</v>
      </c>
      <c r="Y486" s="250">
        <v>1700</v>
      </c>
      <c r="Z486" s="250" t="s">
        <v>840</v>
      </c>
      <c r="AA486" s="250">
        <v>0.85</v>
      </c>
      <c r="AB486" s="250" t="s">
        <v>841</v>
      </c>
      <c r="AC486" s="250" t="s">
        <v>842</v>
      </c>
      <c r="AD486" s="250">
        <v>220</v>
      </c>
      <c r="AE486" s="250"/>
      <c r="AF486" s="250"/>
      <c r="AG486" s="241"/>
    </row>
    <row r="487" spans="1:33" ht="15.75">
      <c r="A487" s="250" t="s">
        <v>844</v>
      </c>
      <c r="B487" s="250" t="s">
        <v>836</v>
      </c>
      <c r="C487" s="250" t="s">
        <v>837</v>
      </c>
      <c r="D487" s="250" t="s">
        <v>838</v>
      </c>
      <c r="E487" s="250">
        <v>1</v>
      </c>
      <c r="F487" s="251">
        <v>45114.354687500003</v>
      </c>
      <c r="G487" s="250">
        <v>1</v>
      </c>
      <c r="H487" s="250">
        <v>51.370800000000003</v>
      </c>
      <c r="I487" s="250">
        <v>6.7881299999999998</v>
      </c>
      <c r="J487" s="250">
        <v>-6.1053930000000003</v>
      </c>
      <c r="K487" s="250">
        <v>-5.262543</v>
      </c>
      <c r="L487" s="250">
        <v>915.66</v>
      </c>
      <c r="M487" s="250">
        <v>100.50003100000001</v>
      </c>
      <c r="N487" s="250">
        <v>11848.4444</v>
      </c>
      <c r="O487" s="250">
        <v>11848.4444</v>
      </c>
      <c r="P487" s="250">
        <v>1962.73992</v>
      </c>
      <c r="Q487" s="250" t="s">
        <v>18</v>
      </c>
      <c r="R487" s="250" t="s">
        <v>839</v>
      </c>
      <c r="S487" s="250" t="s">
        <v>21</v>
      </c>
      <c r="T487" s="250">
        <v>15</v>
      </c>
      <c r="U487" s="250">
        <v>5</v>
      </c>
      <c r="V487" s="250">
        <v>0.7</v>
      </c>
      <c r="W487" s="250">
        <v>0.7</v>
      </c>
      <c r="X487" s="250">
        <v>0.7</v>
      </c>
      <c r="Y487" s="250">
        <v>1700</v>
      </c>
      <c r="Z487" s="250" t="s">
        <v>840</v>
      </c>
      <c r="AA487" s="250">
        <v>0.85</v>
      </c>
      <c r="AB487" s="250" t="s">
        <v>841</v>
      </c>
      <c r="AC487" s="250" t="s">
        <v>842</v>
      </c>
      <c r="AD487" s="250">
        <v>220</v>
      </c>
      <c r="AE487" s="250"/>
      <c r="AF487" s="250"/>
      <c r="AG487" s="241"/>
    </row>
    <row r="488" spans="1:33" ht="15.75">
      <c r="A488" s="250" t="s">
        <v>845</v>
      </c>
      <c r="B488" s="250" t="s">
        <v>836</v>
      </c>
      <c r="C488" s="250" t="s">
        <v>837</v>
      </c>
      <c r="D488" s="250" t="s">
        <v>838</v>
      </c>
      <c r="E488" s="250">
        <v>1</v>
      </c>
      <c r="F488" s="251">
        <v>45114.357719907406</v>
      </c>
      <c r="G488" s="250">
        <v>1</v>
      </c>
      <c r="H488" s="250">
        <v>51.374099999999999</v>
      </c>
      <c r="I488" s="250">
        <v>6.8307900000000004</v>
      </c>
      <c r="J488" s="250">
        <v>-6.0751359999999996</v>
      </c>
      <c r="K488" s="250">
        <v>-5.2400390000000003</v>
      </c>
      <c r="L488" s="250">
        <v>917.79700000000003</v>
      </c>
      <c r="M488" s="250">
        <v>95.500693999999996</v>
      </c>
      <c r="N488" s="250">
        <v>11847.8776</v>
      </c>
      <c r="O488" s="250">
        <v>11847.8776</v>
      </c>
      <c r="P488" s="250">
        <v>1962.64672</v>
      </c>
      <c r="Q488" s="250" t="s">
        <v>18</v>
      </c>
      <c r="R488" s="250" t="s">
        <v>839</v>
      </c>
      <c r="S488" s="250" t="s">
        <v>21</v>
      </c>
      <c r="T488" s="250">
        <v>15</v>
      </c>
      <c r="U488" s="250">
        <v>5</v>
      </c>
      <c r="V488" s="250">
        <v>0.7</v>
      </c>
      <c r="W488" s="250">
        <v>0.7</v>
      </c>
      <c r="X488" s="250">
        <v>0.7</v>
      </c>
      <c r="Y488" s="250">
        <v>1700</v>
      </c>
      <c r="Z488" s="250" t="s">
        <v>840</v>
      </c>
      <c r="AA488" s="250">
        <v>0.85</v>
      </c>
      <c r="AB488" s="250" t="s">
        <v>841</v>
      </c>
      <c r="AC488" s="250" t="s">
        <v>842</v>
      </c>
      <c r="AD488" s="250">
        <v>220</v>
      </c>
      <c r="AE488" s="250"/>
      <c r="AF488" s="250"/>
      <c r="AG488" s="241"/>
    </row>
    <row r="489" spans="1:33" ht="15.75">
      <c r="A489" s="250" t="s">
        <v>846</v>
      </c>
      <c r="B489" s="250" t="s">
        <v>836</v>
      </c>
      <c r="C489" s="250" t="s">
        <v>837</v>
      </c>
      <c r="D489" s="250" t="s">
        <v>838</v>
      </c>
      <c r="E489" s="250">
        <v>1</v>
      </c>
      <c r="F489" s="251">
        <v>45114.360729166663</v>
      </c>
      <c r="G489" s="250">
        <v>1</v>
      </c>
      <c r="H489" s="250">
        <v>51.370800000000003</v>
      </c>
      <c r="I489" s="250">
        <v>6.7879300000000002</v>
      </c>
      <c r="J489" s="250">
        <v>-6.0985209999999999</v>
      </c>
      <c r="K489" s="250">
        <v>-5.2499549999999999</v>
      </c>
      <c r="L489" s="250">
        <v>927.69200000000001</v>
      </c>
      <c r="M489" s="250">
        <v>103.50113899999999</v>
      </c>
      <c r="N489" s="250">
        <v>11807.277899999999</v>
      </c>
      <c r="O489" s="250">
        <v>11807.277899999999</v>
      </c>
      <c r="P489" s="250">
        <v>1955.9703500000001</v>
      </c>
      <c r="Q489" s="250" t="s">
        <v>18</v>
      </c>
      <c r="R489" s="250" t="s">
        <v>839</v>
      </c>
      <c r="S489" s="250" t="s">
        <v>21</v>
      </c>
      <c r="T489" s="250">
        <v>15</v>
      </c>
      <c r="U489" s="250">
        <v>5</v>
      </c>
      <c r="V489" s="250">
        <v>0.7</v>
      </c>
      <c r="W489" s="250">
        <v>0.7</v>
      </c>
      <c r="X489" s="250">
        <v>0.7</v>
      </c>
      <c r="Y489" s="250">
        <v>1700</v>
      </c>
      <c r="Z489" s="250" t="s">
        <v>840</v>
      </c>
      <c r="AA489" s="250">
        <v>0.85</v>
      </c>
      <c r="AB489" s="250" t="s">
        <v>841</v>
      </c>
      <c r="AC489" s="250" t="s">
        <v>842</v>
      </c>
      <c r="AD489" s="250">
        <v>220</v>
      </c>
      <c r="AE489" s="250"/>
      <c r="AF489" s="250"/>
      <c r="AG489" s="241"/>
    </row>
    <row r="490" spans="1:33" ht="15.75">
      <c r="A490" s="250" t="s">
        <v>847</v>
      </c>
      <c r="B490" s="250" t="s">
        <v>836</v>
      </c>
      <c r="C490" s="250" t="s">
        <v>837</v>
      </c>
      <c r="D490" s="250" t="s">
        <v>838</v>
      </c>
      <c r="E490" s="250">
        <v>1</v>
      </c>
      <c r="F490" s="251">
        <v>45114.364918981482</v>
      </c>
      <c r="G490" s="250">
        <v>1</v>
      </c>
      <c r="H490" s="250">
        <v>51.374099999999999</v>
      </c>
      <c r="I490" s="250">
        <v>6.7862400000000003</v>
      </c>
      <c r="J490" s="250">
        <v>-6.2304820000000003</v>
      </c>
      <c r="K490" s="250">
        <v>-5.403149</v>
      </c>
      <c r="L490" s="250">
        <v>921.62699999999995</v>
      </c>
      <c r="M490" s="250">
        <v>94.500534999999999</v>
      </c>
      <c r="N490" s="250">
        <v>11789.8192</v>
      </c>
      <c r="O490" s="250">
        <v>11789.8192</v>
      </c>
      <c r="P490" s="250">
        <v>1953.0994000000001</v>
      </c>
      <c r="Q490" s="250" t="s">
        <v>18</v>
      </c>
      <c r="R490" s="250" t="s">
        <v>839</v>
      </c>
      <c r="S490" s="250" t="s">
        <v>21</v>
      </c>
      <c r="T490" s="250">
        <v>15</v>
      </c>
      <c r="U490" s="250">
        <v>5</v>
      </c>
      <c r="V490" s="250">
        <v>0.7</v>
      </c>
      <c r="W490" s="250">
        <v>0.7</v>
      </c>
      <c r="X490" s="250">
        <v>0.7</v>
      </c>
      <c r="Y490" s="250">
        <v>1700</v>
      </c>
      <c r="Z490" s="250" t="s">
        <v>840</v>
      </c>
      <c r="AA490" s="250">
        <v>0.85</v>
      </c>
      <c r="AB490" s="250" t="s">
        <v>841</v>
      </c>
      <c r="AC490" s="250" t="s">
        <v>842</v>
      </c>
      <c r="AD490" s="250">
        <v>220</v>
      </c>
      <c r="AE490" s="250"/>
      <c r="AF490" s="250"/>
      <c r="AG490" s="241"/>
    </row>
    <row r="491" spans="1:33" ht="15.75">
      <c r="A491" s="250" t="s">
        <v>848</v>
      </c>
      <c r="B491" s="250" t="s">
        <v>836</v>
      </c>
      <c r="C491" s="250" t="s">
        <v>837</v>
      </c>
      <c r="D491" s="250" t="s">
        <v>838</v>
      </c>
      <c r="E491" s="250">
        <v>1</v>
      </c>
      <c r="F491" s="251">
        <v>45114.36787037037</v>
      </c>
      <c r="G491" s="250">
        <v>1</v>
      </c>
      <c r="H491" s="250">
        <v>51.3675</v>
      </c>
      <c r="I491" s="250">
        <v>6.8239599999999996</v>
      </c>
      <c r="J491" s="250">
        <v>-6.2002649999999999</v>
      </c>
      <c r="K491" s="250">
        <v>-5.3557550000000003</v>
      </c>
      <c r="L491" s="250">
        <v>915.98800000000006</v>
      </c>
      <c r="M491" s="250">
        <v>100.99973</v>
      </c>
      <c r="N491" s="250">
        <v>11806.168</v>
      </c>
      <c r="O491" s="250">
        <v>11806.168</v>
      </c>
      <c r="P491" s="250">
        <v>1955.7878499999999</v>
      </c>
      <c r="Q491" s="250" t="s">
        <v>18</v>
      </c>
      <c r="R491" s="250" t="s">
        <v>839</v>
      </c>
      <c r="S491" s="250" t="s">
        <v>21</v>
      </c>
      <c r="T491" s="250">
        <v>15</v>
      </c>
      <c r="U491" s="250">
        <v>5</v>
      </c>
      <c r="V491" s="250">
        <v>0.7</v>
      </c>
      <c r="W491" s="250">
        <v>0.7</v>
      </c>
      <c r="X491" s="250">
        <v>0.7</v>
      </c>
      <c r="Y491" s="250">
        <v>1700</v>
      </c>
      <c r="Z491" s="250" t="s">
        <v>840</v>
      </c>
      <c r="AA491" s="250">
        <v>0.85</v>
      </c>
      <c r="AB491" s="250" t="s">
        <v>841</v>
      </c>
      <c r="AC491" s="250" t="s">
        <v>842</v>
      </c>
      <c r="AD491" s="250">
        <v>220</v>
      </c>
      <c r="AE491" s="250"/>
      <c r="AF491" s="250"/>
      <c r="AG491" s="241"/>
    </row>
    <row r="492" spans="1:33" ht="15.75">
      <c r="A492" s="250" t="s">
        <v>849</v>
      </c>
      <c r="B492" s="250" t="s">
        <v>836</v>
      </c>
      <c r="C492" s="250" t="s">
        <v>837</v>
      </c>
      <c r="D492" s="250" t="s">
        <v>838</v>
      </c>
      <c r="E492" s="250">
        <v>1</v>
      </c>
      <c r="F492" s="251">
        <v>45114.371099537035</v>
      </c>
      <c r="G492" s="250">
        <v>1</v>
      </c>
      <c r="H492" s="250">
        <v>51.370800000000003</v>
      </c>
      <c r="I492" s="250">
        <v>6.9050900000000004</v>
      </c>
      <c r="J492" s="250">
        <v>-6.153931</v>
      </c>
      <c r="K492" s="250">
        <v>-5.3282439999999998</v>
      </c>
      <c r="L492" s="250">
        <v>919.46900000000005</v>
      </c>
      <c r="M492" s="250">
        <v>99.500133000000005</v>
      </c>
      <c r="N492" s="250">
        <v>11767.686400000001</v>
      </c>
      <c r="O492" s="250">
        <v>11767.686400000001</v>
      </c>
      <c r="P492" s="250">
        <v>1949.4598000000001</v>
      </c>
      <c r="Q492" s="250" t="s">
        <v>18</v>
      </c>
      <c r="R492" s="250" t="s">
        <v>839</v>
      </c>
      <c r="S492" s="250" t="s">
        <v>21</v>
      </c>
      <c r="T492" s="250">
        <v>15</v>
      </c>
      <c r="U492" s="250">
        <v>5</v>
      </c>
      <c r="V492" s="250">
        <v>0.7</v>
      </c>
      <c r="W492" s="250">
        <v>0.7</v>
      </c>
      <c r="X492" s="250">
        <v>0.7</v>
      </c>
      <c r="Y492" s="250">
        <v>1700</v>
      </c>
      <c r="Z492" s="250" t="s">
        <v>840</v>
      </c>
      <c r="AA492" s="250">
        <v>0.85</v>
      </c>
      <c r="AB492" s="250" t="s">
        <v>841</v>
      </c>
      <c r="AC492" s="250" t="s">
        <v>842</v>
      </c>
      <c r="AD492" s="250">
        <v>220</v>
      </c>
      <c r="AE492" s="250"/>
      <c r="AF492" s="250"/>
      <c r="AG492" s="241"/>
    </row>
    <row r="493" spans="1:33" ht="15.75">
      <c r="A493" s="250" t="s">
        <v>1086</v>
      </c>
      <c r="B493" s="250" t="s">
        <v>881</v>
      </c>
      <c r="C493" s="250" t="s">
        <v>1087</v>
      </c>
      <c r="D493" s="250" t="s">
        <v>838</v>
      </c>
      <c r="E493" s="250">
        <v>1.2</v>
      </c>
      <c r="F493" s="251">
        <v>45114.374166666668</v>
      </c>
      <c r="G493" s="250">
        <v>1</v>
      </c>
      <c r="H493" s="250">
        <v>51.374099999999999</v>
      </c>
      <c r="I493" s="250">
        <v>6.8607699999999996</v>
      </c>
      <c r="J493" s="250">
        <v>-6.2263390000000003</v>
      </c>
      <c r="K493" s="250">
        <v>-5.3834730000000004</v>
      </c>
      <c r="L493" s="250">
        <v>1009.11</v>
      </c>
      <c r="M493" s="250">
        <v>110.001419</v>
      </c>
      <c r="N493" s="250">
        <v>14529.698399999999</v>
      </c>
      <c r="O493" s="250">
        <v>14646.953600000001</v>
      </c>
      <c r="P493" s="250">
        <v>2028.23</v>
      </c>
      <c r="Q493" s="250" t="s">
        <v>18</v>
      </c>
      <c r="R493" s="250" t="s">
        <v>647</v>
      </c>
      <c r="S493" s="250" t="s">
        <v>21</v>
      </c>
      <c r="T493" s="250">
        <v>15</v>
      </c>
      <c r="U493" s="250">
        <v>5</v>
      </c>
      <c r="V493" s="250">
        <v>0.7</v>
      </c>
      <c r="W493" s="250">
        <v>0.7</v>
      </c>
      <c r="X493" s="250">
        <v>0.7</v>
      </c>
      <c r="Y493" s="250">
        <v>1700</v>
      </c>
      <c r="Z493" s="250" t="s">
        <v>840</v>
      </c>
      <c r="AA493" s="250">
        <v>0.85</v>
      </c>
      <c r="AB493" s="250" t="s">
        <v>841</v>
      </c>
      <c r="AC493" s="250" t="s">
        <v>842</v>
      </c>
      <c r="AD493" s="250">
        <v>220</v>
      </c>
      <c r="AE493" s="250"/>
      <c r="AF493" s="250"/>
      <c r="AG493" s="241"/>
    </row>
    <row r="494" spans="1:33" ht="15.75">
      <c r="A494" s="250" t="s">
        <v>1088</v>
      </c>
      <c r="B494" s="250" t="s">
        <v>881</v>
      </c>
      <c r="C494" s="250" t="s">
        <v>1087</v>
      </c>
      <c r="D494" s="250" t="s">
        <v>838</v>
      </c>
      <c r="E494" s="250">
        <v>1.2</v>
      </c>
      <c r="F494" s="251">
        <v>45114.377534722225</v>
      </c>
      <c r="G494" s="250">
        <v>1</v>
      </c>
      <c r="H494" s="250">
        <v>51.370800000000003</v>
      </c>
      <c r="I494" s="250">
        <v>6.9561799999999998</v>
      </c>
      <c r="J494" s="250">
        <v>-6.2118960000000003</v>
      </c>
      <c r="K494" s="250">
        <v>-5.3727010000000002</v>
      </c>
      <c r="L494" s="250">
        <v>1023.07</v>
      </c>
      <c r="M494" s="250">
        <v>93.999381999999997</v>
      </c>
      <c r="N494" s="250">
        <v>14671.128000000001</v>
      </c>
      <c r="O494" s="250">
        <v>14646.953600000001</v>
      </c>
      <c r="P494" s="250">
        <v>2028.23</v>
      </c>
      <c r="Q494" s="250" t="s">
        <v>18</v>
      </c>
      <c r="R494" s="250" t="s">
        <v>647</v>
      </c>
      <c r="S494" s="250" t="s">
        <v>21</v>
      </c>
      <c r="T494" s="250">
        <v>15</v>
      </c>
      <c r="U494" s="250">
        <v>5</v>
      </c>
      <c r="V494" s="250">
        <v>0.7</v>
      </c>
      <c r="W494" s="250">
        <v>0.7</v>
      </c>
      <c r="X494" s="250">
        <v>0.7</v>
      </c>
      <c r="Y494" s="250">
        <v>1700</v>
      </c>
      <c r="Z494" s="250" t="s">
        <v>840</v>
      </c>
      <c r="AA494" s="250">
        <v>0.85</v>
      </c>
      <c r="AB494" s="250" t="s">
        <v>841</v>
      </c>
      <c r="AC494" s="250" t="s">
        <v>842</v>
      </c>
      <c r="AD494" s="250">
        <v>220</v>
      </c>
      <c r="AE494" s="250"/>
      <c r="AF494" s="250"/>
      <c r="AG494" s="241"/>
    </row>
    <row r="495" spans="1:33" ht="15.75">
      <c r="A495" s="250" t="s">
        <v>1089</v>
      </c>
      <c r="B495" s="250" t="s">
        <v>881</v>
      </c>
      <c r="C495" s="250" t="s">
        <v>1087</v>
      </c>
      <c r="D495" s="250" t="s">
        <v>838</v>
      </c>
      <c r="E495" s="250">
        <v>1.2</v>
      </c>
      <c r="F495" s="251">
        <v>45114.380729166667</v>
      </c>
      <c r="G495" s="250">
        <v>1</v>
      </c>
      <c r="H495" s="250">
        <v>51.370800000000003</v>
      </c>
      <c r="I495" s="250">
        <v>6.9581400000000002</v>
      </c>
      <c r="J495" s="250">
        <v>-6.1309209999999998</v>
      </c>
      <c r="K495" s="250">
        <v>-5.2911789999999996</v>
      </c>
      <c r="L495" s="250">
        <v>997.29300000000001</v>
      </c>
      <c r="M495" s="250">
        <v>106.500603</v>
      </c>
      <c r="N495" s="250">
        <v>14641.937900000001</v>
      </c>
      <c r="O495" s="250">
        <v>14646.953600000001</v>
      </c>
      <c r="P495" s="250">
        <v>2028.23</v>
      </c>
      <c r="Q495" s="250" t="s">
        <v>18</v>
      </c>
      <c r="R495" s="250" t="s">
        <v>839</v>
      </c>
      <c r="S495" s="250" t="s">
        <v>21</v>
      </c>
      <c r="T495" s="250">
        <v>15</v>
      </c>
      <c r="U495" s="250">
        <v>5</v>
      </c>
      <c r="V495" s="250">
        <v>0.7</v>
      </c>
      <c r="W495" s="250">
        <v>0.7</v>
      </c>
      <c r="X495" s="250">
        <v>0.7</v>
      </c>
      <c r="Y495" s="250">
        <v>1700</v>
      </c>
      <c r="Z495" s="250" t="s">
        <v>840</v>
      </c>
      <c r="AA495" s="250">
        <v>0.85</v>
      </c>
      <c r="AB495" s="250" t="s">
        <v>841</v>
      </c>
      <c r="AC495" s="250" t="s">
        <v>842</v>
      </c>
      <c r="AD495" s="250">
        <v>220</v>
      </c>
      <c r="AE495" s="250"/>
      <c r="AF495" s="250"/>
      <c r="AG495" s="241"/>
    </row>
    <row r="496" spans="1:33" ht="15.75">
      <c r="A496" s="250" t="s">
        <v>1090</v>
      </c>
      <c r="B496" s="250" t="s">
        <v>881</v>
      </c>
      <c r="C496" s="250" t="s">
        <v>1087</v>
      </c>
      <c r="D496" s="250" t="s">
        <v>838</v>
      </c>
      <c r="E496" s="250">
        <v>1.2</v>
      </c>
      <c r="F496" s="251">
        <v>45114.384062500001</v>
      </c>
      <c r="G496" s="250">
        <v>1</v>
      </c>
      <c r="H496" s="250">
        <v>51.3675</v>
      </c>
      <c r="I496" s="250">
        <v>6.8911499999999997</v>
      </c>
      <c r="J496" s="250">
        <v>-6.2332039999999997</v>
      </c>
      <c r="K496" s="250">
        <v>-5.3895549999999997</v>
      </c>
      <c r="L496" s="250">
        <v>1010.23</v>
      </c>
      <c r="M496" s="250">
        <v>107.00050899999999</v>
      </c>
      <c r="N496" s="250">
        <v>14651.1124</v>
      </c>
      <c r="O496" s="250">
        <v>14646.953600000001</v>
      </c>
      <c r="P496" s="250">
        <v>2028.23</v>
      </c>
      <c r="Q496" s="250" t="s">
        <v>18</v>
      </c>
      <c r="R496" s="250" t="s">
        <v>839</v>
      </c>
      <c r="S496" s="250" t="s">
        <v>21</v>
      </c>
      <c r="T496" s="250">
        <v>15</v>
      </c>
      <c r="U496" s="250">
        <v>5</v>
      </c>
      <c r="V496" s="250">
        <v>0.7</v>
      </c>
      <c r="W496" s="250">
        <v>0.7</v>
      </c>
      <c r="X496" s="250">
        <v>0.7</v>
      </c>
      <c r="Y496" s="250">
        <v>1700</v>
      </c>
      <c r="Z496" s="250" t="s">
        <v>840</v>
      </c>
      <c r="AA496" s="250">
        <v>0.85</v>
      </c>
      <c r="AB496" s="250" t="s">
        <v>841</v>
      </c>
      <c r="AC496" s="250" t="s">
        <v>842</v>
      </c>
      <c r="AD496" s="250">
        <v>220</v>
      </c>
      <c r="AE496" s="250"/>
      <c r="AF496" s="250"/>
      <c r="AG496" s="241"/>
    </row>
    <row r="497" spans="1:33" ht="15.75">
      <c r="A497" s="250" t="s">
        <v>1091</v>
      </c>
      <c r="B497" s="250" t="s">
        <v>881</v>
      </c>
      <c r="C497" s="250" t="s">
        <v>1087</v>
      </c>
      <c r="D497" s="250" t="s">
        <v>838</v>
      </c>
      <c r="E497" s="250">
        <v>1.2</v>
      </c>
      <c r="F497" s="251">
        <v>45114.387430555558</v>
      </c>
      <c r="G497" s="250">
        <v>1</v>
      </c>
      <c r="H497" s="250">
        <v>51.3675</v>
      </c>
      <c r="I497" s="250">
        <v>6.8232999999999997</v>
      </c>
      <c r="J497" s="250">
        <v>-6.1945810000000003</v>
      </c>
      <c r="K497" s="250">
        <v>-5.3646159999999998</v>
      </c>
      <c r="L497" s="250">
        <v>1011.32</v>
      </c>
      <c r="M497" s="250">
        <v>98.999441000000004</v>
      </c>
      <c r="N497" s="250">
        <v>14647.8104</v>
      </c>
      <c r="O497" s="250">
        <v>14646.953600000001</v>
      </c>
      <c r="P497" s="250">
        <v>2028.23</v>
      </c>
      <c r="Q497" s="250" t="s">
        <v>18</v>
      </c>
      <c r="R497" s="250" t="s">
        <v>839</v>
      </c>
      <c r="S497" s="250" t="s">
        <v>21</v>
      </c>
      <c r="T497" s="250">
        <v>15</v>
      </c>
      <c r="U497" s="250">
        <v>5</v>
      </c>
      <c r="V497" s="250">
        <v>0.7</v>
      </c>
      <c r="W497" s="250">
        <v>0.7</v>
      </c>
      <c r="X497" s="250">
        <v>0.7</v>
      </c>
      <c r="Y497" s="250">
        <v>1700</v>
      </c>
      <c r="Z497" s="250" t="s">
        <v>840</v>
      </c>
      <c r="AA497" s="250">
        <v>0.85</v>
      </c>
      <c r="AB497" s="250" t="s">
        <v>841</v>
      </c>
      <c r="AC497" s="250" t="s">
        <v>842</v>
      </c>
      <c r="AD497" s="250">
        <v>220</v>
      </c>
      <c r="AE497" s="250"/>
      <c r="AF497" s="250"/>
      <c r="AG497" s="241"/>
    </row>
    <row r="498" spans="1:33" ht="15.75">
      <c r="A498" s="250" t="s">
        <v>1092</v>
      </c>
      <c r="B498" s="250" t="s">
        <v>888</v>
      </c>
      <c r="C498" s="250" t="s">
        <v>1087</v>
      </c>
      <c r="D498" s="250" t="s">
        <v>838</v>
      </c>
      <c r="E498" s="250">
        <v>1.5</v>
      </c>
      <c r="F498" s="251">
        <v>45114.390729166669</v>
      </c>
      <c r="G498" s="250">
        <v>1</v>
      </c>
      <c r="H498" s="250">
        <v>51.370800000000003</v>
      </c>
      <c r="I498" s="250">
        <v>6.73942</v>
      </c>
      <c r="J498" s="250">
        <v>-6.3375870000000001</v>
      </c>
      <c r="K498" s="250">
        <v>-5.4944319999999998</v>
      </c>
      <c r="L498" s="250">
        <v>1035.6400000000001</v>
      </c>
      <c r="M498" s="250">
        <v>121.999244</v>
      </c>
      <c r="N498" s="250">
        <v>18348.803</v>
      </c>
      <c r="O498" s="250">
        <v>18364.6103</v>
      </c>
      <c r="P498" s="250">
        <v>2028.23</v>
      </c>
      <c r="Q498" s="250" t="s">
        <v>18</v>
      </c>
      <c r="R498" s="250" t="s">
        <v>839</v>
      </c>
      <c r="S498" s="250" t="s">
        <v>21</v>
      </c>
      <c r="T498" s="250">
        <v>15</v>
      </c>
      <c r="U498" s="250">
        <v>5</v>
      </c>
      <c r="V498" s="250">
        <v>0.7</v>
      </c>
      <c r="W498" s="250">
        <v>0.7</v>
      </c>
      <c r="X498" s="250">
        <v>0.7</v>
      </c>
      <c r="Y498" s="250">
        <v>1700</v>
      </c>
      <c r="Z498" s="250" t="s">
        <v>840</v>
      </c>
      <c r="AA498" s="250">
        <v>0.85</v>
      </c>
      <c r="AB498" s="250" t="s">
        <v>841</v>
      </c>
      <c r="AC498" s="250" t="s">
        <v>842</v>
      </c>
      <c r="AD498" s="250">
        <v>220</v>
      </c>
      <c r="AE498" s="250"/>
      <c r="AF498" s="250"/>
      <c r="AG498" s="241"/>
    </row>
    <row r="499" spans="1:33" ht="15.75">
      <c r="A499" s="250" t="s">
        <v>1093</v>
      </c>
      <c r="B499" s="250" t="s">
        <v>888</v>
      </c>
      <c r="C499" s="250" t="s">
        <v>1087</v>
      </c>
      <c r="D499" s="250" t="s">
        <v>838</v>
      </c>
      <c r="E499" s="250">
        <v>1.5</v>
      </c>
      <c r="F499" s="251">
        <v>45114.394305555557</v>
      </c>
      <c r="G499" s="250">
        <v>1</v>
      </c>
      <c r="H499" s="250">
        <v>51.3675</v>
      </c>
      <c r="I499" s="250">
        <v>6.7367400000000002</v>
      </c>
      <c r="J499" s="250">
        <v>-6.2912410000000003</v>
      </c>
      <c r="K499" s="250">
        <v>-5.4465490000000001</v>
      </c>
      <c r="L499" s="250">
        <v>1026.26</v>
      </c>
      <c r="M499" s="250">
        <v>119.000077</v>
      </c>
      <c r="N499" s="250">
        <v>18314.485000000001</v>
      </c>
      <c r="O499" s="250">
        <v>18364.6103</v>
      </c>
      <c r="P499" s="250">
        <v>2028.23</v>
      </c>
      <c r="Q499" s="250" t="s">
        <v>18</v>
      </c>
      <c r="R499" s="250" t="s">
        <v>647</v>
      </c>
      <c r="S499" s="250" t="s">
        <v>21</v>
      </c>
      <c r="T499" s="250">
        <v>15</v>
      </c>
      <c r="U499" s="250">
        <v>5</v>
      </c>
      <c r="V499" s="250">
        <v>0.7</v>
      </c>
      <c r="W499" s="250">
        <v>0.7</v>
      </c>
      <c r="X499" s="250">
        <v>0.7</v>
      </c>
      <c r="Y499" s="250">
        <v>1700</v>
      </c>
      <c r="Z499" s="250" t="s">
        <v>840</v>
      </c>
      <c r="AA499" s="250">
        <v>0.85</v>
      </c>
      <c r="AB499" s="250" t="s">
        <v>841</v>
      </c>
      <c r="AC499" s="250" t="s">
        <v>842</v>
      </c>
      <c r="AD499" s="250">
        <v>220</v>
      </c>
      <c r="AE499" s="250"/>
      <c r="AF499" s="250"/>
      <c r="AG499" s="241"/>
    </row>
    <row r="500" spans="1:33" ht="15.75">
      <c r="A500" s="250" t="s">
        <v>1094</v>
      </c>
      <c r="B500" s="250" t="s">
        <v>888</v>
      </c>
      <c r="C500" s="250" t="s">
        <v>1087</v>
      </c>
      <c r="D500" s="250" t="s">
        <v>838</v>
      </c>
      <c r="E500" s="250">
        <v>1.5</v>
      </c>
      <c r="F500" s="251">
        <v>45114.397870370369</v>
      </c>
      <c r="G500" s="250">
        <v>1</v>
      </c>
      <c r="H500" s="250">
        <v>51.3675</v>
      </c>
      <c r="I500" s="250">
        <v>6.6936200000000001</v>
      </c>
      <c r="J500" s="250">
        <v>-6.3299209999999997</v>
      </c>
      <c r="K500" s="250">
        <v>-5.500324</v>
      </c>
      <c r="L500" s="250">
        <v>1038.9100000000001</v>
      </c>
      <c r="M500" s="250">
        <v>136.49941899999999</v>
      </c>
      <c r="N500" s="250">
        <v>18370.115099999999</v>
      </c>
      <c r="O500" s="250">
        <v>18364.6103</v>
      </c>
      <c r="P500" s="250">
        <v>2028.23</v>
      </c>
      <c r="Q500" s="250" t="s">
        <v>18</v>
      </c>
      <c r="R500" s="250" t="s">
        <v>839</v>
      </c>
      <c r="S500" s="250" t="s">
        <v>21</v>
      </c>
      <c r="T500" s="250">
        <v>15</v>
      </c>
      <c r="U500" s="250">
        <v>5</v>
      </c>
      <c r="V500" s="250">
        <v>0.7</v>
      </c>
      <c r="W500" s="250">
        <v>0.7</v>
      </c>
      <c r="X500" s="250">
        <v>0.7</v>
      </c>
      <c r="Y500" s="250">
        <v>1700</v>
      </c>
      <c r="Z500" s="250" t="s">
        <v>840</v>
      </c>
      <c r="AA500" s="250">
        <v>0.85</v>
      </c>
      <c r="AB500" s="250" t="s">
        <v>841</v>
      </c>
      <c r="AC500" s="250" t="s">
        <v>842</v>
      </c>
      <c r="AD500" s="250">
        <v>220</v>
      </c>
      <c r="AE500" s="250"/>
      <c r="AF500" s="250"/>
      <c r="AG500" s="241"/>
    </row>
    <row r="501" spans="1:33" ht="15.75">
      <c r="A501" s="250" t="s">
        <v>1095</v>
      </c>
      <c r="B501" s="250" t="s">
        <v>888</v>
      </c>
      <c r="C501" s="250" t="s">
        <v>1087</v>
      </c>
      <c r="D501" s="250" t="s">
        <v>838</v>
      </c>
      <c r="E501" s="250">
        <v>1.5</v>
      </c>
      <c r="F501" s="251">
        <v>45114.401620370372</v>
      </c>
      <c r="G501" s="250">
        <v>1</v>
      </c>
      <c r="H501" s="250">
        <v>51.370800000000003</v>
      </c>
      <c r="I501" s="250">
        <v>6.8025900000000004</v>
      </c>
      <c r="J501" s="250">
        <v>-6.3102090000000004</v>
      </c>
      <c r="K501" s="250">
        <v>-5.4618630000000001</v>
      </c>
      <c r="L501" s="250">
        <v>1040.1600000000001</v>
      </c>
      <c r="M501" s="250">
        <v>118.499847</v>
      </c>
      <c r="N501" s="250">
        <v>18374.912899999999</v>
      </c>
      <c r="O501" s="250">
        <v>18364.6103</v>
      </c>
      <c r="P501" s="250">
        <v>2028.23</v>
      </c>
      <c r="Q501" s="250" t="s">
        <v>18</v>
      </c>
      <c r="R501" s="250" t="s">
        <v>839</v>
      </c>
      <c r="S501" s="250" t="s">
        <v>21</v>
      </c>
      <c r="T501" s="250">
        <v>15</v>
      </c>
      <c r="U501" s="250">
        <v>5</v>
      </c>
      <c r="V501" s="250">
        <v>0.7</v>
      </c>
      <c r="W501" s="250">
        <v>0.7</v>
      </c>
      <c r="X501" s="250">
        <v>0.7</v>
      </c>
      <c r="Y501" s="250">
        <v>1700</v>
      </c>
      <c r="Z501" s="250" t="s">
        <v>840</v>
      </c>
      <c r="AA501" s="250">
        <v>0.85</v>
      </c>
      <c r="AB501" s="250" t="s">
        <v>841</v>
      </c>
      <c r="AC501" s="250" t="s">
        <v>842</v>
      </c>
      <c r="AD501" s="250">
        <v>220</v>
      </c>
      <c r="AE501" s="250"/>
      <c r="AF501" s="250"/>
      <c r="AG501" s="241"/>
    </row>
    <row r="502" spans="1:33" ht="15.75">
      <c r="A502" s="250" t="s">
        <v>1096</v>
      </c>
      <c r="B502" s="250" t="s">
        <v>893</v>
      </c>
      <c r="C502" s="250" t="s">
        <v>1087</v>
      </c>
      <c r="D502" s="250" t="s">
        <v>838</v>
      </c>
      <c r="E502" s="250">
        <v>1.8</v>
      </c>
      <c r="F502" s="251">
        <v>45114.40525462963</v>
      </c>
      <c r="G502" s="250">
        <v>1</v>
      </c>
      <c r="H502" s="250">
        <v>51.370800000000003</v>
      </c>
      <c r="I502" s="250">
        <v>6.7294099999999997</v>
      </c>
      <c r="J502" s="250">
        <v>-6.3362809999999996</v>
      </c>
      <c r="K502" s="250">
        <v>-5.5021979999999999</v>
      </c>
      <c r="L502" s="250">
        <v>1039.82</v>
      </c>
      <c r="M502" s="250">
        <v>132.00157100000001</v>
      </c>
      <c r="N502" s="250">
        <v>22024.700799999999</v>
      </c>
      <c r="O502" s="250">
        <v>22033.006099999999</v>
      </c>
      <c r="P502" s="250">
        <v>2028.23</v>
      </c>
      <c r="Q502" s="250" t="s">
        <v>18</v>
      </c>
      <c r="R502" s="250" t="s">
        <v>839</v>
      </c>
      <c r="S502" s="250" t="s">
        <v>21</v>
      </c>
      <c r="T502" s="250">
        <v>15</v>
      </c>
      <c r="U502" s="250">
        <v>5</v>
      </c>
      <c r="V502" s="250">
        <v>0.7</v>
      </c>
      <c r="W502" s="250">
        <v>0.7</v>
      </c>
      <c r="X502" s="250">
        <v>0.7</v>
      </c>
      <c r="Y502" s="250">
        <v>1700</v>
      </c>
      <c r="Z502" s="250" t="s">
        <v>840</v>
      </c>
      <c r="AA502" s="250">
        <v>0.85</v>
      </c>
      <c r="AB502" s="250" t="s">
        <v>841</v>
      </c>
      <c r="AC502" s="250" t="s">
        <v>842</v>
      </c>
      <c r="AD502" s="250">
        <v>220</v>
      </c>
      <c r="AE502" s="250"/>
      <c r="AF502" s="250"/>
      <c r="AG502" s="241"/>
    </row>
    <row r="503" spans="1:33" ht="15.75">
      <c r="A503" s="250" t="s">
        <v>1097</v>
      </c>
      <c r="B503" s="250" t="s">
        <v>893</v>
      </c>
      <c r="C503" s="250" t="s">
        <v>1087</v>
      </c>
      <c r="D503" s="250" t="s">
        <v>838</v>
      </c>
      <c r="E503" s="250">
        <v>1.8</v>
      </c>
      <c r="F503" s="251">
        <v>45114.409039351849</v>
      </c>
      <c r="G503" s="250">
        <v>1</v>
      </c>
      <c r="H503" s="250">
        <v>51.370800000000003</v>
      </c>
      <c r="I503" s="250">
        <v>6.6533199999999999</v>
      </c>
      <c r="J503" s="250">
        <v>-6.3238190000000003</v>
      </c>
      <c r="K503" s="250">
        <v>-5.4783239999999997</v>
      </c>
      <c r="L503" s="250">
        <v>1044.23</v>
      </c>
      <c r="M503" s="250">
        <v>129.99998500000001</v>
      </c>
      <c r="N503" s="250">
        <v>22044.700199999999</v>
      </c>
      <c r="O503" s="250">
        <v>22033.006099999999</v>
      </c>
      <c r="P503" s="250">
        <v>2028.23</v>
      </c>
      <c r="Q503" s="250" t="s">
        <v>18</v>
      </c>
      <c r="R503" s="250" t="s">
        <v>839</v>
      </c>
      <c r="S503" s="250" t="s">
        <v>21</v>
      </c>
      <c r="T503" s="250">
        <v>15</v>
      </c>
      <c r="U503" s="250">
        <v>5</v>
      </c>
      <c r="V503" s="250">
        <v>0.7</v>
      </c>
      <c r="W503" s="250">
        <v>0.7</v>
      </c>
      <c r="X503" s="250">
        <v>0.7</v>
      </c>
      <c r="Y503" s="250">
        <v>1700</v>
      </c>
      <c r="Z503" s="250" t="s">
        <v>840</v>
      </c>
      <c r="AA503" s="250">
        <v>0.85</v>
      </c>
      <c r="AB503" s="250" t="s">
        <v>841</v>
      </c>
      <c r="AC503" s="250" t="s">
        <v>842</v>
      </c>
      <c r="AD503" s="250">
        <v>220</v>
      </c>
      <c r="AE503" s="250"/>
      <c r="AF503" s="250"/>
      <c r="AG503" s="241"/>
    </row>
    <row r="504" spans="1:33" ht="15.75">
      <c r="A504" s="250" t="s">
        <v>1098</v>
      </c>
      <c r="B504" s="250" t="s">
        <v>893</v>
      </c>
      <c r="C504" s="250" t="s">
        <v>1087</v>
      </c>
      <c r="D504" s="250" t="s">
        <v>838</v>
      </c>
      <c r="E504" s="250">
        <v>1.8</v>
      </c>
      <c r="F504" s="251">
        <v>45114.412789351853</v>
      </c>
      <c r="G504" s="250">
        <v>1</v>
      </c>
      <c r="H504" s="250">
        <v>51.3675</v>
      </c>
      <c r="I504" s="250">
        <v>6.5971099999999998</v>
      </c>
      <c r="J504" s="250">
        <v>-6.2839159999999996</v>
      </c>
      <c r="K504" s="250">
        <v>-5.4462630000000001</v>
      </c>
      <c r="L504" s="250">
        <v>1044.6500000000001</v>
      </c>
      <c r="M504" s="250">
        <v>147.50143</v>
      </c>
      <c r="N504" s="250">
        <v>22029.617399999999</v>
      </c>
      <c r="O504" s="250">
        <v>22033.006099999999</v>
      </c>
      <c r="P504" s="250">
        <v>2028.23</v>
      </c>
      <c r="Q504" s="250" t="s">
        <v>18</v>
      </c>
      <c r="R504" s="250" t="s">
        <v>839</v>
      </c>
      <c r="S504" s="250" t="s">
        <v>21</v>
      </c>
      <c r="T504" s="250">
        <v>15</v>
      </c>
      <c r="U504" s="250">
        <v>5</v>
      </c>
      <c r="V504" s="250">
        <v>0.7</v>
      </c>
      <c r="W504" s="250">
        <v>0.7</v>
      </c>
      <c r="X504" s="250">
        <v>0.7</v>
      </c>
      <c r="Y504" s="250">
        <v>1700</v>
      </c>
      <c r="Z504" s="250" t="s">
        <v>840</v>
      </c>
      <c r="AA504" s="250">
        <v>0.85</v>
      </c>
      <c r="AB504" s="250" t="s">
        <v>841</v>
      </c>
      <c r="AC504" s="250" t="s">
        <v>842</v>
      </c>
      <c r="AD504" s="250">
        <v>220</v>
      </c>
      <c r="AE504" s="250"/>
      <c r="AF504" s="250"/>
      <c r="AG504" s="241"/>
    </row>
    <row r="505" spans="1:33" ht="15.75">
      <c r="A505" s="250" t="s">
        <v>851</v>
      </c>
      <c r="B505" s="250">
        <v>2</v>
      </c>
      <c r="C505" s="250">
        <v>168</v>
      </c>
      <c r="D505" s="250" t="s">
        <v>898</v>
      </c>
      <c r="E505" s="250">
        <v>1.5</v>
      </c>
      <c r="F505" s="251">
        <v>45114.41715277778</v>
      </c>
      <c r="G505" s="250">
        <v>1</v>
      </c>
      <c r="H505" s="250">
        <v>51.370800000000003</v>
      </c>
      <c r="I505" s="250">
        <v>6.6549800000000001</v>
      </c>
      <c r="J505" s="250">
        <v>-6.3479979999999996</v>
      </c>
      <c r="K505" s="250">
        <v>-5.5328879999999998</v>
      </c>
      <c r="L505" s="250">
        <v>1028.48</v>
      </c>
      <c r="M505" s="250">
        <v>122.49935600000001</v>
      </c>
      <c r="N505" s="250">
        <v>18258.775799999999</v>
      </c>
      <c r="O505" s="250">
        <v>18219.041700000002</v>
      </c>
      <c r="P505" s="250">
        <v>2012.3465200000001</v>
      </c>
      <c r="Q505" s="250" t="s">
        <v>18</v>
      </c>
      <c r="R505" s="250" t="s">
        <v>647</v>
      </c>
      <c r="S505" s="250" t="s">
        <v>21</v>
      </c>
      <c r="T505" s="250">
        <v>15</v>
      </c>
      <c r="U505" s="250">
        <v>5</v>
      </c>
      <c r="V505" s="250">
        <v>0.7</v>
      </c>
      <c r="W505" s="250">
        <v>0.7</v>
      </c>
      <c r="X505" s="250">
        <v>0.7</v>
      </c>
      <c r="Y505" s="250">
        <v>1700</v>
      </c>
      <c r="Z505" s="250" t="s">
        <v>840</v>
      </c>
      <c r="AA505" s="250">
        <v>0.85</v>
      </c>
      <c r="AB505" s="250" t="s">
        <v>841</v>
      </c>
      <c r="AC505" s="250" t="s">
        <v>842</v>
      </c>
      <c r="AD505" s="250">
        <v>220</v>
      </c>
      <c r="AE505" s="250"/>
      <c r="AF505" s="250"/>
      <c r="AG505" s="241"/>
    </row>
    <row r="506" spans="1:33" ht="15.75">
      <c r="A506" s="250" t="s">
        <v>853</v>
      </c>
      <c r="B506" s="250">
        <v>2</v>
      </c>
      <c r="C506" s="250">
        <v>168</v>
      </c>
      <c r="D506" s="250" t="s">
        <v>898</v>
      </c>
      <c r="E506" s="250">
        <v>1.5</v>
      </c>
      <c r="F506" s="251">
        <v>45114.420740740738</v>
      </c>
      <c r="G506" s="250">
        <v>1</v>
      </c>
      <c r="H506" s="250">
        <v>51.374099999999999</v>
      </c>
      <c r="I506" s="250">
        <v>6.6921200000000001</v>
      </c>
      <c r="J506" s="250">
        <v>-6.1638719999999996</v>
      </c>
      <c r="K506" s="250">
        <v>-5.335432</v>
      </c>
      <c r="L506" s="250">
        <v>1015.02</v>
      </c>
      <c r="M506" s="250">
        <v>110.99927099999999</v>
      </c>
      <c r="N506" s="250">
        <v>18218.633699999998</v>
      </c>
      <c r="O506" s="250">
        <v>18219.041700000002</v>
      </c>
      <c r="P506" s="250">
        <v>2012.3465200000001</v>
      </c>
      <c r="Q506" s="250" t="s">
        <v>18</v>
      </c>
      <c r="R506" s="250" t="s">
        <v>839</v>
      </c>
      <c r="S506" s="250" t="s">
        <v>21</v>
      </c>
      <c r="T506" s="250">
        <v>15</v>
      </c>
      <c r="U506" s="250">
        <v>5</v>
      </c>
      <c r="V506" s="250">
        <v>0.7</v>
      </c>
      <c r="W506" s="250">
        <v>0.7</v>
      </c>
      <c r="X506" s="250">
        <v>0.7</v>
      </c>
      <c r="Y506" s="250">
        <v>1700</v>
      </c>
      <c r="Z506" s="250" t="s">
        <v>840</v>
      </c>
      <c r="AA506" s="250">
        <v>0.85</v>
      </c>
      <c r="AB506" s="250" t="s">
        <v>841</v>
      </c>
      <c r="AC506" s="250" t="s">
        <v>842</v>
      </c>
      <c r="AD506" s="250">
        <v>220</v>
      </c>
      <c r="AE506" s="250"/>
      <c r="AF506" s="250"/>
      <c r="AG506" s="241"/>
    </row>
    <row r="507" spans="1:33" ht="15.75">
      <c r="A507" s="250" t="s">
        <v>1079</v>
      </c>
      <c r="B507" s="250">
        <v>2</v>
      </c>
      <c r="C507" s="250">
        <v>168</v>
      </c>
      <c r="D507" s="250" t="s">
        <v>898</v>
      </c>
      <c r="E507" s="250">
        <v>1.5</v>
      </c>
      <c r="F507" s="251">
        <v>45114.424201388887</v>
      </c>
      <c r="G507" s="250">
        <v>1</v>
      </c>
      <c r="H507" s="250">
        <v>51.374099999999999</v>
      </c>
      <c r="I507" s="250">
        <v>6.73766</v>
      </c>
      <c r="J507" s="250">
        <v>-6.1308920000000002</v>
      </c>
      <c r="K507" s="250">
        <v>-5.298044</v>
      </c>
      <c r="L507" s="250">
        <v>1022.45</v>
      </c>
      <c r="M507" s="250">
        <v>115.50099899999999</v>
      </c>
      <c r="N507" s="250">
        <v>18224.856599999999</v>
      </c>
      <c r="O507" s="250">
        <v>18219.041700000002</v>
      </c>
      <c r="P507" s="250">
        <v>2012.3465200000001</v>
      </c>
      <c r="Q507" s="250" t="s">
        <v>18</v>
      </c>
      <c r="R507" s="250" t="s">
        <v>839</v>
      </c>
      <c r="S507" s="250" t="s">
        <v>21</v>
      </c>
      <c r="T507" s="250">
        <v>15</v>
      </c>
      <c r="U507" s="250">
        <v>5</v>
      </c>
      <c r="V507" s="250">
        <v>0.7</v>
      </c>
      <c r="W507" s="250">
        <v>0.7</v>
      </c>
      <c r="X507" s="250">
        <v>0.7</v>
      </c>
      <c r="Y507" s="250">
        <v>1700</v>
      </c>
      <c r="Z507" s="250" t="s">
        <v>840</v>
      </c>
      <c r="AA507" s="250">
        <v>0.85</v>
      </c>
      <c r="AB507" s="250" t="s">
        <v>841</v>
      </c>
      <c r="AC507" s="250" t="s">
        <v>842</v>
      </c>
      <c r="AD507" s="250">
        <v>220</v>
      </c>
      <c r="AE507" s="250"/>
      <c r="AF507" s="250"/>
      <c r="AG507" s="241"/>
    </row>
    <row r="508" spans="1:33" ht="15.75">
      <c r="A508" s="250" t="s">
        <v>1080</v>
      </c>
      <c r="B508" s="250">
        <v>2</v>
      </c>
      <c r="C508" s="250">
        <v>168</v>
      </c>
      <c r="D508" s="250" t="s">
        <v>898</v>
      </c>
      <c r="E508" s="250">
        <v>1.5</v>
      </c>
      <c r="F508" s="251">
        <v>45114.427719907406</v>
      </c>
      <c r="G508" s="250">
        <v>1</v>
      </c>
      <c r="H508" s="250">
        <v>51.370800000000003</v>
      </c>
      <c r="I508" s="250">
        <v>6.6411600000000002</v>
      </c>
      <c r="J508" s="250">
        <v>-6.2419039999999999</v>
      </c>
      <c r="K508" s="250">
        <v>-5.3938040000000003</v>
      </c>
      <c r="L508" s="250">
        <v>1026.1600000000001</v>
      </c>
      <c r="M508" s="250">
        <v>114.498828</v>
      </c>
      <c r="N508" s="250">
        <v>18154.431400000001</v>
      </c>
      <c r="O508" s="250">
        <v>18219.041700000002</v>
      </c>
      <c r="P508" s="250">
        <v>2012.3465200000001</v>
      </c>
      <c r="Q508" s="250" t="s">
        <v>18</v>
      </c>
      <c r="R508" s="250" t="s">
        <v>647</v>
      </c>
      <c r="S508" s="250" t="s">
        <v>21</v>
      </c>
      <c r="T508" s="250">
        <v>15</v>
      </c>
      <c r="U508" s="250">
        <v>5</v>
      </c>
      <c r="V508" s="250">
        <v>0.7</v>
      </c>
      <c r="W508" s="250">
        <v>0.7</v>
      </c>
      <c r="X508" s="250">
        <v>0.7</v>
      </c>
      <c r="Y508" s="250">
        <v>1700</v>
      </c>
      <c r="Z508" s="250" t="s">
        <v>840</v>
      </c>
      <c r="AA508" s="250">
        <v>0.85</v>
      </c>
      <c r="AB508" s="250" t="s">
        <v>841</v>
      </c>
      <c r="AC508" s="250" t="s">
        <v>842</v>
      </c>
      <c r="AD508" s="250">
        <v>220</v>
      </c>
      <c r="AE508" s="250"/>
      <c r="AF508" s="250"/>
      <c r="AG508" s="241"/>
    </row>
    <row r="509" spans="1:33" ht="15.75">
      <c r="A509" s="250" t="s">
        <v>1099</v>
      </c>
      <c r="B509" s="250">
        <v>2</v>
      </c>
      <c r="C509" s="250">
        <v>168</v>
      </c>
      <c r="D509" s="250" t="s">
        <v>898</v>
      </c>
      <c r="E509" s="250">
        <v>1.5</v>
      </c>
      <c r="F509" s="251">
        <v>45114.431215277778</v>
      </c>
      <c r="G509" s="250">
        <v>1</v>
      </c>
      <c r="H509" s="250">
        <v>51.370800000000003</v>
      </c>
      <c r="I509" s="250">
        <v>6.6169000000000002</v>
      </c>
      <c r="J509" s="250">
        <v>-6.2077340000000003</v>
      </c>
      <c r="K509" s="250">
        <v>-5.3721610000000002</v>
      </c>
      <c r="L509" s="250">
        <v>1023.99</v>
      </c>
      <c r="M509" s="250">
        <v>128.49901800000001</v>
      </c>
      <c r="N509" s="250">
        <v>18213.6348</v>
      </c>
      <c r="O509" s="250">
        <v>18219.041700000002</v>
      </c>
      <c r="P509" s="250">
        <v>2012.3465200000001</v>
      </c>
      <c r="Q509" s="250" t="s">
        <v>18</v>
      </c>
      <c r="R509" s="250" t="s">
        <v>839</v>
      </c>
      <c r="S509" s="250" t="s">
        <v>21</v>
      </c>
      <c r="T509" s="250">
        <v>15</v>
      </c>
      <c r="U509" s="250">
        <v>5</v>
      </c>
      <c r="V509" s="250">
        <v>0.7</v>
      </c>
      <c r="W509" s="250">
        <v>0.7</v>
      </c>
      <c r="X509" s="250">
        <v>0.7</v>
      </c>
      <c r="Y509" s="250">
        <v>1700</v>
      </c>
      <c r="Z509" s="250" t="s">
        <v>840</v>
      </c>
      <c r="AA509" s="250">
        <v>0.85</v>
      </c>
      <c r="AB509" s="250" t="s">
        <v>841</v>
      </c>
      <c r="AC509" s="250" t="s">
        <v>842</v>
      </c>
      <c r="AD509" s="250">
        <v>220</v>
      </c>
      <c r="AE509" s="250"/>
      <c r="AF509" s="250"/>
      <c r="AG509" s="241"/>
    </row>
    <row r="510" spans="1:33" ht="15.75">
      <c r="A510" s="250" t="s">
        <v>854</v>
      </c>
      <c r="B510" s="250">
        <v>3</v>
      </c>
      <c r="C510" s="250">
        <v>169</v>
      </c>
      <c r="D510" s="250" t="s">
        <v>902</v>
      </c>
      <c r="E510" s="250">
        <v>1.5</v>
      </c>
      <c r="F510" s="251">
        <v>45114.435370370367</v>
      </c>
      <c r="G510" s="250">
        <v>1</v>
      </c>
      <c r="H510" s="250">
        <v>51.370800000000003</v>
      </c>
      <c r="I510" s="250">
        <v>6.6467799999999997</v>
      </c>
      <c r="J510" s="250">
        <v>-6.2551709999999998</v>
      </c>
      <c r="K510" s="250">
        <v>-5.4074059999999999</v>
      </c>
      <c r="L510" s="250">
        <v>1019.06</v>
      </c>
      <c r="M510" s="250">
        <v>116.99997999999999</v>
      </c>
      <c r="N510" s="250">
        <v>18386.295099999999</v>
      </c>
      <c r="O510" s="250">
        <v>18422.395499999999</v>
      </c>
      <c r="P510" s="250">
        <v>2034.6197999999999</v>
      </c>
      <c r="Q510" s="250" t="s">
        <v>18</v>
      </c>
      <c r="R510" s="250" t="s">
        <v>647</v>
      </c>
      <c r="S510" s="250" t="s">
        <v>21</v>
      </c>
      <c r="T510" s="250">
        <v>15</v>
      </c>
      <c r="U510" s="250">
        <v>5</v>
      </c>
      <c r="V510" s="250">
        <v>0.7</v>
      </c>
      <c r="W510" s="250">
        <v>0.7</v>
      </c>
      <c r="X510" s="250">
        <v>0.7</v>
      </c>
      <c r="Y510" s="250">
        <v>1700</v>
      </c>
      <c r="Z510" s="250" t="s">
        <v>840</v>
      </c>
      <c r="AA510" s="250">
        <v>0.85</v>
      </c>
      <c r="AB510" s="250" t="s">
        <v>841</v>
      </c>
      <c r="AC510" s="250" t="s">
        <v>842</v>
      </c>
      <c r="AD510" s="250">
        <v>220</v>
      </c>
      <c r="AE510" s="250"/>
      <c r="AF510" s="250"/>
      <c r="AG510" s="241"/>
    </row>
    <row r="511" spans="1:33" ht="15.75">
      <c r="A511" s="250" t="s">
        <v>1045</v>
      </c>
      <c r="B511" s="250">
        <v>3</v>
      </c>
      <c r="C511" s="250">
        <v>169</v>
      </c>
      <c r="D511" s="250" t="s">
        <v>902</v>
      </c>
      <c r="E511" s="250">
        <v>1.5</v>
      </c>
      <c r="F511" s="251">
        <v>45114.438900462963</v>
      </c>
      <c r="G511" s="250">
        <v>1</v>
      </c>
      <c r="H511" s="250">
        <v>51.374099999999999</v>
      </c>
      <c r="I511" s="250">
        <v>6.6179699999999997</v>
      </c>
      <c r="J511" s="250">
        <v>-6.3363560000000003</v>
      </c>
      <c r="K511" s="250">
        <v>-5.5067579999999996</v>
      </c>
      <c r="L511" s="250">
        <v>1035.94</v>
      </c>
      <c r="M511" s="250">
        <v>126.50082</v>
      </c>
      <c r="N511" s="250">
        <v>18419.781800000001</v>
      </c>
      <c r="O511" s="250">
        <v>18422.395499999999</v>
      </c>
      <c r="P511" s="250">
        <v>2034.6197999999999</v>
      </c>
      <c r="Q511" s="250" t="s">
        <v>18</v>
      </c>
      <c r="R511" s="250" t="s">
        <v>839</v>
      </c>
      <c r="S511" s="250" t="s">
        <v>21</v>
      </c>
      <c r="T511" s="250">
        <v>15</v>
      </c>
      <c r="U511" s="250">
        <v>5</v>
      </c>
      <c r="V511" s="250">
        <v>0.7</v>
      </c>
      <c r="W511" s="250">
        <v>0.7</v>
      </c>
      <c r="X511" s="250">
        <v>0.7</v>
      </c>
      <c r="Y511" s="250">
        <v>1700</v>
      </c>
      <c r="Z511" s="250" t="s">
        <v>840</v>
      </c>
      <c r="AA511" s="250">
        <v>0.85</v>
      </c>
      <c r="AB511" s="250" t="s">
        <v>841</v>
      </c>
      <c r="AC511" s="250" t="s">
        <v>842</v>
      </c>
      <c r="AD511" s="250">
        <v>220</v>
      </c>
      <c r="AE511" s="250"/>
      <c r="AF511" s="250"/>
      <c r="AG511" s="241"/>
    </row>
    <row r="512" spans="1:33" ht="15.75">
      <c r="A512" s="250" t="s">
        <v>1046</v>
      </c>
      <c r="B512" s="250">
        <v>3</v>
      </c>
      <c r="C512" s="250">
        <v>169</v>
      </c>
      <c r="D512" s="250" t="s">
        <v>902</v>
      </c>
      <c r="E512" s="250">
        <v>1.5</v>
      </c>
      <c r="F512" s="251">
        <v>45114.44253472222</v>
      </c>
      <c r="G512" s="250">
        <v>1</v>
      </c>
      <c r="H512" s="250">
        <v>51.3675</v>
      </c>
      <c r="I512" s="250">
        <v>6.67075</v>
      </c>
      <c r="J512" s="250">
        <v>-6.3374309999999996</v>
      </c>
      <c r="K512" s="250">
        <v>-5.5228580000000003</v>
      </c>
      <c r="L512" s="250">
        <v>1038.74</v>
      </c>
      <c r="M512" s="250">
        <v>124.00063299999999</v>
      </c>
      <c r="N512" s="250">
        <v>18466.226699999999</v>
      </c>
      <c r="O512" s="250">
        <v>18422.395499999999</v>
      </c>
      <c r="P512" s="250">
        <v>2034.6197999999999</v>
      </c>
      <c r="Q512" s="250" t="s">
        <v>18</v>
      </c>
      <c r="R512" s="250" t="s">
        <v>647</v>
      </c>
      <c r="S512" s="250" t="s">
        <v>21</v>
      </c>
      <c r="T512" s="250">
        <v>15</v>
      </c>
      <c r="U512" s="250">
        <v>5</v>
      </c>
      <c r="V512" s="250">
        <v>0.7</v>
      </c>
      <c r="W512" s="250">
        <v>0.7</v>
      </c>
      <c r="X512" s="250">
        <v>0.7</v>
      </c>
      <c r="Y512" s="250">
        <v>1700</v>
      </c>
      <c r="Z512" s="250" t="s">
        <v>840</v>
      </c>
      <c r="AA512" s="250">
        <v>0.85</v>
      </c>
      <c r="AB512" s="250" t="s">
        <v>841</v>
      </c>
      <c r="AC512" s="250" t="s">
        <v>842</v>
      </c>
      <c r="AD512" s="250">
        <v>220</v>
      </c>
      <c r="AE512" s="250"/>
      <c r="AF512" s="250"/>
      <c r="AG512" s="241"/>
    </row>
    <row r="513" spans="1:33" ht="15.75">
      <c r="A513" s="250" t="s">
        <v>1047</v>
      </c>
      <c r="B513" s="250">
        <v>3</v>
      </c>
      <c r="C513" s="250">
        <v>169</v>
      </c>
      <c r="D513" s="250" t="s">
        <v>902</v>
      </c>
      <c r="E513" s="250">
        <v>1.5</v>
      </c>
      <c r="F513" s="251">
        <v>45114.446145833332</v>
      </c>
      <c r="G513" s="250">
        <v>1</v>
      </c>
      <c r="H513" s="250">
        <v>51.370800000000003</v>
      </c>
      <c r="I513" s="250">
        <v>6.6496000000000004</v>
      </c>
      <c r="J513" s="250">
        <v>-6.336239</v>
      </c>
      <c r="K513" s="250">
        <v>-5.4890559999999997</v>
      </c>
      <c r="L513" s="250">
        <v>1030.72</v>
      </c>
      <c r="M513" s="250">
        <v>129.49830700000001</v>
      </c>
      <c r="N513" s="250">
        <v>18423.813200000001</v>
      </c>
      <c r="O513" s="250">
        <v>18422.395499999999</v>
      </c>
      <c r="P513" s="250">
        <v>2034.6197999999999</v>
      </c>
      <c r="Q513" s="250" t="s">
        <v>18</v>
      </c>
      <c r="R513" s="250" t="s">
        <v>839</v>
      </c>
      <c r="S513" s="250" t="s">
        <v>21</v>
      </c>
      <c r="T513" s="250">
        <v>15</v>
      </c>
      <c r="U513" s="250">
        <v>5</v>
      </c>
      <c r="V513" s="250">
        <v>0.7</v>
      </c>
      <c r="W513" s="250">
        <v>0.7</v>
      </c>
      <c r="X513" s="250">
        <v>0.7</v>
      </c>
      <c r="Y513" s="250">
        <v>1700</v>
      </c>
      <c r="Z513" s="250" t="s">
        <v>840</v>
      </c>
      <c r="AA513" s="250">
        <v>0.85</v>
      </c>
      <c r="AB513" s="250" t="s">
        <v>841</v>
      </c>
      <c r="AC513" s="250" t="s">
        <v>842</v>
      </c>
      <c r="AD513" s="250">
        <v>220</v>
      </c>
      <c r="AE513" s="250"/>
      <c r="AF513" s="250"/>
      <c r="AG513" s="241"/>
    </row>
    <row r="514" spans="1:33" ht="15.75">
      <c r="A514" s="250" t="s">
        <v>1048</v>
      </c>
      <c r="B514" s="250">
        <v>3</v>
      </c>
      <c r="C514" s="250">
        <v>169</v>
      </c>
      <c r="D514" s="250" t="s">
        <v>902</v>
      </c>
      <c r="E514" s="250">
        <v>1.5</v>
      </c>
      <c r="F514" s="251">
        <v>45114.449814814812</v>
      </c>
      <c r="G514" s="250">
        <v>1</v>
      </c>
      <c r="H514" s="250">
        <v>51.377400000000002</v>
      </c>
      <c r="I514" s="250">
        <v>6.5920699999999997</v>
      </c>
      <c r="J514" s="250">
        <v>-6.3939279999999998</v>
      </c>
      <c r="K514" s="250">
        <v>-5.5568140000000001</v>
      </c>
      <c r="L514" s="250">
        <v>1034.3900000000001</v>
      </c>
      <c r="M514" s="250">
        <v>114.49936</v>
      </c>
      <c r="N514" s="250">
        <v>18423.591400000001</v>
      </c>
      <c r="O514" s="250">
        <v>18422.395499999999</v>
      </c>
      <c r="P514" s="250">
        <v>2034.6197999999999</v>
      </c>
      <c r="Q514" s="250" t="s">
        <v>18</v>
      </c>
      <c r="R514" s="250" t="s">
        <v>839</v>
      </c>
      <c r="S514" s="250" t="s">
        <v>21</v>
      </c>
      <c r="T514" s="250">
        <v>15</v>
      </c>
      <c r="U514" s="250">
        <v>5</v>
      </c>
      <c r="V514" s="250">
        <v>0.7</v>
      </c>
      <c r="W514" s="250">
        <v>0.7</v>
      </c>
      <c r="X514" s="250">
        <v>0.7</v>
      </c>
      <c r="Y514" s="250">
        <v>1700</v>
      </c>
      <c r="Z514" s="250" t="s">
        <v>840</v>
      </c>
      <c r="AA514" s="250">
        <v>0.85</v>
      </c>
      <c r="AB514" s="250" t="s">
        <v>841</v>
      </c>
      <c r="AC514" s="250" t="s">
        <v>842</v>
      </c>
      <c r="AD514" s="250">
        <v>220</v>
      </c>
      <c r="AE514" s="250"/>
      <c r="AF514" s="250"/>
      <c r="AG514" s="241"/>
    </row>
    <row r="515" spans="1:33" ht="15.75">
      <c r="A515" s="250" t="s">
        <v>855</v>
      </c>
      <c r="B515" s="250">
        <v>4</v>
      </c>
      <c r="C515" s="250">
        <v>166</v>
      </c>
      <c r="D515" s="250" t="s">
        <v>906</v>
      </c>
      <c r="E515" s="250">
        <v>1.5</v>
      </c>
      <c r="F515" s="251">
        <v>45114.453842592593</v>
      </c>
      <c r="G515" s="250">
        <v>1</v>
      </c>
      <c r="H515" s="250">
        <v>51.374099999999999</v>
      </c>
      <c r="I515" s="250">
        <v>6.6272799999999998</v>
      </c>
      <c r="J515" s="250">
        <v>-6.2340489999999997</v>
      </c>
      <c r="K515" s="250">
        <v>-5.3915410000000001</v>
      </c>
      <c r="L515" s="250">
        <v>1017.19</v>
      </c>
      <c r="M515" s="250">
        <v>113.500771</v>
      </c>
      <c r="N515" s="250">
        <v>18162.297500000001</v>
      </c>
      <c r="O515" s="250">
        <v>18157.760999999999</v>
      </c>
      <c r="P515" s="250">
        <v>2005.6599799999999</v>
      </c>
      <c r="Q515" s="250" t="s">
        <v>18</v>
      </c>
      <c r="R515" s="250" t="s">
        <v>839</v>
      </c>
      <c r="S515" s="250" t="s">
        <v>21</v>
      </c>
      <c r="T515" s="250">
        <v>15</v>
      </c>
      <c r="U515" s="250">
        <v>5</v>
      </c>
      <c r="V515" s="250">
        <v>0.7</v>
      </c>
      <c r="W515" s="250">
        <v>0.7</v>
      </c>
      <c r="X515" s="250">
        <v>0.7</v>
      </c>
      <c r="Y515" s="250">
        <v>1700</v>
      </c>
      <c r="Z515" s="250" t="s">
        <v>840</v>
      </c>
      <c r="AA515" s="250">
        <v>0.85</v>
      </c>
      <c r="AB515" s="250" t="s">
        <v>841</v>
      </c>
      <c r="AC515" s="250" t="s">
        <v>842</v>
      </c>
      <c r="AD515" s="250">
        <v>220</v>
      </c>
      <c r="AE515" s="250"/>
      <c r="AF515" s="250"/>
      <c r="AG515" s="241"/>
    </row>
    <row r="516" spans="1:33" ht="15.75">
      <c r="A516" s="250" t="s">
        <v>956</v>
      </c>
      <c r="B516" s="250">
        <v>4</v>
      </c>
      <c r="C516" s="250">
        <v>166</v>
      </c>
      <c r="D516" s="250" t="s">
        <v>906</v>
      </c>
      <c r="E516" s="250">
        <v>1.5</v>
      </c>
      <c r="F516" s="251">
        <v>45114.457326388889</v>
      </c>
      <c r="G516" s="250">
        <v>1</v>
      </c>
      <c r="H516" s="250">
        <v>51.374099999999999</v>
      </c>
      <c r="I516" s="250">
        <v>6.5994599999999997</v>
      </c>
      <c r="J516" s="250">
        <v>-6.2963110000000002</v>
      </c>
      <c r="K516" s="250">
        <v>-5.460439</v>
      </c>
      <c r="L516" s="250">
        <v>1023.82</v>
      </c>
      <c r="M516" s="250">
        <v>127.500055</v>
      </c>
      <c r="N516" s="250">
        <v>18199.3858</v>
      </c>
      <c r="O516" s="250">
        <v>18157.760999999999</v>
      </c>
      <c r="P516" s="250">
        <v>2005.6599799999999</v>
      </c>
      <c r="Q516" s="250" t="s">
        <v>18</v>
      </c>
      <c r="R516" s="250" t="s">
        <v>647</v>
      </c>
      <c r="S516" s="250" t="s">
        <v>21</v>
      </c>
      <c r="T516" s="250">
        <v>15</v>
      </c>
      <c r="U516" s="250">
        <v>5</v>
      </c>
      <c r="V516" s="250">
        <v>0.7</v>
      </c>
      <c r="W516" s="250">
        <v>0.7</v>
      </c>
      <c r="X516" s="250">
        <v>0.7</v>
      </c>
      <c r="Y516" s="250">
        <v>1700</v>
      </c>
      <c r="Z516" s="250" t="s">
        <v>840</v>
      </c>
      <c r="AA516" s="250">
        <v>0.85</v>
      </c>
      <c r="AB516" s="250" t="s">
        <v>841</v>
      </c>
      <c r="AC516" s="250" t="s">
        <v>842</v>
      </c>
      <c r="AD516" s="250">
        <v>220</v>
      </c>
      <c r="AE516" s="250"/>
      <c r="AF516" s="250"/>
      <c r="AG516" s="241"/>
    </row>
    <row r="517" spans="1:33" ht="15.75">
      <c r="A517" s="250" t="s">
        <v>957</v>
      </c>
      <c r="B517" s="250">
        <v>4</v>
      </c>
      <c r="C517" s="250">
        <v>166</v>
      </c>
      <c r="D517" s="250" t="s">
        <v>906</v>
      </c>
      <c r="E517" s="250">
        <v>1.5</v>
      </c>
      <c r="F517" s="251">
        <v>45114.460995370369</v>
      </c>
      <c r="G517" s="250">
        <v>1</v>
      </c>
      <c r="H517" s="250">
        <v>51.374099999999999</v>
      </c>
      <c r="I517" s="250">
        <v>6.6821400000000004</v>
      </c>
      <c r="J517" s="250">
        <v>-6.3814390000000003</v>
      </c>
      <c r="K517" s="250">
        <v>-5.5596920000000001</v>
      </c>
      <c r="L517" s="250">
        <v>1023.59</v>
      </c>
      <c r="M517" s="250">
        <v>126.00049300000001</v>
      </c>
      <c r="N517" s="250">
        <v>18202.1813</v>
      </c>
      <c r="O517" s="250">
        <v>18157.760999999999</v>
      </c>
      <c r="P517" s="250">
        <v>2005.6599799999999</v>
      </c>
      <c r="Q517" s="250" t="s">
        <v>18</v>
      </c>
      <c r="R517" s="250" t="s">
        <v>647</v>
      </c>
      <c r="S517" s="250" t="s">
        <v>21</v>
      </c>
      <c r="T517" s="250">
        <v>15</v>
      </c>
      <c r="U517" s="250">
        <v>5</v>
      </c>
      <c r="V517" s="250">
        <v>0.7</v>
      </c>
      <c r="W517" s="250">
        <v>0.7</v>
      </c>
      <c r="X517" s="250">
        <v>0.7</v>
      </c>
      <c r="Y517" s="250">
        <v>1700</v>
      </c>
      <c r="Z517" s="250" t="s">
        <v>840</v>
      </c>
      <c r="AA517" s="250">
        <v>0.85</v>
      </c>
      <c r="AB517" s="250" t="s">
        <v>841</v>
      </c>
      <c r="AC517" s="250" t="s">
        <v>842</v>
      </c>
      <c r="AD517" s="250">
        <v>220</v>
      </c>
      <c r="AE517" s="250"/>
      <c r="AF517" s="250"/>
      <c r="AG517" s="241"/>
    </row>
    <row r="518" spans="1:33" ht="15.75">
      <c r="A518" s="250" t="s">
        <v>958</v>
      </c>
      <c r="B518" s="250">
        <v>4</v>
      </c>
      <c r="C518" s="250">
        <v>166</v>
      </c>
      <c r="D518" s="250" t="s">
        <v>906</v>
      </c>
      <c r="E518" s="250">
        <v>1.5</v>
      </c>
      <c r="F518" s="251">
        <v>45114.464618055557</v>
      </c>
      <c r="G518" s="250">
        <v>1</v>
      </c>
      <c r="H518" s="250">
        <v>51.3675</v>
      </c>
      <c r="I518" s="250">
        <v>6.7332299999999998</v>
      </c>
      <c r="J518" s="250">
        <v>-6.2264860000000004</v>
      </c>
      <c r="K518" s="250">
        <v>-5.3836060000000003</v>
      </c>
      <c r="L518" s="250">
        <v>1009.49</v>
      </c>
      <c r="M518" s="250">
        <v>111.500668</v>
      </c>
      <c r="N518" s="250">
        <v>18154.381399999998</v>
      </c>
      <c r="O518" s="250">
        <v>18157.760999999999</v>
      </c>
      <c r="P518" s="250">
        <v>2005.6599799999999</v>
      </c>
      <c r="Q518" s="250" t="s">
        <v>18</v>
      </c>
      <c r="R518" s="250" t="s">
        <v>839</v>
      </c>
      <c r="S518" s="250" t="s">
        <v>21</v>
      </c>
      <c r="T518" s="250">
        <v>15</v>
      </c>
      <c r="U518" s="250">
        <v>5</v>
      </c>
      <c r="V518" s="250">
        <v>0.7</v>
      </c>
      <c r="W518" s="250">
        <v>0.7</v>
      </c>
      <c r="X518" s="250">
        <v>0.7</v>
      </c>
      <c r="Y518" s="250">
        <v>1700</v>
      </c>
      <c r="Z518" s="250" t="s">
        <v>840</v>
      </c>
      <c r="AA518" s="250">
        <v>0.85</v>
      </c>
      <c r="AB518" s="250" t="s">
        <v>841</v>
      </c>
      <c r="AC518" s="250" t="s">
        <v>842</v>
      </c>
      <c r="AD518" s="250">
        <v>220</v>
      </c>
      <c r="AE518" s="250"/>
      <c r="AF518" s="250"/>
      <c r="AG518" s="241"/>
    </row>
    <row r="519" spans="1:33" ht="15.75">
      <c r="A519" s="250" t="s">
        <v>1049</v>
      </c>
      <c r="B519" s="250">
        <v>4</v>
      </c>
      <c r="C519" s="250">
        <v>166</v>
      </c>
      <c r="D519" s="250" t="s">
        <v>906</v>
      </c>
      <c r="E519" s="250">
        <v>1.5</v>
      </c>
      <c r="F519" s="251">
        <v>45114.46806712963</v>
      </c>
      <c r="G519" s="250">
        <v>1</v>
      </c>
      <c r="H519" s="250">
        <v>51.374099999999999</v>
      </c>
      <c r="I519" s="250">
        <v>6.7248599999999996</v>
      </c>
      <c r="J519" s="250">
        <v>-6.3269209999999996</v>
      </c>
      <c r="K519" s="250">
        <v>-5.4771380000000001</v>
      </c>
      <c r="L519" s="250">
        <v>1028.6600000000001</v>
      </c>
      <c r="M519" s="250">
        <v>115.000168</v>
      </c>
      <c r="N519" s="250">
        <v>18156.604299999999</v>
      </c>
      <c r="O519" s="250">
        <v>18157.760999999999</v>
      </c>
      <c r="P519" s="250">
        <v>2005.6599799999999</v>
      </c>
      <c r="Q519" s="250" t="s">
        <v>18</v>
      </c>
      <c r="R519" s="250" t="s">
        <v>839</v>
      </c>
      <c r="S519" s="250" t="s">
        <v>21</v>
      </c>
      <c r="T519" s="250">
        <v>15</v>
      </c>
      <c r="U519" s="250">
        <v>5</v>
      </c>
      <c r="V519" s="250">
        <v>0.7</v>
      </c>
      <c r="W519" s="250">
        <v>0.7</v>
      </c>
      <c r="X519" s="250">
        <v>0.7</v>
      </c>
      <c r="Y519" s="250">
        <v>1700</v>
      </c>
      <c r="Z519" s="250" t="s">
        <v>840</v>
      </c>
      <c r="AA519" s="250">
        <v>0.85</v>
      </c>
      <c r="AB519" s="250" t="s">
        <v>841</v>
      </c>
      <c r="AC519" s="250" t="s">
        <v>842</v>
      </c>
      <c r="AD519" s="250">
        <v>220</v>
      </c>
      <c r="AE519" s="250"/>
      <c r="AF519" s="250"/>
      <c r="AG519" s="241"/>
    </row>
    <row r="520" spans="1:33" ht="15.75">
      <c r="A520" s="250" t="s">
        <v>856</v>
      </c>
      <c r="B520" s="250">
        <v>5</v>
      </c>
      <c r="C520" s="250">
        <v>167</v>
      </c>
      <c r="D520" s="250" t="s">
        <v>911</v>
      </c>
      <c r="E520" s="250">
        <v>1.5</v>
      </c>
      <c r="F520" s="251">
        <v>45114.472083333334</v>
      </c>
      <c r="G520" s="250">
        <v>1</v>
      </c>
      <c r="H520" s="250">
        <v>51.370800000000003</v>
      </c>
      <c r="I520" s="250">
        <v>6.6387400000000003</v>
      </c>
      <c r="J520" s="250">
        <v>-6.3265840000000004</v>
      </c>
      <c r="K520" s="250">
        <v>-5.4783489999999997</v>
      </c>
      <c r="L520" s="250">
        <v>1025.69</v>
      </c>
      <c r="M520" s="250">
        <v>131.499447</v>
      </c>
      <c r="N520" s="250">
        <v>18490.425800000001</v>
      </c>
      <c r="O520" s="250">
        <v>18492.331300000002</v>
      </c>
      <c r="P520" s="250">
        <v>2042.35321</v>
      </c>
      <c r="Q520" s="250" t="s">
        <v>18</v>
      </c>
      <c r="R520" s="250" t="s">
        <v>839</v>
      </c>
      <c r="S520" s="250" t="s">
        <v>21</v>
      </c>
      <c r="T520" s="250">
        <v>15</v>
      </c>
      <c r="U520" s="250">
        <v>5</v>
      </c>
      <c r="V520" s="250">
        <v>0.7</v>
      </c>
      <c r="W520" s="250">
        <v>0.7</v>
      </c>
      <c r="X520" s="250">
        <v>0.7</v>
      </c>
      <c r="Y520" s="250">
        <v>1700</v>
      </c>
      <c r="Z520" s="250" t="s">
        <v>840</v>
      </c>
      <c r="AA520" s="250">
        <v>0.85</v>
      </c>
      <c r="AB520" s="250" t="s">
        <v>841</v>
      </c>
      <c r="AC520" s="250" t="s">
        <v>842</v>
      </c>
      <c r="AD520" s="250">
        <v>220</v>
      </c>
      <c r="AE520" s="250"/>
      <c r="AF520" s="250"/>
      <c r="AG520" s="241"/>
    </row>
    <row r="521" spans="1:33" ht="15.75">
      <c r="A521" s="250" t="s">
        <v>959</v>
      </c>
      <c r="B521" s="250">
        <v>5</v>
      </c>
      <c r="C521" s="250">
        <v>167</v>
      </c>
      <c r="D521" s="250" t="s">
        <v>911</v>
      </c>
      <c r="E521" s="250">
        <v>1.5</v>
      </c>
      <c r="F521" s="251">
        <v>45114.475798611114</v>
      </c>
      <c r="G521" s="250">
        <v>1</v>
      </c>
      <c r="H521" s="250">
        <v>51.370800000000003</v>
      </c>
      <c r="I521" s="250">
        <v>6.6999700000000004</v>
      </c>
      <c r="J521" s="250">
        <v>-6.234864</v>
      </c>
      <c r="K521" s="250">
        <v>-5.3975239999999998</v>
      </c>
      <c r="L521" s="250">
        <v>1037.18</v>
      </c>
      <c r="M521" s="250">
        <v>120.99895100000001</v>
      </c>
      <c r="N521" s="250">
        <v>18448.973000000002</v>
      </c>
      <c r="O521" s="250">
        <v>18492.331300000002</v>
      </c>
      <c r="P521" s="250">
        <v>2042.35321</v>
      </c>
      <c r="Q521" s="250" t="s">
        <v>18</v>
      </c>
      <c r="R521" s="250" t="s">
        <v>647</v>
      </c>
      <c r="S521" s="250" t="s">
        <v>21</v>
      </c>
      <c r="T521" s="250">
        <v>15</v>
      </c>
      <c r="U521" s="250">
        <v>5</v>
      </c>
      <c r="V521" s="250">
        <v>0.7</v>
      </c>
      <c r="W521" s="250">
        <v>0.7</v>
      </c>
      <c r="X521" s="250">
        <v>0.7</v>
      </c>
      <c r="Y521" s="250">
        <v>1700</v>
      </c>
      <c r="Z521" s="250" t="s">
        <v>840</v>
      </c>
      <c r="AA521" s="250">
        <v>0.85</v>
      </c>
      <c r="AB521" s="250" t="s">
        <v>841</v>
      </c>
      <c r="AC521" s="250" t="s">
        <v>842</v>
      </c>
      <c r="AD521" s="250">
        <v>220</v>
      </c>
      <c r="AE521" s="250"/>
      <c r="AF521" s="250"/>
      <c r="AG521" s="241"/>
    </row>
    <row r="522" spans="1:33" ht="15.75">
      <c r="A522" s="250" t="s">
        <v>960</v>
      </c>
      <c r="B522" s="250">
        <v>5</v>
      </c>
      <c r="C522" s="250">
        <v>167</v>
      </c>
      <c r="D522" s="250" t="s">
        <v>911</v>
      </c>
      <c r="E522" s="250">
        <v>1.5</v>
      </c>
      <c r="F522" s="251">
        <v>45114.479375000003</v>
      </c>
      <c r="G522" s="250">
        <v>1</v>
      </c>
      <c r="H522" s="250">
        <v>51.374099999999999</v>
      </c>
      <c r="I522" s="250">
        <v>6.7011399999999997</v>
      </c>
      <c r="J522" s="250">
        <v>-6.2686729999999997</v>
      </c>
      <c r="K522" s="250">
        <v>-5.4247480000000001</v>
      </c>
      <c r="L522" s="250">
        <v>1038.71</v>
      </c>
      <c r="M522" s="250">
        <v>115.499841</v>
      </c>
      <c r="N522" s="250">
        <v>18494.127899999999</v>
      </c>
      <c r="O522" s="250">
        <v>18492.331300000002</v>
      </c>
      <c r="P522" s="250">
        <v>2042.35321</v>
      </c>
      <c r="Q522" s="250" t="s">
        <v>18</v>
      </c>
      <c r="R522" s="250" t="s">
        <v>839</v>
      </c>
      <c r="S522" s="250" t="s">
        <v>21</v>
      </c>
      <c r="T522" s="250">
        <v>15</v>
      </c>
      <c r="U522" s="250">
        <v>5</v>
      </c>
      <c r="V522" s="250">
        <v>0.7</v>
      </c>
      <c r="W522" s="250">
        <v>0.7</v>
      </c>
      <c r="X522" s="250">
        <v>0.7</v>
      </c>
      <c r="Y522" s="250">
        <v>1700</v>
      </c>
      <c r="Z522" s="250" t="s">
        <v>840</v>
      </c>
      <c r="AA522" s="250">
        <v>0.85</v>
      </c>
      <c r="AB522" s="250" t="s">
        <v>841</v>
      </c>
      <c r="AC522" s="250" t="s">
        <v>842</v>
      </c>
      <c r="AD522" s="250">
        <v>220</v>
      </c>
      <c r="AE522" s="250"/>
      <c r="AF522" s="250"/>
      <c r="AG522" s="241"/>
    </row>
    <row r="523" spans="1:33" ht="15.75">
      <c r="A523" s="250" t="s">
        <v>961</v>
      </c>
      <c r="B523" s="250">
        <v>5</v>
      </c>
      <c r="C523" s="250">
        <v>167</v>
      </c>
      <c r="D523" s="250" t="s">
        <v>911</v>
      </c>
      <c r="E523" s="250">
        <v>1.5</v>
      </c>
      <c r="F523" s="251">
        <v>45114.482870370368</v>
      </c>
      <c r="G523" s="250">
        <v>1</v>
      </c>
      <c r="H523" s="250">
        <v>51.370800000000003</v>
      </c>
      <c r="I523" s="250">
        <v>6.6859999999999999</v>
      </c>
      <c r="J523" s="250">
        <v>-6.3427470000000001</v>
      </c>
      <c r="K523" s="250">
        <v>-5.5044680000000001</v>
      </c>
      <c r="L523" s="250">
        <v>1035.73</v>
      </c>
      <c r="M523" s="250">
        <v>144.000044</v>
      </c>
      <c r="N523" s="250">
        <v>18527.893400000001</v>
      </c>
      <c r="O523" s="250">
        <v>18492.331300000002</v>
      </c>
      <c r="P523" s="250">
        <v>2042.35321</v>
      </c>
      <c r="Q523" s="250" t="s">
        <v>18</v>
      </c>
      <c r="R523" s="250" t="s">
        <v>647</v>
      </c>
      <c r="S523" s="250" t="s">
        <v>21</v>
      </c>
      <c r="T523" s="250">
        <v>15</v>
      </c>
      <c r="U523" s="250">
        <v>5</v>
      </c>
      <c r="V523" s="250">
        <v>0.7</v>
      </c>
      <c r="W523" s="250">
        <v>0.7</v>
      </c>
      <c r="X523" s="250">
        <v>0.7</v>
      </c>
      <c r="Y523" s="250">
        <v>1700</v>
      </c>
      <c r="Z523" s="250" t="s">
        <v>840</v>
      </c>
      <c r="AA523" s="250">
        <v>0.85</v>
      </c>
      <c r="AB523" s="250" t="s">
        <v>841</v>
      </c>
      <c r="AC523" s="250" t="s">
        <v>842</v>
      </c>
      <c r="AD523" s="250">
        <v>220</v>
      </c>
      <c r="AE523" s="250"/>
      <c r="AF523" s="250"/>
      <c r="AG523" s="241"/>
    </row>
    <row r="524" spans="1:33" ht="15.75">
      <c r="A524" s="250" t="s">
        <v>1019</v>
      </c>
      <c r="B524" s="250">
        <v>5</v>
      </c>
      <c r="C524" s="250">
        <v>167</v>
      </c>
      <c r="D524" s="250" t="s">
        <v>911</v>
      </c>
      <c r="E524" s="250">
        <v>1.5</v>
      </c>
      <c r="F524" s="251">
        <v>45114.486701388887</v>
      </c>
      <c r="G524" s="250">
        <v>1</v>
      </c>
      <c r="H524" s="250">
        <v>51.374099999999999</v>
      </c>
      <c r="I524" s="250">
        <v>6.7359999999999998</v>
      </c>
      <c r="J524" s="250">
        <v>-6.3201460000000003</v>
      </c>
      <c r="K524" s="250">
        <v>-5.4720040000000001</v>
      </c>
      <c r="L524" s="250">
        <v>1034.05</v>
      </c>
      <c r="M524" s="250">
        <v>113.99804399999999</v>
      </c>
      <c r="N524" s="250">
        <v>18492.440200000001</v>
      </c>
      <c r="O524" s="250">
        <v>18492.331300000002</v>
      </c>
      <c r="P524" s="250">
        <v>2042.35321</v>
      </c>
      <c r="Q524" s="250" t="s">
        <v>18</v>
      </c>
      <c r="R524" s="250" t="s">
        <v>839</v>
      </c>
      <c r="S524" s="250" t="s">
        <v>21</v>
      </c>
      <c r="T524" s="250">
        <v>15</v>
      </c>
      <c r="U524" s="250">
        <v>5</v>
      </c>
      <c r="V524" s="250">
        <v>0.7</v>
      </c>
      <c r="W524" s="250">
        <v>0.7</v>
      </c>
      <c r="X524" s="250">
        <v>0.7</v>
      </c>
      <c r="Y524" s="250">
        <v>1700</v>
      </c>
      <c r="Z524" s="250" t="s">
        <v>840</v>
      </c>
      <c r="AA524" s="250">
        <v>0.85</v>
      </c>
      <c r="AB524" s="250" t="s">
        <v>841</v>
      </c>
      <c r="AC524" s="250" t="s">
        <v>842</v>
      </c>
      <c r="AD524" s="250">
        <v>220</v>
      </c>
      <c r="AE524" s="250"/>
      <c r="AF524" s="250"/>
      <c r="AG524" s="241"/>
    </row>
    <row r="525" spans="1:33" ht="15.75">
      <c r="A525" s="250" t="s">
        <v>857</v>
      </c>
      <c r="B525" s="250">
        <v>6</v>
      </c>
      <c r="C525" s="250">
        <v>161</v>
      </c>
      <c r="D525" s="250" t="s">
        <v>915</v>
      </c>
      <c r="E525" s="250">
        <v>1.5</v>
      </c>
      <c r="F525" s="251">
        <v>45114.490706018521</v>
      </c>
      <c r="G525" s="250">
        <v>1</v>
      </c>
      <c r="H525" s="250">
        <v>51.377400000000002</v>
      </c>
      <c r="I525" s="250">
        <v>6.7513399999999999</v>
      </c>
      <c r="J525" s="250">
        <v>-6.3133720000000002</v>
      </c>
      <c r="K525" s="250">
        <v>-5.4802390000000001</v>
      </c>
      <c r="L525" s="250">
        <v>1025.43</v>
      </c>
      <c r="M525" s="250">
        <v>119.499138</v>
      </c>
      <c r="N525" s="250">
        <v>18476.350399999999</v>
      </c>
      <c r="O525" s="250">
        <v>18464.6662</v>
      </c>
      <c r="P525" s="250">
        <v>2039.29403</v>
      </c>
      <c r="Q525" s="250" t="s">
        <v>18</v>
      </c>
      <c r="R525" s="250" t="s">
        <v>839</v>
      </c>
      <c r="S525" s="250" t="s">
        <v>21</v>
      </c>
      <c r="T525" s="250">
        <v>15</v>
      </c>
      <c r="U525" s="250">
        <v>5</v>
      </c>
      <c r="V525" s="250">
        <v>0.7</v>
      </c>
      <c r="W525" s="250">
        <v>0.7</v>
      </c>
      <c r="X525" s="250">
        <v>0.7</v>
      </c>
      <c r="Y525" s="250">
        <v>1700</v>
      </c>
      <c r="Z525" s="250" t="s">
        <v>840</v>
      </c>
      <c r="AA525" s="250">
        <v>0.85</v>
      </c>
      <c r="AB525" s="250" t="s">
        <v>841</v>
      </c>
      <c r="AC525" s="250" t="s">
        <v>842</v>
      </c>
      <c r="AD525" s="250">
        <v>220</v>
      </c>
      <c r="AE525" s="250"/>
      <c r="AF525" s="250"/>
      <c r="AG525" s="241"/>
    </row>
    <row r="526" spans="1:33" ht="15.75">
      <c r="A526" s="250" t="s">
        <v>962</v>
      </c>
      <c r="B526" s="250">
        <v>6</v>
      </c>
      <c r="C526" s="250">
        <v>161</v>
      </c>
      <c r="D526" s="250" t="s">
        <v>915</v>
      </c>
      <c r="E526" s="250">
        <v>1.5</v>
      </c>
      <c r="F526" s="251">
        <v>45114.494247685187</v>
      </c>
      <c r="G526" s="250">
        <v>1</v>
      </c>
      <c r="H526" s="250">
        <v>51.370800000000003</v>
      </c>
      <c r="I526" s="250">
        <v>6.8169199999999996</v>
      </c>
      <c r="J526" s="250">
        <v>-6.3457889999999999</v>
      </c>
      <c r="K526" s="250">
        <v>-5.5000349999999996</v>
      </c>
      <c r="L526" s="250">
        <v>1032.95</v>
      </c>
      <c r="M526" s="250">
        <v>123.49934399999999</v>
      </c>
      <c r="N526" s="250">
        <v>18473.819500000001</v>
      </c>
      <c r="O526" s="250">
        <v>18464.6662</v>
      </c>
      <c r="P526" s="250">
        <v>2039.29403</v>
      </c>
      <c r="Q526" s="250" t="s">
        <v>18</v>
      </c>
      <c r="R526" s="250" t="s">
        <v>839</v>
      </c>
      <c r="S526" s="250" t="s">
        <v>21</v>
      </c>
      <c r="T526" s="250">
        <v>15</v>
      </c>
      <c r="U526" s="250">
        <v>5</v>
      </c>
      <c r="V526" s="250">
        <v>0.7</v>
      </c>
      <c r="W526" s="250">
        <v>0.7</v>
      </c>
      <c r="X526" s="250">
        <v>0.7</v>
      </c>
      <c r="Y526" s="250">
        <v>1700</v>
      </c>
      <c r="Z526" s="250" t="s">
        <v>840</v>
      </c>
      <c r="AA526" s="250">
        <v>0.85</v>
      </c>
      <c r="AB526" s="250" t="s">
        <v>841</v>
      </c>
      <c r="AC526" s="250" t="s">
        <v>842</v>
      </c>
      <c r="AD526" s="250">
        <v>220</v>
      </c>
      <c r="AE526" s="250"/>
      <c r="AF526" s="250"/>
      <c r="AG526" s="241"/>
    </row>
    <row r="527" spans="1:33" ht="15.75">
      <c r="A527" s="250" t="s">
        <v>963</v>
      </c>
      <c r="B527" s="250">
        <v>6</v>
      </c>
      <c r="C527" s="250">
        <v>161</v>
      </c>
      <c r="D527" s="250" t="s">
        <v>915</v>
      </c>
      <c r="E527" s="250">
        <v>1.5</v>
      </c>
      <c r="F527" s="251">
        <v>45114.497870370367</v>
      </c>
      <c r="G527" s="250">
        <v>1</v>
      </c>
      <c r="H527" s="250">
        <v>51.370800000000003</v>
      </c>
      <c r="I527" s="250">
        <v>6.8323299999999998</v>
      </c>
      <c r="J527" s="250">
        <v>-6.3419610000000004</v>
      </c>
      <c r="K527" s="250">
        <v>-5.5104689999999996</v>
      </c>
      <c r="L527" s="250">
        <v>1033.04</v>
      </c>
      <c r="M527" s="250">
        <v>130.49944199999999</v>
      </c>
      <c r="N527" s="250">
        <v>18443.828600000001</v>
      </c>
      <c r="O527" s="250">
        <v>18464.6662</v>
      </c>
      <c r="P527" s="250">
        <v>2039.29403</v>
      </c>
      <c r="Q527" s="250" t="s">
        <v>18</v>
      </c>
      <c r="R527" s="250" t="s">
        <v>839</v>
      </c>
      <c r="S527" s="250" t="s">
        <v>21</v>
      </c>
      <c r="T527" s="250">
        <v>15</v>
      </c>
      <c r="U527" s="250">
        <v>5</v>
      </c>
      <c r="V527" s="250">
        <v>0.7</v>
      </c>
      <c r="W527" s="250">
        <v>0.7</v>
      </c>
      <c r="X527" s="250">
        <v>0.7</v>
      </c>
      <c r="Y527" s="250">
        <v>1700</v>
      </c>
      <c r="Z527" s="250" t="s">
        <v>840</v>
      </c>
      <c r="AA527" s="250">
        <v>0.85</v>
      </c>
      <c r="AB527" s="250" t="s">
        <v>841</v>
      </c>
      <c r="AC527" s="250" t="s">
        <v>842</v>
      </c>
      <c r="AD527" s="250">
        <v>220</v>
      </c>
      <c r="AE527" s="250"/>
      <c r="AF527" s="250"/>
      <c r="AG527" s="241"/>
    </row>
    <row r="528" spans="1:33" ht="15.75">
      <c r="A528" s="250" t="s">
        <v>858</v>
      </c>
      <c r="B528" s="250">
        <v>7</v>
      </c>
      <c r="C528" s="250">
        <v>160</v>
      </c>
      <c r="D528" s="250" t="s">
        <v>926</v>
      </c>
      <c r="E528" s="250">
        <v>1.5</v>
      </c>
      <c r="F528" s="251">
        <v>45114.50209490741</v>
      </c>
      <c r="G528" s="250">
        <v>1</v>
      </c>
      <c r="H528" s="250">
        <v>51.370800000000003</v>
      </c>
      <c r="I528" s="250">
        <v>6.6874399999999996</v>
      </c>
      <c r="J528" s="250">
        <v>-6.3895840000000002</v>
      </c>
      <c r="K528" s="250">
        <v>-5.544969</v>
      </c>
      <c r="L528" s="250">
        <v>1036.5</v>
      </c>
      <c r="M528" s="250">
        <v>129.000046</v>
      </c>
      <c r="N528" s="250">
        <v>18549.475600000002</v>
      </c>
      <c r="O528" s="250">
        <v>18564.075799999999</v>
      </c>
      <c r="P528" s="250">
        <v>2050.2865999999999</v>
      </c>
      <c r="Q528" s="250" t="s">
        <v>18</v>
      </c>
      <c r="R528" s="250" t="s">
        <v>839</v>
      </c>
      <c r="S528" s="250" t="s">
        <v>21</v>
      </c>
      <c r="T528" s="250">
        <v>15</v>
      </c>
      <c r="U528" s="250">
        <v>5</v>
      </c>
      <c r="V528" s="250">
        <v>0.7</v>
      </c>
      <c r="W528" s="250">
        <v>0.7</v>
      </c>
      <c r="X528" s="250">
        <v>0.7</v>
      </c>
      <c r="Y528" s="250">
        <v>1700</v>
      </c>
      <c r="Z528" s="250" t="s">
        <v>840</v>
      </c>
      <c r="AA528" s="250">
        <v>0.85</v>
      </c>
      <c r="AB528" s="250" t="s">
        <v>841</v>
      </c>
      <c r="AC528" s="250" t="s">
        <v>842</v>
      </c>
      <c r="AD528" s="250">
        <v>220</v>
      </c>
      <c r="AE528" s="250"/>
      <c r="AF528" s="250"/>
      <c r="AG528" s="241"/>
    </row>
    <row r="529" spans="1:33" ht="15.75">
      <c r="A529" s="250" t="s">
        <v>966</v>
      </c>
      <c r="B529" s="250">
        <v>7</v>
      </c>
      <c r="C529" s="250">
        <v>160</v>
      </c>
      <c r="D529" s="250" t="s">
        <v>926</v>
      </c>
      <c r="E529" s="250">
        <v>1.5</v>
      </c>
      <c r="F529" s="251">
        <v>45114.505740740744</v>
      </c>
      <c r="G529" s="250">
        <v>1</v>
      </c>
      <c r="H529" s="250">
        <v>51.374099999999999</v>
      </c>
      <c r="I529" s="250">
        <v>6.7084400000000004</v>
      </c>
      <c r="J529" s="250">
        <v>-6.3010910000000004</v>
      </c>
      <c r="K529" s="250">
        <v>-5.4712560000000003</v>
      </c>
      <c r="L529" s="250">
        <v>1045.1099999999999</v>
      </c>
      <c r="M529" s="250">
        <v>115.000873</v>
      </c>
      <c r="N529" s="250">
        <v>18567.747500000001</v>
      </c>
      <c r="O529" s="250">
        <v>18564.075799999999</v>
      </c>
      <c r="P529" s="250">
        <v>2050.2865999999999</v>
      </c>
      <c r="Q529" s="250" t="s">
        <v>18</v>
      </c>
      <c r="R529" s="250" t="s">
        <v>839</v>
      </c>
      <c r="S529" s="250" t="s">
        <v>21</v>
      </c>
      <c r="T529" s="250">
        <v>15</v>
      </c>
      <c r="U529" s="250">
        <v>5</v>
      </c>
      <c r="V529" s="250">
        <v>0.7</v>
      </c>
      <c r="W529" s="250">
        <v>0.7</v>
      </c>
      <c r="X529" s="250">
        <v>0.7</v>
      </c>
      <c r="Y529" s="250">
        <v>1700</v>
      </c>
      <c r="Z529" s="250" t="s">
        <v>840</v>
      </c>
      <c r="AA529" s="250">
        <v>0.85</v>
      </c>
      <c r="AB529" s="250" t="s">
        <v>841</v>
      </c>
      <c r="AC529" s="250" t="s">
        <v>842</v>
      </c>
      <c r="AD529" s="250">
        <v>220</v>
      </c>
      <c r="AE529" s="250"/>
      <c r="AF529" s="250"/>
      <c r="AG529" s="241"/>
    </row>
    <row r="530" spans="1:33" ht="15.75">
      <c r="A530" s="250" t="s">
        <v>967</v>
      </c>
      <c r="B530" s="250">
        <v>7</v>
      </c>
      <c r="C530" s="250">
        <v>160</v>
      </c>
      <c r="D530" s="250" t="s">
        <v>926</v>
      </c>
      <c r="E530" s="250">
        <v>1.5</v>
      </c>
      <c r="F530" s="251">
        <v>45114.509259259263</v>
      </c>
      <c r="G530" s="250">
        <v>1</v>
      </c>
      <c r="H530" s="250">
        <v>51.370800000000003</v>
      </c>
      <c r="I530" s="250">
        <v>6.75183</v>
      </c>
      <c r="J530" s="250">
        <v>-6.3191059999999997</v>
      </c>
      <c r="K530" s="250">
        <v>-5.4729720000000004</v>
      </c>
      <c r="L530" s="250">
        <v>1034.81</v>
      </c>
      <c r="M530" s="250">
        <v>121.50134300000001</v>
      </c>
      <c r="N530" s="250">
        <v>18575.004099999998</v>
      </c>
      <c r="O530" s="250">
        <v>18564.075799999999</v>
      </c>
      <c r="P530" s="250">
        <v>2050.2865999999999</v>
      </c>
      <c r="Q530" s="250" t="s">
        <v>18</v>
      </c>
      <c r="R530" s="250" t="s">
        <v>839</v>
      </c>
      <c r="S530" s="250" t="s">
        <v>21</v>
      </c>
      <c r="T530" s="250">
        <v>15</v>
      </c>
      <c r="U530" s="250">
        <v>5</v>
      </c>
      <c r="V530" s="250">
        <v>0.7</v>
      </c>
      <c r="W530" s="250">
        <v>0.7</v>
      </c>
      <c r="X530" s="250">
        <v>0.7</v>
      </c>
      <c r="Y530" s="250">
        <v>1700</v>
      </c>
      <c r="Z530" s="250" t="s">
        <v>840</v>
      </c>
      <c r="AA530" s="250">
        <v>0.85</v>
      </c>
      <c r="AB530" s="250" t="s">
        <v>841</v>
      </c>
      <c r="AC530" s="250" t="s">
        <v>842</v>
      </c>
      <c r="AD530" s="250">
        <v>220</v>
      </c>
      <c r="AE530" s="250"/>
      <c r="AF530" s="250"/>
      <c r="AG530" s="241"/>
    </row>
    <row r="531" spans="1:33" ht="15.75">
      <c r="A531" s="250" t="s">
        <v>859</v>
      </c>
      <c r="B531" s="250">
        <v>8</v>
      </c>
      <c r="C531" s="250">
        <v>155</v>
      </c>
      <c r="D531" s="250" t="s">
        <v>930</v>
      </c>
      <c r="E531" s="250">
        <v>1.5</v>
      </c>
      <c r="F531" s="251">
        <v>45114.513356481482</v>
      </c>
      <c r="G531" s="250">
        <v>1</v>
      </c>
      <c r="H531" s="250">
        <v>51.377400000000002</v>
      </c>
      <c r="I531" s="250">
        <v>6.7135699999999998</v>
      </c>
      <c r="J531" s="250">
        <v>-6.3969240000000003</v>
      </c>
      <c r="K531" s="250">
        <v>-5.552657</v>
      </c>
      <c r="L531" s="250">
        <v>1048.92</v>
      </c>
      <c r="M531" s="250">
        <v>118.000024</v>
      </c>
      <c r="N531" s="250">
        <v>18627.360499999999</v>
      </c>
      <c r="O531" s="250">
        <v>18612.173200000001</v>
      </c>
      <c r="P531" s="250">
        <v>2055.6051499999999</v>
      </c>
      <c r="Q531" s="250" t="s">
        <v>18</v>
      </c>
      <c r="R531" s="250" t="s">
        <v>839</v>
      </c>
      <c r="S531" s="250" t="s">
        <v>21</v>
      </c>
      <c r="T531" s="250">
        <v>15</v>
      </c>
      <c r="U531" s="250">
        <v>5</v>
      </c>
      <c r="V531" s="250">
        <v>0.7</v>
      </c>
      <c r="W531" s="250">
        <v>0.7</v>
      </c>
      <c r="X531" s="250">
        <v>0.7</v>
      </c>
      <c r="Y531" s="250">
        <v>1700</v>
      </c>
      <c r="Z531" s="250" t="s">
        <v>840</v>
      </c>
      <c r="AA531" s="250">
        <v>0.85</v>
      </c>
      <c r="AB531" s="250" t="s">
        <v>841</v>
      </c>
      <c r="AC531" s="250" t="s">
        <v>842</v>
      </c>
      <c r="AD531" s="250">
        <v>220</v>
      </c>
      <c r="AE531" s="250"/>
      <c r="AF531" s="250"/>
      <c r="AG531" s="241"/>
    </row>
    <row r="532" spans="1:33" ht="15.75">
      <c r="A532" s="250" t="s">
        <v>968</v>
      </c>
      <c r="B532" s="250">
        <v>8</v>
      </c>
      <c r="C532" s="250">
        <v>155</v>
      </c>
      <c r="D532" s="250" t="s">
        <v>930</v>
      </c>
      <c r="E532" s="250">
        <v>1.5</v>
      </c>
      <c r="F532" s="251">
        <v>45114.516909722224</v>
      </c>
      <c r="G532" s="250">
        <v>1</v>
      </c>
      <c r="H532" s="250">
        <v>51.370800000000003</v>
      </c>
      <c r="I532" s="250">
        <v>6.7075199999999997</v>
      </c>
      <c r="J532" s="250">
        <v>-6.3777460000000001</v>
      </c>
      <c r="K532" s="250">
        <v>-5.5320600000000004</v>
      </c>
      <c r="L532" s="250">
        <v>1033.8399999999999</v>
      </c>
      <c r="M532" s="250">
        <v>119.000962</v>
      </c>
      <c r="N532" s="250">
        <v>18576.580399999999</v>
      </c>
      <c r="O532" s="250">
        <v>18612.173200000001</v>
      </c>
      <c r="P532" s="250">
        <v>2055.6051499999999</v>
      </c>
      <c r="Q532" s="250" t="s">
        <v>18</v>
      </c>
      <c r="R532" s="250" t="s">
        <v>647</v>
      </c>
      <c r="S532" s="250" t="s">
        <v>21</v>
      </c>
      <c r="T532" s="250">
        <v>15</v>
      </c>
      <c r="U532" s="250">
        <v>5</v>
      </c>
      <c r="V532" s="250">
        <v>0.7</v>
      </c>
      <c r="W532" s="250">
        <v>0.7</v>
      </c>
      <c r="X532" s="250">
        <v>0.7</v>
      </c>
      <c r="Y532" s="250">
        <v>1700</v>
      </c>
      <c r="Z532" s="250" t="s">
        <v>840</v>
      </c>
      <c r="AA532" s="250">
        <v>0.85</v>
      </c>
      <c r="AB532" s="250" t="s">
        <v>841</v>
      </c>
      <c r="AC532" s="250" t="s">
        <v>842</v>
      </c>
      <c r="AD532" s="250">
        <v>220</v>
      </c>
      <c r="AE532" s="250"/>
      <c r="AF532" s="250"/>
      <c r="AG532" s="241"/>
    </row>
    <row r="533" spans="1:33" ht="15.75">
      <c r="A533" s="250" t="s">
        <v>969</v>
      </c>
      <c r="B533" s="250">
        <v>8</v>
      </c>
      <c r="C533" s="250">
        <v>155</v>
      </c>
      <c r="D533" s="250" t="s">
        <v>930</v>
      </c>
      <c r="E533" s="250">
        <v>1.5</v>
      </c>
      <c r="F533" s="251">
        <v>45114.520451388889</v>
      </c>
      <c r="G533" s="250">
        <v>1</v>
      </c>
      <c r="H533" s="250">
        <v>51.374099999999999</v>
      </c>
      <c r="I533" s="250">
        <v>6.7314400000000001</v>
      </c>
      <c r="J533" s="250">
        <v>-6.3927500000000004</v>
      </c>
      <c r="K533" s="250">
        <v>-5.5465689999999999</v>
      </c>
      <c r="L533" s="250">
        <v>1044.1600000000001</v>
      </c>
      <c r="M533" s="250">
        <v>129.999413</v>
      </c>
      <c r="N533" s="250">
        <v>18610.314299999998</v>
      </c>
      <c r="O533" s="250">
        <v>18612.173200000001</v>
      </c>
      <c r="P533" s="250">
        <v>2055.6051499999999</v>
      </c>
      <c r="Q533" s="250" t="s">
        <v>18</v>
      </c>
      <c r="R533" s="250" t="s">
        <v>839</v>
      </c>
      <c r="S533" s="250" t="s">
        <v>21</v>
      </c>
      <c r="T533" s="250">
        <v>15</v>
      </c>
      <c r="U533" s="250">
        <v>5</v>
      </c>
      <c r="V533" s="250">
        <v>0.7</v>
      </c>
      <c r="W533" s="250">
        <v>0.7</v>
      </c>
      <c r="X533" s="250">
        <v>0.7</v>
      </c>
      <c r="Y533" s="250">
        <v>1700</v>
      </c>
      <c r="Z533" s="250" t="s">
        <v>840</v>
      </c>
      <c r="AA533" s="250">
        <v>0.85</v>
      </c>
      <c r="AB533" s="250" t="s">
        <v>841</v>
      </c>
      <c r="AC533" s="250" t="s">
        <v>842</v>
      </c>
      <c r="AD533" s="250">
        <v>220</v>
      </c>
      <c r="AE533" s="250"/>
      <c r="AF533" s="250"/>
      <c r="AG533" s="241"/>
    </row>
    <row r="534" spans="1:33" ht="15.75">
      <c r="A534" s="250" t="s">
        <v>1081</v>
      </c>
      <c r="B534" s="250">
        <v>8</v>
      </c>
      <c r="C534" s="250">
        <v>155</v>
      </c>
      <c r="D534" s="250" t="s">
        <v>930</v>
      </c>
      <c r="E534" s="250">
        <v>1.5</v>
      </c>
      <c r="F534" s="251">
        <v>45114.524155092593</v>
      </c>
      <c r="G534" s="250">
        <v>1</v>
      </c>
      <c r="H534" s="250">
        <v>51.370800000000003</v>
      </c>
      <c r="I534" s="250">
        <v>6.7073099999999997</v>
      </c>
      <c r="J534" s="250">
        <v>-6.4414490000000004</v>
      </c>
      <c r="K534" s="250">
        <v>-5.5946210000000001</v>
      </c>
      <c r="L534" s="250">
        <v>1041.8699999999999</v>
      </c>
      <c r="M534" s="250">
        <v>121.500608</v>
      </c>
      <c r="N534" s="250">
        <v>18598.8449</v>
      </c>
      <c r="O534" s="250">
        <v>18612.173200000001</v>
      </c>
      <c r="P534" s="250">
        <v>2055.6051499999999</v>
      </c>
      <c r="Q534" s="250" t="s">
        <v>18</v>
      </c>
      <c r="R534" s="250" t="s">
        <v>839</v>
      </c>
      <c r="S534" s="250" t="s">
        <v>21</v>
      </c>
      <c r="T534" s="250">
        <v>15</v>
      </c>
      <c r="U534" s="250">
        <v>5</v>
      </c>
      <c r="V534" s="250">
        <v>0.7</v>
      </c>
      <c r="W534" s="250">
        <v>0.7</v>
      </c>
      <c r="X534" s="250">
        <v>0.7</v>
      </c>
      <c r="Y534" s="250">
        <v>1700</v>
      </c>
      <c r="Z534" s="250" t="s">
        <v>840</v>
      </c>
      <c r="AA534" s="250">
        <v>0.85</v>
      </c>
      <c r="AB534" s="250" t="s">
        <v>841</v>
      </c>
      <c r="AC534" s="250" t="s">
        <v>842</v>
      </c>
      <c r="AD534" s="250">
        <v>220</v>
      </c>
      <c r="AE534" s="250"/>
      <c r="AF534" s="250"/>
      <c r="AG534" s="241"/>
    </row>
    <row r="535" spans="1:33" ht="15.75">
      <c r="A535" s="250" t="s">
        <v>860</v>
      </c>
      <c r="B535" s="250">
        <v>9</v>
      </c>
      <c r="C535" s="250">
        <v>154</v>
      </c>
      <c r="D535" s="250" t="s">
        <v>936</v>
      </c>
      <c r="E535" s="250">
        <v>1.5</v>
      </c>
      <c r="F535" s="251">
        <v>45114.528217592589</v>
      </c>
      <c r="G535" s="250">
        <v>1</v>
      </c>
      <c r="H535" s="250">
        <v>51.374099999999999</v>
      </c>
      <c r="I535" s="250">
        <v>6.8201400000000003</v>
      </c>
      <c r="J535" s="250">
        <v>-6.239611</v>
      </c>
      <c r="K535" s="250">
        <v>-5.3961079999999999</v>
      </c>
      <c r="L535" s="250">
        <v>1036.6300000000001</v>
      </c>
      <c r="M535" s="250">
        <v>113.49869700000001</v>
      </c>
      <c r="N535" s="250">
        <v>18561.823899999999</v>
      </c>
      <c r="O535" s="250">
        <v>18568.311099999999</v>
      </c>
      <c r="P535" s="250">
        <v>2050.7549399999998</v>
      </c>
      <c r="Q535" s="250" t="s">
        <v>18</v>
      </c>
      <c r="R535" s="250" t="s">
        <v>839</v>
      </c>
      <c r="S535" s="250" t="s">
        <v>21</v>
      </c>
      <c r="T535" s="250">
        <v>15</v>
      </c>
      <c r="U535" s="250">
        <v>5</v>
      </c>
      <c r="V535" s="250">
        <v>0.7</v>
      </c>
      <c r="W535" s="250">
        <v>0.7</v>
      </c>
      <c r="X535" s="250">
        <v>0.7</v>
      </c>
      <c r="Y535" s="250">
        <v>1700</v>
      </c>
      <c r="Z535" s="250" t="s">
        <v>840</v>
      </c>
      <c r="AA535" s="250">
        <v>0.85</v>
      </c>
      <c r="AB535" s="250" t="s">
        <v>841</v>
      </c>
      <c r="AC535" s="250" t="s">
        <v>842</v>
      </c>
      <c r="AD535" s="250">
        <v>220</v>
      </c>
      <c r="AE535" s="250"/>
      <c r="AF535" s="250"/>
      <c r="AG535" s="241"/>
    </row>
    <row r="536" spans="1:33" ht="15.75">
      <c r="A536" s="250" t="s">
        <v>970</v>
      </c>
      <c r="B536" s="250">
        <v>9</v>
      </c>
      <c r="C536" s="250">
        <v>154</v>
      </c>
      <c r="D536" s="250" t="s">
        <v>936</v>
      </c>
      <c r="E536" s="250">
        <v>1.5</v>
      </c>
      <c r="F536" s="251">
        <v>45114.531724537039</v>
      </c>
      <c r="G536" s="250">
        <v>1</v>
      </c>
      <c r="H536" s="250">
        <v>51.370800000000003</v>
      </c>
      <c r="I536" s="250">
        <v>6.8697699999999999</v>
      </c>
      <c r="J536" s="250">
        <v>-6.4213709999999997</v>
      </c>
      <c r="K536" s="250">
        <v>-5.5860289999999999</v>
      </c>
      <c r="L536" s="250">
        <v>1037.8</v>
      </c>
      <c r="M536" s="250">
        <v>124.500635</v>
      </c>
      <c r="N536" s="250">
        <v>18571.6001</v>
      </c>
      <c r="O536" s="250">
        <v>18568.311099999999</v>
      </c>
      <c r="P536" s="250">
        <v>2050.7549399999998</v>
      </c>
      <c r="Q536" s="250" t="s">
        <v>18</v>
      </c>
      <c r="R536" s="250" t="s">
        <v>839</v>
      </c>
      <c r="S536" s="250" t="s">
        <v>21</v>
      </c>
      <c r="T536" s="250">
        <v>15</v>
      </c>
      <c r="U536" s="250">
        <v>5</v>
      </c>
      <c r="V536" s="250">
        <v>0.7</v>
      </c>
      <c r="W536" s="250">
        <v>0.7</v>
      </c>
      <c r="X536" s="250">
        <v>0.7</v>
      </c>
      <c r="Y536" s="250">
        <v>1700</v>
      </c>
      <c r="Z536" s="250" t="s">
        <v>840</v>
      </c>
      <c r="AA536" s="250">
        <v>0.85</v>
      </c>
      <c r="AB536" s="250" t="s">
        <v>841</v>
      </c>
      <c r="AC536" s="250" t="s">
        <v>842</v>
      </c>
      <c r="AD536" s="250">
        <v>220</v>
      </c>
      <c r="AE536" s="250"/>
      <c r="AF536" s="250"/>
      <c r="AG536" s="241"/>
    </row>
    <row r="537" spans="1:33" ht="15.75">
      <c r="A537" s="250" t="s">
        <v>971</v>
      </c>
      <c r="B537" s="250">
        <v>9</v>
      </c>
      <c r="C537" s="250">
        <v>154</v>
      </c>
      <c r="D537" s="250" t="s">
        <v>936</v>
      </c>
      <c r="E537" s="250">
        <v>1.5</v>
      </c>
      <c r="F537" s="251">
        <v>45114.535358796296</v>
      </c>
      <c r="G537" s="250">
        <v>1</v>
      </c>
      <c r="H537" s="250">
        <v>51.374099999999999</v>
      </c>
      <c r="I537" s="250">
        <v>6.9449199999999998</v>
      </c>
      <c r="J537" s="250">
        <v>-6.3557030000000001</v>
      </c>
      <c r="K537" s="250">
        <v>-5.5144900000000003</v>
      </c>
      <c r="L537" s="250">
        <v>1050.43</v>
      </c>
      <c r="M537" s="250">
        <v>128.00067300000001</v>
      </c>
      <c r="N537" s="250">
        <v>18571.5092</v>
      </c>
      <c r="O537" s="250">
        <v>18568.311099999999</v>
      </c>
      <c r="P537" s="250">
        <v>2050.7549399999998</v>
      </c>
      <c r="Q537" s="250" t="s">
        <v>18</v>
      </c>
      <c r="R537" s="250" t="s">
        <v>839</v>
      </c>
      <c r="S537" s="250" t="s">
        <v>21</v>
      </c>
      <c r="T537" s="250">
        <v>15</v>
      </c>
      <c r="U537" s="250">
        <v>5</v>
      </c>
      <c r="V537" s="250">
        <v>0.7</v>
      </c>
      <c r="W537" s="250">
        <v>0.7</v>
      </c>
      <c r="X537" s="250">
        <v>0.7</v>
      </c>
      <c r="Y537" s="250">
        <v>1700</v>
      </c>
      <c r="Z537" s="250" t="s">
        <v>840</v>
      </c>
      <c r="AA537" s="250">
        <v>0.85</v>
      </c>
      <c r="AB537" s="250" t="s">
        <v>841</v>
      </c>
      <c r="AC537" s="250" t="s">
        <v>842</v>
      </c>
      <c r="AD537" s="250">
        <v>220</v>
      </c>
      <c r="AE537" s="250"/>
      <c r="AF537" s="250"/>
      <c r="AG537" s="241"/>
    </row>
    <row r="538" spans="1:33" ht="15.75">
      <c r="A538" s="250" t="s">
        <v>861</v>
      </c>
      <c r="B538" s="250">
        <v>10</v>
      </c>
      <c r="C538" s="250" t="s">
        <v>1087</v>
      </c>
      <c r="D538" s="250" t="s">
        <v>838</v>
      </c>
      <c r="E538" s="250">
        <v>1.5</v>
      </c>
      <c r="F538" s="251">
        <v>45114.539490740739</v>
      </c>
      <c r="G538" s="250">
        <v>1</v>
      </c>
      <c r="H538" s="250">
        <v>51.370800000000003</v>
      </c>
      <c r="I538" s="250">
        <v>6.7964799999999999</v>
      </c>
      <c r="J538" s="250">
        <v>-6.4307109999999996</v>
      </c>
      <c r="K538" s="250">
        <v>-5.5850350000000004</v>
      </c>
      <c r="L538" s="250">
        <v>1024.3900000000001</v>
      </c>
      <c r="M538" s="250">
        <v>140.00018800000001</v>
      </c>
      <c r="N538" s="250">
        <v>18342.909899999999</v>
      </c>
      <c r="O538" s="250">
        <v>18343.007699999998</v>
      </c>
      <c r="P538" s="250">
        <v>2025.8728599999999</v>
      </c>
      <c r="Q538" s="250" t="s">
        <v>18</v>
      </c>
      <c r="R538" s="250" t="s">
        <v>839</v>
      </c>
      <c r="S538" s="250" t="s">
        <v>21</v>
      </c>
      <c r="T538" s="250">
        <v>15</v>
      </c>
      <c r="U538" s="250">
        <v>5</v>
      </c>
      <c r="V538" s="250">
        <v>0.7</v>
      </c>
      <c r="W538" s="250">
        <v>0.7</v>
      </c>
      <c r="X538" s="250">
        <v>0.7</v>
      </c>
      <c r="Y538" s="250">
        <v>1700</v>
      </c>
      <c r="Z538" s="250" t="s">
        <v>840</v>
      </c>
      <c r="AA538" s="250">
        <v>0.85</v>
      </c>
      <c r="AB538" s="250" t="s">
        <v>841</v>
      </c>
      <c r="AC538" s="250" t="s">
        <v>842</v>
      </c>
      <c r="AD538" s="250">
        <v>220</v>
      </c>
      <c r="AE538" s="250"/>
      <c r="AF538" s="250"/>
      <c r="AG538" s="241"/>
    </row>
    <row r="539" spans="1:33" ht="15.75">
      <c r="A539" s="250" t="s">
        <v>974</v>
      </c>
      <c r="B539" s="250">
        <v>10</v>
      </c>
      <c r="C539" s="250" t="s">
        <v>1087</v>
      </c>
      <c r="D539" s="250" t="s">
        <v>838</v>
      </c>
      <c r="E539" s="250">
        <v>1.5</v>
      </c>
      <c r="F539" s="251">
        <v>45114.543275462966</v>
      </c>
      <c r="G539" s="250">
        <v>1</v>
      </c>
      <c r="H539" s="250">
        <v>51.370800000000003</v>
      </c>
      <c r="I539" s="250">
        <v>6.7440199999999999</v>
      </c>
      <c r="J539" s="250">
        <v>-6.3334469999999996</v>
      </c>
      <c r="K539" s="250">
        <v>-5.4848819999999998</v>
      </c>
      <c r="L539" s="250">
        <v>1031.0999999999999</v>
      </c>
      <c r="M539" s="250">
        <v>153.49892800000001</v>
      </c>
      <c r="N539" s="250">
        <v>18339.803</v>
      </c>
      <c r="O539" s="250">
        <v>18343.007699999998</v>
      </c>
      <c r="P539" s="250">
        <v>2025.8728599999999</v>
      </c>
      <c r="Q539" s="250" t="s">
        <v>18</v>
      </c>
      <c r="R539" s="250" t="s">
        <v>839</v>
      </c>
      <c r="S539" s="250" t="s">
        <v>21</v>
      </c>
      <c r="T539" s="250">
        <v>15</v>
      </c>
      <c r="U539" s="250">
        <v>5</v>
      </c>
      <c r="V539" s="250">
        <v>0.7</v>
      </c>
      <c r="W539" s="250">
        <v>0.7</v>
      </c>
      <c r="X539" s="250">
        <v>0.7</v>
      </c>
      <c r="Y539" s="250">
        <v>1700</v>
      </c>
      <c r="Z539" s="250" t="s">
        <v>840</v>
      </c>
      <c r="AA539" s="250">
        <v>0.85</v>
      </c>
      <c r="AB539" s="250" t="s">
        <v>841</v>
      </c>
      <c r="AC539" s="250" t="s">
        <v>842</v>
      </c>
      <c r="AD539" s="250">
        <v>220</v>
      </c>
      <c r="AE539" s="250"/>
      <c r="AF539" s="250"/>
      <c r="AG539" s="241"/>
    </row>
    <row r="540" spans="1:33" ht="15.75">
      <c r="A540" s="250" t="s">
        <v>975</v>
      </c>
      <c r="B540" s="250">
        <v>10</v>
      </c>
      <c r="C540" s="250" t="s">
        <v>1087</v>
      </c>
      <c r="D540" s="250" t="s">
        <v>838</v>
      </c>
      <c r="E540" s="250">
        <v>1.5</v>
      </c>
      <c r="F540" s="251">
        <v>45114.547233796293</v>
      </c>
      <c r="G540" s="250">
        <v>1</v>
      </c>
      <c r="H540" s="250">
        <v>51.3675</v>
      </c>
      <c r="I540" s="250">
        <v>6.8114100000000004</v>
      </c>
      <c r="J540" s="250">
        <v>-6.161397</v>
      </c>
      <c r="K540" s="250">
        <v>-5.3227270000000004</v>
      </c>
      <c r="L540" s="250">
        <v>1031.27</v>
      </c>
      <c r="M540" s="250">
        <v>119.999189</v>
      </c>
      <c r="N540" s="250">
        <v>18346.310300000001</v>
      </c>
      <c r="O540" s="250">
        <v>18343.007699999998</v>
      </c>
      <c r="P540" s="250">
        <v>2025.8728599999999</v>
      </c>
      <c r="Q540" s="250">
        <v>2028.23</v>
      </c>
      <c r="R540" s="250" t="s">
        <v>839</v>
      </c>
      <c r="S540" s="250" t="s">
        <v>21</v>
      </c>
      <c r="T540" s="250">
        <v>15</v>
      </c>
      <c r="U540" s="250">
        <v>5</v>
      </c>
      <c r="V540" s="250">
        <v>0.7</v>
      </c>
      <c r="W540" s="250">
        <v>0.7</v>
      </c>
      <c r="X540" s="250">
        <v>0.7</v>
      </c>
      <c r="Y540" s="250">
        <v>1700</v>
      </c>
      <c r="Z540" s="250" t="s">
        <v>840</v>
      </c>
      <c r="AA540" s="250">
        <v>0.85</v>
      </c>
      <c r="AB540" s="250" t="s">
        <v>841</v>
      </c>
      <c r="AC540" s="250" t="s">
        <v>842</v>
      </c>
      <c r="AD540" s="250">
        <v>220</v>
      </c>
      <c r="AE540" s="250"/>
      <c r="AF540" s="250"/>
      <c r="AG540" s="241"/>
    </row>
    <row r="541" spans="1:33" ht="15.75">
      <c r="A541" s="250" t="s">
        <v>862</v>
      </c>
      <c r="B541" s="250">
        <v>11</v>
      </c>
      <c r="C541" s="250">
        <v>149</v>
      </c>
      <c r="D541" s="250" t="s">
        <v>898</v>
      </c>
      <c r="E541" s="250">
        <v>1.5</v>
      </c>
      <c r="F541" s="251">
        <v>45114.551296296297</v>
      </c>
      <c r="G541" s="250">
        <v>1</v>
      </c>
      <c r="H541" s="250">
        <v>51.3675</v>
      </c>
      <c r="I541" s="250">
        <v>6.8238500000000002</v>
      </c>
      <c r="J541" s="250">
        <v>-6.2555339999999999</v>
      </c>
      <c r="K541" s="250">
        <v>-5.4127890000000001</v>
      </c>
      <c r="L541" s="250">
        <v>1034.24</v>
      </c>
      <c r="M541" s="250">
        <v>138.000798</v>
      </c>
      <c r="N541" s="250">
        <v>18467.309600000001</v>
      </c>
      <c r="O541" s="250">
        <v>18465.078300000001</v>
      </c>
      <c r="P541" s="250">
        <v>2039.3396</v>
      </c>
      <c r="Q541" s="250">
        <v>2041.8320590000001</v>
      </c>
      <c r="R541" s="250" t="s">
        <v>839</v>
      </c>
      <c r="S541" s="250" t="s">
        <v>769</v>
      </c>
      <c r="T541" s="250">
        <v>15</v>
      </c>
      <c r="U541" s="250">
        <v>5</v>
      </c>
      <c r="V541" s="250">
        <v>0.7</v>
      </c>
      <c r="W541" s="250">
        <v>0.7</v>
      </c>
      <c r="X541" s="250">
        <v>0.7</v>
      </c>
      <c r="Y541" s="250">
        <v>1700</v>
      </c>
      <c r="Z541" s="250" t="s">
        <v>840</v>
      </c>
      <c r="AA541" s="250">
        <v>0.85</v>
      </c>
      <c r="AB541" s="250" t="s">
        <v>841</v>
      </c>
      <c r="AC541" s="250" t="s">
        <v>842</v>
      </c>
      <c r="AD541" s="250">
        <v>220</v>
      </c>
      <c r="AE541" s="250"/>
      <c r="AF541" s="250"/>
      <c r="AG541" s="241"/>
    </row>
    <row r="542" spans="1:33" ht="15.75">
      <c r="A542" s="250" t="s">
        <v>978</v>
      </c>
      <c r="B542" s="250">
        <v>11</v>
      </c>
      <c r="C542" s="250">
        <v>149</v>
      </c>
      <c r="D542" s="250" t="s">
        <v>898</v>
      </c>
      <c r="E542" s="250">
        <v>1.5</v>
      </c>
      <c r="F542" s="251">
        <v>45114.555034722223</v>
      </c>
      <c r="G542" s="250">
        <v>1</v>
      </c>
      <c r="H542" s="250">
        <v>51.370800000000003</v>
      </c>
      <c r="I542" s="250">
        <v>6.7664799999999996</v>
      </c>
      <c r="J542" s="250">
        <v>-6.4425679999999996</v>
      </c>
      <c r="K542" s="250">
        <v>-5.5980290000000004</v>
      </c>
      <c r="L542" s="250">
        <v>1051.43</v>
      </c>
      <c r="M542" s="250">
        <v>132.000362</v>
      </c>
      <c r="N542" s="250">
        <v>18455.065500000001</v>
      </c>
      <c r="O542" s="250">
        <v>18465.078300000001</v>
      </c>
      <c r="P542" s="250">
        <v>2039.3396</v>
      </c>
      <c r="Q542" s="250">
        <v>2041.8320590000001</v>
      </c>
      <c r="R542" s="250" t="s">
        <v>839</v>
      </c>
      <c r="S542" s="250" t="s">
        <v>769</v>
      </c>
      <c r="T542" s="250">
        <v>15</v>
      </c>
      <c r="U542" s="250">
        <v>5</v>
      </c>
      <c r="V542" s="250">
        <v>0.7</v>
      </c>
      <c r="W542" s="250">
        <v>0.7</v>
      </c>
      <c r="X542" s="250">
        <v>0.7</v>
      </c>
      <c r="Y542" s="250">
        <v>1700</v>
      </c>
      <c r="Z542" s="250" t="s">
        <v>840</v>
      </c>
      <c r="AA542" s="250">
        <v>0.85</v>
      </c>
      <c r="AB542" s="250" t="s">
        <v>841</v>
      </c>
      <c r="AC542" s="250" t="s">
        <v>842</v>
      </c>
      <c r="AD542" s="250">
        <v>220</v>
      </c>
      <c r="AE542" s="250"/>
      <c r="AF542" s="250"/>
      <c r="AG542" s="241"/>
    </row>
    <row r="543" spans="1:33" ht="15.75">
      <c r="A543" s="250" t="s">
        <v>979</v>
      </c>
      <c r="B543" s="250">
        <v>11</v>
      </c>
      <c r="C543" s="250">
        <v>149</v>
      </c>
      <c r="D543" s="250" t="s">
        <v>898</v>
      </c>
      <c r="E543" s="250">
        <v>1.5</v>
      </c>
      <c r="F543" s="251">
        <v>45114.558749999997</v>
      </c>
      <c r="G543" s="250">
        <v>1</v>
      </c>
      <c r="H543" s="250">
        <v>51.374099999999999</v>
      </c>
      <c r="I543" s="250">
        <v>6.7713799999999997</v>
      </c>
      <c r="J543" s="250">
        <v>-6.387505</v>
      </c>
      <c r="K543" s="250">
        <v>-5.5543170000000002</v>
      </c>
      <c r="L543" s="250">
        <v>1032.81</v>
      </c>
      <c r="M543" s="250">
        <v>119.998864</v>
      </c>
      <c r="N543" s="250">
        <v>18472.859700000001</v>
      </c>
      <c r="O543" s="250">
        <v>18465.078300000001</v>
      </c>
      <c r="P543" s="250">
        <v>2039.3396</v>
      </c>
      <c r="Q543" s="250">
        <v>2041.8320590000001</v>
      </c>
      <c r="R543" s="250" t="s">
        <v>839</v>
      </c>
      <c r="S543" s="250" t="s">
        <v>769</v>
      </c>
      <c r="T543" s="250">
        <v>15</v>
      </c>
      <c r="U543" s="250">
        <v>5</v>
      </c>
      <c r="V543" s="250">
        <v>0.7</v>
      </c>
      <c r="W543" s="250">
        <v>0.7</v>
      </c>
      <c r="X543" s="250">
        <v>0.7</v>
      </c>
      <c r="Y543" s="250">
        <v>1700</v>
      </c>
      <c r="Z543" s="250" t="s">
        <v>840</v>
      </c>
      <c r="AA543" s="250">
        <v>0.85</v>
      </c>
      <c r="AB543" s="250" t="s">
        <v>841</v>
      </c>
      <c r="AC543" s="250" t="s">
        <v>842</v>
      </c>
      <c r="AD543" s="250">
        <v>220</v>
      </c>
      <c r="AE543" s="250"/>
      <c r="AF543" s="250"/>
      <c r="AG543" s="241"/>
    </row>
    <row r="544" spans="1:33" ht="15.75">
      <c r="A544" s="250" t="s">
        <v>863</v>
      </c>
      <c r="B544" s="250">
        <v>12</v>
      </c>
      <c r="C544" s="250">
        <v>148</v>
      </c>
      <c r="D544" s="250" t="s">
        <v>902</v>
      </c>
      <c r="E544" s="250">
        <v>1.5</v>
      </c>
      <c r="F544" s="251">
        <v>45114.562800925924</v>
      </c>
      <c r="G544" s="250">
        <v>1</v>
      </c>
      <c r="H544" s="250">
        <v>51.3675</v>
      </c>
      <c r="I544" s="250">
        <v>6.7324900000000003</v>
      </c>
      <c r="J544" s="250">
        <v>-6.4863590000000002</v>
      </c>
      <c r="K544" s="250">
        <v>-5.637969</v>
      </c>
      <c r="L544" s="250">
        <v>1019.99</v>
      </c>
      <c r="M544" s="250">
        <v>128.99973800000001</v>
      </c>
      <c r="N544" s="250">
        <v>18416.593000000001</v>
      </c>
      <c r="O544" s="250">
        <v>18406.4692</v>
      </c>
      <c r="P544" s="250">
        <v>2032.85869</v>
      </c>
      <c r="Q544" s="250">
        <v>2035.4864680000001</v>
      </c>
      <c r="R544" s="250" t="s">
        <v>839</v>
      </c>
      <c r="S544" s="250" t="s">
        <v>769</v>
      </c>
      <c r="T544" s="250">
        <v>15</v>
      </c>
      <c r="U544" s="250">
        <v>5</v>
      </c>
      <c r="V544" s="250">
        <v>0.7</v>
      </c>
      <c r="W544" s="250">
        <v>0.7</v>
      </c>
      <c r="X544" s="250">
        <v>0.7</v>
      </c>
      <c r="Y544" s="250">
        <v>1700</v>
      </c>
      <c r="Z544" s="250" t="s">
        <v>840</v>
      </c>
      <c r="AA544" s="250">
        <v>0.85</v>
      </c>
      <c r="AB544" s="250" t="s">
        <v>841</v>
      </c>
      <c r="AC544" s="250" t="s">
        <v>842</v>
      </c>
      <c r="AD544" s="250">
        <v>220</v>
      </c>
      <c r="AE544" s="250"/>
      <c r="AF544" s="250"/>
      <c r="AG544" s="241"/>
    </row>
    <row r="545" spans="1:33" ht="15.75">
      <c r="A545" s="250" t="s">
        <v>983</v>
      </c>
      <c r="B545" s="250">
        <v>12</v>
      </c>
      <c r="C545" s="250">
        <v>148</v>
      </c>
      <c r="D545" s="250" t="s">
        <v>902</v>
      </c>
      <c r="E545" s="250">
        <v>1.5</v>
      </c>
      <c r="F545" s="251">
        <v>45114.566446759258</v>
      </c>
      <c r="G545" s="250">
        <v>1</v>
      </c>
      <c r="H545" s="250">
        <v>51.370800000000003</v>
      </c>
      <c r="I545" s="250">
        <v>6.7568299999999999</v>
      </c>
      <c r="J545" s="250">
        <v>-6.4118089999999999</v>
      </c>
      <c r="K545" s="250">
        <v>-5.5743539999999996</v>
      </c>
      <c r="L545" s="250">
        <v>1033.6600000000001</v>
      </c>
      <c r="M545" s="250">
        <v>126.499669</v>
      </c>
      <c r="N545" s="250">
        <v>18409.3403</v>
      </c>
      <c r="O545" s="250">
        <v>18406.4692</v>
      </c>
      <c r="P545" s="250">
        <v>2032.85869</v>
      </c>
      <c r="Q545" s="250">
        <v>2035.4864680000001</v>
      </c>
      <c r="R545" s="250" t="s">
        <v>839</v>
      </c>
      <c r="S545" s="250" t="s">
        <v>769</v>
      </c>
      <c r="T545" s="250">
        <v>15</v>
      </c>
      <c r="U545" s="250">
        <v>5</v>
      </c>
      <c r="V545" s="250">
        <v>0.7</v>
      </c>
      <c r="W545" s="250">
        <v>0.7</v>
      </c>
      <c r="X545" s="250">
        <v>0.7</v>
      </c>
      <c r="Y545" s="250">
        <v>1700</v>
      </c>
      <c r="Z545" s="250" t="s">
        <v>840</v>
      </c>
      <c r="AA545" s="250">
        <v>0.85</v>
      </c>
      <c r="AB545" s="250" t="s">
        <v>841</v>
      </c>
      <c r="AC545" s="250" t="s">
        <v>842</v>
      </c>
      <c r="AD545" s="250">
        <v>220</v>
      </c>
      <c r="AE545" s="250"/>
      <c r="AF545" s="250"/>
      <c r="AG545" s="241"/>
    </row>
    <row r="546" spans="1:33" ht="15.75">
      <c r="A546" s="250" t="s">
        <v>984</v>
      </c>
      <c r="B546" s="250">
        <v>12</v>
      </c>
      <c r="C546" s="250">
        <v>148</v>
      </c>
      <c r="D546" s="250" t="s">
        <v>902</v>
      </c>
      <c r="E546" s="250">
        <v>1.5</v>
      </c>
      <c r="F546" s="251">
        <v>45114.570057870369</v>
      </c>
      <c r="G546" s="250">
        <v>1</v>
      </c>
      <c r="H546" s="250">
        <v>51.370800000000003</v>
      </c>
      <c r="I546" s="250">
        <v>6.6896500000000003</v>
      </c>
      <c r="J546" s="250">
        <v>-6.3403729999999996</v>
      </c>
      <c r="K546" s="250">
        <v>-5.507053</v>
      </c>
      <c r="L546" s="250">
        <v>1021.58</v>
      </c>
      <c r="M546" s="250">
        <v>116.00137599999999</v>
      </c>
      <c r="N546" s="250">
        <v>18393.474300000002</v>
      </c>
      <c r="O546" s="250">
        <v>18406.4692</v>
      </c>
      <c r="P546" s="250">
        <v>2032.85869</v>
      </c>
      <c r="Q546" s="250">
        <v>2035.4864680000001</v>
      </c>
      <c r="R546" s="250" t="s">
        <v>839</v>
      </c>
      <c r="S546" s="250" t="s">
        <v>769</v>
      </c>
      <c r="T546" s="250">
        <v>15</v>
      </c>
      <c r="U546" s="250">
        <v>5</v>
      </c>
      <c r="V546" s="250">
        <v>0.7</v>
      </c>
      <c r="W546" s="250">
        <v>0.7</v>
      </c>
      <c r="X546" s="250">
        <v>0.7</v>
      </c>
      <c r="Y546" s="250">
        <v>1700</v>
      </c>
      <c r="Z546" s="250" t="s">
        <v>840</v>
      </c>
      <c r="AA546" s="250">
        <v>0.85</v>
      </c>
      <c r="AB546" s="250" t="s">
        <v>841</v>
      </c>
      <c r="AC546" s="250" t="s">
        <v>842</v>
      </c>
      <c r="AD546" s="250">
        <v>220</v>
      </c>
      <c r="AE546" s="250"/>
      <c r="AF546" s="250"/>
      <c r="AG546" s="241"/>
    </row>
    <row r="547" spans="1:33" ht="15.75">
      <c r="A547" s="250" t="s">
        <v>864</v>
      </c>
      <c r="B547" s="250">
        <v>13</v>
      </c>
      <c r="C547" s="250">
        <v>170</v>
      </c>
      <c r="D547" s="250" t="s">
        <v>906</v>
      </c>
      <c r="E547" s="250">
        <v>1.5</v>
      </c>
      <c r="F547" s="251">
        <v>45114.574074074073</v>
      </c>
      <c r="G547" s="250">
        <v>1</v>
      </c>
      <c r="H547" s="250">
        <v>51.370800000000003</v>
      </c>
      <c r="I547" s="250">
        <v>6.77433</v>
      </c>
      <c r="J547" s="250">
        <v>-6.4000640000000004</v>
      </c>
      <c r="K547" s="250">
        <v>-5.5643630000000002</v>
      </c>
      <c r="L547" s="250">
        <v>1025.82</v>
      </c>
      <c r="M547" s="250">
        <v>126.998643</v>
      </c>
      <c r="N547" s="250">
        <v>18486.212</v>
      </c>
      <c r="O547" s="250">
        <v>18449.442200000001</v>
      </c>
      <c r="P547" s="250">
        <v>2037.61059</v>
      </c>
      <c r="Q547" s="250">
        <v>2040.373687</v>
      </c>
      <c r="R547" s="250" t="s">
        <v>647</v>
      </c>
      <c r="S547" s="250" t="s">
        <v>769</v>
      </c>
      <c r="T547" s="250">
        <v>15</v>
      </c>
      <c r="U547" s="250">
        <v>5</v>
      </c>
      <c r="V547" s="250">
        <v>0.7</v>
      </c>
      <c r="W547" s="250">
        <v>0.7</v>
      </c>
      <c r="X547" s="250">
        <v>0.7</v>
      </c>
      <c r="Y547" s="250">
        <v>1700</v>
      </c>
      <c r="Z547" s="250" t="s">
        <v>840</v>
      </c>
      <c r="AA547" s="250">
        <v>0.85</v>
      </c>
      <c r="AB547" s="250" t="s">
        <v>841</v>
      </c>
      <c r="AC547" s="250" t="s">
        <v>842</v>
      </c>
      <c r="AD547" s="250">
        <v>220</v>
      </c>
      <c r="AE547" s="250"/>
      <c r="AF547" s="250"/>
      <c r="AG547" s="241"/>
    </row>
    <row r="548" spans="1:33" ht="15.75">
      <c r="A548" s="250" t="s">
        <v>987</v>
      </c>
      <c r="B548" s="250">
        <v>13</v>
      </c>
      <c r="C548" s="250">
        <v>170</v>
      </c>
      <c r="D548" s="250" t="s">
        <v>906</v>
      </c>
      <c r="E548" s="250">
        <v>1.5</v>
      </c>
      <c r="F548" s="251">
        <v>45114.577696759261</v>
      </c>
      <c r="G548" s="250">
        <v>1</v>
      </c>
      <c r="H548" s="250">
        <v>51.374099999999999</v>
      </c>
      <c r="I548" s="250">
        <v>6.7956200000000004</v>
      </c>
      <c r="J548" s="250">
        <v>-6.5138759999999998</v>
      </c>
      <c r="K548" s="250">
        <v>-5.6660250000000003</v>
      </c>
      <c r="L548" s="250">
        <v>1020.27</v>
      </c>
      <c r="M548" s="250">
        <v>136.49893900000001</v>
      </c>
      <c r="N548" s="250">
        <v>18458.819299999999</v>
      </c>
      <c r="O548" s="250">
        <v>18449.442200000001</v>
      </c>
      <c r="P548" s="250">
        <v>2037.61059</v>
      </c>
      <c r="Q548" s="250">
        <v>2040.373687</v>
      </c>
      <c r="R548" s="250" t="s">
        <v>839</v>
      </c>
      <c r="S548" s="250" t="s">
        <v>769</v>
      </c>
      <c r="T548" s="250">
        <v>15</v>
      </c>
      <c r="U548" s="250">
        <v>5</v>
      </c>
      <c r="V548" s="250">
        <v>0.7</v>
      </c>
      <c r="W548" s="250">
        <v>0.7</v>
      </c>
      <c r="X548" s="250">
        <v>0.7</v>
      </c>
      <c r="Y548" s="250">
        <v>1700</v>
      </c>
      <c r="Z548" s="250" t="s">
        <v>840</v>
      </c>
      <c r="AA548" s="250">
        <v>0.85</v>
      </c>
      <c r="AB548" s="250" t="s">
        <v>841</v>
      </c>
      <c r="AC548" s="250" t="s">
        <v>842</v>
      </c>
      <c r="AD548" s="250">
        <v>220</v>
      </c>
      <c r="AE548" s="250"/>
      <c r="AF548" s="250"/>
      <c r="AG548" s="241"/>
    </row>
    <row r="549" spans="1:33" ht="15.75">
      <c r="A549" s="250" t="s">
        <v>988</v>
      </c>
      <c r="B549" s="250">
        <v>13</v>
      </c>
      <c r="C549" s="250">
        <v>170</v>
      </c>
      <c r="D549" s="250" t="s">
        <v>906</v>
      </c>
      <c r="E549" s="250">
        <v>1.5</v>
      </c>
      <c r="F549" s="251">
        <v>45114.581435185188</v>
      </c>
      <c r="G549" s="250">
        <v>1</v>
      </c>
      <c r="H549" s="250">
        <v>51.370800000000003</v>
      </c>
      <c r="I549" s="250">
        <v>6.87439</v>
      </c>
      <c r="J549" s="250">
        <v>-6.4719049999999996</v>
      </c>
      <c r="K549" s="250">
        <v>-5.6263690000000004</v>
      </c>
      <c r="L549" s="250">
        <v>1027.28</v>
      </c>
      <c r="M549" s="250">
        <v>129.49992499999999</v>
      </c>
      <c r="N549" s="250">
        <v>18437.879000000001</v>
      </c>
      <c r="O549" s="250">
        <v>18449.442200000001</v>
      </c>
      <c r="P549" s="250">
        <v>2037.61059</v>
      </c>
      <c r="Q549" s="250">
        <v>2040.373687</v>
      </c>
      <c r="R549" s="250" t="s">
        <v>839</v>
      </c>
      <c r="S549" s="250" t="s">
        <v>769</v>
      </c>
      <c r="T549" s="250">
        <v>15</v>
      </c>
      <c r="U549" s="250">
        <v>5</v>
      </c>
      <c r="V549" s="250">
        <v>0.7</v>
      </c>
      <c r="W549" s="250">
        <v>0.7</v>
      </c>
      <c r="X549" s="250">
        <v>0.7</v>
      </c>
      <c r="Y549" s="250">
        <v>1700</v>
      </c>
      <c r="Z549" s="250" t="s">
        <v>840</v>
      </c>
      <c r="AA549" s="250">
        <v>0.85</v>
      </c>
      <c r="AB549" s="250" t="s">
        <v>841</v>
      </c>
      <c r="AC549" s="250" t="s">
        <v>842</v>
      </c>
      <c r="AD549" s="250">
        <v>220</v>
      </c>
      <c r="AE549" s="250"/>
      <c r="AF549" s="250"/>
      <c r="AG549" s="241"/>
    </row>
    <row r="550" spans="1:33" ht="15.75">
      <c r="A550" s="250" t="s">
        <v>989</v>
      </c>
      <c r="B550" s="250">
        <v>13</v>
      </c>
      <c r="C550" s="250">
        <v>170</v>
      </c>
      <c r="D550" s="250" t="s">
        <v>906</v>
      </c>
      <c r="E550" s="250">
        <v>1.5</v>
      </c>
      <c r="F550" s="251">
        <v>45114.585081018522</v>
      </c>
      <c r="G550" s="250">
        <v>1</v>
      </c>
      <c r="H550" s="250">
        <v>51.374099999999999</v>
      </c>
      <c r="I550" s="250">
        <v>6.8373499999999998</v>
      </c>
      <c r="J550" s="250">
        <v>-6.4236829999999996</v>
      </c>
      <c r="K550" s="250">
        <v>-5.5757570000000003</v>
      </c>
      <c r="L550" s="250">
        <v>1039.97</v>
      </c>
      <c r="M550" s="250">
        <v>122.50021099999999</v>
      </c>
      <c r="N550" s="250">
        <v>18451.628400000001</v>
      </c>
      <c r="O550" s="250">
        <v>18449.442200000001</v>
      </c>
      <c r="P550" s="250">
        <v>2037.61059</v>
      </c>
      <c r="Q550" s="250">
        <v>2040.373687</v>
      </c>
      <c r="R550" s="250" t="s">
        <v>839</v>
      </c>
      <c r="S550" s="250" t="s">
        <v>769</v>
      </c>
      <c r="T550" s="250">
        <v>15</v>
      </c>
      <c r="U550" s="250">
        <v>5</v>
      </c>
      <c r="V550" s="250">
        <v>0.7</v>
      </c>
      <c r="W550" s="250">
        <v>0.7</v>
      </c>
      <c r="X550" s="250">
        <v>0.7</v>
      </c>
      <c r="Y550" s="250">
        <v>1700</v>
      </c>
      <c r="Z550" s="250" t="s">
        <v>840</v>
      </c>
      <c r="AA550" s="250">
        <v>0.85</v>
      </c>
      <c r="AB550" s="250" t="s">
        <v>841</v>
      </c>
      <c r="AC550" s="250" t="s">
        <v>842</v>
      </c>
      <c r="AD550" s="250">
        <v>220</v>
      </c>
      <c r="AE550" s="250"/>
      <c r="AF550" s="250"/>
      <c r="AG550" s="241"/>
    </row>
    <row r="551" spans="1:33" ht="15.75">
      <c r="A551" s="250" t="s">
        <v>865</v>
      </c>
      <c r="B551" s="250">
        <v>14</v>
      </c>
      <c r="C551" s="250">
        <v>171</v>
      </c>
      <c r="D551" s="250" t="s">
        <v>911</v>
      </c>
      <c r="E551" s="250">
        <v>1.5</v>
      </c>
      <c r="F551" s="251">
        <v>45114.589201388888</v>
      </c>
      <c r="G551" s="250">
        <v>1</v>
      </c>
      <c r="H551" s="250">
        <v>51.370800000000003</v>
      </c>
      <c r="I551" s="250">
        <v>6.7477200000000002</v>
      </c>
      <c r="J551" s="250">
        <v>-6.3659239999999997</v>
      </c>
      <c r="K551" s="250">
        <v>-5.5299959999999997</v>
      </c>
      <c r="L551" s="250">
        <v>1028.17</v>
      </c>
      <c r="M551" s="250">
        <v>120.49985100000001</v>
      </c>
      <c r="N551" s="250">
        <v>18521.4692</v>
      </c>
      <c r="O551" s="250">
        <v>18468.1531</v>
      </c>
      <c r="P551" s="250">
        <v>2039.6796099999999</v>
      </c>
      <c r="Q551" s="250">
        <v>2042.5780259999999</v>
      </c>
      <c r="R551" s="250" t="s">
        <v>647</v>
      </c>
      <c r="S551" s="250" t="s">
        <v>769</v>
      </c>
      <c r="T551" s="250">
        <v>15</v>
      </c>
      <c r="U551" s="250">
        <v>5</v>
      </c>
      <c r="V551" s="250">
        <v>0.7</v>
      </c>
      <c r="W551" s="250">
        <v>0.7</v>
      </c>
      <c r="X551" s="250">
        <v>0.7</v>
      </c>
      <c r="Y551" s="250">
        <v>1700</v>
      </c>
      <c r="Z551" s="250" t="s">
        <v>840</v>
      </c>
      <c r="AA551" s="250">
        <v>0.85</v>
      </c>
      <c r="AB551" s="250" t="s">
        <v>841</v>
      </c>
      <c r="AC551" s="250" t="s">
        <v>842</v>
      </c>
      <c r="AD551" s="250">
        <v>220</v>
      </c>
      <c r="AE551" s="250"/>
      <c r="AF551" s="250"/>
      <c r="AG551" s="241"/>
    </row>
    <row r="552" spans="1:33" ht="15.75">
      <c r="A552" s="250" t="s">
        <v>990</v>
      </c>
      <c r="B552" s="250">
        <v>14</v>
      </c>
      <c r="C552" s="250">
        <v>171</v>
      </c>
      <c r="D552" s="250" t="s">
        <v>911</v>
      </c>
      <c r="E552" s="250">
        <v>1.5</v>
      </c>
      <c r="F552" s="251">
        <v>45114.592766203707</v>
      </c>
      <c r="G552" s="250">
        <v>1</v>
      </c>
      <c r="H552" s="250">
        <v>51.370800000000003</v>
      </c>
      <c r="I552" s="250">
        <v>6.79589</v>
      </c>
      <c r="J552" s="250">
        <v>-6.3976610000000003</v>
      </c>
      <c r="K552" s="250">
        <v>-5.555078</v>
      </c>
      <c r="L552" s="250">
        <v>1033.97</v>
      </c>
      <c r="M552" s="250">
        <v>132.99909400000001</v>
      </c>
      <c r="N552" s="250">
        <v>18467.0105</v>
      </c>
      <c r="O552" s="250">
        <v>18468.1531</v>
      </c>
      <c r="P552" s="250">
        <v>2039.6796099999999</v>
      </c>
      <c r="Q552" s="250">
        <v>2042.5780259999999</v>
      </c>
      <c r="R552" s="250" t="s">
        <v>839</v>
      </c>
      <c r="S552" s="250" t="s">
        <v>769</v>
      </c>
      <c r="T552" s="250">
        <v>15</v>
      </c>
      <c r="U552" s="250">
        <v>5</v>
      </c>
      <c r="V552" s="250">
        <v>0.7</v>
      </c>
      <c r="W552" s="250">
        <v>0.7</v>
      </c>
      <c r="X552" s="250">
        <v>0.7</v>
      </c>
      <c r="Y552" s="250">
        <v>1700</v>
      </c>
      <c r="Z552" s="250" t="s">
        <v>840</v>
      </c>
      <c r="AA552" s="250">
        <v>0.85</v>
      </c>
      <c r="AB552" s="250" t="s">
        <v>841</v>
      </c>
      <c r="AC552" s="250" t="s">
        <v>842</v>
      </c>
      <c r="AD552" s="250">
        <v>220</v>
      </c>
      <c r="AE552" s="250"/>
      <c r="AF552" s="250"/>
      <c r="AG552" s="241"/>
    </row>
    <row r="553" spans="1:33" ht="15.75">
      <c r="A553" s="250" t="s">
        <v>991</v>
      </c>
      <c r="B553" s="250">
        <v>14</v>
      </c>
      <c r="C553" s="250">
        <v>171</v>
      </c>
      <c r="D553" s="250" t="s">
        <v>911</v>
      </c>
      <c r="E553" s="250">
        <v>1.5</v>
      </c>
      <c r="F553" s="251">
        <v>45114.596458333333</v>
      </c>
      <c r="G553" s="250">
        <v>1</v>
      </c>
      <c r="H553" s="250">
        <v>51.370800000000003</v>
      </c>
      <c r="I553" s="250">
        <v>6.8384600000000004</v>
      </c>
      <c r="J553" s="250">
        <v>-6.4259599999999999</v>
      </c>
      <c r="K553" s="250">
        <v>-5.5886500000000003</v>
      </c>
      <c r="L553" s="250">
        <v>1029.93</v>
      </c>
      <c r="M553" s="250">
        <v>111.50150600000001</v>
      </c>
      <c r="N553" s="250">
        <v>18461.9018</v>
      </c>
      <c r="O553" s="250">
        <v>18468.1531</v>
      </c>
      <c r="P553" s="250">
        <v>2039.6796099999999</v>
      </c>
      <c r="Q553" s="250">
        <v>2042.5780259999999</v>
      </c>
      <c r="R553" s="250" t="s">
        <v>839</v>
      </c>
      <c r="S553" s="250" t="s">
        <v>769</v>
      </c>
      <c r="T553" s="250">
        <v>15</v>
      </c>
      <c r="U553" s="250">
        <v>5</v>
      </c>
      <c r="V553" s="250">
        <v>0.7</v>
      </c>
      <c r="W553" s="250">
        <v>0.7</v>
      </c>
      <c r="X553" s="250">
        <v>0.7</v>
      </c>
      <c r="Y553" s="250">
        <v>1700</v>
      </c>
      <c r="Z553" s="250" t="s">
        <v>840</v>
      </c>
      <c r="AA553" s="250">
        <v>0.85</v>
      </c>
      <c r="AB553" s="250" t="s">
        <v>841</v>
      </c>
      <c r="AC553" s="250" t="s">
        <v>842</v>
      </c>
      <c r="AD553" s="250">
        <v>220</v>
      </c>
      <c r="AE553" s="250"/>
      <c r="AF553" s="250"/>
      <c r="AG553" s="241"/>
    </row>
    <row r="554" spans="1:33" ht="15.75">
      <c r="A554" s="250" t="s">
        <v>992</v>
      </c>
      <c r="B554" s="250">
        <v>14</v>
      </c>
      <c r="C554" s="250">
        <v>171</v>
      </c>
      <c r="D554" s="250" t="s">
        <v>911</v>
      </c>
      <c r="E554" s="250">
        <v>1.5</v>
      </c>
      <c r="F554" s="251">
        <v>45114.599907407406</v>
      </c>
      <c r="G554" s="250">
        <v>1</v>
      </c>
      <c r="H554" s="250">
        <v>51.374099999999999</v>
      </c>
      <c r="I554" s="250">
        <v>6.8634700000000004</v>
      </c>
      <c r="J554" s="250">
        <v>-6.4140069999999998</v>
      </c>
      <c r="K554" s="250">
        <v>-5.5695119999999996</v>
      </c>
      <c r="L554" s="250">
        <v>1037.93</v>
      </c>
      <c r="M554" s="250">
        <v>130.49936099999999</v>
      </c>
      <c r="N554" s="250">
        <v>18518.263599999998</v>
      </c>
      <c r="O554" s="250">
        <v>18468.1531</v>
      </c>
      <c r="P554" s="250">
        <v>2039.6796099999999</v>
      </c>
      <c r="Q554" s="250">
        <v>2042.5780259999999</v>
      </c>
      <c r="R554" s="250" t="s">
        <v>647</v>
      </c>
      <c r="S554" s="250" t="s">
        <v>769</v>
      </c>
      <c r="T554" s="250">
        <v>15</v>
      </c>
      <c r="U554" s="250">
        <v>5</v>
      </c>
      <c r="V554" s="250">
        <v>0.7</v>
      </c>
      <c r="W554" s="250">
        <v>0.7</v>
      </c>
      <c r="X554" s="250">
        <v>0.7</v>
      </c>
      <c r="Y554" s="250">
        <v>1700</v>
      </c>
      <c r="Z554" s="250" t="s">
        <v>840</v>
      </c>
      <c r="AA554" s="250">
        <v>0.85</v>
      </c>
      <c r="AB554" s="250" t="s">
        <v>841</v>
      </c>
      <c r="AC554" s="250" t="s">
        <v>842</v>
      </c>
      <c r="AD554" s="250">
        <v>220</v>
      </c>
      <c r="AE554" s="250"/>
      <c r="AF554" s="250"/>
      <c r="AG554" s="241"/>
    </row>
    <row r="555" spans="1:33" ht="15.75">
      <c r="A555" s="250" t="s">
        <v>1030</v>
      </c>
      <c r="B555" s="250">
        <v>14</v>
      </c>
      <c r="C555" s="250">
        <v>171</v>
      </c>
      <c r="D555" s="250" t="s">
        <v>911</v>
      </c>
      <c r="E555" s="250">
        <v>1.5</v>
      </c>
      <c r="F555" s="251">
        <v>45114.60359953704</v>
      </c>
      <c r="G555" s="250">
        <v>1</v>
      </c>
      <c r="H555" s="250">
        <v>51.370800000000003</v>
      </c>
      <c r="I555" s="250">
        <v>6.8415299999999997</v>
      </c>
      <c r="J555" s="250">
        <v>-6.3970229999999999</v>
      </c>
      <c r="K555" s="250">
        <v>-5.5530520000000001</v>
      </c>
      <c r="L555" s="250">
        <v>1033.72</v>
      </c>
      <c r="M555" s="250">
        <v>131.50115600000001</v>
      </c>
      <c r="N555" s="250">
        <v>18475.546900000001</v>
      </c>
      <c r="O555" s="250">
        <v>18468.1531</v>
      </c>
      <c r="P555" s="250">
        <v>2039.6796099999999</v>
      </c>
      <c r="Q555" s="250">
        <v>2042.5780259999999</v>
      </c>
      <c r="R555" s="250" t="s">
        <v>839</v>
      </c>
      <c r="S555" s="250" t="s">
        <v>769</v>
      </c>
      <c r="T555" s="250">
        <v>15</v>
      </c>
      <c r="U555" s="250">
        <v>5</v>
      </c>
      <c r="V555" s="250">
        <v>0.7</v>
      </c>
      <c r="W555" s="250">
        <v>0.7</v>
      </c>
      <c r="X555" s="250">
        <v>0.7</v>
      </c>
      <c r="Y555" s="250">
        <v>1700</v>
      </c>
      <c r="Z555" s="250" t="s">
        <v>840</v>
      </c>
      <c r="AA555" s="250">
        <v>0.85</v>
      </c>
      <c r="AB555" s="250" t="s">
        <v>841</v>
      </c>
      <c r="AC555" s="250" t="s">
        <v>842</v>
      </c>
      <c r="AD555" s="250">
        <v>220</v>
      </c>
      <c r="AE555" s="250"/>
      <c r="AF555" s="250"/>
      <c r="AG555" s="241"/>
    </row>
    <row r="556" spans="1:33" ht="15.75">
      <c r="A556" s="250" t="s">
        <v>866</v>
      </c>
      <c r="B556" s="250">
        <v>15</v>
      </c>
      <c r="C556" s="250">
        <v>152</v>
      </c>
      <c r="D556" s="250" t="s">
        <v>915</v>
      </c>
      <c r="E556" s="250">
        <v>1.5</v>
      </c>
      <c r="F556" s="251">
        <v>45114.607835648145</v>
      </c>
      <c r="G556" s="250">
        <v>1</v>
      </c>
      <c r="H556" s="250">
        <v>51.3675</v>
      </c>
      <c r="I556" s="250">
        <v>6.80816</v>
      </c>
      <c r="J556" s="250">
        <v>-6.4308610000000002</v>
      </c>
      <c r="K556" s="250">
        <v>-5.5907809999999998</v>
      </c>
      <c r="L556" s="250">
        <v>1039.78</v>
      </c>
      <c r="M556" s="250">
        <v>118.49756600000001</v>
      </c>
      <c r="N556" s="250">
        <v>18566.622599999999</v>
      </c>
      <c r="O556" s="250">
        <v>18560.6384</v>
      </c>
      <c r="P556" s="250">
        <v>2049.9065099999998</v>
      </c>
      <c r="Q556" s="250">
        <v>2052.9402439999999</v>
      </c>
      <c r="R556" s="250" t="s">
        <v>839</v>
      </c>
      <c r="S556" s="250" t="s">
        <v>769</v>
      </c>
      <c r="T556" s="250">
        <v>15</v>
      </c>
      <c r="U556" s="250">
        <v>5</v>
      </c>
      <c r="V556" s="250">
        <v>0.7</v>
      </c>
      <c r="W556" s="250">
        <v>0.7</v>
      </c>
      <c r="X556" s="250">
        <v>0.7</v>
      </c>
      <c r="Y556" s="250">
        <v>1700</v>
      </c>
      <c r="Z556" s="250" t="s">
        <v>840</v>
      </c>
      <c r="AA556" s="250">
        <v>0.85</v>
      </c>
      <c r="AB556" s="250" t="s">
        <v>841</v>
      </c>
      <c r="AC556" s="250" t="s">
        <v>842</v>
      </c>
      <c r="AD556" s="250">
        <v>220</v>
      </c>
      <c r="AE556" s="250"/>
      <c r="AF556" s="250"/>
      <c r="AG556" s="241"/>
    </row>
    <row r="557" spans="1:33" ht="15.75">
      <c r="A557" s="250" t="s">
        <v>993</v>
      </c>
      <c r="B557" s="250">
        <v>15</v>
      </c>
      <c r="C557" s="250">
        <v>152</v>
      </c>
      <c r="D557" s="250" t="s">
        <v>915</v>
      </c>
      <c r="E557" s="250">
        <v>1.5</v>
      </c>
      <c r="F557" s="251">
        <v>45114.61136574074</v>
      </c>
      <c r="G557" s="250">
        <v>1</v>
      </c>
      <c r="H557" s="250">
        <v>51.374099999999999</v>
      </c>
      <c r="I557" s="250">
        <v>6.7341800000000003</v>
      </c>
      <c r="J557" s="250">
        <v>-6.3741690000000002</v>
      </c>
      <c r="K557" s="250">
        <v>-5.5294470000000002</v>
      </c>
      <c r="L557" s="250">
        <v>1028.1099999999999</v>
      </c>
      <c r="M557" s="250">
        <v>124.99862899999999</v>
      </c>
      <c r="N557" s="250">
        <v>18519.815200000001</v>
      </c>
      <c r="O557" s="250">
        <v>18560.6384</v>
      </c>
      <c r="P557" s="250">
        <v>2049.9065099999998</v>
      </c>
      <c r="Q557" s="250">
        <v>2052.9402439999999</v>
      </c>
      <c r="R557" s="250" t="s">
        <v>647</v>
      </c>
      <c r="S557" s="250" t="s">
        <v>769</v>
      </c>
      <c r="T557" s="250">
        <v>15</v>
      </c>
      <c r="U557" s="250">
        <v>5</v>
      </c>
      <c r="V557" s="250">
        <v>0.7</v>
      </c>
      <c r="W557" s="250">
        <v>0.7</v>
      </c>
      <c r="X557" s="250">
        <v>0.7</v>
      </c>
      <c r="Y557" s="250">
        <v>1700</v>
      </c>
      <c r="Z557" s="250" t="s">
        <v>840</v>
      </c>
      <c r="AA557" s="250">
        <v>0.85</v>
      </c>
      <c r="AB557" s="250" t="s">
        <v>841</v>
      </c>
      <c r="AC557" s="250" t="s">
        <v>842</v>
      </c>
      <c r="AD557" s="250">
        <v>220</v>
      </c>
      <c r="AE557" s="250"/>
      <c r="AF557" s="250"/>
      <c r="AG557" s="241"/>
    </row>
    <row r="558" spans="1:33" ht="15.75">
      <c r="A558" s="250" t="s">
        <v>994</v>
      </c>
      <c r="B558" s="250">
        <v>15</v>
      </c>
      <c r="C558" s="250">
        <v>152</v>
      </c>
      <c r="D558" s="250" t="s">
        <v>915</v>
      </c>
      <c r="E558" s="250">
        <v>1.5</v>
      </c>
      <c r="F558" s="251">
        <v>45114.614988425928</v>
      </c>
      <c r="G558" s="250">
        <v>1</v>
      </c>
      <c r="H558" s="250">
        <v>51.374099999999999</v>
      </c>
      <c r="I558" s="250">
        <v>6.7747200000000003</v>
      </c>
      <c r="J558" s="250">
        <v>-6.4473789999999997</v>
      </c>
      <c r="K558" s="250">
        <v>-5.6115500000000003</v>
      </c>
      <c r="L558" s="250">
        <v>1039.8800000000001</v>
      </c>
      <c r="M558" s="250">
        <v>130.50268299999999</v>
      </c>
      <c r="N558" s="250">
        <v>18559.9411</v>
      </c>
      <c r="O558" s="250">
        <v>18560.6384</v>
      </c>
      <c r="P558" s="250">
        <v>2049.9065099999998</v>
      </c>
      <c r="Q558" s="250">
        <v>2052.9402439999999</v>
      </c>
      <c r="R558" s="250" t="s">
        <v>839</v>
      </c>
      <c r="S558" s="250" t="s">
        <v>769</v>
      </c>
      <c r="T558" s="250">
        <v>15</v>
      </c>
      <c r="U558" s="250">
        <v>5</v>
      </c>
      <c r="V558" s="250">
        <v>0.7</v>
      </c>
      <c r="W558" s="250">
        <v>0.7</v>
      </c>
      <c r="X558" s="250">
        <v>0.7</v>
      </c>
      <c r="Y558" s="250">
        <v>1700</v>
      </c>
      <c r="Z558" s="250" t="s">
        <v>840</v>
      </c>
      <c r="AA558" s="250">
        <v>0.85</v>
      </c>
      <c r="AB558" s="250" t="s">
        <v>841</v>
      </c>
      <c r="AC558" s="250" t="s">
        <v>842</v>
      </c>
      <c r="AD558" s="250">
        <v>220</v>
      </c>
      <c r="AE558" s="250"/>
      <c r="AF558" s="250"/>
      <c r="AG558" s="241"/>
    </row>
    <row r="559" spans="1:33" ht="15.75">
      <c r="A559" s="250" t="s">
        <v>1031</v>
      </c>
      <c r="B559" s="250">
        <v>15</v>
      </c>
      <c r="C559" s="250">
        <v>152</v>
      </c>
      <c r="D559" s="250" t="s">
        <v>915</v>
      </c>
      <c r="E559" s="250">
        <v>1.5</v>
      </c>
      <c r="F559" s="251">
        <v>45114.618692129632</v>
      </c>
      <c r="G559" s="250">
        <v>1</v>
      </c>
      <c r="H559" s="250">
        <v>51.374099999999999</v>
      </c>
      <c r="I559" s="250">
        <v>6.7479199999999997</v>
      </c>
      <c r="J559" s="250">
        <v>-6.4293079999999998</v>
      </c>
      <c r="K559" s="250">
        <v>-5.6176560000000002</v>
      </c>
      <c r="L559" s="250">
        <v>1025.1300000000001</v>
      </c>
      <c r="M559" s="250">
        <v>124.499441</v>
      </c>
      <c r="N559" s="250">
        <v>18555.351600000002</v>
      </c>
      <c r="O559" s="250">
        <v>18560.6384</v>
      </c>
      <c r="P559" s="250">
        <v>2049.9065099999998</v>
      </c>
      <c r="Q559" s="250">
        <v>2052.9402439999999</v>
      </c>
      <c r="R559" s="250" t="s">
        <v>839</v>
      </c>
      <c r="S559" s="250" t="s">
        <v>769</v>
      </c>
      <c r="T559" s="250">
        <v>15</v>
      </c>
      <c r="U559" s="250">
        <v>5</v>
      </c>
      <c r="V559" s="250">
        <v>0.7</v>
      </c>
      <c r="W559" s="250">
        <v>0.7</v>
      </c>
      <c r="X559" s="250">
        <v>0.7</v>
      </c>
      <c r="Y559" s="250">
        <v>1700</v>
      </c>
      <c r="Z559" s="250" t="s">
        <v>840</v>
      </c>
      <c r="AA559" s="250">
        <v>0.85</v>
      </c>
      <c r="AB559" s="250" t="s">
        <v>841</v>
      </c>
      <c r="AC559" s="250" t="s">
        <v>842</v>
      </c>
      <c r="AD559" s="250">
        <v>220</v>
      </c>
      <c r="AE559" s="250"/>
      <c r="AF559" s="250"/>
      <c r="AG559" s="241"/>
    </row>
    <row r="560" spans="1:33" ht="15.75">
      <c r="A560" s="250" t="s">
        <v>867</v>
      </c>
      <c r="B560" s="250">
        <v>16</v>
      </c>
      <c r="C560" s="250">
        <v>153</v>
      </c>
      <c r="D560" s="250" t="s">
        <v>926</v>
      </c>
      <c r="E560" s="250">
        <v>1.5</v>
      </c>
      <c r="F560" s="251">
        <v>45114.622835648152</v>
      </c>
      <c r="G560" s="250">
        <v>1</v>
      </c>
      <c r="H560" s="250">
        <v>51.374099999999999</v>
      </c>
      <c r="I560" s="250">
        <v>6.7023599999999997</v>
      </c>
      <c r="J560" s="250">
        <v>-6.3725310000000004</v>
      </c>
      <c r="K560" s="250">
        <v>-5.5354609999999997</v>
      </c>
      <c r="L560" s="250">
        <v>1028.77</v>
      </c>
      <c r="M560" s="250">
        <v>122.99969</v>
      </c>
      <c r="N560" s="250">
        <v>18551.478299999999</v>
      </c>
      <c r="O560" s="250">
        <v>18502.744699999999</v>
      </c>
      <c r="P560" s="250">
        <v>2043.5047</v>
      </c>
      <c r="Q560" s="250">
        <v>2046.673753</v>
      </c>
      <c r="R560" s="250" t="s">
        <v>647</v>
      </c>
      <c r="S560" s="250" t="s">
        <v>769</v>
      </c>
      <c r="T560" s="250">
        <v>15</v>
      </c>
      <c r="U560" s="250">
        <v>5</v>
      </c>
      <c r="V560" s="250">
        <v>0.7</v>
      </c>
      <c r="W560" s="250">
        <v>0.7</v>
      </c>
      <c r="X560" s="250">
        <v>0.7</v>
      </c>
      <c r="Y560" s="250">
        <v>1700</v>
      </c>
      <c r="Z560" s="250" t="s">
        <v>840</v>
      </c>
      <c r="AA560" s="250">
        <v>0.85</v>
      </c>
      <c r="AB560" s="250" t="s">
        <v>841</v>
      </c>
      <c r="AC560" s="250" t="s">
        <v>842</v>
      </c>
      <c r="AD560" s="250">
        <v>220</v>
      </c>
      <c r="AE560" s="250"/>
      <c r="AF560" s="250"/>
      <c r="AG560" s="241"/>
    </row>
    <row r="561" spans="1:33" ht="15.75">
      <c r="A561" s="250" t="s">
        <v>995</v>
      </c>
      <c r="B561" s="250">
        <v>16</v>
      </c>
      <c r="C561" s="250">
        <v>153</v>
      </c>
      <c r="D561" s="250" t="s">
        <v>926</v>
      </c>
      <c r="E561" s="250">
        <v>1.5</v>
      </c>
      <c r="F561" s="251">
        <v>45114.626458333332</v>
      </c>
      <c r="G561" s="250">
        <v>1</v>
      </c>
      <c r="H561" s="250">
        <v>51.3675</v>
      </c>
      <c r="I561" s="250">
        <v>6.7967000000000004</v>
      </c>
      <c r="J561" s="250">
        <v>-6.3528690000000001</v>
      </c>
      <c r="K561" s="250">
        <v>-5.5071329999999996</v>
      </c>
      <c r="L561" s="250">
        <v>1032.6199999999999</v>
      </c>
      <c r="M561" s="250">
        <v>120.49883199999999</v>
      </c>
      <c r="N561" s="250">
        <v>18486.264999999999</v>
      </c>
      <c r="O561" s="250">
        <v>18502.744699999999</v>
      </c>
      <c r="P561" s="250">
        <v>2043.5047</v>
      </c>
      <c r="Q561" s="250">
        <v>2046.673753</v>
      </c>
      <c r="R561" s="250" t="s">
        <v>839</v>
      </c>
      <c r="S561" s="250" t="s">
        <v>769</v>
      </c>
      <c r="T561" s="250">
        <v>15</v>
      </c>
      <c r="U561" s="250">
        <v>5</v>
      </c>
      <c r="V561" s="250">
        <v>0.7</v>
      </c>
      <c r="W561" s="250">
        <v>0.7</v>
      </c>
      <c r="X561" s="250">
        <v>0.7</v>
      </c>
      <c r="Y561" s="250">
        <v>1700</v>
      </c>
      <c r="Z561" s="250" t="s">
        <v>840</v>
      </c>
      <c r="AA561" s="250">
        <v>0.85</v>
      </c>
      <c r="AB561" s="250" t="s">
        <v>841</v>
      </c>
      <c r="AC561" s="250" t="s">
        <v>842</v>
      </c>
      <c r="AD561" s="250">
        <v>220</v>
      </c>
      <c r="AE561" s="250"/>
      <c r="AF561" s="250"/>
      <c r="AG561" s="241"/>
    </row>
    <row r="562" spans="1:33" ht="15.75">
      <c r="A562" s="250" t="s">
        <v>996</v>
      </c>
      <c r="B562" s="250">
        <v>16</v>
      </c>
      <c r="C562" s="250">
        <v>153</v>
      </c>
      <c r="D562" s="250" t="s">
        <v>926</v>
      </c>
      <c r="E562" s="250">
        <v>1.5</v>
      </c>
      <c r="F562" s="251">
        <v>45114.630023148151</v>
      </c>
      <c r="G562" s="250">
        <v>1</v>
      </c>
      <c r="H562" s="250">
        <v>51.374099999999999</v>
      </c>
      <c r="I562" s="250">
        <v>6.8100899999999998</v>
      </c>
      <c r="J562" s="250">
        <v>-6.4183029999999999</v>
      </c>
      <c r="K562" s="250">
        <v>-5.569439</v>
      </c>
      <c r="L562" s="250">
        <v>1039.53</v>
      </c>
      <c r="M562" s="250">
        <v>111.00108400000001</v>
      </c>
      <c r="N562" s="250">
        <v>18516.208699999999</v>
      </c>
      <c r="O562" s="250">
        <v>18502.744699999999</v>
      </c>
      <c r="P562" s="250">
        <v>2043.5047</v>
      </c>
      <c r="Q562" s="250">
        <v>2046.673753</v>
      </c>
      <c r="R562" s="250" t="s">
        <v>839</v>
      </c>
      <c r="S562" s="250" t="s">
        <v>769</v>
      </c>
      <c r="T562" s="250">
        <v>15</v>
      </c>
      <c r="U562" s="250">
        <v>5</v>
      </c>
      <c r="V562" s="250">
        <v>0.7</v>
      </c>
      <c r="W562" s="250">
        <v>0.7</v>
      </c>
      <c r="X562" s="250">
        <v>0.7</v>
      </c>
      <c r="Y562" s="250">
        <v>1700</v>
      </c>
      <c r="Z562" s="250" t="s">
        <v>840</v>
      </c>
      <c r="AA562" s="250">
        <v>0.85</v>
      </c>
      <c r="AB562" s="250" t="s">
        <v>841</v>
      </c>
      <c r="AC562" s="250" t="s">
        <v>842</v>
      </c>
      <c r="AD562" s="250">
        <v>220</v>
      </c>
      <c r="AE562" s="250"/>
      <c r="AF562" s="250"/>
      <c r="AG562" s="241"/>
    </row>
    <row r="563" spans="1:33" ht="15.75">
      <c r="A563" s="250" t="s">
        <v>997</v>
      </c>
      <c r="B563" s="250">
        <v>16</v>
      </c>
      <c r="C563" s="250">
        <v>153</v>
      </c>
      <c r="D563" s="250" t="s">
        <v>926</v>
      </c>
      <c r="E563" s="250">
        <v>1.5</v>
      </c>
      <c r="F563" s="251">
        <v>45114.633472222224</v>
      </c>
      <c r="G563" s="250">
        <v>1</v>
      </c>
      <c r="H563" s="250">
        <v>51.370800000000003</v>
      </c>
      <c r="I563" s="250">
        <v>6.8172499999999996</v>
      </c>
      <c r="J563" s="250">
        <v>-6.3090710000000003</v>
      </c>
      <c r="K563" s="250">
        <v>-5.4626640000000002</v>
      </c>
      <c r="L563" s="250">
        <v>1035.43</v>
      </c>
      <c r="M563" s="250">
        <v>121.00092600000001</v>
      </c>
      <c r="N563" s="250">
        <v>18576.873</v>
      </c>
      <c r="O563" s="250">
        <v>18502.744699999999</v>
      </c>
      <c r="P563" s="250">
        <v>2043.5047</v>
      </c>
      <c r="Q563" s="250">
        <v>2046.673753</v>
      </c>
      <c r="R563" s="250" t="s">
        <v>647</v>
      </c>
      <c r="S563" s="250" t="s">
        <v>769</v>
      </c>
      <c r="T563" s="250">
        <v>15</v>
      </c>
      <c r="U563" s="250">
        <v>5</v>
      </c>
      <c r="V563" s="250">
        <v>0.7</v>
      </c>
      <c r="W563" s="250">
        <v>0.7</v>
      </c>
      <c r="X563" s="250">
        <v>0.7</v>
      </c>
      <c r="Y563" s="250">
        <v>1700</v>
      </c>
      <c r="Z563" s="250" t="s">
        <v>840</v>
      </c>
      <c r="AA563" s="250">
        <v>0.85</v>
      </c>
      <c r="AB563" s="250" t="s">
        <v>841</v>
      </c>
      <c r="AC563" s="250" t="s">
        <v>842</v>
      </c>
      <c r="AD563" s="250">
        <v>220</v>
      </c>
      <c r="AE563" s="250"/>
      <c r="AF563" s="250"/>
      <c r="AG563" s="241"/>
    </row>
    <row r="564" spans="1:33" ht="15.75">
      <c r="A564" s="250" t="s">
        <v>998</v>
      </c>
      <c r="B564" s="250">
        <v>16</v>
      </c>
      <c r="C564" s="250">
        <v>153</v>
      </c>
      <c r="D564" s="250" t="s">
        <v>926</v>
      </c>
      <c r="E564" s="250">
        <v>1.5</v>
      </c>
      <c r="F564" s="251">
        <v>45114.637048611112</v>
      </c>
      <c r="G564" s="250">
        <v>1</v>
      </c>
      <c r="H564" s="250">
        <v>51.370800000000003</v>
      </c>
      <c r="I564" s="250">
        <v>6.8115699999999997</v>
      </c>
      <c r="J564" s="250">
        <v>-6.4758769999999997</v>
      </c>
      <c r="K564" s="250">
        <v>-5.6266129999999999</v>
      </c>
      <c r="L564" s="250">
        <v>1032.55</v>
      </c>
      <c r="M564" s="250">
        <v>119.000366</v>
      </c>
      <c r="N564" s="250">
        <v>18505.760300000002</v>
      </c>
      <c r="O564" s="250">
        <v>18502.744699999999</v>
      </c>
      <c r="P564" s="250">
        <v>2043.5047</v>
      </c>
      <c r="Q564" s="250">
        <v>2046.673753</v>
      </c>
      <c r="R564" s="250" t="s">
        <v>839</v>
      </c>
      <c r="S564" s="250" t="s">
        <v>769</v>
      </c>
      <c r="T564" s="250">
        <v>15</v>
      </c>
      <c r="U564" s="250">
        <v>5</v>
      </c>
      <c r="V564" s="250">
        <v>0.7</v>
      </c>
      <c r="W564" s="250">
        <v>0.7</v>
      </c>
      <c r="X564" s="250">
        <v>0.7</v>
      </c>
      <c r="Y564" s="250">
        <v>1700</v>
      </c>
      <c r="Z564" s="250" t="s">
        <v>840</v>
      </c>
      <c r="AA564" s="250">
        <v>0.85</v>
      </c>
      <c r="AB564" s="250" t="s">
        <v>841</v>
      </c>
      <c r="AC564" s="250" t="s">
        <v>842</v>
      </c>
      <c r="AD564" s="250">
        <v>220</v>
      </c>
      <c r="AE564" s="250"/>
      <c r="AF564" s="250"/>
      <c r="AG564" s="241"/>
    </row>
    <row r="565" spans="1:33" ht="15.75">
      <c r="A565" s="250" t="s">
        <v>868</v>
      </c>
      <c r="B565" s="250">
        <v>17</v>
      </c>
      <c r="C565" s="250">
        <v>156</v>
      </c>
      <c r="D565" s="250" t="s">
        <v>930</v>
      </c>
      <c r="E565" s="250">
        <v>1.5</v>
      </c>
      <c r="F565" s="251">
        <v>45114.641122685185</v>
      </c>
      <c r="G565" s="250">
        <v>1</v>
      </c>
      <c r="H565" s="250">
        <v>51.377400000000002</v>
      </c>
      <c r="I565" s="250">
        <v>6.73102</v>
      </c>
      <c r="J565" s="250">
        <v>-6.2149340000000004</v>
      </c>
      <c r="K565" s="250">
        <v>-5.3698459999999999</v>
      </c>
      <c r="L565" s="250">
        <v>1060.71</v>
      </c>
      <c r="M565" s="250">
        <v>105.000778</v>
      </c>
      <c r="N565" s="250">
        <v>18693.877100000002</v>
      </c>
      <c r="O565" s="250">
        <v>0</v>
      </c>
      <c r="P565" s="250">
        <v>0</v>
      </c>
      <c r="Q565" s="250" t="s">
        <v>18</v>
      </c>
      <c r="R565" s="250" t="s">
        <v>916</v>
      </c>
      <c r="S565" s="250" t="s">
        <v>28</v>
      </c>
      <c r="T565" s="250">
        <v>15</v>
      </c>
      <c r="U565" s="250">
        <v>5</v>
      </c>
      <c r="V565" s="250">
        <v>0.7</v>
      </c>
      <c r="W565" s="250">
        <v>0.7</v>
      </c>
      <c r="X565" s="250">
        <v>0.7</v>
      </c>
      <c r="Y565" s="250">
        <v>1700</v>
      </c>
      <c r="Z565" s="250" t="s">
        <v>840</v>
      </c>
      <c r="AA565" s="250">
        <v>0.85</v>
      </c>
      <c r="AB565" s="250" t="s">
        <v>841</v>
      </c>
      <c r="AC565" s="250" t="s">
        <v>842</v>
      </c>
      <c r="AD565" s="250">
        <v>220</v>
      </c>
      <c r="AE565" s="250"/>
      <c r="AF565" s="250"/>
      <c r="AG565" s="241"/>
    </row>
    <row r="566" spans="1:33" ht="15.75">
      <c r="A566" s="250" t="s">
        <v>999</v>
      </c>
      <c r="B566" s="250">
        <v>17</v>
      </c>
      <c r="C566" s="250">
        <v>156</v>
      </c>
      <c r="D566" s="250" t="s">
        <v>930</v>
      </c>
      <c r="E566" s="250">
        <v>1.5</v>
      </c>
      <c r="F566" s="251">
        <v>45114.644525462965</v>
      </c>
      <c r="G566" s="250">
        <v>1</v>
      </c>
      <c r="H566" s="250">
        <v>51.3675</v>
      </c>
      <c r="I566" s="250">
        <v>6.8184199999999997</v>
      </c>
      <c r="J566" s="250">
        <v>-6.3878589999999997</v>
      </c>
      <c r="K566" s="250">
        <v>-5.5646100000000001</v>
      </c>
      <c r="L566" s="250">
        <v>1057.6300000000001</v>
      </c>
      <c r="M566" s="250">
        <v>124.49893</v>
      </c>
      <c r="N566" s="250">
        <v>18733.6554</v>
      </c>
      <c r="O566" s="250">
        <v>0</v>
      </c>
      <c r="P566" s="250">
        <v>0</v>
      </c>
      <c r="Q566" s="250" t="s">
        <v>18</v>
      </c>
      <c r="R566" s="250" t="s">
        <v>916</v>
      </c>
      <c r="S566" s="250" t="s">
        <v>28</v>
      </c>
      <c r="T566" s="250">
        <v>15</v>
      </c>
      <c r="U566" s="250">
        <v>5</v>
      </c>
      <c r="V566" s="250">
        <v>0.7</v>
      </c>
      <c r="W566" s="250">
        <v>0.7</v>
      </c>
      <c r="X566" s="250">
        <v>0.7</v>
      </c>
      <c r="Y566" s="250">
        <v>1700</v>
      </c>
      <c r="Z566" s="250" t="s">
        <v>840</v>
      </c>
      <c r="AA566" s="250">
        <v>0.85</v>
      </c>
      <c r="AB566" s="250" t="s">
        <v>841</v>
      </c>
      <c r="AC566" s="250" t="s">
        <v>842</v>
      </c>
      <c r="AD566" s="250">
        <v>220</v>
      </c>
      <c r="AE566" s="250"/>
      <c r="AF566" s="250"/>
      <c r="AG566" s="241"/>
    </row>
    <row r="567" spans="1:33" ht="15.75">
      <c r="A567" s="250" t="s">
        <v>1000</v>
      </c>
      <c r="B567" s="250">
        <v>17</v>
      </c>
      <c r="C567" s="250">
        <v>156</v>
      </c>
      <c r="D567" s="250" t="s">
        <v>930</v>
      </c>
      <c r="E567" s="250">
        <v>1.5</v>
      </c>
      <c r="F567" s="251">
        <v>45114.648159722223</v>
      </c>
      <c r="G567" s="250">
        <v>1</v>
      </c>
      <c r="H567" s="250">
        <v>51.370800000000003</v>
      </c>
      <c r="I567" s="250">
        <v>6.7354900000000004</v>
      </c>
      <c r="J567" s="250">
        <v>-6.3133929999999996</v>
      </c>
      <c r="K567" s="250">
        <v>-5.4801840000000004</v>
      </c>
      <c r="L567" s="250">
        <v>1054.06</v>
      </c>
      <c r="M567" s="250">
        <v>115.00157299999999</v>
      </c>
      <c r="N567" s="250">
        <v>18726.0612</v>
      </c>
      <c r="O567" s="250">
        <v>0</v>
      </c>
      <c r="P567" s="250">
        <v>0</v>
      </c>
      <c r="Q567" s="250" t="s">
        <v>18</v>
      </c>
      <c r="R567" s="250" t="s">
        <v>916</v>
      </c>
      <c r="S567" s="250" t="s">
        <v>28</v>
      </c>
      <c r="T567" s="250">
        <v>15</v>
      </c>
      <c r="U567" s="250">
        <v>5</v>
      </c>
      <c r="V567" s="250">
        <v>0.7</v>
      </c>
      <c r="W567" s="250">
        <v>0.7</v>
      </c>
      <c r="X567" s="250">
        <v>0.7</v>
      </c>
      <c r="Y567" s="250">
        <v>1700</v>
      </c>
      <c r="Z567" s="250" t="s">
        <v>840</v>
      </c>
      <c r="AA567" s="250">
        <v>0.85</v>
      </c>
      <c r="AB567" s="250" t="s">
        <v>841</v>
      </c>
      <c r="AC567" s="250" t="s">
        <v>842</v>
      </c>
      <c r="AD567" s="250">
        <v>220</v>
      </c>
      <c r="AE567" s="250"/>
      <c r="AF567" s="250"/>
      <c r="AG567" s="241"/>
    </row>
    <row r="568" spans="1:33" ht="15.75">
      <c r="A568" s="250" t="s">
        <v>1001</v>
      </c>
      <c r="B568" s="250">
        <v>17</v>
      </c>
      <c r="C568" s="250">
        <v>156</v>
      </c>
      <c r="D568" s="250" t="s">
        <v>930</v>
      </c>
      <c r="E568" s="250">
        <v>1.5</v>
      </c>
      <c r="F568" s="251">
        <v>45114.651655092595</v>
      </c>
      <c r="G568" s="250">
        <v>1</v>
      </c>
      <c r="H568" s="250">
        <v>51.374099999999999</v>
      </c>
      <c r="I568" s="250">
        <v>6.8115500000000004</v>
      </c>
      <c r="J568" s="250">
        <v>-6.3443420000000001</v>
      </c>
      <c r="K568" s="250">
        <v>-5.4985609999999996</v>
      </c>
      <c r="L568" s="250">
        <v>1047.0999999999999</v>
      </c>
      <c r="M568" s="250">
        <v>128.99992900000001</v>
      </c>
      <c r="N568" s="250">
        <v>18654.9401</v>
      </c>
      <c r="O568" s="250">
        <v>0</v>
      </c>
      <c r="P568" s="250">
        <v>0</v>
      </c>
      <c r="Q568" s="250" t="s">
        <v>18</v>
      </c>
      <c r="R568" s="250" t="s">
        <v>916</v>
      </c>
      <c r="S568" s="250" t="s">
        <v>28</v>
      </c>
      <c r="T568" s="250">
        <v>15</v>
      </c>
      <c r="U568" s="250">
        <v>5</v>
      </c>
      <c r="V568" s="250">
        <v>0.7</v>
      </c>
      <c r="W568" s="250">
        <v>0.7</v>
      </c>
      <c r="X568" s="250">
        <v>0.7</v>
      </c>
      <c r="Y568" s="250">
        <v>1700</v>
      </c>
      <c r="Z568" s="250" t="s">
        <v>840</v>
      </c>
      <c r="AA568" s="250">
        <v>0.85</v>
      </c>
      <c r="AB568" s="250" t="s">
        <v>841</v>
      </c>
      <c r="AC568" s="250" t="s">
        <v>842</v>
      </c>
      <c r="AD568" s="250">
        <v>220</v>
      </c>
      <c r="AE568" s="250"/>
      <c r="AF568" s="250"/>
      <c r="AG568" s="241"/>
    </row>
    <row r="569" spans="1:33" ht="15.75">
      <c r="A569" s="250" t="s">
        <v>1050</v>
      </c>
      <c r="B569" s="250">
        <v>17</v>
      </c>
      <c r="C569" s="250">
        <v>156</v>
      </c>
      <c r="D569" s="250" t="s">
        <v>930</v>
      </c>
      <c r="E569" s="250">
        <v>1.5</v>
      </c>
      <c r="F569" s="251">
        <v>45114.655335648145</v>
      </c>
      <c r="G569" s="250">
        <v>1</v>
      </c>
      <c r="H569" s="250">
        <v>51.374099999999999</v>
      </c>
      <c r="I569" s="250">
        <v>6.7208399999999999</v>
      </c>
      <c r="J569" s="250">
        <v>-6.3952559999999998</v>
      </c>
      <c r="K569" s="250">
        <v>-5.5493759999999996</v>
      </c>
      <c r="L569" s="250">
        <v>1054.0999999999999</v>
      </c>
      <c r="M569" s="250">
        <v>123.498503</v>
      </c>
      <c r="N569" s="250">
        <v>18684.284</v>
      </c>
      <c r="O569" s="250">
        <v>0</v>
      </c>
      <c r="P569" s="250">
        <v>0</v>
      </c>
      <c r="Q569" s="250" t="s">
        <v>18</v>
      </c>
      <c r="R569" s="250" t="s">
        <v>916</v>
      </c>
      <c r="S569" s="250" t="s">
        <v>28</v>
      </c>
      <c r="T569" s="250">
        <v>15</v>
      </c>
      <c r="U569" s="250">
        <v>5</v>
      </c>
      <c r="V569" s="250">
        <v>0.7</v>
      </c>
      <c r="W569" s="250">
        <v>0.7</v>
      </c>
      <c r="X569" s="250">
        <v>0.7</v>
      </c>
      <c r="Y569" s="250">
        <v>1700</v>
      </c>
      <c r="Z569" s="250" t="s">
        <v>840</v>
      </c>
      <c r="AA569" s="250">
        <v>0.85</v>
      </c>
      <c r="AB569" s="250" t="s">
        <v>841</v>
      </c>
      <c r="AC569" s="250" t="s">
        <v>842</v>
      </c>
      <c r="AD569" s="250">
        <v>220</v>
      </c>
      <c r="AE569" s="250"/>
      <c r="AF569" s="250"/>
      <c r="AG569" s="241"/>
    </row>
    <row r="570" spans="1:33" ht="15.75">
      <c r="A570" s="250" t="s">
        <v>1100</v>
      </c>
      <c r="B570" s="250">
        <v>17</v>
      </c>
      <c r="C570" s="250">
        <v>156</v>
      </c>
      <c r="D570" s="250" t="s">
        <v>930</v>
      </c>
      <c r="E570" s="250">
        <v>1.5</v>
      </c>
      <c r="F570" s="251">
        <v>45114.658958333333</v>
      </c>
      <c r="G570" s="250">
        <v>2</v>
      </c>
      <c r="H570" s="250">
        <v>51.3675</v>
      </c>
      <c r="I570" s="250">
        <v>6.7803899999999997</v>
      </c>
      <c r="J570" s="250">
        <v>-6.3010010000000003</v>
      </c>
      <c r="K570" s="250">
        <v>-5.4673449999999999</v>
      </c>
      <c r="L570" s="250">
        <v>1045.3599999999999</v>
      </c>
      <c r="M570" s="250">
        <v>121.49976599999999</v>
      </c>
      <c r="N570" s="250">
        <v>18626.136900000001</v>
      </c>
      <c r="O570" s="250">
        <v>18718.391100000001</v>
      </c>
      <c r="P570" s="250">
        <v>2067.3505700000001</v>
      </c>
      <c r="Q570" s="250">
        <v>2070.6549420000001</v>
      </c>
      <c r="R570" s="250" t="s">
        <v>647</v>
      </c>
      <c r="S570" s="250" t="s">
        <v>769</v>
      </c>
      <c r="T570" s="250">
        <v>15</v>
      </c>
      <c r="U570" s="250">
        <v>5</v>
      </c>
      <c r="V570" s="250">
        <v>0.7</v>
      </c>
      <c r="W570" s="250">
        <v>0.7</v>
      </c>
      <c r="X570" s="250">
        <v>0.7</v>
      </c>
      <c r="Y570" s="250">
        <v>1700</v>
      </c>
      <c r="Z570" s="250" t="s">
        <v>840</v>
      </c>
      <c r="AA570" s="250">
        <v>0.85</v>
      </c>
      <c r="AB570" s="250" t="s">
        <v>841</v>
      </c>
      <c r="AC570" s="250" t="s">
        <v>842</v>
      </c>
      <c r="AD570" s="250">
        <v>220</v>
      </c>
      <c r="AE570" s="250"/>
      <c r="AF570" s="250"/>
      <c r="AG570" s="241"/>
    </row>
    <row r="571" spans="1:33" ht="15.75">
      <c r="A571" s="250" t="s">
        <v>1101</v>
      </c>
      <c r="B571" s="250">
        <v>17</v>
      </c>
      <c r="C571" s="250">
        <v>156</v>
      </c>
      <c r="D571" s="250" t="s">
        <v>930</v>
      </c>
      <c r="E571" s="250">
        <v>1.5</v>
      </c>
      <c r="F571" s="251">
        <v>45114.662511574075</v>
      </c>
      <c r="G571" s="250">
        <v>2</v>
      </c>
      <c r="H571" s="250">
        <v>51.370800000000003</v>
      </c>
      <c r="I571" s="250">
        <v>6.7302099999999996</v>
      </c>
      <c r="J571" s="250">
        <v>-6.373869</v>
      </c>
      <c r="K571" s="250">
        <v>-5.5284829999999996</v>
      </c>
      <c r="L571" s="250">
        <v>1049.3699999999999</v>
      </c>
      <c r="M571" s="250">
        <v>116.999933</v>
      </c>
      <c r="N571" s="250">
        <v>18706.672900000001</v>
      </c>
      <c r="O571" s="250">
        <v>18718.391100000001</v>
      </c>
      <c r="P571" s="250">
        <v>2067.3505700000001</v>
      </c>
      <c r="Q571" s="250">
        <v>2070.6549420000001</v>
      </c>
      <c r="R571" s="250" t="s">
        <v>839</v>
      </c>
      <c r="S571" s="250" t="s">
        <v>769</v>
      </c>
      <c r="T571" s="250">
        <v>15</v>
      </c>
      <c r="U571" s="250">
        <v>5</v>
      </c>
      <c r="V571" s="250">
        <v>0.7</v>
      </c>
      <c r="W571" s="250">
        <v>0.7</v>
      </c>
      <c r="X571" s="250">
        <v>0.7</v>
      </c>
      <c r="Y571" s="250">
        <v>1700</v>
      </c>
      <c r="Z571" s="250" t="s">
        <v>840</v>
      </c>
      <c r="AA571" s="250">
        <v>0.85</v>
      </c>
      <c r="AB571" s="250" t="s">
        <v>841</v>
      </c>
      <c r="AC571" s="250" t="s">
        <v>842</v>
      </c>
      <c r="AD571" s="250">
        <v>220</v>
      </c>
      <c r="AE571" s="250"/>
      <c r="AF571" s="250"/>
      <c r="AG571" s="241"/>
    </row>
    <row r="572" spans="1:33" ht="15.75">
      <c r="A572" s="250" t="s">
        <v>1102</v>
      </c>
      <c r="B572" s="250">
        <v>17</v>
      </c>
      <c r="C572" s="250">
        <v>156</v>
      </c>
      <c r="D572" s="250" t="s">
        <v>930</v>
      </c>
      <c r="E572" s="250">
        <v>1.5</v>
      </c>
      <c r="F572" s="251">
        <v>45114.666041666664</v>
      </c>
      <c r="G572" s="250">
        <v>2</v>
      </c>
      <c r="H572" s="250">
        <v>51.370800000000003</v>
      </c>
      <c r="I572" s="250">
        <v>6.7951800000000002</v>
      </c>
      <c r="J572" s="250">
        <v>-6.4722189999999999</v>
      </c>
      <c r="K572" s="250">
        <v>-5.6417619999999999</v>
      </c>
      <c r="L572" s="250">
        <v>1041.76</v>
      </c>
      <c r="M572" s="250">
        <v>130.500001</v>
      </c>
      <c r="N572" s="250">
        <v>18678.085599999999</v>
      </c>
      <c r="O572" s="250">
        <v>18718.391100000001</v>
      </c>
      <c r="P572" s="250">
        <v>2067.3505700000001</v>
      </c>
      <c r="Q572" s="250">
        <v>2070.6549420000001</v>
      </c>
      <c r="R572" s="250" t="s">
        <v>647</v>
      </c>
      <c r="S572" s="250" t="s">
        <v>769</v>
      </c>
      <c r="T572" s="250">
        <v>15</v>
      </c>
      <c r="U572" s="250">
        <v>5</v>
      </c>
      <c r="V572" s="250">
        <v>0.7</v>
      </c>
      <c r="W572" s="250">
        <v>0.7</v>
      </c>
      <c r="X572" s="250">
        <v>0.7</v>
      </c>
      <c r="Y572" s="250">
        <v>1700</v>
      </c>
      <c r="Z572" s="250" t="s">
        <v>840</v>
      </c>
      <c r="AA572" s="250">
        <v>0.85</v>
      </c>
      <c r="AB572" s="250" t="s">
        <v>841</v>
      </c>
      <c r="AC572" s="250" t="s">
        <v>842</v>
      </c>
      <c r="AD572" s="250">
        <v>220</v>
      </c>
      <c r="AE572" s="250"/>
      <c r="AF572" s="250"/>
      <c r="AG572" s="241"/>
    </row>
    <row r="573" spans="1:33" ht="15.75">
      <c r="A573" s="250" t="s">
        <v>1103</v>
      </c>
      <c r="B573" s="250">
        <v>17</v>
      </c>
      <c r="C573" s="250">
        <v>156</v>
      </c>
      <c r="D573" s="250" t="s">
        <v>930</v>
      </c>
      <c r="E573" s="250">
        <v>1.5</v>
      </c>
      <c r="F573" s="251">
        <v>45114.669745370367</v>
      </c>
      <c r="G573" s="250">
        <v>2</v>
      </c>
      <c r="H573" s="250">
        <v>51.374099999999999</v>
      </c>
      <c r="I573" s="250">
        <v>6.70899</v>
      </c>
      <c r="J573" s="250">
        <v>-6.4054659999999997</v>
      </c>
      <c r="K573" s="250">
        <v>-5.5743720000000003</v>
      </c>
      <c r="L573" s="250">
        <v>1054.8599999999999</v>
      </c>
      <c r="M573" s="250">
        <v>126.499635</v>
      </c>
      <c r="N573" s="250">
        <v>18726.721600000001</v>
      </c>
      <c r="O573" s="250">
        <v>18718.391100000001</v>
      </c>
      <c r="P573" s="250">
        <v>2067.3505700000001</v>
      </c>
      <c r="Q573" s="250">
        <v>2070.6549420000001</v>
      </c>
      <c r="R573" s="250" t="s">
        <v>839</v>
      </c>
      <c r="S573" s="250" t="s">
        <v>769</v>
      </c>
      <c r="T573" s="250">
        <v>15</v>
      </c>
      <c r="U573" s="250">
        <v>5</v>
      </c>
      <c r="V573" s="250">
        <v>0.7</v>
      </c>
      <c r="W573" s="250">
        <v>0.7</v>
      </c>
      <c r="X573" s="250">
        <v>0.7</v>
      </c>
      <c r="Y573" s="250">
        <v>1700</v>
      </c>
      <c r="Z573" s="250" t="s">
        <v>840</v>
      </c>
      <c r="AA573" s="250">
        <v>0.85</v>
      </c>
      <c r="AB573" s="250" t="s">
        <v>841</v>
      </c>
      <c r="AC573" s="250" t="s">
        <v>842</v>
      </c>
      <c r="AD573" s="250">
        <v>220</v>
      </c>
      <c r="AE573" s="250"/>
      <c r="AF573" s="250"/>
      <c r="AG573" s="241"/>
    </row>
    <row r="574" spans="1:33" ht="15.75">
      <c r="A574" s="250" t="s">
        <v>1104</v>
      </c>
      <c r="B574" s="250">
        <v>17</v>
      </c>
      <c r="C574" s="250">
        <v>156</v>
      </c>
      <c r="D574" s="250" t="s">
        <v>930</v>
      </c>
      <c r="E574" s="250">
        <v>1.5</v>
      </c>
      <c r="F574" s="251">
        <v>45114.673391203702</v>
      </c>
      <c r="G574" s="250">
        <v>2</v>
      </c>
      <c r="H574" s="250">
        <v>51.374099999999999</v>
      </c>
      <c r="I574" s="250">
        <v>6.6292099999999996</v>
      </c>
      <c r="J574" s="250">
        <v>-6.3891580000000001</v>
      </c>
      <c r="K574" s="250">
        <v>-5.541328</v>
      </c>
      <c r="L574" s="250">
        <v>1042.8900000000001</v>
      </c>
      <c r="M574" s="250">
        <v>119.99921000000001</v>
      </c>
      <c r="N574" s="250">
        <v>18721.778699999999</v>
      </c>
      <c r="O574" s="250">
        <v>18718.391100000001</v>
      </c>
      <c r="P574" s="250">
        <v>2067.3505700000001</v>
      </c>
      <c r="Q574" s="250">
        <v>2070.6549420000001</v>
      </c>
      <c r="R574" s="250" t="s">
        <v>839</v>
      </c>
      <c r="S574" s="250" t="s">
        <v>769</v>
      </c>
      <c r="T574" s="250">
        <v>15</v>
      </c>
      <c r="U574" s="250">
        <v>5</v>
      </c>
      <c r="V574" s="250">
        <v>0.7</v>
      </c>
      <c r="W574" s="250">
        <v>0.7</v>
      </c>
      <c r="X574" s="250">
        <v>0.7</v>
      </c>
      <c r="Y574" s="250">
        <v>1700</v>
      </c>
      <c r="Z574" s="250" t="s">
        <v>840</v>
      </c>
      <c r="AA574" s="250">
        <v>0.85</v>
      </c>
      <c r="AB574" s="250" t="s">
        <v>841</v>
      </c>
      <c r="AC574" s="250" t="s">
        <v>842</v>
      </c>
      <c r="AD574" s="250">
        <v>220</v>
      </c>
      <c r="AE574" s="250"/>
      <c r="AF574" s="250"/>
      <c r="AG574" s="241"/>
    </row>
    <row r="575" spans="1:33" ht="15.75">
      <c r="A575" s="250" t="s">
        <v>869</v>
      </c>
      <c r="B575" s="250">
        <v>18</v>
      </c>
      <c r="C575" s="250">
        <v>158</v>
      </c>
      <c r="D575" s="250" t="s">
        <v>936</v>
      </c>
      <c r="E575" s="250">
        <v>1.5</v>
      </c>
      <c r="F575" s="251">
        <v>45114.677453703705</v>
      </c>
      <c r="G575" s="250">
        <v>1</v>
      </c>
      <c r="H575" s="250">
        <v>51.370800000000003</v>
      </c>
      <c r="I575" s="250">
        <v>6.5174099999999999</v>
      </c>
      <c r="J575" s="250">
        <v>-6.4522199999999996</v>
      </c>
      <c r="K575" s="250">
        <v>-5.6112590000000004</v>
      </c>
      <c r="L575" s="250">
        <v>1051.79</v>
      </c>
      <c r="M575" s="250">
        <v>157.99995699999999</v>
      </c>
      <c r="N575" s="250">
        <v>18745.303500000002</v>
      </c>
      <c r="O575" s="250">
        <v>0</v>
      </c>
      <c r="P575" s="250">
        <v>0</v>
      </c>
      <c r="Q575" s="250" t="s">
        <v>18</v>
      </c>
      <c r="R575" s="250" t="s">
        <v>916</v>
      </c>
      <c r="S575" s="250" t="s">
        <v>28</v>
      </c>
      <c r="T575" s="250">
        <v>15</v>
      </c>
      <c r="U575" s="250">
        <v>5</v>
      </c>
      <c r="V575" s="250">
        <v>0.7</v>
      </c>
      <c r="W575" s="250">
        <v>0.7</v>
      </c>
      <c r="X575" s="250">
        <v>0.7</v>
      </c>
      <c r="Y575" s="250">
        <v>1700</v>
      </c>
      <c r="Z575" s="250" t="s">
        <v>840</v>
      </c>
      <c r="AA575" s="250">
        <v>0.85</v>
      </c>
      <c r="AB575" s="250" t="s">
        <v>841</v>
      </c>
      <c r="AC575" s="250" t="s">
        <v>842</v>
      </c>
      <c r="AD575" s="250">
        <v>220</v>
      </c>
      <c r="AE575" s="250"/>
      <c r="AF575" s="250"/>
      <c r="AG575" s="241"/>
    </row>
    <row r="576" spans="1:33" ht="15.75">
      <c r="A576" s="250" t="s">
        <v>1002</v>
      </c>
      <c r="B576" s="250">
        <v>18</v>
      </c>
      <c r="C576" s="250">
        <v>158</v>
      </c>
      <c r="D576" s="250" t="s">
        <v>936</v>
      </c>
      <c r="E576" s="250">
        <v>1.5</v>
      </c>
      <c r="F576" s="251">
        <v>45114.681446759256</v>
      </c>
      <c r="G576" s="250">
        <v>1</v>
      </c>
      <c r="H576" s="250">
        <v>51.370800000000003</v>
      </c>
      <c r="I576" s="250">
        <v>6.6314299999999999</v>
      </c>
      <c r="J576" s="250">
        <v>-6.3786589999999999</v>
      </c>
      <c r="K576" s="250">
        <v>-5.5450419999999996</v>
      </c>
      <c r="L576" s="250">
        <v>1048.9100000000001</v>
      </c>
      <c r="M576" s="250">
        <v>124.49988999999999</v>
      </c>
      <c r="N576" s="250">
        <v>18655.214899999999</v>
      </c>
      <c r="O576" s="250">
        <v>0</v>
      </c>
      <c r="P576" s="250">
        <v>0</v>
      </c>
      <c r="Q576" s="250" t="s">
        <v>18</v>
      </c>
      <c r="R576" s="250" t="s">
        <v>916</v>
      </c>
      <c r="S576" s="250" t="s">
        <v>28</v>
      </c>
      <c r="T576" s="250">
        <v>15</v>
      </c>
      <c r="U576" s="250">
        <v>5</v>
      </c>
      <c r="V576" s="250">
        <v>0.7</v>
      </c>
      <c r="W576" s="250">
        <v>0.7</v>
      </c>
      <c r="X576" s="250">
        <v>0.7</v>
      </c>
      <c r="Y576" s="250">
        <v>1700</v>
      </c>
      <c r="Z576" s="250" t="s">
        <v>840</v>
      </c>
      <c r="AA576" s="250">
        <v>0.85</v>
      </c>
      <c r="AB576" s="250" t="s">
        <v>841</v>
      </c>
      <c r="AC576" s="250" t="s">
        <v>842</v>
      </c>
      <c r="AD576" s="250">
        <v>220</v>
      </c>
      <c r="AE576" s="250"/>
      <c r="AF576" s="250"/>
      <c r="AG576" s="241"/>
    </row>
    <row r="577" spans="1:33" ht="15.75">
      <c r="A577" s="250" t="s">
        <v>1003</v>
      </c>
      <c r="B577" s="250">
        <v>18</v>
      </c>
      <c r="C577" s="250">
        <v>158</v>
      </c>
      <c r="D577" s="250" t="s">
        <v>936</v>
      </c>
      <c r="E577" s="250">
        <v>1.5</v>
      </c>
      <c r="F577" s="251">
        <v>45114.685046296298</v>
      </c>
      <c r="G577" s="250">
        <v>1</v>
      </c>
      <c r="H577" s="250">
        <v>51.370800000000003</v>
      </c>
      <c r="I577" s="250">
        <v>6.63978</v>
      </c>
      <c r="J577" s="250">
        <v>-6.4399569999999997</v>
      </c>
      <c r="K577" s="250">
        <v>-5.5930939999999998</v>
      </c>
      <c r="L577" s="250">
        <v>1048.56</v>
      </c>
      <c r="M577" s="250">
        <v>124.999208</v>
      </c>
      <c r="N577" s="250">
        <v>18723.850699999999</v>
      </c>
      <c r="O577" s="250">
        <v>0</v>
      </c>
      <c r="P577" s="250">
        <v>0</v>
      </c>
      <c r="Q577" s="250" t="s">
        <v>18</v>
      </c>
      <c r="R577" s="250" t="s">
        <v>916</v>
      </c>
      <c r="S577" s="250" t="s">
        <v>28</v>
      </c>
      <c r="T577" s="250">
        <v>15</v>
      </c>
      <c r="U577" s="250">
        <v>5</v>
      </c>
      <c r="V577" s="250">
        <v>0.7</v>
      </c>
      <c r="W577" s="250">
        <v>0.7</v>
      </c>
      <c r="X577" s="250">
        <v>0.7</v>
      </c>
      <c r="Y577" s="250">
        <v>1700</v>
      </c>
      <c r="Z577" s="250" t="s">
        <v>840</v>
      </c>
      <c r="AA577" s="250">
        <v>0.85</v>
      </c>
      <c r="AB577" s="250" t="s">
        <v>841</v>
      </c>
      <c r="AC577" s="250" t="s">
        <v>842</v>
      </c>
      <c r="AD577" s="250">
        <v>220</v>
      </c>
      <c r="AE577" s="250"/>
      <c r="AF577" s="250"/>
      <c r="AG577" s="241"/>
    </row>
    <row r="578" spans="1:33" ht="15.75">
      <c r="A578" s="250" t="s">
        <v>1105</v>
      </c>
      <c r="B578" s="250">
        <v>18</v>
      </c>
      <c r="C578" s="250">
        <v>158</v>
      </c>
      <c r="D578" s="250" t="s">
        <v>936</v>
      </c>
      <c r="E578" s="250">
        <v>1.5</v>
      </c>
      <c r="F578" s="251">
        <v>45114.688668981478</v>
      </c>
      <c r="G578" s="250">
        <v>1</v>
      </c>
      <c r="H578" s="250">
        <v>51.374099999999999</v>
      </c>
      <c r="I578" s="250">
        <v>6.6915899999999997</v>
      </c>
      <c r="J578" s="250">
        <v>-6.3624010000000002</v>
      </c>
      <c r="K578" s="250">
        <v>-5.5202369999999998</v>
      </c>
      <c r="L578" s="250">
        <v>1046.81</v>
      </c>
      <c r="M578" s="250">
        <v>132.50035</v>
      </c>
      <c r="N578" s="250">
        <v>18675.086899999998</v>
      </c>
      <c r="O578" s="250">
        <v>0</v>
      </c>
      <c r="P578" s="250">
        <v>0</v>
      </c>
      <c r="Q578" s="250" t="s">
        <v>18</v>
      </c>
      <c r="R578" s="250" t="s">
        <v>916</v>
      </c>
      <c r="S578" s="250" t="s">
        <v>28</v>
      </c>
      <c r="T578" s="250">
        <v>15</v>
      </c>
      <c r="U578" s="250">
        <v>5</v>
      </c>
      <c r="V578" s="250">
        <v>0.7</v>
      </c>
      <c r="W578" s="250">
        <v>0.7</v>
      </c>
      <c r="X578" s="250">
        <v>0.7</v>
      </c>
      <c r="Y578" s="250">
        <v>1700</v>
      </c>
      <c r="Z578" s="250" t="s">
        <v>840</v>
      </c>
      <c r="AA578" s="250">
        <v>0.85</v>
      </c>
      <c r="AB578" s="250" t="s">
        <v>841</v>
      </c>
      <c r="AC578" s="250" t="s">
        <v>842</v>
      </c>
      <c r="AD578" s="250">
        <v>220</v>
      </c>
      <c r="AE578" s="250"/>
      <c r="AF578" s="250"/>
      <c r="AG578" s="241"/>
    </row>
    <row r="579" spans="1:33" ht="15.75">
      <c r="A579" s="250" t="s">
        <v>1106</v>
      </c>
      <c r="B579" s="250">
        <v>18</v>
      </c>
      <c r="C579" s="250">
        <v>158</v>
      </c>
      <c r="D579" s="250" t="s">
        <v>936</v>
      </c>
      <c r="E579" s="250">
        <v>1.5</v>
      </c>
      <c r="F579" s="251">
        <v>45114.692384259259</v>
      </c>
      <c r="G579" s="250">
        <v>1</v>
      </c>
      <c r="H579" s="250">
        <v>51.3675</v>
      </c>
      <c r="I579" s="250">
        <v>6.6525100000000004</v>
      </c>
      <c r="J579" s="250">
        <v>-6.3400210000000001</v>
      </c>
      <c r="K579" s="250">
        <v>-5.4949960000000004</v>
      </c>
      <c r="L579" s="250">
        <v>1035</v>
      </c>
      <c r="M579" s="250">
        <v>130.99824000000001</v>
      </c>
      <c r="N579" s="250">
        <v>18618.1188</v>
      </c>
      <c r="O579" s="250">
        <v>0</v>
      </c>
      <c r="P579" s="250">
        <v>0</v>
      </c>
      <c r="Q579" s="250" t="s">
        <v>18</v>
      </c>
      <c r="R579" s="250" t="s">
        <v>916</v>
      </c>
      <c r="S579" s="250" t="s">
        <v>28</v>
      </c>
      <c r="T579" s="250">
        <v>15</v>
      </c>
      <c r="U579" s="250">
        <v>5</v>
      </c>
      <c r="V579" s="250">
        <v>0.7</v>
      </c>
      <c r="W579" s="250">
        <v>0.7</v>
      </c>
      <c r="X579" s="250">
        <v>0.7</v>
      </c>
      <c r="Y579" s="250">
        <v>1700</v>
      </c>
      <c r="Z579" s="250" t="s">
        <v>840</v>
      </c>
      <c r="AA579" s="250">
        <v>0.85</v>
      </c>
      <c r="AB579" s="250" t="s">
        <v>841</v>
      </c>
      <c r="AC579" s="250" t="s">
        <v>842</v>
      </c>
      <c r="AD579" s="250">
        <v>220</v>
      </c>
      <c r="AE579" s="250"/>
      <c r="AF579" s="250"/>
      <c r="AG579" s="241"/>
    </row>
    <row r="580" spans="1:33" ht="15.75">
      <c r="A580" s="250" t="s">
        <v>1107</v>
      </c>
      <c r="B580" s="250">
        <v>18</v>
      </c>
      <c r="C580" s="250">
        <v>158</v>
      </c>
      <c r="D580" s="250" t="s">
        <v>936</v>
      </c>
      <c r="E580" s="250">
        <v>1.5</v>
      </c>
      <c r="F580" s="251">
        <v>45114.696087962962</v>
      </c>
      <c r="G580" s="250">
        <v>2</v>
      </c>
      <c r="H580" s="250">
        <v>51.374099999999999</v>
      </c>
      <c r="I580" s="250">
        <v>6.6656199999999997</v>
      </c>
      <c r="J580" s="250">
        <v>-6.3458839999999999</v>
      </c>
      <c r="K580" s="250">
        <v>-5.5017189999999996</v>
      </c>
      <c r="L580" s="250">
        <v>1045.75</v>
      </c>
      <c r="M580" s="250">
        <v>124.000799</v>
      </c>
      <c r="N580" s="250">
        <v>18676.3423</v>
      </c>
      <c r="O580" s="250">
        <v>18679.0972</v>
      </c>
      <c r="P580" s="250">
        <v>2063.00551</v>
      </c>
      <c r="Q580" s="250">
        <v>2066.445201</v>
      </c>
      <c r="R580" s="250" t="s">
        <v>839</v>
      </c>
      <c r="S580" s="250" t="s">
        <v>769</v>
      </c>
      <c r="T580" s="250">
        <v>15</v>
      </c>
      <c r="U580" s="250">
        <v>5</v>
      </c>
      <c r="V580" s="250">
        <v>0.7</v>
      </c>
      <c r="W580" s="250">
        <v>0.7</v>
      </c>
      <c r="X580" s="250">
        <v>0.7</v>
      </c>
      <c r="Y580" s="250">
        <v>1700</v>
      </c>
      <c r="Z580" s="250" t="s">
        <v>840</v>
      </c>
      <c r="AA580" s="250">
        <v>0.85</v>
      </c>
      <c r="AB580" s="250" t="s">
        <v>841</v>
      </c>
      <c r="AC580" s="250" t="s">
        <v>842</v>
      </c>
      <c r="AD580" s="250">
        <v>220</v>
      </c>
      <c r="AE580" s="250"/>
      <c r="AF580" s="250"/>
      <c r="AG580" s="241"/>
    </row>
    <row r="581" spans="1:33" ht="15.75">
      <c r="A581" s="250" t="s">
        <v>1108</v>
      </c>
      <c r="B581" s="250">
        <v>18</v>
      </c>
      <c r="C581" s="250">
        <v>158</v>
      </c>
      <c r="D581" s="250" t="s">
        <v>936</v>
      </c>
      <c r="E581" s="250">
        <v>1.5</v>
      </c>
      <c r="F581" s="251">
        <v>45114.69971064815</v>
      </c>
      <c r="G581" s="250">
        <v>2</v>
      </c>
      <c r="H581" s="250">
        <v>51.374099999999999</v>
      </c>
      <c r="I581" s="250">
        <v>6.6815100000000003</v>
      </c>
      <c r="J581" s="250">
        <v>-6.2675660000000004</v>
      </c>
      <c r="K581" s="250">
        <v>-5.4242749999999997</v>
      </c>
      <c r="L581" s="250">
        <v>1039.4100000000001</v>
      </c>
      <c r="M581" s="250">
        <v>120.99936700000001</v>
      </c>
      <c r="N581" s="250">
        <v>18716.299299999999</v>
      </c>
      <c r="O581" s="250">
        <v>18679.0972</v>
      </c>
      <c r="P581" s="250">
        <v>2063.00551</v>
      </c>
      <c r="Q581" s="250">
        <v>2066.445201</v>
      </c>
      <c r="R581" s="250" t="s">
        <v>647</v>
      </c>
      <c r="S581" s="250" t="s">
        <v>769</v>
      </c>
      <c r="T581" s="250">
        <v>15</v>
      </c>
      <c r="U581" s="250">
        <v>5</v>
      </c>
      <c r="V581" s="250">
        <v>0.7</v>
      </c>
      <c r="W581" s="250">
        <v>0.7</v>
      </c>
      <c r="X581" s="250">
        <v>0.7</v>
      </c>
      <c r="Y581" s="250">
        <v>1700</v>
      </c>
      <c r="Z581" s="250" t="s">
        <v>840</v>
      </c>
      <c r="AA581" s="250">
        <v>0.85</v>
      </c>
      <c r="AB581" s="250" t="s">
        <v>841</v>
      </c>
      <c r="AC581" s="250" t="s">
        <v>842</v>
      </c>
      <c r="AD581" s="250">
        <v>220</v>
      </c>
      <c r="AE581" s="250"/>
      <c r="AF581" s="250"/>
      <c r="AG581" s="241"/>
    </row>
    <row r="582" spans="1:33" ht="15.75">
      <c r="A582" s="250" t="s">
        <v>1109</v>
      </c>
      <c r="B582" s="250">
        <v>18</v>
      </c>
      <c r="C582" s="250">
        <v>158</v>
      </c>
      <c r="D582" s="250" t="s">
        <v>936</v>
      </c>
      <c r="E582" s="250">
        <v>1.5</v>
      </c>
      <c r="F582" s="251">
        <v>45114.703263888892</v>
      </c>
      <c r="G582" s="250">
        <v>2</v>
      </c>
      <c r="H582" s="250">
        <v>51.3675</v>
      </c>
      <c r="I582" s="250">
        <v>6.7125199999999996</v>
      </c>
      <c r="J582" s="250">
        <v>-6.3110010000000001</v>
      </c>
      <c r="K582" s="250">
        <v>-5.4685899999999998</v>
      </c>
      <c r="L582" s="250">
        <v>1045.74</v>
      </c>
      <c r="M582" s="250">
        <v>125.500872</v>
      </c>
      <c r="N582" s="250">
        <v>18711.748299999999</v>
      </c>
      <c r="O582" s="250">
        <v>18679.0972</v>
      </c>
      <c r="P582" s="250">
        <v>2063.00551</v>
      </c>
      <c r="Q582" s="250">
        <v>2066.445201</v>
      </c>
      <c r="R582" s="250" t="s">
        <v>647</v>
      </c>
      <c r="S582" s="250" t="s">
        <v>769</v>
      </c>
      <c r="T582" s="250">
        <v>15</v>
      </c>
      <c r="U582" s="250">
        <v>5</v>
      </c>
      <c r="V582" s="250">
        <v>0.7</v>
      </c>
      <c r="W582" s="250">
        <v>0.7</v>
      </c>
      <c r="X582" s="250">
        <v>0.7</v>
      </c>
      <c r="Y582" s="250">
        <v>1700</v>
      </c>
      <c r="Z582" s="250" t="s">
        <v>840</v>
      </c>
      <c r="AA582" s="250">
        <v>0.85</v>
      </c>
      <c r="AB582" s="250" t="s">
        <v>841</v>
      </c>
      <c r="AC582" s="250" t="s">
        <v>842</v>
      </c>
      <c r="AD582" s="250">
        <v>220</v>
      </c>
      <c r="AE582" s="250"/>
      <c r="AF582" s="250"/>
      <c r="AG582" s="241"/>
    </row>
    <row r="583" spans="1:33" ht="15.75">
      <c r="A583" s="250" t="s">
        <v>1110</v>
      </c>
      <c r="B583" s="250">
        <v>18</v>
      </c>
      <c r="C583" s="250">
        <v>158</v>
      </c>
      <c r="D583" s="250" t="s">
        <v>936</v>
      </c>
      <c r="E583" s="250">
        <v>1.5</v>
      </c>
      <c r="F583" s="251">
        <v>45114.706886574073</v>
      </c>
      <c r="G583" s="250">
        <v>2</v>
      </c>
      <c r="H583" s="250">
        <v>51.370800000000003</v>
      </c>
      <c r="I583" s="250">
        <v>6.6241700000000003</v>
      </c>
      <c r="J583" s="250">
        <v>-6.3774499999999996</v>
      </c>
      <c r="K583" s="250">
        <v>-5.5301270000000002</v>
      </c>
      <c r="L583" s="250">
        <v>1054.58</v>
      </c>
      <c r="M583" s="250">
        <v>122.50043100000001</v>
      </c>
      <c r="N583" s="250">
        <v>18680.794000000002</v>
      </c>
      <c r="O583" s="250">
        <v>18679.0972</v>
      </c>
      <c r="P583" s="250">
        <v>2063.00551</v>
      </c>
      <c r="Q583" s="250">
        <v>2066.445201</v>
      </c>
      <c r="R583" s="250" t="s">
        <v>839</v>
      </c>
      <c r="S583" s="250" t="s">
        <v>769</v>
      </c>
      <c r="T583" s="250">
        <v>15</v>
      </c>
      <c r="U583" s="250">
        <v>5</v>
      </c>
      <c r="V583" s="250">
        <v>0.7</v>
      </c>
      <c r="W583" s="250">
        <v>0.7</v>
      </c>
      <c r="X583" s="250">
        <v>0.7</v>
      </c>
      <c r="Y583" s="250">
        <v>1700</v>
      </c>
      <c r="Z583" s="250" t="s">
        <v>840</v>
      </c>
      <c r="AA583" s="250">
        <v>0.85</v>
      </c>
      <c r="AB583" s="250" t="s">
        <v>841</v>
      </c>
      <c r="AC583" s="250" t="s">
        <v>842</v>
      </c>
      <c r="AD583" s="250">
        <v>220</v>
      </c>
      <c r="AE583" s="250"/>
      <c r="AF583" s="250"/>
      <c r="AG583" s="241"/>
    </row>
    <row r="584" spans="1:33" ht="15.75">
      <c r="A584" s="250" t="s">
        <v>1111</v>
      </c>
      <c r="B584" s="250">
        <v>18</v>
      </c>
      <c r="C584" s="250">
        <v>158</v>
      </c>
      <c r="D584" s="250" t="s">
        <v>936</v>
      </c>
      <c r="E584" s="250">
        <v>1.5</v>
      </c>
      <c r="F584" s="251">
        <v>45114.710497685184</v>
      </c>
      <c r="G584" s="250">
        <v>2</v>
      </c>
      <c r="H584" s="250">
        <v>51.370800000000003</v>
      </c>
      <c r="I584" s="250">
        <v>6.6616999999999997</v>
      </c>
      <c r="J584" s="250">
        <v>-6.3631390000000003</v>
      </c>
      <c r="K584" s="250">
        <v>-5.5300060000000002</v>
      </c>
      <c r="L584" s="250">
        <v>1056.83</v>
      </c>
      <c r="M584" s="250">
        <v>132.50000900000001</v>
      </c>
      <c r="N584" s="250">
        <v>18680.155299999999</v>
      </c>
      <c r="O584" s="250">
        <v>18679.0972</v>
      </c>
      <c r="P584" s="250">
        <v>2063.00551</v>
      </c>
      <c r="Q584" s="250">
        <v>2066.445201</v>
      </c>
      <c r="R584" s="250" t="s">
        <v>839</v>
      </c>
      <c r="S584" s="250" t="s">
        <v>769</v>
      </c>
      <c r="T584" s="250">
        <v>15</v>
      </c>
      <c r="U584" s="250">
        <v>5</v>
      </c>
      <c r="V584" s="250">
        <v>0.7</v>
      </c>
      <c r="W584" s="250">
        <v>0.7</v>
      </c>
      <c r="X584" s="250">
        <v>0.7</v>
      </c>
      <c r="Y584" s="250">
        <v>1700</v>
      </c>
      <c r="Z584" s="250" t="s">
        <v>840</v>
      </c>
      <c r="AA584" s="250">
        <v>0.85</v>
      </c>
      <c r="AB584" s="250" t="s">
        <v>841</v>
      </c>
      <c r="AC584" s="250" t="s">
        <v>842</v>
      </c>
      <c r="AD584" s="250">
        <v>220</v>
      </c>
      <c r="AE584" s="250"/>
      <c r="AF584" s="250"/>
      <c r="AG584" s="241"/>
    </row>
    <row r="585" spans="1:33" ht="15.75">
      <c r="A585" s="250" t="s">
        <v>870</v>
      </c>
      <c r="B585" s="250">
        <v>19</v>
      </c>
      <c r="C585" s="250" t="s">
        <v>1087</v>
      </c>
      <c r="D585" s="250" t="s">
        <v>838</v>
      </c>
      <c r="E585" s="250">
        <v>1.5</v>
      </c>
      <c r="F585" s="251">
        <v>45114.714745370373</v>
      </c>
      <c r="G585" s="250">
        <v>1</v>
      </c>
      <c r="H585" s="250">
        <v>51.3675</v>
      </c>
      <c r="I585" s="250">
        <v>6.6378399999999997</v>
      </c>
      <c r="J585" s="250">
        <v>-6.3294499999999996</v>
      </c>
      <c r="K585" s="250">
        <v>-5.481026</v>
      </c>
      <c r="L585" s="250">
        <v>1026.42</v>
      </c>
      <c r="M585" s="250">
        <v>117.999272</v>
      </c>
      <c r="N585" s="250">
        <v>18338.888599999998</v>
      </c>
      <c r="O585" s="250">
        <v>18331.846099999999</v>
      </c>
      <c r="P585" s="250">
        <v>2024.65499</v>
      </c>
      <c r="Q585" s="250">
        <v>2028.23</v>
      </c>
      <c r="R585" s="250" t="s">
        <v>839</v>
      </c>
      <c r="S585" s="250" t="s">
        <v>769</v>
      </c>
      <c r="T585" s="250">
        <v>15</v>
      </c>
      <c r="U585" s="250">
        <v>5</v>
      </c>
      <c r="V585" s="250">
        <v>0.7</v>
      </c>
      <c r="W585" s="250">
        <v>0.7</v>
      </c>
      <c r="X585" s="250">
        <v>0.7</v>
      </c>
      <c r="Y585" s="250">
        <v>1700</v>
      </c>
      <c r="Z585" s="250" t="s">
        <v>840</v>
      </c>
      <c r="AA585" s="250">
        <v>0.85</v>
      </c>
      <c r="AB585" s="250" t="s">
        <v>841</v>
      </c>
      <c r="AC585" s="250" t="s">
        <v>842</v>
      </c>
      <c r="AD585" s="250">
        <v>220</v>
      </c>
      <c r="AE585" s="250"/>
      <c r="AF585" s="250"/>
      <c r="AG585" s="241"/>
    </row>
    <row r="586" spans="1:33" ht="15.75">
      <c r="A586" s="250" t="s">
        <v>1004</v>
      </c>
      <c r="B586" s="250">
        <v>19</v>
      </c>
      <c r="C586" s="250" t="s">
        <v>1087</v>
      </c>
      <c r="D586" s="250" t="s">
        <v>838</v>
      </c>
      <c r="E586" s="250">
        <v>1.5</v>
      </c>
      <c r="F586" s="251">
        <v>45114.718252314815</v>
      </c>
      <c r="G586" s="250">
        <v>1</v>
      </c>
      <c r="H586" s="250">
        <v>51.374099999999999</v>
      </c>
      <c r="I586" s="250">
        <v>6.5259400000000003</v>
      </c>
      <c r="J586" s="250">
        <v>-6.308211</v>
      </c>
      <c r="K586" s="250">
        <v>-5.4608400000000001</v>
      </c>
      <c r="L586" s="250">
        <v>1047.21</v>
      </c>
      <c r="M586" s="250">
        <v>128.50002499999999</v>
      </c>
      <c r="N586" s="250">
        <v>18302.381000000001</v>
      </c>
      <c r="O586" s="250">
        <v>18331.846099999999</v>
      </c>
      <c r="P586" s="250">
        <v>2024.65499</v>
      </c>
      <c r="Q586" s="250" t="s">
        <v>18</v>
      </c>
      <c r="R586" s="250" t="s">
        <v>647</v>
      </c>
      <c r="S586" s="250" t="s">
        <v>769</v>
      </c>
      <c r="T586" s="250">
        <v>15</v>
      </c>
      <c r="U586" s="250">
        <v>5</v>
      </c>
      <c r="V586" s="250">
        <v>0.7</v>
      </c>
      <c r="W586" s="250">
        <v>0.7</v>
      </c>
      <c r="X586" s="250">
        <v>0.7</v>
      </c>
      <c r="Y586" s="250">
        <v>1700</v>
      </c>
      <c r="Z586" s="250" t="s">
        <v>840</v>
      </c>
      <c r="AA586" s="250">
        <v>0.85</v>
      </c>
      <c r="AB586" s="250" t="s">
        <v>841</v>
      </c>
      <c r="AC586" s="250" t="s">
        <v>842</v>
      </c>
      <c r="AD586" s="250">
        <v>220</v>
      </c>
      <c r="AE586" s="250"/>
      <c r="AF586" s="250"/>
      <c r="AG586" s="241"/>
    </row>
    <row r="587" spans="1:33" ht="15.75">
      <c r="A587" s="250" t="s">
        <v>1005</v>
      </c>
      <c r="B587" s="250">
        <v>19</v>
      </c>
      <c r="C587" s="250" t="s">
        <v>1087</v>
      </c>
      <c r="D587" s="250" t="s">
        <v>838</v>
      </c>
      <c r="E587" s="250">
        <v>1.5</v>
      </c>
      <c r="F587" s="251">
        <v>45114.721909722219</v>
      </c>
      <c r="G587" s="250">
        <v>1</v>
      </c>
      <c r="H587" s="250">
        <v>51.377400000000002</v>
      </c>
      <c r="I587" s="250">
        <v>6.5314899999999998</v>
      </c>
      <c r="J587" s="250">
        <v>-6.3439410000000001</v>
      </c>
      <c r="K587" s="250">
        <v>-5.508057</v>
      </c>
      <c r="L587" s="250">
        <v>1021.69</v>
      </c>
      <c r="M587" s="250">
        <v>126.99971499999999</v>
      </c>
      <c r="N587" s="250">
        <v>18337.935700000002</v>
      </c>
      <c r="O587" s="250">
        <v>18331.846099999999</v>
      </c>
      <c r="P587" s="250">
        <v>2024.65499</v>
      </c>
      <c r="Q587" s="250" t="s">
        <v>18</v>
      </c>
      <c r="R587" s="250" t="s">
        <v>839</v>
      </c>
      <c r="S587" s="250" t="s">
        <v>769</v>
      </c>
      <c r="T587" s="250">
        <v>15</v>
      </c>
      <c r="U587" s="250">
        <v>5</v>
      </c>
      <c r="V587" s="250">
        <v>0.7</v>
      </c>
      <c r="W587" s="250">
        <v>0.7</v>
      </c>
      <c r="X587" s="250">
        <v>0.7</v>
      </c>
      <c r="Y587" s="250">
        <v>1700</v>
      </c>
      <c r="Z587" s="250" t="s">
        <v>840</v>
      </c>
      <c r="AA587" s="250">
        <v>0.85</v>
      </c>
      <c r="AB587" s="250" t="s">
        <v>841</v>
      </c>
      <c r="AC587" s="250" t="s">
        <v>842</v>
      </c>
      <c r="AD587" s="250">
        <v>220</v>
      </c>
      <c r="AE587" s="250"/>
      <c r="AF587" s="250"/>
      <c r="AG587" s="241"/>
    </row>
    <row r="588" spans="1:33" ht="15.75">
      <c r="A588" s="250" t="s">
        <v>1032</v>
      </c>
      <c r="B588" s="250">
        <v>19</v>
      </c>
      <c r="C588" s="250" t="s">
        <v>1087</v>
      </c>
      <c r="D588" s="250" t="s">
        <v>838</v>
      </c>
      <c r="E588" s="250">
        <v>1.5</v>
      </c>
      <c r="F588" s="251">
        <v>45114.72556712963</v>
      </c>
      <c r="G588" s="250">
        <v>1</v>
      </c>
      <c r="H588" s="250">
        <v>51.370800000000003</v>
      </c>
      <c r="I588" s="250">
        <v>6.46096</v>
      </c>
      <c r="J588" s="250">
        <v>-6.2693050000000001</v>
      </c>
      <c r="K588" s="250">
        <v>-5.4304990000000002</v>
      </c>
      <c r="L588" s="250">
        <v>1023.62</v>
      </c>
      <c r="M588" s="250">
        <v>125.000259</v>
      </c>
      <c r="N588" s="250">
        <v>18378.360700000001</v>
      </c>
      <c r="O588" s="250">
        <v>18331.846099999999</v>
      </c>
      <c r="P588" s="250">
        <v>2024.65499</v>
      </c>
      <c r="Q588" s="250" t="s">
        <v>18</v>
      </c>
      <c r="R588" s="250" t="s">
        <v>647</v>
      </c>
      <c r="S588" s="250" t="s">
        <v>769</v>
      </c>
      <c r="T588" s="250">
        <v>15</v>
      </c>
      <c r="U588" s="250">
        <v>5</v>
      </c>
      <c r="V588" s="250">
        <v>0.7</v>
      </c>
      <c r="W588" s="250">
        <v>0.7</v>
      </c>
      <c r="X588" s="250">
        <v>0.7</v>
      </c>
      <c r="Y588" s="250">
        <v>1700</v>
      </c>
      <c r="Z588" s="250" t="s">
        <v>840</v>
      </c>
      <c r="AA588" s="250">
        <v>0.85</v>
      </c>
      <c r="AB588" s="250" t="s">
        <v>841</v>
      </c>
      <c r="AC588" s="250" t="s">
        <v>842</v>
      </c>
      <c r="AD588" s="250">
        <v>220</v>
      </c>
      <c r="AE588" s="250"/>
      <c r="AF588" s="250"/>
      <c r="AG588" s="241"/>
    </row>
    <row r="589" spans="1:33" ht="15.75">
      <c r="A589" s="250" t="s">
        <v>1112</v>
      </c>
      <c r="B589" s="250">
        <v>19</v>
      </c>
      <c r="C589" s="250" t="s">
        <v>1087</v>
      </c>
      <c r="D589" s="250" t="s">
        <v>838</v>
      </c>
      <c r="E589" s="250">
        <v>1.5</v>
      </c>
      <c r="F589" s="251">
        <v>45114.729212962964</v>
      </c>
      <c r="G589" s="250">
        <v>1</v>
      </c>
      <c r="H589" s="250">
        <v>51.370800000000003</v>
      </c>
      <c r="I589" s="250">
        <v>6.4979300000000002</v>
      </c>
      <c r="J589" s="250">
        <v>-6.2753459999999999</v>
      </c>
      <c r="K589" s="250">
        <v>-5.4275060000000002</v>
      </c>
      <c r="L589" s="250">
        <v>1034.18</v>
      </c>
      <c r="M589" s="250">
        <v>123.998132</v>
      </c>
      <c r="N589" s="250">
        <v>18318.714100000001</v>
      </c>
      <c r="O589" s="250">
        <v>18331.846099999999</v>
      </c>
      <c r="P589" s="250">
        <v>2024.65499</v>
      </c>
      <c r="Q589" s="250">
        <v>2028.23</v>
      </c>
      <c r="R589" s="250" t="s">
        <v>839</v>
      </c>
      <c r="S589" s="250" t="s">
        <v>769</v>
      </c>
      <c r="T589" s="250">
        <v>15</v>
      </c>
      <c r="U589" s="250">
        <v>5</v>
      </c>
      <c r="V589" s="250">
        <v>0.7</v>
      </c>
      <c r="W589" s="250">
        <v>0.7</v>
      </c>
      <c r="X589" s="250">
        <v>0.7</v>
      </c>
      <c r="Y589" s="250">
        <v>1700</v>
      </c>
      <c r="Z589" s="250" t="s">
        <v>840</v>
      </c>
      <c r="AA589" s="250">
        <v>0.85</v>
      </c>
      <c r="AB589" s="250" t="s">
        <v>841</v>
      </c>
      <c r="AC589" s="250" t="s">
        <v>842</v>
      </c>
      <c r="AD589" s="250">
        <v>220</v>
      </c>
      <c r="AE589" s="250"/>
      <c r="AF589" s="250"/>
      <c r="AG589" s="241"/>
    </row>
    <row r="590" spans="1:33" ht="15.75">
      <c r="A590" s="250" t="s">
        <v>871</v>
      </c>
      <c r="B590" s="250">
        <v>20</v>
      </c>
      <c r="C590" s="250">
        <v>162</v>
      </c>
      <c r="D590" s="250" t="s">
        <v>898</v>
      </c>
      <c r="E590" s="250">
        <v>1.5</v>
      </c>
      <c r="F590" s="251">
        <v>45114.733344907407</v>
      </c>
      <c r="G590" s="250">
        <v>1</v>
      </c>
      <c r="H590" s="250">
        <v>51.370800000000003</v>
      </c>
      <c r="I590" s="250">
        <v>6.4933899999999998</v>
      </c>
      <c r="J590" s="250">
        <v>-6.3615529999999998</v>
      </c>
      <c r="K590" s="250">
        <v>-5.5123160000000002</v>
      </c>
      <c r="L590" s="250">
        <v>1067.94</v>
      </c>
      <c r="M590" s="250">
        <v>123.49944499999999</v>
      </c>
      <c r="N590" s="250">
        <v>18741.233700000001</v>
      </c>
      <c r="O590" s="250">
        <v>18709.255000000001</v>
      </c>
      <c r="P590" s="250">
        <v>2066.34031</v>
      </c>
      <c r="Q590" s="250">
        <v>2070.644937</v>
      </c>
      <c r="R590" s="250" t="s">
        <v>647</v>
      </c>
      <c r="S590" s="250" t="s">
        <v>769</v>
      </c>
      <c r="T590" s="250">
        <v>15</v>
      </c>
      <c r="U590" s="250">
        <v>5</v>
      </c>
      <c r="V590" s="250">
        <v>0.7</v>
      </c>
      <c r="W590" s="250">
        <v>0.7</v>
      </c>
      <c r="X590" s="250">
        <v>0.7</v>
      </c>
      <c r="Y590" s="250">
        <v>1700</v>
      </c>
      <c r="Z590" s="250" t="s">
        <v>840</v>
      </c>
      <c r="AA590" s="250">
        <v>0.85</v>
      </c>
      <c r="AB590" s="250" t="s">
        <v>841</v>
      </c>
      <c r="AC590" s="250" t="s">
        <v>842</v>
      </c>
      <c r="AD590" s="250">
        <v>220</v>
      </c>
      <c r="AE590" s="250"/>
      <c r="AF590" s="250"/>
      <c r="AG590" s="241"/>
    </row>
    <row r="591" spans="1:33" ht="15.75">
      <c r="A591" s="250" t="s">
        <v>1006</v>
      </c>
      <c r="B591" s="250">
        <v>20</v>
      </c>
      <c r="C591" s="250">
        <v>162</v>
      </c>
      <c r="D591" s="250" t="s">
        <v>898</v>
      </c>
      <c r="E591" s="250">
        <v>1.5</v>
      </c>
      <c r="F591" s="251">
        <v>45114.736956018518</v>
      </c>
      <c r="G591" s="250">
        <v>1</v>
      </c>
      <c r="H591" s="250">
        <v>51.370800000000003</v>
      </c>
      <c r="I591" s="250">
        <v>6.5495999999999999</v>
      </c>
      <c r="J591" s="250">
        <v>-6.2730940000000004</v>
      </c>
      <c r="K591" s="250">
        <v>-5.426202</v>
      </c>
      <c r="L591" s="250">
        <v>1025.95</v>
      </c>
      <c r="M591" s="250">
        <v>124.49914200000001</v>
      </c>
      <c r="N591" s="250">
        <v>18720.0481</v>
      </c>
      <c r="O591" s="250">
        <v>18709.255000000001</v>
      </c>
      <c r="P591" s="250">
        <v>2066.34031</v>
      </c>
      <c r="Q591" s="250">
        <v>2070.644937</v>
      </c>
      <c r="R591" s="250" t="s">
        <v>839</v>
      </c>
      <c r="S591" s="250" t="s">
        <v>769</v>
      </c>
      <c r="T591" s="250">
        <v>15</v>
      </c>
      <c r="U591" s="250">
        <v>5</v>
      </c>
      <c r="V591" s="250">
        <v>0.7</v>
      </c>
      <c r="W591" s="250">
        <v>0.7</v>
      </c>
      <c r="X591" s="250">
        <v>0.7</v>
      </c>
      <c r="Y591" s="250">
        <v>1700</v>
      </c>
      <c r="Z591" s="250" t="s">
        <v>840</v>
      </c>
      <c r="AA591" s="250">
        <v>0.85</v>
      </c>
      <c r="AB591" s="250" t="s">
        <v>841</v>
      </c>
      <c r="AC591" s="250" t="s">
        <v>842</v>
      </c>
      <c r="AD591" s="250">
        <v>220</v>
      </c>
      <c r="AE591" s="250"/>
      <c r="AF591" s="250"/>
      <c r="AG591" s="241"/>
    </row>
    <row r="592" spans="1:33" ht="15.75">
      <c r="A592" s="250" t="s">
        <v>1007</v>
      </c>
      <c r="B592" s="250">
        <v>20</v>
      </c>
      <c r="C592" s="250">
        <v>162</v>
      </c>
      <c r="D592" s="250" t="s">
        <v>898</v>
      </c>
      <c r="E592" s="250">
        <v>1.5</v>
      </c>
      <c r="F592" s="251">
        <v>45114.740590277775</v>
      </c>
      <c r="G592" s="250">
        <v>1</v>
      </c>
      <c r="H592" s="250">
        <v>51.370800000000003</v>
      </c>
      <c r="I592" s="250">
        <v>6.5690200000000001</v>
      </c>
      <c r="J592" s="250">
        <v>-6.3500220000000001</v>
      </c>
      <c r="K592" s="250">
        <v>-5.5081389999999999</v>
      </c>
      <c r="L592" s="250">
        <v>1062.9000000000001</v>
      </c>
      <c r="M592" s="250">
        <v>129.50064499999999</v>
      </c>
      <c r="N592" s="250">
        <v>18758.855899999999</v>
      </c>
      <c r="O592" s="250">
        <v>18709.255000000001</v>
      </c>
      <c r="P592" s="250">
        <v>2066.34031</v>
      </c>
      <c r="Q592" s="250">
        <v>2070.644937</v>
      </c>
      <c r="R592" s="250" t="s">
        <v>647</v>
      </c>
      <c r="S592" s="250" t="s">
        <v>769</v>
      </c>
      <c r="T592" s="250">
        <v>15</v>
      </c>
      <c r="U592" s="250">
        <v>5</v>
      </c>
      <c r="V592" s="250">
        <v>0.7</v>
      </c>
      <c r="W592" s="250">
        <v>0.7</v>
      </c>
      <c r="X592" s="250">
        <v>0.7</v>
      </c>
      <c r="Y592" s="250">
        <v>1700</v>
      </c>
      <c r="Z592" s="250" t="s">
        <v>840</v>
      </c>
      <c r="AA592" s="250">
        <v>0.85</v>
      </c>
      <c r="AB592" s="250" t="s">
        <v>841</v>
      </c>
      <c r="AC592" s="250" t="s">
        <v>842</v>
      </c>
      <c r="AD592" s="250">
        <v>220</v>
      </c>
      <c r="AE592" s="250"/>
      <c r="AF592" s="250"/>
      <c r="AG592" s="241"/>
    </row>
    <row r="593" spans="1:33" ht="15.75">
      <c r="A593" s="250" t="s">
        <v>1008</v>
      </c>
      <c r="B593" s="250">
        <v>20</v>
      </c>
      <c r="C593" s="250">
        <v>162</v>
      </c>
      <c r="D593" s="250" t="s">
        <v>898</v>
      </c>
      <c r="E593" s="250">
        <v>1.5</v>
      </c>
      <c r="F593" s="251">
        <v>45114.74423611111</v>
      </c>
      <c r="G593" s="250">
        <v>1</v>
      </c>
      <c r="H593" s="250">
        <v>51.364100000000001</v>
      </c>
      <c r="I593" s="250">
        <v>6.5732799999999996</v>
      </c>
      <c r="J593" s="250">
        <v>-6.2715889999999996</v>
      </c>
      <c r="K593" s="250">
        <v>-5.4383059999999999</v>
      </c>
      <c r="L593" s="250">
        <v>1044.52</v>
      </c>
      <c r="M593" s="250">
        <v>123.498329</v>
      </c>
      <c r="N593" s="250">
        <v>18697.771400000001</v>
      </c>
      <c r="O593" s="250">
        <v>18709.255000000001</v>
      </c>
      <c r="P593" s="250">
        <v>2066.34031</v>
      </c>
      <c r="Q593" s="250">
        <v>2070.644937</v>
      </c>
      <c r="R593" s="250" t="s">
        <v>839</v>
      </c>
      <c r="S593" s="250" t="s">
        <v>769</v>
      </c>
      <c r="T593" s="250">
        <v>15</v>
      </c>
      <c r="U593" s="250">
        <v>5</v>
      </c>
      <c r="V593" s="250">
        <v>0.7</v>
      </c>
      <c r="W593" s="250">
        <v>0.7</v>
      </c>
      <c r="X593" s="250">
        <v>0.7</v>
      </c>
      <c r="Y593" s="250">
        <v>1700</v>
      </c>
      <c r="Z593" s="250" t="s">
        <v>840</v>
      </c>
      <c r="AA593" s="250">
        <v>0.85</v>
      </c>
      <c r="AB593" s="250" t="s">
        <v>841</v>
      </c>
      <c r="AC593" s="250" t="s">
        <v>842</v>
      </c>
      <c r="AD593" s="250">
        <v>220</v>
      </c>
      <c r="AE593" s="250"/>
      <c r="AF593" s="250"/>
      <c r="AG593" s="241"/>
    </row>
    <row r="594" spans="1:33" ht="15.75">
      <c r="A594" s="250" t="s">
        <v>1009</v>
      </c>
      <c r="B594" s="250">
        <v>20</v>
      </c>
      <c r="C594" s="250">
        <v>162</v>
      </c>
      <c r="D594" s="250" t="s">
        <v>898</v>
      </c>
      <c r="E594" s="250">
        <v>1.5</v>
      </c>
      <c r="F594" s="251">
        <v>45114.747835648152</v>
      </c>
      <c r="G594" s="250">
        <v>1</v>
      </c>
      <c r="H594" s="250">
        <v>51.374099999999999</v>
      </c>
      <c r="I594" s="250">
        <v>6.5568099999999996</v>
      </c>
      <c r="J594" s="250">
        <v>-6.2927660000000003</v>
      </c>
      <c r="K594" s="250">
        <v>-5.4542830000000002</v>
      </c>
      <c r="L594" s="250">
        <v>1058.75</v>
      </c>
      <c r="M594" s="250">
        <v>121.501457</v>
      </c>
      <c r="N594" s="250">
        <v>18709.945400000001</v>
      </c>
      <c r="O594" s="250">
        <v>18709.255000000001</v>
      </c>
      <c r="P594" s="250">
        <v>2066.34031</v>
      </c>
      <c r="Q594" s="250">
        <v>2070.644937</v>
      </c>
      <c r="R594" s="250" t="s">
        <v>839</v>
      </c>
      <c r="S594" s="250" t="s">
        <v>769</v>
      </c>
      <c r="T594" s="250">
        <v>15</v>
      </c>
      <c r="U594" s="250">
        <v>5</v>
      </c>
      <c r="V594" s="250">
        <v>0.7</v>
      </c>
      <c r="W594" s="250">
        <v>0.7</v>
      </c>
      <c r="X594" s="250">
        <v>0.7</v>
      </c>
      <c r="Y594" s="250">
        <v>1700</v>
      </c>
      <c r="Z594" s="250" t="s">
        <v>840</v>
      </c>
      <c r="AA594" s="250">
        <v>0.85</v>
      </c>
      <c r="AB594" s="250" t="s">
        <v>841</v>
      </c>
      <c r="AC594" s="250" t="s">
        <v>842</v>
      </c>
      <c r="AD594" s="250">
        <v>220</v>
      </c>
      <c r="AE594" s="250"/>
      <c r="AF594" s="250"/>
      <c r="AG594" s="241"/>
    </row>
    <row r="595" spans="1:33" ht="15.75">
      <c r="A595" s="250" t="s">
        <v>872</v>
      </c>
      <c r="B595" s="250">
        <v>21</v>
      </c>
      <c r="C595" s="250">
        <v>163</v>
      </c>
      <c r="D595" s="250" t="s">
        <v>902</v>
      </c>
      <c r="E595" s="250">
        <v>1.5</v>
      </c>
      <c r="F595" s="251">
        <v>45114.751956018517</v>
      </c>
      <c r="G595" s="250">
        <v>1</v>
      </c>
      <c r="H595" s="250">
        <v>51.374099999999999</v>
      </c>
      <c r="I595" s="250">
        <v>6.5757700000000003</v>
      </c>
      <c r="J595" s="250">
        <v>-6.2777060000000002</v>
      </c>
      <c r="K595" s="250">
        <v>-5.4281329999999999</v>
      </c>
      <c r="L595" s="250">
        <v>1053.1099999999999</v>
      </c>
      <c r="M595" s="250">
        <v>116.499821</v>
      </c>
      <c r="N595" s="250">
        <v>18752.175299999999</v>
      </c>
      <c r="O595" s="250">
        <v>18766.178899999999</v>
      </c>
      <c r="P595" s="250">
        <v>2072.6348800000001</v>
      </c>
      <c r="Q595" s="250">
        <v>2077.6691230000001</v>
      </c>
      <c r="R595" s="250" t="s">
        <v>839</v>
      </c>
      <c r="S595" s="250" t="s">
        <v>769</v>
      </c>
      <c r="T595" s="250">
        <v>15</v>
      </c>
      <c r="U595" s="250">
        <v>5</v>
      </c>
      <c r="V595" s="250">
        <v>0.7</v>
      </c>
      <c r="W595" s="250">
        <v>0.7</v>
      </c>
      <c r="X595" s="250">
        <v>0.7</v>
      </c>
      <c r="Y595" s="250">
        <v>1700</v>
      </c>
      <c r="Z595" s="250" t="s">
        <v>840</v>
      </c>
      <c r="AA595" s="250">
        <v>0.85</v>
      </c>
      <c r="AB595" s="250" t="s">
        <v>841</v>
      </c>
      <c r="AC595" s="250" t="s">
        <v>842</v>
      </c>
      <c r="AD595" s="250">
        <v>220</v>
      </c>
      <c r="AE595" s="250"/>
      <c r="AF595" s="250"/>
      <c r="AG595" s="241"/>
    </row>
    <row r="596" spans="1:33" ht="15.75">
      <c r="A596" s="250" t="s">
        <v>1010</v>
      </c>
      <c r="B596" s="250">
        <v>21</v>
      </c>
      <c r="C596" s="250">
        <v>163</v>
      </c>
      <c r="D596" s="250" t="s">
        <v>902</v>
      </c>
      <c r="E596" s="250">
        <v>1.5</v>
      </c>
      <c r="F596" s="251">
        <v>45114.755474537036</v>
      </c>
      <c r="G596" s="250">
        <v>1</v>
      </c>
      <c r="H596" s="250">
        <v>51.364100000000001</v>
      </c>
      <c r="I596" s="250">
        <v>6.6165200000000004</v>
      </c>
      <c r="J596" s="250">
        <v>-6.3337750000000002</v>
      </c>
      <c r="K596" s="250">
        <v>-5.4923609999999998</v>
      </c>
      <c r="L596" s="250">
        <v>1046</v>
      </c>
      <c r="M596" s="250">
        <v>119.001525</v>
      </c>
      <c r="N596" s="250">
        <v>18786.873299999999</v>
      </c>
      <c r="O596" s="250">
        <v>18766.178899999999</v>
      </c>
      <c r="P596" s="250">
        <v>2072.6348800000001</v>
      </c>
      <c r="Q596" s="250">
        <v>2077.6691230000001</v>
      </c>
      <c r="R596" s="250" t="s">
        <v>839</v>
      </c>
      <c r="S596" s="250" t="s">
        <v>769</v>
      </c>
      <c r="T596" s="250">
        <v>15</v>
      </c>
      <c r="U596" s="250">
        <v>5</v>
      </c>
      <c r="V596" s="250">
        <v>0.7</v>
      </c>
      <c r="W596" s="250">
        <v>0.7</v>
      </c>
      <c r="X596" s="250">
        <v>0.7</v>
      </c>
      <c r="Y596" s="250">
        <v>1700</v>
      </c>
      <c r="Z596" s="250" t="s">
        <v>840</v>
      </c>
      <c r="AA596" s="250">
        <v>0.85</v>
      </c>
      <c r="AB596" s="250" t="s">
        <v>841</v>
      </c>
      <c r="AC596" s="250" t="s">
        <v>842</v>
      </c>
      <c r="AD596" s="250">
        <v>220</v>
      </c>
      <c r="AE596" s="250"/>
      <c r="AF596" s="250"/>
      <c r="AG596" s="241"/>
    </row>
    <row r="597" spans="1:33" ht="15.75">
      <c r="A597" s="250" t="s">
        <v>1011</v>
      </c>
      <c r="B597" s="250">
        <v>21</v>
      </c>
      <c r="C597" s="250">
        <v>163</v>
      </c>
      <c r="D597" s="250" t="s">
        <v>902</v>
      </c>
      <c r="E597" s="250">
        <v>1.5</v>
      </c>
      <c r="F597" s="251">
        <v>45114.759027777778</v>
      </c>
      <c r="G597" s="250">
        <v>1</v>
      </c>
      <c r="H597" s="250">
        <v>51.370800000000003</v>
      </c>
      <c r="I597" s="250">
        <v>6.5627000000000004</v>
      </c>
      <c r="J597" s="250">
        <v>-6.3360900000000004</v>
      </c>
      <c r="K597" s="250">
        <v>-5.5081309999999997</v>
      </c>
      <c r="L597" s="250">
        <v>1049.0999999999999</v>
      </c>
      <c r="M597" s="250">
        <v>120.999673</v>
      </c>
      <c r="N597" s="250">
        <v>18800.726699999999</v>
      </c>
      <c r="O597" s="250">
        <v>18766.178899999999</v>
      </c>
      <c r="P597" s="250">
        <v>2072.6348800000001</v>
      </c>
      <c r="Q597" s="250">
        <v>2077.6691230000001</v>
      </c>
      <c r="R597" s="250" t="s">
        <v>647</v>
      </c>
      <c r="S597" s="250" t="s">
        <v>769</v>
      </c>
      <c r="T597" s="250">
        <v>15</v>
      </c>
      <c r="U597" s="250">
        <v>5</v>
      </c>
      <c r="V597" s="250">
        <v>0.7</v>
      </c>
      <c r="W597" s="250">
        <v>0.7</v>
      </c>
      <c r="X597" s="250">
        <v>0.7</v>
      </c>
      <c r="Y597" s="250">
        <v>1700</v>
      </c>
      <c r="Z597" s="250" t="s">
        <v>840</v>
      </c>
      <c r="AA597" s="250">
        <v>0.85</v>
      </c>
      <c r="AB597" s="250" t="s">
        <v>841</v>
      </c>
      <c r="AC597" s="250" t="s">
        <v>842</v>
      </c>
      <c r="AD597" s="250">
        <v>220</v>
      </c>
      <c r="AE597" s="250"/>
      <c r="AF597" s="250"/>
      <c r="AG597" s="241"/>
    </row>
    <row r="598" spans="1:33" ht="15.75">
      <c r="A598" s="250" t="s">
        <v>1012</v>
      </c>
      <c r="B598" s="250">
        <v>21</v>
      </c>
      <c r="C598" s="250">
        <v>163</v>
      </c>
      <c r="D598" s="250" t="s">
        <v>902</v>
      </c>
      <c r="E598" s="250">
        <v>1.5</v>
      </c>
      <c r="F598" s="251">
        <v>45114.762557870374</v>
      </c>
      <c r="G598" s="250">
        <v>1</v>
      </c>
      <c r="H598" s="250">
        <v>51.370800000000003</v>
      </c>
      <c r="I598" s="250">
        <v>6.6164699999999996</v>
      </c>
      <c r="J598" s="250">
        <v>-6.3535589999999997</v>
      </c>
      <c r="K598" s="250">
        <v>-5.5116459999999998</v>
      </c>
      <c r="L598" s="250">
        <v>1052.1600000000001</v>
      </c>
      <c r="M598" s="250">
        <v>122.50008800000001</v>
      </c>
      <c r="N598" s="250">
        <v>18759.488000000001</v>
      </c>
      <c r="O598" s="250">
        <v>18766.178899999999</v>
      </c>
      <c r="P598" s="250">
        <v>2072.6348800000001</v>
      </c>
      <c r="Q598" s="250">
        <v>2077.6691230000001</v>
      </c>
      <c r="R598" s="250" t="s">
        <v>839</v>
      </c>
      <c r="S598" s="250" t="s">
        <v>769</v>
      </c>
      <c r="T598" s="250">
        <v>15</v>
      </c>
      <c r="U598" s="250">
        <v>5</v>
      </c>
      <c r="V598" s="250">
        <v>0.7</v>
      </c>
      <c r="W598" s="250">
        <v>0.7</v>
      </c>
      <c r="X598" s="250">
        <v>0.7</v>
      </c>
      <c r="Y598" s="250">
        <v>1700</v>
      </c>
      <c r="Z598" s="250" t="s">
        <v>840</v>
      </c>
      <c r="AA598" s="250">
        <v>0.85</v>
      </c>
      <c r="AB598" s="250" t="s">
        <v>841</v>
      </c>
      <c r="AC598" s="250" t="s">
        <v>842</v>
      </c>
      <c r="AD598" s="250">
        <v>220</v>
      </c>
      <c r="AE598" s="250"/>
      <c r="AF598" s="250"/>
      <c r="AG598" s="241"/>
    </row>
    <row r="599" spans="1:33" ht="15.75">
      <c r="A599" s="250" t="s">
        <v>873</v>
      </c>
      <c r="B599" s="250">
        <v>22</v>
      </c>
      <c r="C599" s="250" t="s">
        <v>1087</v>
      </c>
      <c r="D599" s="250" t="s">
        <v>838</v>
      </c>
      <c r="E599" s="250">
        <v>1.5</v>
      </c>
      <c r="F599" s="251">
        <v>45114.76667824074</v>
      </c>
      <c r="G599" s="250">
        <v>1</v>
      </c>
      <c r="H599" s="250">
        <v>51.3675</v>
      </c>
      <c r="I599" s="250">
        <v>6.5310899999999998</v>
      </c>
      <c r="J599" s="250">
        <v>-6.336354</v>
      </c>
      <c r="K599" s="250">
        <v>-5.4876990000000001</v>
      </c>
      <c r="L599" s="250">
        <v>1020.7</v>
      </c>
      <c r="M599" s="250">
        <v>131.50025500000001</v>
      </c>
      <c r="N599" s="250">
        <v>18294.692299999999</v>
      </c>
      <c r="O599" s="250">
        <v>18311.785800000001</v>
      </c>
      <c r="P599" s="250">
        <v>2022.46614</v>
      </c>
      <c r="Q599" s="250">
        <v>2028.23</v>
      </c>
      <c r="R599" s="250" t="s">
        <v>839</v>
      </c>
      <c r="S599" s="250" t="s">
        <v>769</v>
      </c>
      <c r="T599" s="250">
        <v>15</v>
      </c>
      <c r="U599" s="250">
        <v>5</v>
      </c>
      <c r="V599" s="250">
        <v>0.7</v>
      </c>
      <c r="W599" s="250">
        <v>0.7</v>
      </c>
      <c r="X599" s="250">
        <v>0.7</v>
      </c>
      <c r="Y599" s="250">
        <v>1700</v>
      </c>
      <c r="Z599" s="250" t="s">
        <v>840</v>
      </c>
      <c r="AA599" s="250">
        <v>0.85</v>
      </c>
      <c r="AB599" s="250" t="s">
        <v>841</v>
      </c>
      <c r="AC599" s="250" t="s">
        <v>842</v>
      </c>
      <c r="AD599" s="250">
        <v>220</v>
      </c>
      <c r="AE599" s="250"/>
      <c r="AF599" s="250"/>
      <c r="AG599" s="241"/>
    </row>
    <row r="600" spans="1:33" ht="15.75">
      <c r="A600" s="250" t="s">
        <v>1013</v>
      </c>
      <c r="B600" s="250">
        <v>22</v>
      </c>
      <c r="C600" s="250" t="s">
        <v>1087</v>
      </c>
      <c r="D600" s="250" t="s">
        <v>838</v>
      </c>
      <c r="E600" s="250">
        <v>1.5</v>
      </c>
      <c r="F600" s="251">
        <v>45114.77039351852</v>
      </c>
      <c r="G600" s="250">
        <v>1</v>
      </c>
      <c r="H600" s="250">
        <v>51.370800000000003</v>
      </c>
      <c r="I600" s="250">
        <v>6.4827399999999997</v>
      </c>
      <c r="J600" s="250">
        <v>-6.2928569999999997</v>
      </c>
      <c r="K600" s="250">
        <v>-5.4430959999999997</v>
      </c>
      <c r="L600" s="250">
        <v>1041.7</v>
      </c>
      <c r="M600" s="250">
        <v>119.50039200000001</v>
      </c>
      <c r="N600" s="250">
        <v>18317.113099999999</v>
      </c>
      <c r="O600" s="250">
        <v>18311.785800000001</v>
      </c>
      <c r="P600" s="250">
        <v>2022.46614</v>
      </c>
      <c r="Q600" s="250">
        <v>2028.23</v>
      </c>
      <c r="R600" s="250" t="s">
        <v>839</v>
      </c>
      <c r="S600" s="250" t="s">
        <v>769</v>
      </c>
      <c r="T600" s="250">
        <v>15</v>
      </c>
      <c r="U600" s="250">
        <v>5</v>
      </c>
      <c r="V600" s="250">
        <v>0.7</v>
      </c>
      <c r="W600" s="250">
        <v>0.7</v>
      </c>
      <c r="X600" s="250">
        <v>0.7</v>
      </c>
      <c r="Y600" s="250">
        <v>1700</v>
      </c>
      <c r="Z600" s="250" t="s">
        <v>840</v>
      </c>
      <c r="AA600" s="250">
        <v>0.85</v>
      </c>
      <c r="AB600" s="250" t="s">
        <v>841</v>
      </c>
      <c r="AC600" s="250" t="s">
        <v>842</v>
      </c>
      <c r="AD600" s="250">
        <v>220</v>
      </c>
      <c r="AE600" s="250"/>
      <c r="AF600" s="250"/>
      <c r="AG600" s="241"/>
    </row>
    <row r="601" spans="1:33" ht="15.75">
      <c r="A601" s="250" t="s">
        <v>1014</v>
      </c>
      <c r="B601" s="250">
        <v>22</v>
      </c>
      <c r="C601" s="250" t="s">
        <v>1087</v>
      </c>
      <c r="D601" s="250" t="s">
        <v>838</v>
      </c>
      <c r="E601" s="250">
        <v>1.5</v>
      </c>
      <c r="F601" s="251">
        <v>45114.773935185185</v>
      </c>
      <c r="G601" s="250">
        <v>1</v>
      </c>
      <c r="H601" s="250">
        <v>51.374099999999999</v>
      </c>
      <c r="I601" s="250">
        <v>6.4831899999999996</v>
      </c>
      <c r="J601" s="250">
        <v>-6.347696</v>
      </c>
      <c r="K601" s="250">
        <v>-5.4992989999999997</v>
      </c>
      <c r="L601" s="250">
        <v>1023.83</v>
      </c>
      <c r="M601" s="250">
        <v>126.50013</v>
      </c>
      <c r="N601" s="250">
        <v>18323.552100000001</v>
      </c>
      <c r="O601" s="250">
        <v>18311.785800000001</v>
      </c>
      <c r="P601" s="250">
        <v>2022.46614</v>
      </c>
      <c r="Q601" s="250">
        <v>2028.23</v>
      </c>
      <c r="R601" s="250" t="s">
        <v>839</v>
      </c>
      <c r="S601" s="250" t="s">
        <v>769</v>
      </c>
      <c r="T601" s="250">
        <v>15</v>
      </c>
      <c r="U601" s="250">
        <v>5</v>
      </c>
      <c r="V601" s="250">
        <v>0.7</v>
      </c>
      <c r="W601" s="250">
        <v>0.7</v>
      </c>
      <c r="X601" s="250">
        <v>0.7</v>
      </c>
      <c r="Y601" s="250">
        <v>1700</v>
      </c>
      <c r="Z601" s="250" t="s">
        <v>840</v>
      </c>
      <c r="AA601" s="250">
        <v>0.85</v>
      </c>
      <c r="AB601" s="250" t="s">
        <v>841</v>
      </c>
      <c r="AC601" s="250" t="s">
        <v>842</v>
      </c>
      <c r="AD601" s="250">
        <v>220</v>
      </c>
      <c r="AE601" s="250"/>
      <c r="AF601" s="250"/>
      <c r="AG601" s="241"/>
    </row>
    <row r="602" spans="1:33" ht="15.75">
      <c r="A602" s="250" t="s">
        <v>874</v>
      </c>
      <c r="B602" s="250">
        <v>23</v>
      </c>
      <c r="C602" s="250"/>
      <c r="D602" s="250" t="s">
        <v>911</v>
      </c>
      <c r="E602" s="250">
        <v>1.5</v>
      </c>
      <c r="F602" s="251">
        <v>45114.778067129628</v>
      </c>
      <c r="G602" s="250">
        <v>1</v>
      </c>
      <c r="H602" s="250">
        <v>51.370800000000003</v>
      </c>
      <c r="I602" s="250">
        <v>6.5285399999999996</v>
      </c>
      <c r="J602" s="250">
        <v>-6.1940549999999996</v>
      </c>
      <c r="K602" s="250">
        <v>-5.3488170000000004</v>
      </c>
      <c r="L602" s="250">
        <v>11.2067</v>
      </c>
      <c r="M602" s="250">
        <v>56.000546</v>
      </c>
      <c r="N602" s="250">
        <v>354.62726700000002</v>
      </c>
      <c r="O602" s="250">
        <v>0</v>
      </c>
      <c r="P602" s="250">
        <v>0</v>
      </c>
      <c r="Q602" s="250" t="s">
        <v>18</v>
      </c>
      <c r="R602" s="250" t="s">
        <v>916</v>
      </c>
      <c r="S602" s="250" t="s">
        <v>28</v>
      </c>
      <c r="T602" s="250">
        <v>15</v>
      </c>
      <c r="U602" s="250">
        <v>5</v>
      </c>
      <c r="V602" s="250">
        <v>0.7</v>
      </c>
      <c r="W602" s="250">
        <v>0.7</v>
      </c>
      <c r="X602" s="250">
        <v>0.7</v>
      </c>
      <c r="Y602" s="250">
        <v>1700</v>
      </c>
      <c r="Z602" s="250" t="s">
        <v>840</v>
      </c>
      <c r="AA602" s="250">
        <v>0.85</v>
      </c>
      <c r="AB602" s="250" t="s">
        <v>841</v>
      </c>
      <c r="AC602" s="250" t="s">
        <v>842</v>
      </c>
      <c r="AD602" s="250">
        <v>220</v>
      </c>
      <c r="AE602" s="250"/>
      <c r="AF602" s="250"/>
      <c r="AG602" s="241"/>
    </row>
    <row r="603" spans="1:33" ht="15.75">
      <c r="A603" s="250" t="s">
        <v>1016</v>
      </c>
      <c r="B603" s="250">
        <v>23</v>
      </c>
      <c r="C603" s="250"/>
      <c r="D603" s="250" t="s">
        <v>911</v>
      </c>
      <c r="E603" s="250">
        <v>1.5</v>
      </c>
      <c r="F603" s="251">
        <v>45114.78087962963</v>
      </c>
      <c r="G603" s="250">
        <v>1</v>
      </c>
      <c r="H603" s="250">
        <v>51.3675</v>
      </c>
      <c r="I603" s="250">
        <v>6.4943200000000001</v>
      </c>
      <c r="J603" s="250">
        <v>-6.256742</v>
      </c>
      <c r="K603" s="250">
        <v>-5.444096</v>
      </c>
      <c r="L603" s="250">
        <v>7.9181999999999997</v>
      </c>
      <c r="M603" s="250">
        <v>57.001506999999997</v>
      </c>
      <c r="N603" s="250">
        <v>312.71435300000002</v>
      </c>
      <c r="O603" s="250">
        <v>0</v>
      </c>
      <c r="P603" s="250">
        <v>0</v>
      </c>
      <c r="Q603" s="250" t="s">
        <v>18</v>
      </c>
      <c r="R603" s="250" t="s">
        <v>916</v>
      </c>
      <c r="S603" s="250" t="s">
        <v>28</v>
      </c>
      <c r="T603" s="250">
        <v>15</v>
      </c>
      <c r="U603" s="250">
        <v>5</v>
      </c>
      <c r="V603" s="250">
        <v>0.7</v>
      </c>
      <c r="W603" s="250">
        <v>0.7</v>
      </c>
      <c r="X603" s="250">
        <v>0.7</v>
      </c>
      <c r="Y603" s="250">
        <v>1700</v>
      </c>
      <c r="Z603" s="250" t="s">
        <v>840</v>
      </c>
      <c r="AA603" s="250">
        <v>0.85</v>
      </c>
      <c r="AB603" s="250" t="s">
        <v>841</v>
      </c>
      <c r="AC603" s="250" t="s">
        <v>842</v>
      </c>
      <c r="AD603" s="250">
        <v>220</v>
      </c>
      <c r="AE603" s="250"/>
      <c r="AF603" s="250"/>
      <c r="AG603" s="241"/>
    </row>
    <row r="604" spans="1:33" ht="15.75">
      <c r="A604" s="250" t="s">
        <v>1017</v>
      </c>
      <c r="B604" s="250">
        <v>23</v>
      </c>
      <c r="C604" s="250"/>
      <c r="D604" s="250" t="s">
        <v>911</v>
      </c>
      <c r="E604" s="250">
        <v>1.5</v>
      </c>
      <c r="F604" s="251">
        <v>45114.783726851849</v>
      </c>
      <c r="G604" s="250">
        <v>1</v>
      </c>
      <c r="H604" s="250">
        <v>51.3675</v>
      </c>
      <c r="I604" s="250">
        <v>6.4617800000000001</v>
      </c>
      <c r="J604" s="250">
        <v>-6.2345670000000002</v>
      </c>
      <c r="K604" s="250">
        <v>-5.5162399999999998</v>
      </c>
      <c r="L604" s="250">
        <v>7.3616000000000001</v>
      </c>
      <c r="M604" s="250">
        <v>56.998586000000003</v>
      </c>
      <c r="N604" s="250">
        <v>301.21517499999999</v>
      </c>
      <c r="O604" s="250">
        <v>0</v>
      </c>
      <c r="P604" s="250">
        <v>0</v>
      </c>
      <c r="Q604" s="250" t="s">
        <v>18</v>
      </c>
      <c r="R604" s="250" t="s">
        <v>916</v>
      </c>
      <c r="S604" s="250" t="s">
        <v>28</v>
      </c>
      <c r="T604" s="250">
        <v>15</v>
      </c>
      <c r="U604" s="250">
        <v>5</v>
      </c>
      <c r="V604" s="250">
        <v>0.7</v>
      </c>
      <c r="W604" s="250">
        <v>0.7</v>
      </c>
      <c r="X604" s="250">
        <v>0.7</v>
      </c>
      <c r="Y604" s="250">
        <v>1700</v>
      </c>
      <c r="Z604" s="250" t="s">
        <v>840</v>
      </c>
      <c r="AA604" s="250">
        <v>0.85</v>
      </c>
      <c r="AB604" s="250" t="s">
        <v>841</v>
      </c>
      <c r="AC604" s="250" t="s">
        <v>842</v>
      </c>
      <c r="AD604" s="250">
        <v>220</v>
      </c>
      <c r="AE604" s="250"/>
      <c r="AF604" s="250"/>
      <c r="AG604" s="241"/>
    </row>
    <row r="605" spans="1:33" ht="15.75">
      <c r="A605" s="250" t="s">
        <v>1113</v>
      </c>
      <c r="B605" s="250">
        <v>23</v>
      </c>
      <c r="C605" s="250"/>
      <c r="D605" s="250" t="s">
        <v>911</v>
      </c>
      <c r="E605" s="250">
        <v>1.5</v>
      </c>
      <c r="F605" s="251">
        <v>45114.786574074074</v>
      </c>
      <c r="G605" s="250">
        <v>1</v>
      </c>
      <c r="H605" s="250">
        <v>51.374099999999999</v>
      </c>
      <c r="I605" s="250">
        <v>6.6002900000000002</v>
      </c>
      <c r="J605" s="250">
        <v>-6.2647950000000003</v>
      </c>
      <c r="K605" s="250">
        <v>-5.4866539999999997</v>
      </c>
      <c r="L605" s="250">
        <v>7.1561500000000002</v>
      </c>
      <c r="M605" s="250">
        <v>56.499360000000003</v>
      </c>
      <c r="N605" s="250">
        <v>292.40781299999998</v>
      </c>
      <c r="O605" s="250">
        <v>0</v>
      </c>
      <c r="P605" s="250">
        <v>0</v>
      </c>
      <c r="Q605" s="250" t="s">
        <v>18</v>
      </c>
      <c r="R605" s="250" t="s">
        <v>916</v>
      </c>
      <c r="S605" s="250" t="s">
        <v>28</v>
      </c>
      <c r="T605" s="250">
        <v>15</v>
      </c>
      <c r="U605" s="250">
        <v>5</v>
      </c>
      <c r="V605" s="250">
        <v>0.7</v>
      </c>
      <c r="W605" s="250">
        <v>0.7</v>
      </c>
      <c r="X605" s="250">
        <v>0.7</v>
      </c>
      <c r="Y605" s="250">
        <v>1700</v>
      </c>
      <c r="Z605" s="250" t="s">
        <v>840</v>
      </c>
      <c r="AA605" s="250">
        <v>0.85</v>
      </c>
      <c r="AB605" s="250" t="s">
        <v>841</v>
      </c>
      <c r="AC605" s="250" t="s">
        <v>842</v>
      </c>
      <c r="AD605" s="250">
        <v>220</v>
      </c>
      <c r="AE605" s="250"/>
      <c r="AF605" s="250"/>
      <c r="AG605" s="241"/>
    </row>
    <row r="606" spans="1:33" ht="15.75">
      <c r="A606" s="250" t="s">
        <v>1114</v>
      </c>
      <c r="B606" s="250">
        <v>23</v>
      </c>
      <c r="C606" s="250"/>
      <c r="D606" s="250" t="s">
        <v>911</v>
      </c>
      <c r="E606" s="250">
        <v>1.5</v>
      </c>
      <c r="F606" s="251">
        <v>45114.789421296293</v>
      </c>
      <c r="G606" s="250">
        <v>1</v>
      </c>
      <c r="H606" s="250">
        <v>51.370800000000003</v>
      </c>
      <c r="I606" s="250">
        <v>6.58887</v>
      </c>
      <c r="J606" s="250">
        <v>-6.2418990000000001</v>
      </c>
      <c r="K606" s="250">
        <v>-5.4738959999999999</v>
      </c>
      <c r="L606" s="250">
        <v>6.9942000000000002</v>
      </c>
      <c r="M606" s="250">
        <v>56.499313999999998</v>
      </c>
      <c r="N606" s="250">
        <v>287.53583800000001</v>
      </c>
      <c r="O606" s="250">
        <v>0</v>
      </c>
      <c r="P606" s="250">
        <v>0</v>
      </c>
      <c r="Q606" s="250" t="s">
        <v>18</v>
      </c>
      <c r="R606" s="250" t="s">
        <v>916</v>
      </c>
      <c r="S606" s="250" t="s">
        <v>28</v>
      </c>
      <c r="T606" s="250">
        <v>15</v>
      </c>
      <c r="U606" s="250">
        <v>5</v>
      </c>
      <c r="V606" s="250">
        <v>0.7</v>
      </c>
      <c r="W606" s="250">
        <v>0.7</v>
      </c>
      <c r="X606" s="250">
        <v>0.7</v>
      </c>
      <c r="Y606" s="250">
        <v>1700</v>
      </c>
      <c r="Z606" s="250" t="s">
        <v>840</v>
      </c>
      <c r="AA606" s="250">
        <v>0.85</v>
      </c>
      <c r="AB606" s="250" t="s">
        <v>841</v>
      </c>
      <c r="AC606" s="250" t="s">
        <v>842</v>
      </c>
      <c r="AD606" s="250">
        <v>220</v>
      </c>
      <c r="AE606" s="250"/>
      <c r="AF606" s="250"/>
      <c r="AG606" s="241"/>
    </row>
    <row r="607" spans="1:33" ht="15.75">
      <c r="A607" s="250" t="s">
        <v>1115</v>
      </c>
      <c r="B607" s="250">
        <v>23</v>
      </c>
      <c r="C607" s="250"/>
      <c r="D607" s="250" t="s">
        <v>911</v>
      </c>
      <c r="E607" s="250">
        <v>1.5</v>
      </c>
      <c r="F607" s="251">
        <v>45114.792256944442</v>
      </c>
      <c r="G607" s="250">
        <v>2</v>
      </c>
      <c r="H607" s="250">
        <v>51.364100000000001</v>
      </c>
      <c r="I607" s="250">
        <v>6.5413199999999998</v>
      </c>
      <c r="J607" s="250">
        <v>-6.3221059999999998</v>
      </c>
      <c r="K607" s="250">
        <v>-5.5582890000000003</v>
      </c>
      <c r="L607" s="250">
        <v>6.8581200000000004</v>
      </c>
      <c r="M607" s="250">
        <v>57.000019000000002</v>
      </c>
      <c r="N607" s="250">
        <v>290.65461800000003</v>
      </c>
      <c r="O607" s="250">
        <v>0</v>
      </c>
      <c r="P607" s="250">
        <v>0</v>
      </c>
      <c r="Q607" s="250" t="s">
        <v>18</v>
      </c>
      <c r="R607" s="250" t="s">
        <v>916</v>
      </c>
      <c r="S607" s="250" t="s">
        <v>28</v>
      </c>
      <c r="T607" s="250">
        <v>15</v>
      </c>
      <c r="U607" s="250">
        <v>5</v>
      </c>
      <c r="V607" s="250">
        <v>0.7</v>
      </c>
      <c r="W607" s="250">
        <v>0.7</v>
      </c>
      <c r="X607" s="250">
        <v>0.7</v>
      </c>
      <c r="Y607" s="250">
        <v>1700</v>
      </c>
      <c r="Z607" s="250" t="s">
        <v>840</v>
      </c>
      <c r="AA607" s="250">
        <v>0.85</v>
      </c>
      <c r="AB607" s="250" t="s">
        <v>841</v>
      </c>
      <c r="AC607" s="250" t="s">
        <v>842</v>
      </c>
      <c r="AD607" s="250">
        <v>220</v>
      </c>
      <c r="AE607" s="250"/>
      <c r="AF607" s="250"/>
      <c r="AG607" s="241"/>
    </row>
    <row r="608" spans="1:33" ht="15.75">
      <c r="A608" s="250" t="s">
        <v>1116</v>
      </c>
      <c r="B608" s="250">
        <v>23</v>
      </c>
      <c r="C608" s="250"/>
      <c r="D608" s="250" t="s">
        <v>911</v>
      </c>
      <c r="E608" s="250">
        <v>1.5</v>
      </c>
      <c r="F608" s="251">
        <v>45114.795115740744</v>
      </c>
      <c r="G608" s="250">
        <v>2</v>
      </c>
      <c r="H608" s="250">
        <v>51.374099999999999</v>
      </c>
      <c r="I608" s="250">
        <v>6.4981799999999996</v>
      </c>
      <c r="J608" s="250">
        <v>-6.1588620000000001</v>
      </c>
      <c r="K608" s="250">
        <v>-5.3721100000000002</v>
      </c>
      <c r="L608" s="250">
        <v>6.8800499999999998</v>
      </c>
      <c r="M608" s="250">
        <v>56.499606</v>
      </c>
      <c r="N608" s="250">
        <v>281.184911</v>
      </c>
      <c r="O608" s="250">
        <v>0</v>
      </c>
      <c r="P608" s="250">
        <v>0</v>
      </c>
      <c r="Q608" s="250" t="s">
        <v>18</v>
      </c>
      <c r="R608" s="250" t="s">
        <v>916</v>
      </c>
      <c r="S608" s="250" t="s">
        <v>28</v>
      </c>
      <c r="T608" s="250">
        <v>15</v>
      </c>
      <c r="U608" s="250">
        <v>5</v>
      </c>
      <c r="V608" s="250">
        <v>0.7</v>
      </c>
      <c r="W608" s="250">
        <v>0.7</v>
      </c>
      <c r="X608" s="250">
        <v>0.7</v>
      </c>
      <c r="Y608" s="250">
        <v>1700</v>
      </c>
      <c r="Z608" s="250" t="s">
        <v>840</v>
      </c>
      <c r="AA608" s="250">
        <v>0.85</v>
      </c>
      <c r="AB608" s="250" t="s">
        <v>841</v>
      </c>
      <c r="AC608" s="250" t="s">
        <v>842</v>
      </c>
      <c r="AD608" s="250">
        <v>220</v>
      </c>
      <c r="AE608" s="250"/>
      <c r="AF608" s="250"/>
      <c r="AG608" s="241"/>
    </row>
    <row r="609" spans="1:33" ht="15.75">
      <c r="A609" s="250" t="s">
        <v>1117</v>
      </c>
      <c r="B609" s="250">
        <v>23</v>
      </c>
      <c r="C609" s="250"/>
      <c r="D609" s="250" t="s">
        <v>911</v>
      </c>
      <c r="E609" s="250">
        <v>1.5</v>
      </c>
      <c r="F609" s="251">
        <v>45114.797962962963</v>
      </c>
      <c r="G609" s="250">
        <v>2</v>
      </c>
      <c r="H609" s="250">
        <v>51.377400000000002</v>
      </c>
      <c r="I609" s="250">
        <v>6.48231</v>
      </c>
      <c r="J609" s="250">
        <v>-6.1737630000000001</v>
      </c>
      <c r="K609" s="250">
        <v>-5.3844190000000003</v>
      </c>
      <c r="L609" s="250">
        <v>6.85372</v>
      </c>
      <c r="M609" s="250">
        <v>56.502206999999999</v>
      </c>
      <c r="N609" s="250">
        <v>281.401096</v>
      </c>
      <c r="O609" s="250">
        <v>0</v>
      </c>
      <c r="P609" s="250">
        <v>0</v>
      </c>
      <c r="Q609" s="250" t="s">
        <v>18</v>
      </c>
      <c r="R609" s="250" t="s">
        <v>916</v>
      </c>
      <c r="S609" s="250" t="s">
        <v>28</v>
      </c>
      <c r="T609" s="250">
        <v>15</v>
      </c>
      <c r="U609" s="250">
        <v>5</v>
      </c>
      <c r="V609" s="250">
        <v>0.7</v>
      </c>
      <c r="W609" s="250">
        <v>0.7</v>
      </c>
      <c r="X609" s="250">
        <v>0.7</v>
      </c>
      <c r="Y609" s="250">
        <v>1700</v>
      </c>
      <c r="Z609" s="250" t="s">
        <v>840</v>
      </c>
      <c r="AA609" s="250">
        <v>0.85</v>
      </c>
      <c r="AB609" s="250" t="s">
        <v>841</v>
      </c>
      <c r="AC609" s="250" t="s">
        <v>842</v>
      </c>
      <c r="AD609" s="250">
        <v>220</v>
      </c>
      <c r="AE609" s="250"/>
      <c r="AF609" s="250"/>
      <c r="AG609" s="241"/>
    </row>
    <row r="610" spans="1:33" ht="15.75">
      <c r="A610" s="250" t="s">
        <v>1118</v>
      </c>
      <c r="B610" s="250">
        <v>23</v>
      </c>
      <c r="C610" s="250"/>
      <c r="D610" s="250" t="s">
        <v>911</v>
      </c>
      <c r="E610" s="250">
        <v>1.5</v>
      </c>
      <c r="F610" s="251">
        <v>45114.800810185188</v>
      </c>
      <c r="G610" s="250">
        <v>2</v>
      </c>
      <c r="H610" s="250">
        <v>51.370800000000003</v>
      </c>
      <c r="I610" s="250">
        <v>6.5150699999999997</v>
      </c>
      <c r="J610" s="250">
        <v>-6.1447060000000002</v>
      </c>
      <c r="K610" s="250">
        <v>-5.3349979999999997</v>
      </c>
      <c r="L610" s="250">
        <v>6.8627700000000003</v>
      </c>
      <c r="M610" s="250">
        <v>57.000118999999998</v>
      </c>
      <c r="N610" s="250">
        <v>284.20375000000001</v>
      </c>
      <c r="O610" s="250">
        <v>0</v>
      </c>
      <c r="P610" s="250">
        <v>0</v>
      </c>
      <c r="Q610" s="250" t="s">
        <v>18</v>
      </c>
      <c r="R610" s="250" t="s">
        <v>916</v>
      </c>
      <c r="S610" s="250" t="s">
        <v>28</v>
      </c>
      <c r="T610" s="250">
        <v>15</v>
      </c>
      <c r="U610" s="250">
        <v>5</v>
      </c>
      <c r="V610" s="250">
        <v>0.7</v>
      </c>
      <c r="W610" s="250">
        <v>0.7</v>
      </c>
      <c r="X610" s="250">
        <v>0.7</v>
      </c>
      <c r="Y610" s="250">
        <v>1700</v>
      </c>
      <c r="Z610" s="250" t="s">
        <v>840</v>
      </c>
      <c r="AA610" s="250">
        <v>0.85</v>
      </c>
      <c r="AB610" s="250" t="s">
        <v>841</v>
      </c>
      <c r="AC610" s="250" t="s">
        <v>842</v>
      </c>
      <c r="AD610" s="250">
        <v>220</v>
      </c>
      <c r="AE610" s="250"/>
      <c r="AF610" s="250"/>
      <c r="AG610" s="241"/>
    </row>
    <row r="611" spans="1:33" ht="15.75">
      <c r="A611" s="250" t="s">
        <v>1119</v>
      </c>
      <c r="B611" s="250">
        <v>23</v>
      </c>
      <c r="C611" s="250"/>
      <c r="D611" s="250" t="s">
        <v>911</v>
      </c>
      <c r="E611" s="250">
        <v>1.5</v>
      </c>
      <c r="F611" s="251">
        <v>45114.80364583333</v>
      </c>
      <c r="G611" s="250">
        <v>2</v>
      </c>
      <c r="H611" s="250">
        <v>51.374099999999999</v>
      </c>
      <c r="I611" s="250">
        <v>6.5180499999999997</v>
      </c>
      <c r="J611" s="250">
        <v>-6.0490009999999996</v>
      </c>
      <c r="K611" s="250">
        <v>-5.2834260000000004</v>
      </c>
      <c r="L611" s="250">
        <v>6.7488799999999998</v>
      </c>
      <c r="M611" s="250">
        <v>55.999994000000001</v>
      </c>
      <c r="N611" s="250">
        <v>277.34180700000002</v>
      </c>
      <c r="O611" s="250">
        <v>0</v>
      </c>
      <c r="P611" s="250">
        <v>0</v>
      </c>
      <c r="Q611" s="250" t="s">
        <v>18</v>
      </c>
      <c r="R611" s="250" t="s">
        <v>916</v>
      </c>
      <c r="S611" s="250" t="s">
        <v>28</v>
      </c>
      <c r="T611" s="250">
        <v>15</v>
      </c>
      <c r="U611" s="250">
        <v>5</v>
      </c>
      <c r="V611" s="250">
        <v>0.7</v>
      </c>
      <c r="W611" s="250">
        <v>0.7</v>
      </c>
      <c r="X611" s="250">
        <v>0.7</v>
      </c>
      <c r="Y611" s="250">
        <v>1700</v>
      </c>
      <c r="Z611" s="250" t="s">
        <v>840</v>
      </c>
      <c r="AA611" s="250">
        <v>0.85</v>
      </c>
      <c r="AB611" s="250" t="s">
        <v>841</v>
      </c>
      <c r="AC611" s="250" t="s">
        <v>842</v>
      </c>
      <c r="AD611" s="250">
        <v>220</v>
      </c>
      <c r="AE611" s="250"/>
      <c r="AF611" s="250"/>
      <c r="AG611" s="241"/>
    </row>
    <row r="612" spans="1:33" ht="15.75">
      <c r="A612" s="250" t="s">
        <v>875</v>
      </c>
      <c r="B612" s="250">
        <v>24</v>
      </c>
      <c r="C612" s="250"/>
      <c r="D612" s="250" t="s">
        <v>838</v>
      </c>
      <c r="E612" s="250">
        <v>1.5</v>
      </c>
      <c r="F612" s="250"/>
      <c r="G612" s="250">
        <v>1</v>
      </c>
      <c r="H612" s="250">
        <v>0</v>
      </c>
      <c r="I612" s="250">
        <v>0</v>
      </c>
      <c r="J612" s="250">
        <v>0</v>
      </c>
      <c r="K612" s="250">
        <v>0</v>
      </c>
      <c r="L612" s="250">
        <v>0</v>
      </c>
      <c r="M612" s="250">
        <v>0</v>
      </c>
      <c r="N612" s="250">
        <v>0</v>
      </c>
      <c r="O612" s="250">
        <v>0</v>
      </c>
      <c r="P612" s="250">
        <v>0</v>
      </c>
      <c r="Q612" s="250" t="s">
        <v>18</v>
      </c>
      <c r="R612" s="250" t="s">
        <v>852</v>
      </c>
      <c r="S612" s="250" t="s">
        <v>28</v>
      </c>
      <c r="T612" s="250">
        <v>15</v>
      </c>
      <c r="U612" s="250">
        <v>5</v>
      </c>
      <c r="V612" s="250">
        <v>0.7</v>
      </c>
      <c r="W612" s="250">
        <v>0.7</v>
      </c>
      <c r="X612" s="250">
        <v>0.7</v>
      </c>
      <c r="Y612" s="250">
        <v>1700</v>
      </c>
      <c r="Z612" s="250"/>
      <c r="AA612" s="250"/>
      <c r="AB612" s="250" t="s">
        <v>841</v>
      </c>
      <c r="AC612" s="250" t="s">
        <v>842</v>
      </c>
      <c r="AD612" s="250">
        <v>220</v>
      </c>
      <c r="AE612" s="250"/>
      <c r="AF612" s="250"/>
      <c r="AG612" s="241"/>
    </row>
    <row r="613" spans="1:33" ht="15.75">
      <c r="A613" s="250" t="s">
        <v>835</v>
      </c>
      <c r="B613" s="250" t="s">
        <v>836</v>
      </c>
      <c r="C613" s="250" t="s">
        <v>837</v>
      </c>
      <c r="D613" s="250" t="s">
        <v>838</v>
      </c>
      <c r="E613" s="250">
        <v>1</v>
      </c>
      <c r="F613" s="251">
        <v>45117.484537037039</v>
      </c>
      <c r="G613" s="250">
        <v>1</v>
      </c>
      <c r="H613" s="250">
        <v>51.370800000000003</v>
      </c>
      <c r="I613" s="250">
        <v>12.464</v>
      </c>
      <c r="J613" s="250">
        <v>-4.0359870000000004</v>
      </c>
      <c r="K613" s="250">
        <v>-3.1915049999999998</v>
      </c>
      <c r="L613" s="250">
        <v>921.98900000000003</v>
      </c>
      <c r="M613" s="250">
        <v>95.000793000000002</v>
      </c>
      <c r="N613" s="250">
        <v>11816.4972</v>
      </c>
      <c r="O613" s="250">
        <v>11816.4972</v>
      </c>
      <c r="P613" s="250">
        <v>1970.6151199999999</v>
      </c>
      <c r="Q613" s="250" t="s">
        <v>18</v>
      </c>
      <c r="R613" s="250" t="s">
        <v>839</v>
      </c>
      <c r="S613" s="250" t="s">
        <v>21</v>
      </c>
      <c r="T613" s="250">
        <v>15</v>
      </c>
      <c r="U613" s="250">
        <v>5</v>
      </c>
      <c r="V613" s="250">
        <v>0.7</v>
      </c>
      <c r="W613" s="250">
        <v>0.7</v>
      </c>
      <c r="X613" s="250">
        <v>0.7</v>
      </c>
      <c r="Y613" s="250">
        <v>1700</v>
      </c>
      <c r="Z613" s="250" t="s">
        <v>840</v>
      </c>
      <c r="AA613" s="250">
        <v>0.85</v>
      </c>
      <c r="AB613" s="250" t="s">
        <v>841</v>
      </c>
      <c r="AC613" s="250" t="s">
        <v>842</v>
      </c>
      <c r="AD613" s="250">
        <v>220</v>
      </c>
      <c r="AE613" s="250"/>
      <c r="AF613" s="250"/>
      <c r="AG613" s="241"/>
    </row>
    <row r="614" spans="1:33" ht="15.75">
      <c r="A614" s="250" t="s">
        <v>843</v>
      </c>
      <c r="B614" s="250" t="s">
        <v>836</v>
      </c>
      <c r="C614" s="250" t="s">
        <v>837</v>
      </c>
      <c r="D614" s="250" t="s">
        <v>838</v>
      </c>
      <c r="E614" s="250">
        <v>1</v>
      </c>
      <c r="F614" s="251">
        <v>45117.487546296295</v>
      </c>
      <c r="G614" s="250">
        <v>1</v>
      </c>
      <c r="H614" s="250">
        <v>51.370800000000003</v>
      </c>
      <c r="I614" s="250">
        <v>10.7056</v>
      </c>
      <c r="J614" s="250">
        <v>-4.5131519999999998</v>
      </c>
      <c r="K614" s="250">
        <v>-3.6819130000000002</v>
      </c>
      <c r="L614" s="250">
        <v>906.63599999999997</v>
      </c>
      <c r="M614" s="250">
        <v>92.501427000000007</v>
      </c>
      <c r="N614" s="250">
        <v>11683.411899999999</v>
      </c>
      <c r="O614" s="250">
        <v>11683.411899999999</v>
      </c>
      <c r="P614" s="250">
        <v>1948.83305</v>
      </c>
      <c r="Q614" s="250" t="s">
        <v>18</v>
      </c>
      <c r="R614" s="250" t="s">
        <v>839</v>
      </c>
      <c r="S614" s="250" t="s">
        <v>21</v>
      </c>
      <c r="T614" s="250">
        <v>15</v>
      </c>
      <c r="U614" s="250">
        <v>5</v>
      </c>
      <c r="V614" s="250">
        <v>0.7</v>
      </c>
      <c r="W614" s="250">
        <v>0.7</v>
      </c>
      <c r="X614" s="250">
        <v>0.7</v>
      </c>
      <c r="Y614" s="250">
        <v>1700</v>
      </c>
      <c r="Z614" s="250" t="s">
        <v>840</v>
      </c>
      <c r="AA614" s="250">
        <v>0.85</v>
      </c>
      <c r="AB614" s="250" t="s">
        <v>841</v>
      </c>
      <c r="AC614" s="250" t="s">
        <v>842</v>
      </c>
      <c r="AD614" s="250">
        <v>220</v>
      </c>
      <c r="AE614" s="250"/>
      <c r="AF614" s="250"/>
      <c r="AG614" s="241"/>
    </row>
    <row r="615" spans="1:33" ht="15.75">
      <c r="A615" s="250" t="s">
        <v>844</v>
      </c>
      <c r="B615" s="250" t="s">
        <v>836</v>
      </c>
      <c r="C615" s="250" t="s">
        <v>837</v>
      </c>
      <c r="D615" s="250" t="s">
        <v>838</v>
      </c>
      <c r="E615" s="250">
        <v>1</v>
      </c>
      <c r="F615" s="251">
        <v>45117.490520833337</v>
      </c>
      <c r="G615" s="250">
        <v>1</v>
      </c>
      <c r="H615" s="250">
        <v>51.374099999999999</v>
      </c>
      <c r="I615" s="250">
        <v>9.3149599999999992</v>
      </c>
      <c r="J615" s="250">
        <v>-4.6417799999999998</v>
      </c>
      <c r="K615" s="250">
        <v>-3.7966609999999998</v>
      </c>
      <c r="L615" s="250">
        <v>911.64400000000001</v>
      </c>
      <c r="M615" s="250">
        <v>96.999536000000006</v>
      </c>
      <c r="N615" s="250">
        <v>11723.9375</v>
      </c>
      <c r="O615" s="250">
        <v>11723.9375</v>
      </c>
      <c r="P615" s="250">
        <v>1955.46587</v>
      </c>
      <c r="Q615" s="250" t="s">
        <v>18</v>
      </c>
      <c r="R615" s="250" t="s">
        <v>839</v>
      </c>
      <c r="S615" s="250" t="s">
        <v>21</v>
      </c>
      <c r="T615" s="250">
        <v>15</v>
      </c>
      <c r="U615" s="250">
        <v>5</v>
      </c>
      <c r="V615" s="250">
        <v>0.7</v>
      </c>
      <c r="W615" s="250">
        <v>0.7</v>
      </c>
      <c r="X615" s="250">
        <v>0.7</v>
      </c>
      <c r="Y615" s="250">
        <v>1700</v>
      </c>
      <c r="Z615" s="250" t="s">
        <v>840</v>
      </c>
      <c r="AA615" s="250">
        <v>0.85</v>
      </c>
      <c r="AB615" s="250" t="s">
        <v>841</v>
      </c>
      <c r="AC615" s="250" t="s">
        <v>842</v>
      </c>
      <c r="AD615" s="250">
        <v>220</v>
      </c>
      <c r="AE615" s="250"/>
      <c r="AF615" s="250"/>
      <c r="AG615" s="241"/>
    </row>
    <row r="616" spans="1:33" ht="15.75">
      <c r="A616" s="250" t="s">
        <v>845</v>
      </c>
      <c r="B616" s="250" t="s">
        <v>836</v>
      </c>
      <c r="C616" s="250" t="s">
        <v>837</v>
      </c>
      <c r="D616" s="250" t="s">
        <v>838</v>
      </c>
      <c r="E616" s="250">
        <v>1</v>
      </c>
      <c r="F616" s="251">
        <v>45117.493506944447</v>
      </c>
      <c r="G616" s="250">
        <v>1</v>
      </c>
      <c r="H616" s="250">
        <v>51.370800000000003</v>
      </c>
      <c r="I616" s="250">
        <v>8.0068300000000008</v>
      </c>
      <c r="J616" s="250">
        <v>-4.7133529999999997</v>
      </c>
      <c r="K616" s="250">
        <v>-3.8703370000000001</v>
      </c>
      <c r="L616" s="250">
        <v>908.10599999999999</v>
      </c>
      <c r="M616" s="250">
        <v>97.500298999999998</v>
      </c>
      <c r="N616" s="250">
        <v>11723.427</v>
      </c>
      <c r="O616" s="250">
        <v>11723.427</v>
      </c>
      <c r="P616" s="250">
        <v>1955.3823199999999</v>
      </c>
      <c r="Q616" s="250" t="s">
        <v>18</v>
      </c>
      <c r="R616" s="250" t="s">
        <v>839</v>
      </c>
      <c r="S616" s="250" t="s">
        <v>21</v>
      </c>
      <c r="T616" s="250">
        <v>15</v>
      </c>
      <c r="U616" s="250">
        <v>5</v>
      </c>
      <c r="V616" s="250">
        <v>0.7</v>
      </c>
      <c r="W616" s="250">
        <v>0.7</v>
      </c>
      <c r="X616" s="250">
        <v>0.7</v>
      </c>
      <c r="Y616" s="250">
        <v>1700</v>
      </c>
      <c r="Z616" s="250" t="s">
        <v>840</v>
      </c>
      <c r="AA616" s="250">
        <v>0.85</v>
      </c>
      <c r="AB616" s="250" t="s">
        <v>841</v>
      </c>
      <c r="AC616" s="250" t="s">
        <v>842</v>
      </c>
      <c r="AD616" s="250">
        <v>220</v>
      </c>
      <c r="AE616" s="250"/>
      <c r="AF616" s="250"/>
      <c r="AG616" s="241"/>
    </row>
    <row r="617" spans="1:33" ht="15.75">
      <c r="A617" s="250" t="s">
        <v>846</v>
      </c>
      <c r="B617" s="250" t="s">
        <v>836</v>
      </c>
      <c r="C617" s="250" t="s">
        <v>837</v>
      </c>
      <c r="D617" s="250" t="s">
        <v>838</v>
      </c>
      <c r="E617" s="250">
        <v>1</v>
      </c>
      <c r="F617" s="251">
        <v>45117.496504629627</v>
      </c>
      <c r="G617" s="250">
        <v>1</v>
      </c>
      <c r="H617" s="250">
        <v>51.374099999999999</v>
      </c>
      <c r="I617" s="250">
        <v>7.3315799999999998</v>
      </c>
      <c r="J617" s="250">
        <v>-4.8203769999999997</v>
      </c>
      <c r="K617" s="250">
        <v>-3.9778440000000002</v>
      </c>
      <c r="L617" s="250">
        <v>910.21</v>
      </c>
      <c r="M617" s="250">
        <v>101.000022</v>
      </c>
      <c r="N617" s="250">
        <v>11723.5576</v>
      </c>
      <c r="O617" s="250">
        <v>11723.5576</v>
      </c>
      <c r="P617" s="250">
        <v>1955.4036900000001</v>
      </c>
      <c r="Q617" s="250" t="s">
        <v>18</v>
      </c>
      <c r="R617" s="250" t="s">
        <v>839</v>
      </c>
      <c r="S617" s="250" t="s">
        <v>21</v>
      </c>
      <c r="T617" s="250">
        <v>15</v>
      </c>
      <c r="U617" s="250">
        <v>5</v>
      </c>
      <c r="V617" s="250">
        <v>0.7</v>
      </c>
      <c r="W617" s="250">
        <v>0.7</v>
      </c>
      <c r="X617" s="250">
        <v>0.7</v>
      </c>
      <c r="Y617" s="250">
        <v>1700</v>
      </c>
      <c r="Z617" s="250" t="s">
        <v>840</v>
      </c>
      <c r="AA617" s="250">
        <v>0.85</v>
      </c>
      <c r="AB617" s="250" t="s">
        <v>841</v>
      </c>
      <c r="AC617" s="250" t="s">
        <v>842</v>
      </c>
      <c r="AD617" s="250">
        <v>220</v>
      </c>
      <c r="AE617" s="250"/>
      <c r="AF617" s="250"/>
      <c r="AG617" s="241"/>
    </row>
    <row r="618" spans="1:33" ht="15.75">
      <c r="A618" s="250" t="s">
        <v>847</v>
      </c>
      <c r="B618" s="250" t="s">
        <v>836</v>
      </c>
      <c r="C618" s="250" t="s">
        <v>837</v>
      </c>
      <c r="D618" s="250" t="s">
        <v>838</v>
      </c>
      <c r="E618" s="250">
        <v>1</v>
      </c>
      <c r="F618" s="251">
        <v>45117.499571759261</v>
      </c>
      <c r="G618" s="250">
        <v>1</v>
      </c>
      <c r="H618" s="250">
        <v>51.374099999999999</v>
      </c>
      <c r="I618" s="250">
        <v>7.0964600000000004</v>
      </c>
      <c r="J618" s="250">
        <v>-4.8188490000000002</v>
      </c>
      <c r="K618" s="250">
        <v>-4.0010019999999997</v>
      </c>
      <c r="L618" s="250">
        <v>910.87</v>
      </c>
      <c r="M618" s="250">
        <v>99.500587999999993</v>
      </c>
      <c r="N618" s="250">
        <v>11697.998299999999</v>
      </c>
      <c r="O618" s="250">
        <v>11697.998299999999</v>
      </c>
      <c r="P618" s="250">
        <v>1951.2203999999999</v>
      </c>
      <c r="Q618" s="250" t="s">
        <v>18</v>
      </c>
      <c r="R618" s="250" t="s">
        <v>839</v>
      </c>
      <c r="S618" s="250" t="s">
        <v>21</v>
      </c>
      <c r="T618" s="250">
        <v>15</v>
      </c>
      <c r="U618" s="250">
        <v>5</v>
      </c>
      <c r="V618" s="250">
        <v>0.7</v>
      </c>
      <c r="W618" s="250">
        <v>0.7</v>
      </c>
      <c r="X618" s="250">
        <v>0.7</v>
      </c>
      <c r="Y618" s="250">
        <v>1700</v>
      </c>
      <c r="Z618" s="250" t="s">
        <v>840</v>
      </c>
      <c r="AA618" s="250">
        <v>0.85</v>
      </c>
      <c r="AB618" s="250" t="s">
        <v>841</v>
      </c>
      <c r="AC618" s="250" t="s">
        <v>842</v>
      </c>
      <c r="AD618" s="250">
        <v>220</v>
      </c>
      <c r="AE618" s="250"/>
      <c r="AF618" s="250"/>
      <c r="AG618" s="241"/>
    </row>
    <row r="619" spans="1:33" ht="15.75">
      <c r="A619" s="250" t="s">
        <v>848</v>
      </c>
      <c r="B619" s="250" t="s">
        <v>836</v>
      </c>
      <c r="C619" s="250" t="s">
        <v>837</v>
      </c>
      <c r="D619" s="250" t="s">
        <v>838</v>
      </c>
      <c r="E619" s="250">
        <v>1</v>
      </c>
      <c r="F619" s="251">
        <v>45117.519837962966</v>
      </c>
      <c r="G619" s="250">
        <v>1</v>
      </c>
      <c r="H619" s="250">
        <v>51.374099999999999</v>
      </c>
      <c r="I619" s="250">
        <v>7.41404</v>
      </c>
      <c r="J619" s="250">
        <v>-4.8399239999999999</v>
      </c>
      <c r="K619" s="250">
        <v>-3.9982060000000001</v>
      </c>
      <c r="L619" s="250">
        <v>905.88199999999995</v>
      </c>
      <c r="M619" s="250">
        <v>93.498743000000005</v>
      </c>
      <c r="N619" s="250">
        <v>11674.384400000001</v>
      </c>
      <c r="O619" s="250">
        <v>11674.384400000001</v>
      </c>
      <c r="P619" s="250">
        <v>1947.3555200000001</v>
      </c>
      <c r="Q619" s="250" t="s">
        <v>18</v>
      </c>
      <c r="R619" s="250" t="s">
        <v>839</v>
      </c>
      <c r="S619" s="250" t="s">
        <v>21</v>
      </c>
      <c r="T619" s="250">
        <v>15</v>
      </c>
      <c r="U619" s="250">
        <v>5</v>
      </c>
      <c r="V619" s="250">
        <v>0.7</v>
      </c>
      <c r="W619" s="250">
        <v>0.7</v>
      </c>
      <c r="X619" s="250">
        <v>0.7</v>
      </c>
      <c r="Y619" s="250">
        <v>1700</v>
      </c>
      <c r="Z619" s="250" t="s">
        <v>840</v>
      </c>
      <c r="AA619" s="250">
        <v>0.85</v>
      </c>
      <c r="AB619" s="250" t="s">
        <v>841</v>
      </c>
      <c r="AC619" s="250" t="s">
        <v>842</v>
      </c>
      <c r="AD619" s="250">
        <v>220</v>
      </c>
      <c r="AE619" s="250"/>
      <c r="AF619" s="250"/>
      <c r="AG619" s="241"/>
    </row>
    <row r="620" spans="1:33" ht="15.75">
      <c r="A620" s="250" t="s">
        <v>849</v>
      </c>
      <c r="B620" s="250" t="s">
        <v>836</v>
      </c>
      <c r="C620" s="250" t="s">
        <v>837</v>
      </c>
      <c r="D620" s="250" t="s">
        <v>838</v>
      </c>
      <c r="E620" s="250">
        <v>1</v>
      </c>
      <c r="F620" s="251">
        <v>45117.522789351853</v>
      </c>
      <c r="G620" s="250">
        <v>1</v>
      </c>
      <c r="H620" s="250">
        <v>51.370800000000003</v>
      </c>
      <c r="I620" s="250">
        <v>6.9607000000000001</v>
      </c>
      <c r="J620" s="250">
        <v>-4.9053279999999999</v>
      </c>
      <c r="K620" s="250">
        <v>-4.0602590000000003</v>
      </c>
      <c r="L620" s="250">
        <v>928.65700000000004</v>
      </c>
      <c r="M620" s="250">
        <v>98.498952000000003</v>
      </c>
      <c r="N620" s="250">
        <v>11720.603800000001</v>
      </c>
      <c r="O620" s="250">
        <v>11720.603800000001</v>
      </c>
      <c r="P620" s="250">
        <v>1954.9202399999999</v>
      </c>
      <c r="Q620" s="250" t="s">
        <v>18</v>
      </c>
      <c r="R620" s="250" t="s">
        <v>839</v>
      </c>
      <c r="S620" s="250" t="s">
        <v>21</v>
      </c>
      <c r="T620" s="250">
        <v>15</v>
      </c>
      <c r="U620" s="250">
        <v>5</v>
      </c>
      <c r="V620" s="250">
        <v>0.7</v>
      </c>
      <c r="W620" s="250">
        <v>0.7</v>
      </c>
      <c r="X620" s="250">
        <v>0.7</v>
      </c>
      <c r="Y620" s="250">
        <v>1700</v>
      </c>
      <c r="Z620" s="250" t="s">
        <v>840</v>
      </c>
      <c r="AA620" s="250">
        <v>0.85</v>
      </c>
      <c r="AB620" s="250" t="s">
        <v>841</v>
      </c>
      <c r="AC620" s="250" t="s">
        <v>842</v>
      </c>
      <c r="AD620" s="250">
        <v>220</v>
      </c>
      <c r="AE620" s="250"/>
      <c r="AF620" s="250"/>
      <c r="AG620" s="241"/>
    </row>
    <row r="621" spans="1:33" ht="15.75">
      <c r="A621" s="250" t="s">
        <v>850</v>
      </c>
      <c r="B621" s="250" t="s">
        <v>836</v>
      </c>
      <c r="C621" s="250" t="s">
        <v>837</v>
      </c>
      <c r="D621" s="250" t="s">
        <v>838</v>
      </c>
      <c r="E621" s="250">
        <v>1</v>
      </c>
      <c r="F621" s="251">
        <v>45117.530497685184</v>
      </c>
      <c r="G621" s="250">
        <v>1</v>
      </c>
      <c r="H621" s="250">
        <v>51.374099999999999</v>
      </c>
      <c r="I621" s="250">
        <v>6.9654600000000002</v>
      </c>
      <c r="J621" s="250">
        <v>-4.8608510000000003</v>
      </c>
      <c r="K621" s="250">
        <v>-4.0209739999999998</v>
      </c>
      <c r="L621" s="250">
        <v>900.73599999999999</v>
      </c>
      <c r="M621" s="250">
        <v>97.499183000000002</v>
      </c>
      <c r="N621" s="250">
        <v>11672.745999999999</v>
      </c>
      <c r="O621" s="250">
        <v>11672.745999999999</v>
      </c>
      <c r="P621" s="250">
        <v>1947.08736</v>
      </c>
      <c r="Q621" s="250" t="s">
        <v>18</v>
      </c>
      <c r="R621" s="250" t="s">
        <v>839</v>
      </c>
      <c r="S621" s="250" t="s">
        <v>21</v>
      </c>
      <c r="T621" s="250">
        <v>15</v>
      </c>
      <c r="U621" s="250">
        <v>5</v>
      </c>
      <c r="V621" s="250">
        <v>0.7</v>
      </c>
      <c r="W621" s="250">
        <v>0.7</v>
      </c>
      <c r="X621" s="250">
        <v>0.7</v>
      </c>
      <c r="Y621" s="250">
        <v>1700</v>
      </c>
      <c r="Z621" s="250" t="s">
        <v>840</v>
      </c>
      <c r="AA621" s="250">
        <v>0.85</v>
      </c>
      <c r="AB621" s="250" t="s">
        <v>841</v>
      </c>
      <c r="AC621" s="250" t="s">
        <v>842</v>
      </c>
      <c r="AD621" s="250">
        <v>220</v>
      </c>
      <c r="AE621" s="250"/>
      <c r="AF621" s="250"/>
      <c r="AG621" s="241"/>
    </row>
    <row r="622" spans="1:33" ht="15.75">
      <c r="A622" s="250" t="s">
        <v>851</v>
      </c>
      <c r="B622" s="250" t="s">
        <v>836</v>
      </c>
      <c r="C622" s="250" t="s">
        <v>837</v>
      </c>
      <c r="D622" s="250" t="s">
        <v>838</v>
      </c>
      <c r="E622" s="250">
        <v>1</v>
      </c>
      <c r="F622" s="251">
        <v>45117.533518518518</v>
      </c>
      <c r="G622" s="250">
        <v>1</v>
      </c>
      <c r="H622" s="250">
        <v>51.370800000000003</v>
      </c>
      <c r="I622" s="250">
        <v>6.8299399999999997</v>
      </c>
      <c r="J622" s="250">
        <v>-4.9219609999999996</v>
      </c>
      <c r="K622" s="250">
        <v>-4.0918289999999997</v>
      </c>
      <c r="L622" s="250">
        <v>911.77700000000004</v>
      </c>
      <c r="M622" s="250">
        <v>101.001935</v>
      </c>
      <c r="N622" s="250">
        <v>11687.045400000001</v>
      </c>
      <c r="O622" s="250">
        <v>11687.045400000001</v>
      </c>
      <c r="P622" s="250">
        <v>1949.4277400000001</v>
      </c>
      <c r="Q622" s="250" t="s">
        <v>18</v>
      </c>
      <c r="R622" s="250" t="s">
        <v>839</v>
      </c>
      <c r="S622" s="250" t="s">
        <v>21</v>
      </c>
      <c r="T622" s="250">
        <v>15</v>
      </c>
      <c r="U622" s="250">
        <v>5</v>
      </c>
      <c r="V622" s="250">
        <v>0.7</v>
      </c>
      <c r="W622" s="250">
        <v>0.7</v>
      </c>
      <c r="X622" s="250">
        <v>0.7</v>
      </c>
      <c r="Y622" s="250">
        <v>1700</v>
      </c>
      <c r="Z622" s="250" t="s">
        <v>840</v>
      </c>
      <c r="AA622" s="250">
        <v>0.85</v>
      </c>
      <c r="AB622" s="250" t="s">
        <v>841</v>
      </c>
      <c r="AC622" s="250" t="s">
        <v>842</v>
      </c>
      <c r="AD622" s="250">
        <v>220</v>
      </c>
      <c r="AE622" s="250"/>
      <c r="AF622" s="250"/>
      <c r="AG622" s="241"/>
    </row>
    <row r="623" spans="1:33" ht="15.75">
      <c r="A623" s="250" t="s">
        <v>854</v>
      </c>
      <c r="B623" s="250" t="s">
        <v>836</v>
      </c>
      <c r="C623" s="250" t="s">
        <v>837</v>
      </c>
      <c r="D623" s="250" t="s">
        <v>838</v>
      </c>
      <c r="E623" s="250">
        <v>1</v>
      </c>
      <c r="F623" s="251">
        <v>45117.536736111113</v>
      </c>
      <c r="G623" s="250">
        <v>1</v>
      </c>
      <c r="H623" s="250">
        <v>51.374099999999999</v>
      </c>
      <c r="I623" s="250">
        <v>6.7695800000000004</v>
      </c>
      <c r="J623" s="250">
        <v>-4.8985200000000004</v>
      </c>
      <c r="K623" s="250">
        <v>-4.0595809999999997</v>
      </c>
      <c r="L623" s="250">
        <v>919.58199999999999</v>
      </c>
      <c r="M623" s="250">
        <v>88.999910999999997</v>
      </c>
      <c r="N623" s="250">
        <v>11654.3976</v>
      </c>
      <c r="O623" s="250">
        <v>11654.3976</v>
      </c>
      <c r="P623" s="250">
        <v>1944.08428</v>
      </c>
      <c r="Q623" s="250" t="s">
        <v>18</v>
      </c>
      <c r="R623" s="250" t="s">
        <v>839</v>
      </c>
      <c r="S623" s="250" t="s">
        <v>21</v>
      </c>
      <c r="T623" s="250">
        <v>15</v>
      </c>
      <c r="U623" s="250">
        <v>5</v>
      </c>
      <c r="V623" s="250">
        <v>0.7</v>
      </c>
      <c r="W623" s="250">
        <v>0.7</v>
      </c>
      <c r="X623" s="250">
        <v>0.7</v>
      </c>
      <c r="Y623" s="250">
        <v>1700</v>
      </c>
      <c r="Z623" s="250" t="s">
        <v>840</v>
      </c>
      <c r="AA623" s="250">
        <v>0.85</v>
      </c>
      <c r="AB623" s="250" t="s">
        <v>841</v>
      </c>
      <c r="AC623" s="250" t="s">
        <v>842</v>
      </c>
      <c r="AD623" s="250">
        <v>220</v>
      </c>
      <c r="AE623" s="250"/>
      <c r="AF623" s="250"/>
      <c r="AG623" s="241"/>
    </row>
    <row r="624" spans="1:33" ht="15.75">
      <c r="A624" s="250" t="s">
        <v>855</v>
      </c>
      <c r="B624" s="250" t="s">
        <v>836</v>
      </c>
      <c r="C624" s="250" t="s">
        <v>837</v>
      </c>
      <c r="D624" s="250" t="s">
        <v>838</v>
      </c>
      <c r="E624" s="250">
        <v>1</v>
      </c>
      <c r="F624" s="251">
        <v>45117.545312499999</v>
      </c>
      <c r="G624" s="250">
        <v>1</v>
      </c>
      <c r="H624" s="250">
        <v>51.374099999999999</v>
      </c>
      <c r="I624" s="250">
        <v>6.7634100000000004</v>
      </c>
      <c r="J624" s="250">
        <v>-4.9459270000000002</v>
      </c>
      <c r="K624" s="250">
        <v>-4.107647</v>
      </c>
      <c r="L624" s="250">
        <v>912.02800000000002</v>
      </c>
      <c r="M624" s="250">
        <v>105.00082500000001</v>
      </c>
      <c r="N624" s="250">
        <v>11673.717699999999</v>
      </c>
      <c r="O624" s="250">
        <v>11673.717699999999</v>
      </c>
      <c r="P624" s="250">
        <v>1947.24639</v>
      </c>
      <c r="Q624" s="250" t="s">
        <v>18</v>
      </c>
      <c r="R624" s="250" t="s">
        <v>839</v>
      </c>
      <c r="S624" s="250" t="s">
        <v>21</v>
      </c>
      <c r="T624" s="250">
        <v>15</v>
      </c>
      <c r="U624" s="250">
        <v>5</v>
      </c>
      <c r="V624" s="250">
        <v>0.7</v>
      </c>
      <c r="W624" s="250">
        <v>0.7</v>
      </c>
      <c r="X624" s="250">
        <v>0.7</v>
      </c>
      <c r="Y624" s="250">
        <v>1700</v>
      </c>
      <c r="Z624" s="250" t="s">
        <v>840</v>
      </c>
      <c r="AA624" s="250">
        <v>0.85</v>
      </c>
      <c r="AB624" s="250" t="s">
        <v>841</v>
      </c>
      <c r="AC624" s="250" t="s">
        <v>842</v>
      </c>
      <c r="AD624" s="250">
        <v>220</v>
      </c>
      <c r="AE624" s="250"/>
      <c r="AF624" s="250"/>
      <c r="AG624" s="241"/>
    </row>
    <row r="625" spans="1:33" ht="15.75">
      <c r="A625" s="250" t="s">
        <v>856</v>
      </c>
      <c r="B625" s="250" t="s">
        <v>836</v>
      </c>
      <c r="C625" s="250" t="s">
        <v>837</v>
      </c>
      <c r="D625" s="250" t="s">
        <v>838</v>
      </c>
      <c r="E625" s="250">
        <v>1</v>
      </c>
      <c r="F625" s="251">
        <v>45117.551192129627</v>
      </c>
      <c r="G625" s="250">
        <v>1</v>
      </c>
      <c r="H625" s="250">
        <v>51.370800000000003</v>
      </c>
      <c r="I625" s="250">
        <v>6.7981600000000002</v>
      </c>
      <c r="J625" s="250">
        <v>-4.995152</v>
      </c>
      <c r="K625" s="250">
        <v>-4.1472439999999997</v>
      </c>
      <c r="L625" s="250">
        <v>905.63099999999997</v>
      </c>
      <c r="M625" s="250">
        <v>103.50006</v>
      </c>
      <c r="N625" s="250">
        <v>11695.858</v>
      </c>
      <c r="O625" s="250">
        <v>11695.858</v>
      </c>
      <c r="P625" s="250">
        <v>1950.8701000000001</v>
      </c>
      <c r="Q625" s="250" t="s">
        <v>18</v>
      </c>
      <c r="R625" s="250" t="s">
        <v>839</v>
      </c>
      <c r="S625" s="250" t="s">
        <v>21</v>
      </c>
      <c r="T625" s="250">
        <v>15</v>
      </c>
      <c r="U625" s="250">
        <v>5</v>
      </c>
      <c r="V625" s="250">
        <v>0.7</v>
      </c>
      <c r="W625" s="250">
        <v>0.7</v>
      </c>
      <c r="X625" s="250">
        <v>0.7</v>
      </c>
      <c r="Y625" s="250">
        <v>1700</v>
      </c>
      <c r="Z625" s="250" t="s">
        <v>840</v>
      </c>
      <c r="AA625" s="250">
        <v>0.85</v>
      </c>
      <c r="AB625" s="250" t="s">
        <v>841</v>
      </c>
      <c r="AC625" s="250" t="s">
        <v>842</v>
      </c>
      <c r="AD625" s="250">
        <v>220</v>
      </c>
      <c r="AE625" s="250"/>
      <c r="AF625" s="250"/>
      <c r="AG625" s="241"/>
    </row>
    <row r="626" spans="1:33" ht="15.75">
      <c r="A626" s="250" t="s">
        <v>857</v>
      </c>
      <c r="B626" s="250" t="s">
        <v>836</v>
      </c>
      <c r="C626" s="250" t="s">
        <v>791</v>
      </c>
      <c r="D626" s="250" t="s">
        <v>838</v>
      </c>
      <c r="E626" s="250">
        <v>1</v>
      </c>
      <c r="F626" s="251">
        <v>45117.559965277775</v>
      </c>
      <c r="G626" s="250">
        <v>1</v>
      </c>
      <c r="H626" s="250">
        <v>51.377400000000002</v>
      </c>
      <c r="I626" s="250">
        <v>6.7254199999999997</v>
      </c>
      <c r="J626" s="250">
        <v>-4.8868489999999998</v>
      </c>
      <c r="K626" s="250">
        <v>-4.0418989999999999</v>
      </c>
      <c r="L626" s="250">
        <v>985.38699999999994</v>
      </c>
      <c r="M626" s="250">
        <v>98.000352000000007</v>
      </c>
      <c r="N626" s="250">
        <v>12014.3233</v>
      </c>
      <c r="O626" s="250">
        <v>12014.3233</v>
      </c>
      <c r="P626" s="250">
        <v>2002.99333</v>
      </c>
      <c r="Q626" s="250" t="s">
        <v>18</v>
      </c>
      <c r="R626" s="250" t="s">
        <v>839</v>
      </c>
      <c r="S626" s="250" t="s">
        <v>28</v>
      </c>
      <c r="T626" s="250">
        <v>15</v>
      </c>
      <c r="U626" s="250">
        <v>5</v>
      </c>
      <c r="V626" s="250">
        <v>0.7</v>
      </c>
      <c r="W626" s="250">
        <v>0.7</v>
      </c>
      <c r="X626" s="250">
        <v>0.7</v>
      </c>
      <c r="Y626" s="250">
        <v>1700</v>
      </c>
      <c r="Z626" s="250" t="s">
        <v>840</v>
      </c>
      <c r="AA626" s="250">
        <v>0.85</v>
      </c>
      <c r="AB626" s="250" t="s">
        <v>841</v>
      </c>
      <c r="AC626" s="250" t="s">
        <v>842</v>
      </c>
      <c r="AD626" s="250">
        <v>220</v>
      </c>
      <c r="AE626" s="250"/>
      <c r="AF626" s="250"/>
      <c r="AG626" s="241"/>
    </row>
    <row r="627" spans="1:33" ht="15.75">
      <c r="A627" s="250" t="s">
        <v>858</v>
      </c>
      <c r="B627" s="250" t="s">
        <v>836</v>
      </c>
      <c r="C627" s="250" t="s">
        <v>791</v>
      </c>
      <c r="D627" s="250" t="s">
        <v>838</v>
      </c>
      <c r="E627" s="250">
        <v>1</v>
      </c>
      <c r="F627" s="251">
        <v>45117.563009259262</v>
      </c>
      <c r="G627" s="250">
        <v>1</v>
      </c>
      <c r="H627" s="250">
        <v>51.374099999999999</v>
      </c>
      <c r="I627" s="250">
        <v>6.5864399999999996</v>
      </c>
      <c r="J627" s="250">
        <v>-4.9939229999999997</v>
      </c>
      <c r="K627" s="250">
        <v>-4.1619109999999999</v>
      </c>
      <c r="L627" s="250">
        <v>965.88400000000001</v>
      </c>
      <c r="M627" s="250">
        <v>106.000091</v>
      </c>
      <c r="N627" s="250">
        <v>12178.428</v>
      </c>
      <c r="O627" s="250">
        <v>12178.428</v>
      </c>
      <c r="P627" s="250">
        <v>2029.8523399999999</v>
      </c>
      <c r="Q627" s="250" t="s">
        <v>18</v>
      </c>
      <c r="R627" s="250" t="s">
        <v>839</v>
      </c>
      <c r="S627" s="250" t="s">
        <v>21</v>
      </c>
      <c r="T627" s="250">
        <v>15</v>
      </c>
      <c r="U627" s="250">
        <v>5</v>
      </c>
      <c r="V627" s="250">
        <v>0.7</v>
      </c>
      <c r="W627" s="250">
        <v>0.7</v>
      </c>
      <c r="X627" s="250">
        <v>0.7</v>
      </c>
      <c r="Y627" s="250">
        <v>1700</v>
      </c>
      <c r="Z627" s="250" t="s">
        <v>840</v>
      </c>
      <c r="AA627" s="250">
        <v>0.85</v>
      </c>
      <c r="AB627" s="250" t="s">
        <v>841</v>
      </c>
      <c r="AC627" s="250" t="s">
        <v>842</v>
      </c>
      <c r="AD627" s="250">
        <v>220</v>
      </c>
      <c r="AE627" s="250"/>
      <c r="AF627" s="250"/>
      <c r="AG627" s="241"/>
    </row>
    <row r="628" spans="1:33" ht="15.75">
      <c r="A628" s="250" t="s">
        <v>859</v>
      </c>
      <c r="B628" s="250" t="s">
        <v>836</v>
      </c>
      <c r="C628" s="250" t="s">
        <v>791</v>
      </c>
      <c r="D628" s="250" t="s">
        <v>838</v>
      </c>
      <c r="E628" s="250">
        <v>1</v>
      </c>
      <c r="F628" s="251">
        <v>45117.566134259258</v>
      </c>
      <c r="G628" s="250">
        <v>1</v>
      </c>
      <c r="H628" s="250">
        <v>51.364100000000001</v>
      </c>
      <c r="I628" s="250">
        <v>6.5274000000000001</v>
      </c>
      <c r="J628" s="250">
        <v>-4.9922279999999999</v>
      </c>
      <c r="K628" s="250">
        <v>-4.1457990000000002</v>
      </c>
      <c r="L628" s="250">
        <v>978.87099999999998</v>
      </c>
      <c r="M628" s="250">
        <v>99.998732000000004</v>
      </c>
      <c r="N628" s="250">
        <v>12169.0983</v>
      </c>
      <c r="O628" s="250">
        <v>12169.0983</v>
      </c>
      <c r="P628" s="250">
        <v>2028.32536</v>
      </c>
      <c r="Q628" s="250" t="s">
        <v>18</v>
      </c>
      <c r="R628" s="250" t="s">
        <v>839</v>
      </c>
      <c r="S628" s="250" t="s">
        <v>21</v>
      </c>
      <c r="T628" s="250">
        <v>15</v>
      </c>
      <c r="U628" s="250">
        <v>5</v>
      </c>
      <c r="V628" s="250">
        <v>0.7</v>
      </c>
      <c r="W628" s="250">
        <v>0.7</v>
      </c>
      <c r="X628" s="250">
        <v>0.7</v>
      </c>
      <c r="Y628" s="250">
        <v>1700</v>
      </c>
      <c r="Z628" s="250" t="s">
        <v>840</v>
      </c>
      <c r="AA628" s="250">
        <v>0.85</v>
      </c>
      <c r="AB628" s="250" t="s">
        <v>841</v>
      </c>
      <c r="AC628" s="250" t="s">
        <v>842</v>
      </c>
      <c r="AD628" s="250">
        <v>220</v>
      </c>
      <c r="AE628" s="250"/>
      <c r="AF628" s="250"/>
      <c r="AG628" s="241"/>
    </row>
    <row r="629" spans="1:33" ht="15.75">
      <c r="A629" s="250" t="s">
        <v>860</v>
      </c>
      <c r="B629" s="250" t="s">
        <v>836</v>
      </c>
      <c r="C629" s="250" t="s">
        <v>791</v>
      </c>
      <c r="D629" s="250" t="s">
        <v>838</v>
      </c>
      <c r="E629" s="250">
        <v>1</v>
      </c>
      <c r="F629" s="251">
        <v>45117.569189814814</v>
      </c>
      <c r="G629" s="250">
        <v>1</v>
      </c>
      <c r="H629" s="250">
        <v>51.370800000000003</v>
      </c>
      <c r="I629" s="250">
        <v>6.5052899999999996</v>
      </c>
      <c r="J629" s="250">
        <v>-4.9498769999999999</v>
      </c>
      <c r="K629" s="250">
        <v>-4.1016310000000002</v>
      </c>
      <c r="L629" s="250">
        <v>981.26</v>
      </c>
      <c r="M629" s="250">
        <v>103.00142</v>
      </c>
      <c r="N629" s="250">
        <v>12188.126</v>
      </c>
      <c r="O629" s="250">
        <v>12188.126</v>
      </c>
      <c r="P629" s="250">
        <v>2031.4396200000001</v>
      </c>
      <c r="Q629" s="250" t="s">
        <v>18</v>
      </c>
      <c r="R629" s="250" t="s">
        <v>839</v>
      </c>
      <c r="S629" s="250" t="s">
        <v>21</v>
      </c>
      <c r="T629" s="250">
        <v>15</v>
      </c>
      <c r="U629" s="250">
        <v>5</v>
      </c>
      <c r="V629" s="250">
        <v>0.7</v>
      </c>
      <c r="W629" s="250">
        <v>0.7</v>
      </c>
      <c r="X629" s="250">
        <v>0.7</v>
      </c>
      <c r="Y629" s="250">
        <v>1700</v>
      </c>
      <c r="Z629" s="250" t="s">
        <v>840</v>
      </c>
      <c r="AA629" s="250">
        <v>0.85</v>
      </c>
      <c r="AB629" s="250" t="s">
        <v>841</v>
      </c>
      <c r="AC629" s="250" t="s">
        <v>842</v>
      </c>
      <c r="AD629" s="250">
        <v>220</v>
      </c>
      <c r="AE629" s="250"/>
      <c r="AF629" s="250"/>
      <c r="AG629" s="241"/>
    </row>
    <row r="630" spans="1:33" ht="15.75">
      <c r="A630" s="250" t="s">
        <v>861</v>
      </c>
      <c r="B630" s="250" t="s">
        <v>836</v>
      </c>
      <c r="C630" s="250" t="s">
        <v>791</v>
      </c>
      <c r="D630" s="250" t="s">
        <v>838</v>
      </c>
      <c r="E630" s="250">
        <v>1</v>
      </c>
      <c r="F630" s="251">
        <v>45117.572256944448</v>
      </c>
      <c r="G630" s="250">
        <v>1</v>
      </c>
      <c r="H630" s="250">
        <v>51.377400000000002</v>
      </c>
      <c r="I630" s="250">
        <v>6.5418099999999999</v>
      </c>
      <c r="J630" s="250">
        <v>-5.0085670000000002</v>
      </c>
      <c r="K630" s="250">
        <v>-4.1626849999999997</v>
      </c>
      <c r="L630" s="250">
        <v>965.69899999999996</v>
      </c>
      <c r="M630" s="250">
        <v>101.499194</v>
      </c>
      <c r="N630" s="250">
        <v>12183.215099999999</v>
      </c>
      <c r="O630" s="250">
        <v>12183.215099999999</v>
      </c>
      <c r="P630" s="250">
        <v>2030.6358399999999</v>
      </c>
      <c r="Q630" s="250" t="s">
        <v>18</v>
      </c>
      <c r="R630" s="250" t="s">
        <v>839</v>
      </c>
      <c r="S630" s="250" t="s">
        <v>21</v>
      </c>
      <c r="T630" s="250">
        <v>15</v>
      </c>
      <c r="U630" s="250">
        <v>5</v>
      </c>
      <c r="V630" s="250">
        <v>0.7</v>
      </c>
      <c r="W630" s="250">
        <v>0.7</v>
      </c>
      <c r="X630" s="250">
        <v>0.7</v>
      </c>
      <c r="Y630" s="250">
        <v>1700</v>
      </c>
      <c r="Z630" s="250" t="s">
        <v>840</v>
      </c>
      <c r="AA630" s="250">
        <v>0.85</v>
      </c>
      <c r="AB630" s="250" t="s">
        <v>841</v>
      </c>
      <c r="AC630" s="250" t="s">
        <v>842</v>
      </c>
      <c r="AD630" s="250">
        <v>220</v>
      </c>
      <c r="AE630" s="250"/>
      <c r="AF630" s="250"/>
      <c r="AG630" s="241"/>
    </row>
    <row r="631" spans="1:33" ht="15.75">
      <c r="A631" s="250" t="s">
        <v>1120</v>
      </c>
      <c r="B631" s="250" t="s">
        <v>881</v>
      </c>
      <c r="C631" s="250" t="s">
        <v>791</v>
      </c>
      <c r="D631" s="250" t="s">
        <v>838</v>
      </c>
      <c r="E631" s="250">
        <v>1.2</v>
      </c>
      <c r="F631" s="251">
        <v>45117.575381944444</v>
      </c>
      <c r="G631" s="250">
        <v>1</v>
      </c>
      <c r="H631" s="250">
        <v>51.370800000000003</v>
      </c>
      <c r="I631" s="250">
        <v>6.4866299999999999</v>
      </c>
      <c r="J631" s="250">
        <v>-5.0472020000000004</v>
      </c>
      <c r="K631" s="250">
        <v>-4.2042229999999998</v>
      </c>
      <c r="L631" s="250">
        <v>997.60699999999997</v>
      </c>
      <c r="M631" s="250">
        <v>108.998913</v>
      </c>
      <c r="N631" s="250">
        <v>14678.0234</v>
      </c>
      <c r="O631" s="250">
        <v>14641.757900000001</v>
      </c>
      <c r="P631" s="250">
        <v>2028.23</v>
      </c>
      <c r="Q631" s="250" t="s">
        <v>18</v>
      </c>
      <c r="R631" s="250" t="s">
        <v>647</v>
      </c>
      <c r="S631" s="250" t="s">
        <v>21</v>
      </c>
      <c r="T631" s="250">
        <v>15</v>
      </c>
      <c r="U631" s="250">
        <v>5</v>
      </c>
      <c r="V631" s="250">
        <v>0.7</v>
      </c>
      <c r="W631" s="250">
        <v>0.7</v>
      </c>
      <c r="X631" s="250">
        <v>0.7</v>
      </c>
      <c r="Y631" s="250">
        <v>1700</v>
      </c>
      <c r="Z631" s="250" t="s">
        <v>840</v>
      </c>
      <c r="AA631" s="250">
        <v>0.85</v>
      </c>
      <c r="AB631" s="250" t="s">
        <v>841</v>
      </c>
      <c r="AC631" s="250" t="s">
        <v>842</v>
      </c>
      <c r="AD631" s="250">
        <v>220</v>
      </c>
      <c r="AE631" s="250"/>
      <c r="AF631" s="250"/>
      <c r="AG631" s="241"/>
    </row>
    <row r="632" spans="1:33" ht="15.75">
      <c r="A632" s="250" t="s">
        <v>1121</v>
      </c>
      <c r="B632" s="250" t="s">
        <v>881</v>
      </c>
      <c r="C632" s="250" t="s">
        <v>791</v>
      </c>
      <c r="D632" s="250" t="s">
        <v>838</v>
      </c>
      <c r="E632" s="250">
        <v>1.2</v>
      </c>
      <c r="F632" s="251">
        <v>45117.578750000001</v>
      </c>
      <c r="G632" s="250">
        <v>1</v>
      </c>
      <c r="H632" s="250">
        <v>51.370800000000003</v>
      </c>
      <c r="I632" s="250">
        <v>6.5496800000000004</v>
      </c>
      <c r="J632" s="250">
        <v>-4.9542289999999998</v>
      </c>
      <c r="K632" s="250">
        <v>-4.1197169999999996</v>
      </c>
      <c r="L632" s="250">
        <v>1013.14</v>
      </c>
      <c r="M632" s="250">
        <v>107.000702</v>
      </c>
      <c r="N632" s="250">
        <v>14626.0327</v>
      </c>
      <c r="O632" s="250">
        <v>14641.757900000001</v>
      </c>
      <c r="P632" s="250">
        <v>2028.23</v>
      </c>
      <c r="Q632" s="250" t="s">
        <v>18</v>
      </c>
      <c r="R632" s="250" t="s">
        <v>839</v>
      </c>
      <c r="S632" s="250" t="s">
        <v>21</v>
      </c>
      <c r="T632" s="250">
        <v>15</v>
      </c>
      <c r="U632" s="250">
        <v>5</v>
      </c>
      <c r="V632" s="250">
        <v>0.7</v>
      </c>
      <c r="W632" s="250">
        <v>0.7</v>
      </c>
      <c r="X632" s="250">
        <v>0.7</v>
      </c>
      <c r="Y632" s="250">
        <v>1700</v>
      </c>
      <c r="Z632" s="250" t="s">
        <v>840</v>
      </c>
      <c r="AA632" s="250">
        <v>0.85</v>
      </c>
      <c r="AB632" s="250" t="s">
        <v>841</v>
      </c>
      <c r="AC632" s="250" t="s">
        <v>842</v>
      </c>
      <c r="AD632" s="250">
        <v>220</v>
      </c>
      <c r="AE632" s="250"/>
      <c r="AF632" s="250"/>
      <c r="AG632" s="241"/>
    </row>
    <row r="633" spans="1:33" ht="15.75">
      <c r="A633" s="250" t="s">
        <v>1122</v>
      </c>
      <c r="B633" s="250" t="s">
        <v>881</v>
      </c>
      <c r="C633" s="250" t="s">
        <v>791</v>
      </c>
      <c r="D633" s="250" t="s">
        <v>838</v>
      </c>
      <c r="E633" s="250">
        <v>1.2</v>
      </c>
      <c r="F633" s="251">
        <v>45117.582094907404</v>
      </c>
      <c r="G633" s="250">
        <v>1</v>
      </c>
      <c r="H633" s="250">
        <v>51.374099999999999</v>
      </c>
      <c r="I633" s="250">
        <v>6.5780599999999998</v>
      </c>
      <c r="J633" s="250">
        <v>-4.9326829999999999</v>
      </c>
      <c r="K633" s="250">
        <v>-4.0844889999999996</v>
      </c>
      <c r="L633" s="250">
        <v>1009.79</v>
      </c>
      <c r="M633" s="250">
        <v>105.499639</v>
      </c>
      <c r="N633" s="250">
        <v>14653.804599999999</v>
      </c>
      <c r="O633" s="250">
        <v>14641.757900000001</v>
      </c>
      <c r="P633" s="250">
        <v>2028.23</v>
      </c>
      <c r="Q633" s="250" t="s">
        <v>18</v>
      </c>
      <c r="R633" s="250" t="s">
        <v>839</v>
      </c>
      <c r="S633" s="250" t="s">
        <v>21</v>
      </c>
      <c r="T633" s="250">
        <v>15</v>
      </c>
      <c r="U633" s="250">
        <v>5</v>
      </c>
      <c r="V633" s="250">
        <v>0.7</v>
      </c>
      <c r="W633" s="250">
        <v>0.7</v>
      </c>
      <c r="X633" s="250">
        <v>0.7</v>
      </c>
      <c r="Y633" s="250">
        <v>1700</v>
      </c>
      <c r="Z633" s="250" t="s">
        <v>840</v>
      </c>
      <c r="AA633" s="250">
        <v>0.85</v>
      </c>
      <c r="AB633" s="250" t="s">
        <v>841</v>
      </c>
      <c r="AC633" s="250" t="s">
        <v>842</v>
      </c>
      <c r="AD633" s="250">
        <v>220</v>
      </c>
      <c r="AE633" s="250"/>
      <c r="AF633" s="250"/>
      <c r="AG633" s="241"/>
    </row>
    <row r="634" spans="1:33" ht="15.75">
      <c r="A634" s="250" t="s">
        <v>1123</v>
      </c>
      <c r="B634" s="250" t="s">
        <v>881</v>
      </c>
      <c r="C634" s="250" t="s">
        <v>791</v>
      </c>
      <c r="D634" s="250" t="s">
        <v>838</v>
      </c>
      <c r="E634" s="250">
        <v>1.2</v>
      </c>
      <c r="F634" s="251">
        <v>45117.585439814815</v>
      </c>
      <c r="G634" s="250">
        <v>1</v>
      </c>
      <c r="H634" s="250">
        <v>51.370800000000003</v>
      </c>
      <c r="I634" s="250">
        <v>6.5651000000000002</v>
      </c>
      <c r="J634" s="250">
        <v>-4.8138949999999996</v>
      </c>
      <c r="K634" s="250">
        <v>-3.972229</v>
      </c>
      <c r="L634" s="250">
        <v>1010</v>
      </c>
      <c r="M634" s="250">
        <v>99.999174999999994</v>
      </c>
      <c r="N634" s="250">
        <v>14645.4365</v>
      </c>
      <c r="O634" s="250">
        <v>14641.757900000001</v>
      </c>
      <c r="P634" s="250">
        <v>2028.23</v>
      </c>
      <c r="Q634" s="250" t="s">
        <v>18</v>
      </c>
      <c r="R634" s="250" t="s">
        <v>839</v>
      </c>
      <c r="S634" s="250" t="s">
        <v>21</v>
      </c>
      <c r="T634" s="250">
        <v>15</v>
      </c>
      <c r="U634" s="250">
        <v>5</v>
      </c>
      <c r="V634" s="250">
        <v>0.7</v>
      </c>
      <c r="W634" s="250">
        <v>0.7</v>
      </c>
      <c r="X634" s="250">
        <v>0.7</v>
      </c>
      <c r="Y634" s="250">
        <v>1700</v>
      </c>
      <c r="Z634" s="250" t="s">
        <v>840</v>
      </c>
      <c r="AA634" s="250">
        <v>0.85</v>
      </c>
      <c r="AB634" s="250" t="s">
        <v>841</v>
      </c>
      <c r="AC634" s="250" t="s">
        <v>842</v>
      </c>
      <c r="AD634" s="250">
        <v>220</v>
      </c>
      <c r="AE634" s="250"/>
      <c r="AF634" s="250"/>
      <c r="AG634" s="241"/>
    </row>
    <row r="635" spans="1:33" ht="15.75">
      <c r="A635" s="250" t="s">
        <v>1124</v>
      </c>
      <c r="B635" s="250" t="s">
        <v>888</v>
      </c>
      <c r="C635" s="250" t="s">
        <v>791</v>
      </c>
      <c r="D635" s="250" t="s">
        <v>838</v>
      </c>
      <c r="E635" s="250">
        <v>1.5</v>
      </c>
      <c r="F635" s="251">
        <v>45117.588750000003</v>
      </c>
      <c r="G635" s="250">
        <v>1</v>
      </c>
      <c r="H635" s="250">
        <v>51.370800000000003</v>
      </c>
      <c r="I635" s="250">
        <v>6.6359399999999997</v>
      </c>
      <c r="J635" s="250">
        <v>-4.9275440000000001</v>
      </c>
      <c r="K635" s="250">
        <v>-4.082211</v>
      </c>
      <c r="L635" s="250">
        <v>1033.17</v>
      </c>
      <c r="M635" s="250">
        <v>122.500281</v>
      </c>
      <c r="N635" s="250">
        <v>18361.706099999999</v>
      </c>
      <c r="O635" s="250">
        <v>18352.548599999998</v>
      </c>
      <c r="P635" s="250">
        <v>2028.23</v>
      </c>
      <c r="Q635" s="250" t="s">
        <v>18</v>
      </c>
      <c r="R635" s="250" t="s">
        <v>839</v>
      </c>
      <c r="S635" s="250" t="s">
        <v>21</v>
      </c>
      <c r="T635" s="250">
        <v>15</v>
      </c>
      <c r="U635" s="250">
        <v>5</v>
      </c>
      <c r="V635" s="250">
        <v>0.7</v>
      </c>
      <c r="W635" s="250">
        <v>0.7</v>
      </c>
      <c r="X635" s="250">
        <v>0.7</v>
      </c>
      <c r="Y635" s="250">
        <v>1700</v>
      </c>
      <c r="Z635" s="250" t="s">
        <v>840</v>
      </c>
      <c r="AA635" s="250">
        <v>0.85</v>
      </c>
      <c r="AB635" s="250" t="s">
        <v>841</v>
      </c>
      <c r="AC635" s="250" t="s">
        <v>842</v>
      </c>
      <c r="AD635" s="250">
        <v>220</v>
      </c>
      <c r="AE635" s="250"/>
      <c r="AF635" s="250"/>
      <c r="AG635" s="241"/>
    </row>
    <row r="636" spans="1:33" ht="15.75">
      <c r="A636" s="250" t="s">
        <v>1125</v>
      </c>
      <c r="B636" s="250" t="s">
        <v>888</v>
      </c>
      <c r="C636" s="250" t="s">
        <v>791</v>
      </c>
      <c r="D636" s="250" t="s">
        <v>838</v>
      </c>
      <c r="E636" s="250">
        <v>1.5</v>
      </c>
      <c r="F636" s="251">
        <v>45117.59233796296</v>
      </c>
      <c r="G636" s="250">
        <v>1</v>
      </c>
      <c r="H636" s="250">
        <v>51.370800000000003</v>
      </c>
      <c r="I636" s="250">
        <v>6.4910199999999998</v>
      </c>
      <c r="J636" s="250">
        <v>-4.9410499999999997</v>
      </c>
      <c r="K636" s="250">
        <v>-4.0935189999999997</v>
      </c>
      <c r="L636" s="250">
        <v>1034.55</v>
      </c>
      <c r="M636" s="250">
        <v>119.498868</v>
      </c>
      <c r="N636" s="250">
        <v>18339.634699999999</v>
      </c>
      <c r="O636" s="250">
        <v>18352.548599999998</v>
      </c>
      <c r="P636" s="250">
        <v>2028.23</v>
      </c>
      <c r="Q636" s="250" t="s">
        <v>18</v>
      </c>
      <c r="R636" s="250" t="s">
        <v>839</v>
      </c>
      <c r="S636" s="250" t="s">
        <v>21</v>
      </c>
      <c r="T636" s="250">
        <v>15</v>
      </c>
      <c r="U636" s="250">
        <v>5</v>
      </c>
      <c r="V636" s="250">
        <v>0.7</v>
      </c>
      <c r="W636" s="250">
        <v>0.7</v>
      </c>
      <c r="X636" s="250">
        <v>0.7</v>
      </c>
      <c r="Y636" s="250">
        <v>1700</v>
      </c>
      <c r="Z636" s="250" t="s">
        <v>840</v>
      </c>
      <c r="AA636" s="250">
        <v>0.85</v>
      </c>
      <c r="AB636" s="250" t="s">
        <v>841</v>
      </c>
      <c r="AC636" s="250" t="s">
        <v>842</v>
      </c>
      <c r="AD636" s="250">
        <v>220</v>
      </c>
      <c r="AE636" s="250"/>
      <c r="AF636" s="250"/>
      <c r="AG636" s="241"/>
    </row>
    <row r="637" spans="1:33" ht="15.75">
      <c r="A637" s="250" t="s">
        <v>1126</v>
      </c>
      <c r="B637" s="250" t="s">
        <v>888</v>
      </c>
      <c r="C637" s="250" t="s">
        <v>791</v>
      </c>
      <c r="D637" s="250" t="s">
        <v>838</v>
      </c>
      <c r="E637" s="250">
        <v>1.5</v>
      </c>
      <c r="F637" s="251">
        <v>45117.595868055556</v>
      </c>
      <c r="G637" s="250">
        <v>1</v>
      </c>
      <c r="H637" s="250">
        <v>51.377400000000002</v>
      </c>
      <c r="I637" s="250">
        <v>6.4715299999999996</v>
      </c>
      <c r="J637" s="250">
        <v>-4.8267530000000001</v>
      </c>
      <c r="K637" s="250">
        <v>-4.0008520000000001</v>
      </c>
      <c r="L637" s="250">
        <v>1026.1300000000001</v>
      </c>
      <c r="M637" s="250">
        <v>124.998389</v>
      </c>
      <c r="N637" s="250">
        <v>18318.615000000002</v>
      </c>
      <c r="O637" s="250">
        <v>18352.548599999998</v>
      </c>
      <c r="P637" s="250">
        <v>2028.23</v>
      </c>
      <c r="Q637" s="250" t="s">
        <v>18</v>
      </c>
      <c r="R637" s="250" t="s">
        <v>647</v>
      </c>
      <c r="S637" s="250" t="s">
        <v>21</v>
      </c>
      <c r="T637" s="250">
        <v>15</v>
      </c>
      <c r="U637" s="250">
        <v>5</v>
      </c>
      <c r="V637" s="250">
        <v>0.7</v>
      </c>
      <c r="W637" s="250">
        <v>0.7</v>
      </c>
      <c r="X637" s="250">
        <v>0.7</v>
      </c>
      <c r="Y637" s="250">
        <v>1700</v>
      </c>
      <c r="Z637" s="250" t="s">
        <v>840</v>
      </c>
      <c r="AA637" s="250">
        <v>0.85</v>
      </c>
      <c r="AB637" s="250" t="s">
        <v>841</v>
      </c>
      <c r="AC637" s="250" t="s">
        <v>842</v>
      </c>
      <c r="AD637" s="250">
        <v>220</v>
      </c>
      <c r="AE637" s="250"/>
      <c r="AF637" s="250"/>
      <c r="AG637" s="241"/>
    </row>
    <row r="638" spans="1:33" ht="15.75">
      <c r="A638" s="250" t="s">
        <v>1127</v>
      </c>
      <c r="B638" s="250" t="s">
        <v>888</v>
      </c>
      <c r="C638" s="250" t="s">
        <v>791</v>
      </c>
      <c r="D638" s="250" t="s">
        <v>838</v>
      </c>
      <c r="E638" s="250">
        <v>1.5</v>
      </c>
      <c r="F638" s="251">
        <v>45117.599490740744</v>
      </c>
      <c r="G638" s="250">
        <v>1</v>
      </c>
      <c r="H638" s="250">
        <v>51.3675</v>
      </c>
      <c r="I638" s="250">
        <v>6.5462100000000003</v>
      </c>
      <c r="J638" s="250">
        <v>-4.8450889999999998</v>
      </c>
      <c r="K638" s="250">
        <v>-4.0097740000000002</v>
      </c>
      <c r="L638" s="250">
        <v>1030.04</v>
      </c>
      <c r="M638" s="250">
        <v>121.499819</v>
      </c>
      <c r="N638" s="250">
        <v>18356.305100000001</v>
      </c>
      <c r="O638" s="250">
        <v>18352.548599999998</v>
      </c>
      <c r="P638" s="250">
        <v>2028.23</v>
      </c>
      <c r="Q638" s="250" t="s">
        <v>18</v>
      </c>
      <c r="R638" s="250" t="s">
        <v>839</v>
      </c>
      <c r="S638" s="250" t="s">
        <v>21</v>
      </c>
      <c r="T638" s="250">
        <v>15</v>
      </c>
      <c r="U638" s="250">
        <v>5</v>
      </c>
      <c r="V638" s="250">
        <v>0.7</v>
      </c>
      <c r="W638" s="250">
        <v>0.7</v>
      </c>
      <c r="X638" s="250">
        <v>0.7</v>
      </c>
      <c r="Y638" s="250">
        <v>1700</v>
      </c>
      <c r="Z638" s="250" t="s">
        <v>840</v>
      </c>
      <c r="AA638" s="250">
        <v>0.85</v>
      </c>
      <c r="AB638" s="250" t="s">
        <v>841</v>
      </c>
      <c r="AC638" s="250" t="s">
        <v>842</v>
      </c>
      <c r="AD638" s="250">
        <v>220</v>
      </c>
      <c r="AE638" s="250"/>
      <c r="AF638" s="250"/>
      <c r="AG638" s="241"/>
    </row>
    <row r="639" spans="1:33" ht="15.75">
      <c r="A639" s="250" t="s">
        <v>1128</v>
      </c>
      <c r="B639" s="250" t="s">
        <v>893</v>
      </c>
      <c r="C639" s="250" t="s">
        <v>791</v>
      </c>
      <c r="D639" s="250" t="s">
        <v>838</v>
      </c>
      <c r="E639" s="250">
        <v>1.8</v>
      </c>
      <c r="F639" s="251">
        <v>45117.603136574071</v>
      </c>
      <c r="G639" s="250">
        <v>1</v>
      </c>
      <c r="H639" s="250">
        <v>51.3675</v>
      </c>
      <c r="I639" s="250">
        <v>6.48536</v>
      </c>
      <c r="J639" s="250">
        <v>-4.7595409999999996</v>
      </c>
      <c r="K639" s="250">
        <v>-3.9317660000000001</v>
      </c>
      <c r="L639" s="250">
        <v>1041.3</v>
      </c>
      <c r="M639" s="250">
        <v>120.000243</v>
      </c>
      <c r="N639" s="250">
        <v>21976.217100000002</v>
      </c>
      <c r="O639" s="250">
        <v>0</v>
      </c>
      <c r="P639" s="250">
        <v>2028.23</v>
      </c>
      <c r="Q639" s="250" t="s">
        <v>18</v>
      </c>
      <c r="R639" s="250" t="s">
        <v>916</v>
      </c>
      <c r="S639" s="250" t="s">
        <v>21</v>
      </c>
      <c r="T639" s="250">
        <v>15</v>
      </c>
      <c r="U639" s="250">
        <v>5</v>
      </c>
      <c r="V639" s="250">
        <v>0.7</v>
      </c>
      <c r="W639" s="250">
        <v>0.7</v>
      </c>
      <c r="X639" s="250">
        <v>0.7</v>
      </c>
      <c r="Y639" s="250">
        <v>1700</v>
      </c>
      <c r="Z639" s="250" t="s">
        <v>840</v>
      </c>
      <c r="AA639" s="250">
        <v>0.85</v>
      </c>
      <c r="AB639" s="250" t="s">
        <v>841</v>
      </c>
      <c r="AC639" s="250" t="s">
        <v>842</v>
      </c>
      <c r="AD639" s="250">
        <v>220</v>
      </c>
      <c r="AE639" s="250"/>
      <c r="AF639" s="250"/>
      <c r="AG639" s="241"/>
    </row>
    <row r="640" spans="1:33" ht="15.75">
      <c r="A640" s="250" t="s">
        <v>1129</v>
      </c>
      <c r="B640" s="250" t="s">
        <v>893</v>
      </c>
      <c r="C640" s="250" t="s">
        <v>791</v>
      </c>
      <c r="D640" s="250" t="s">
        <v>838</v>
      </c>
      <c r="E640" s="250">
        <v>1.8</v>
      </c>
      <c r="F640" s="251">
        <v>45117.606759259259</v>
      </c>
      <c r="G640" s="250">
        <v>1</v>
      </c>
      <c r="H640" s="250">
        <v>51.3675</v>
      </c>
      <c r="I640" s="250">
        <v>6.4296100000000003</v>
      </c>
      <c r="J640" s="250">
        <v>-4.7939379999999998</v>
      </c>
      <c r="K640" s="250">
        <v>-3.9454389999999999</v>
      </c>
      <c r="L640" s="250">
        <v>1045.3</v>
      </c>
      <c r="M640" s="250">
        <v>131.00177600000001</v>
      </c>
      <c r="N640" s="250">
        <v>21988.9355</v>
      </c>
      <c r="O640" s="250">
        <v>0</v>
      </c>
      <c r="P640" s="250">
        <v>2028.23</v>
      </c>
      <c r="Q640" s="250" t="s">
        <v>18</v>
      </c>
      <c r="R640" s="250" t="s">
        <v>916</v>
      </c>
      <c r="S640" s="250" t="s">
        <v>21</v>
      </c>
      <c r="T640" s="250">
        <v>15</v>
      </c>
      <c r="U640" s="250">
        <v>5</v>
      </c>
      <c r="V640" s="250">
        <v>0.7</v>
      </c>
      <c r="W640" s="250">
        <v>0.7</v>
      </c>
      <c r="X640" s="250">
        <v>0.7</v>
      </c>
      <c r="Y640" s="250">
        <v>1700</v>
      </c>
      <c r="Z640" s="250" t="s">
        <v>840</v>
      </c>
      <c r="AA640" s="250">
        <v>0.85</v>
      </c>
      <c r="AB640" s="250" t="s">
        <v>841</v>
      </c>
      <c r="AC640" s="250" t="s">
        <v>842</v>
      </c>
      <c r="AD640" s="250">
        <v>220</v>
      </c>
      <c r="AE640" s="250"/>
      <c r="AF640" s="250"/>
      <c r="AG640" s="241"/>
    </row>
    <row r="641" spans="1:33" ht="15.75">
      <c r="A641" s="250" t="s">
        <v>1130</v>
      </c>
      <c r="B641" s="250" t="s">
        <v>893</v>
      </c>
      <c r="C641" s="250" t="s">
        <v>791</v>
      </c>
      <c r="D641" s="250" t="s">
        <v>838</v>
      </c>
      <c r="E641" s="250">
        <v>1.8</v>
      </c>
      <c r="F641" s="251">
        <v>45117.610509259262</v>
      </c>
      <c r="G641" s="250">
        <v>1</v>
      </c>
      <c r="H641" s="250">
        <v>51.370800000000003</v>
      </c>
      <c r="I641" s="250">
        <v>6.45838</v>
      </c>
      <c r="J641" s="250">
        <v>-4.870959</v>
      </c>
      <c r="K641" s="250">
        <v>-4.0342269999999996</v>
      </c>
      <c r="L641" s="250">
        <v>999.27</v>
      </c>
      <c r="M641" s="250">
        <v>148.49878200000001</v>
      </c>
      <c r="N641" s="250">
        <v>21783.752199999999</v>
      </c>
      <c r="O641" s="250">
        <v>0</v>
      </c>
      <c r="P641" s="250">
        <v>2028.23</v>
      </c>
      <c r="Q641" s="250" t="s">
        <v>18</v>
      </c>
      <c r="R641" s="250" t="s">
        <v>916</v>
      </c>
      <c r="S641" s="250" t="s">
        <v>21</v>
      </c>
      <c r="T641" s="250">
        <v>15</v>
      </c>
      <c r="U641" s="250">
        <v>5</v>
      </c>
      <c r="V641" s="250">
        <v>0.7</v>
      </c>
      <c r="W641" s="250">
        <v>0.7</v>
      </c>
      <c r="X641" s="250">
        <v>0.7</v>
      </c>
      <c r="Y641" s="250">
        <v>1700</v>
      </c>
      <c r="Z641" s="250" t="s">
        <v>840</v>
      </c>
      <c r="AA641" s="250">
        <v>0.85</v>
      </c>
      <c r="AB641" s="250" t="s">
        <v>841</v>
      </c>
      <c r="AC641" s="250" t="s">
        <v>842</v>
      </c>
      <c r="AD641" s="250">
        <v>220</v>
      </c>
      <c r="AE641" s="250"/>
      <c r="AF641" s="250"/>
      <c r="AG641" s="241"/>
    </row>
    <row r="642" spans="1:33" ht="15.75">
      <c r="A642" s="250" t="s">
        <v>1131</v>
      </c>
      <c r="B642" s="250" t="s">
        <v>893</v>
      </c>
      <c r="C642" s="250" t="s">
        <v>791</v>
      </c>
      <c r="D642" s="250" t="s">
        <v>838</v>
      </c>
      <c r="E642" s="250">
        <v>1.8</v>
      </c>
      <c r="F642" s="251">
        <v>45117.614479166667</v>
      </c>
      <c r="G642" s="250">
        <v>1</v>
      </c>
      <c r="H642" s="250">
        <v>51.370800000000003</v>
      </c>
      <c r="I642" s="250">
        <v>6.5057200000000002</v>
      </c>
      <c r="J642" s="250">
        <v>-4.7260330000000002</v>
      </c>
      <c r="K642" s="250">
        <v>-3.8833639999999998</v>
      </c>
      <c r="L642" s="250">
        <v>989.82</v>
      </c>
      <c r="M642" s="250">
        <v>138.99956499999999</v>
      </c>
      <c r="N642" s="250">
        <v>21750.924500000001</v>
      </c>
      <c r="O642" s="250">
        <v>0</v>
      </c>
      <c r="P642" s="250">
        <v>2028.23</v>
      </c>
      <c r="Q642" s="250" t="s">
        <v>18</v>
      </c>
      <c r="R642" s="250" t="s">
        <v>916</v>
      </c>
      <c r="S642" s="250" t="s">
        <v>21</v>
      </c>
      <c r="T642" s="250">
        <v>15</v>
      </c>
      <c r="U642" s="250">
        <v>5</v>
      </c>
      <c r="V642" s="250">
        <v>0.7</v>
      </c>
      <c r="W642" s="250">
        <v>0.7</v>
      </c>
      <c r="X642" s="250">
        <v>0.7</v>
      </c>
      <c r="Y642" s="250">
        <v>1700</v>
      </c>
      <c r="Z642" s="250" t="s">
        <v>840</v>
      </c>
      <c r="AA642" s="250">
        <v>0.85</v>
      </c>
      <c r="AB642" s="250" t="s">
        <v>841</v>
      </c>
      <c r="AC642" s="250" t="s">
        <v>842</v>
      </c>
      <c r="AD642" s="250">
        <v>220</v>
      </c>
      <c r="AE642" s="250"/>
      <c r="AF642" s="250"/>
      <c r="AG642" s="241"/>
    </row>
    <row r="643" spans="1:33" ht="15.75">
      <c r="A643" s="250" t="s">
        <v>1132</v>
      </c>
      <c r="B643" s="250" t="s">
        <v>893</v>
      </c>
      <c r="C643" s="250" t="s">
        <v>791</v>
      </c>
      <c r="D643" s="250" t="s">
        <v>838</v>
      </c>
      <c r="E643" s="250">
        <v>1.8</v>
      </c>
      <c r="F643" s="251">
        <v>45117.618333333332</v>
      </c>
      <c r="G643" s="250">
        <v>1</v>
      </c>
      <c r="H643" s="250">
        <v>51.374099999999999</v>
      </c>
      <c r="I643" s="250">
        <v>6.6136699999999999</v>
      </c>
      <c r="J643" s="250">
        <v>-4.6661900000000003</v>
      </c>
      <c r="K643" s="250">
        <v>-3.8173080000000001</v>
      </c>
      <c r="L643" s="250">
        <v>994.87</v>
      </c>
      <c r="M643" s="250">
        <v>132.99990600000001</v>
      </c>
      <c r="N643" s="250">
        <v>21737.185399999998</v>
      </c>
      <c r="O643" s="250">
        <v>0</v>
      </c>
      <c r="P643" s="250">
        <v>2028.23</v>
      </c>
      <c r="Q643" s="250" t="s">
        <v>18</v>
      </c>
      <c r="R643" s="250" t="s">
        <v>916</v>
      </c>
      <c r="S643" s="250" t="s">
        <v>21</v>
      </c>
      <c r="T643" s="250">
        <v>15</v>
      </c>
      <c r="U643" s="250">
        <v>5</v>
      </c>
      <c r="V643" s="250">
        <v>0.7</v>
      </c>
      <c r="W643" s="250">
        <v>0.7</v>
      </c>
      <c r="X643" s="250">
        <v>0.7</v>
      </c>
      <c r="Y643" s="250">
        <v>1700</v>
      </c>
      <c r="Z643" s="250" t="s">
        <v>840</v>
      </c>
      <c r="AA643" s="250">
        <v>0.85</v>
      </c>
      <c r="AB643" s="250" t="s">
        <v>841</v>
      </c>
      <c r="AC643" s="250" t="s">
        <v>842</v>
      </c>
      <c r="AD643" s="250">
        <v>220</v>
      </c>
      <c r="AE643" s="250"/>
      <c r="AF643" s="250"/>
      <c r="AG643" s="241"/>
    </row>
    <row r="644" spans="1:33" ht="15.75">
      <c r="A644" s="250" t="s">
        <v>1133</v>
      </c>
      <c r="B644" s="250" t="s">
        <v>893</v>
      </c>
      <c r="C644" s="250" t="s">
        <v>791</v>
      </c>
      <c r="D644" s="250" t="s">
        <v>838</v>
      </c>
      <c r="E644" s="250">
        <v>1.8</v>
      </c>
      <c r="F644" s="251">
        <v>45117.622106481482</v>
      </c>
      <c r="G644" s="250">
        <v>2</v>
      </c>
      <c r="H644" s="250">
        <v>51.374099999999999</v>
      </c>
      <c r="I644" s="250">
        <v>6.6214000000000004</v>
      </c>
      <c r="J644" s="250">
        <v>-4.6414429999999998</v>
      </c>
      <c r="K644" s="250">
        <v>-3.821288</v>
      </c>
      <c r="L644" s="250">
        <v>998.55799999999999</v>
      </c>
      <c r="M644" s="250">
        <v>146.99999299999999</v>
      </c>
      <c r="N644" s="250">
        <v>21708.151999999998</v>
      </c>
      <c r="O644" s="250">
        <v>21702.727599999998</v>
      </c>
      <c r="P644" s="250">
        <v>2028.23</v>
      </c>
      <c r="Q644" s="250" t="s">
        <v>18</v>
      </c>
      <c r="R644" s="250" t="s">
        <v>839</v>
      </c>
      <c r="S644" s="250" t="s">
        <v>21</v>
      </c>
      <c r="T644" s="250">
        <v>15</v>
      </c>
      <c r="U644" s="250">
        <v>5</v>
      </c>
      <c r="V644" s="250">
        <v>0.7</v>
      </c>
      <c r="W644" s="250">
        <v>0.7</v>
      </c>
      <c r="X644" s="250">
        <v>0.7</v>
      </c>
      <c r="Y644" s="250">
        <v>1700</v>
      </c>
      <c r="Z644" s="250" t="s">
        <v>840</v>
      </c>
      <c r="AA644" s="250">
        <v>0.85</v>
      </c>
      <c r="AB644" s="250" t="s">
        <v>841</v>
      </c>
      <c r="AC644" s="250" t="s">
        <v>842</v>
      </c>
      <c r="AD644" s="250">
        <v>220</v>
      </c>
      <c r="AE644" s="250"/>
      <c r="AF644" s="250"/>
      <c r="AG644" s="241"/>
    </row>
    <row r="645" spans="1:33" ht="15.75">
      <c r="A645" s="250" t="s">
        <v>1134</v>
      </c>
      <c r="B645" s="250" t="s">
        <v>893</v>
      </c>
      <c r="C645" s="250" t="s">
        <v>791</v>
      </c>
      <c r="D645" s="250" t="s">
        <v>838</v>
      </c>
      <c r="E645" s="250">
        <v>1.8</v>
      </c>
      <c r="F645" s="251">
        <v>45117.626076388886</v>
      </c>
      <c r="G645" s="250">
        <v>2</v>
      </c>
      <c r="H645" s="250">
        <v>51.370800000000003</v>
      </c>
      <c r="I645" s="250">
        <v>6.4805000000000001</v>
      </c>
      <c r="J645" s="250">
        <v>-4.6646460000000003</v>
      </c>
      <c r="K645" s="250">
        <v>-3.827178</v>
      </c>
      <c r="L645" s="250">
        <v>983.48900000000003</v>
      </c>
      <c r="M645" s="250">
        <v>158.50115400000001</v>
      </c>
      <c r="N645" s="250">
        <v>21699.627</v>
      </c>
      <c r="O645" s="250">
        <v>21702.727599999998</v>
      </c>
      <c r="P645" s="250">
        <v>2028.23</v>
      </c>
      <c r="Q645" s="250" t="s">
        <v>18</v>
      </c>
      <c r="R645" s="250" t="s">
        <v>839</v>
      </c>
      <c r="S645" s="250" t="s">
        <v>21</v>
      </c>
      <c r="T645" s="250">
        <v>15</v>
      </c>
      <c r="U645" s="250">
        <v>5</v>
      </c>
      <c r="V645" s="250">
        <v>0.7</v>
      </c>
      <c r="W645" s="250">
        <v>0.7</v>
      </c>
      <c r="X645" s="250">
        <v>0.7</v>
      </c>
      <c r="Y645" s="250">
        <v>1700</v>
      </c>
      <c r="Z645" s="250" t="s">
        <v>840</v>
      </c>
      <c r="AA645" s="250">
        <v>0.85</v>
      </c>
      <c r="AB645" s="250" t="s">
        <v>841</v>
      </c>
      <c r="AC645" s="250" t="s">
        <v>842</v>
      </c>
      <c r="AD645" s="250">
        <v>220</v>
      </c>
      <c r="AE645" s="250"/>
      <c r="AF645" s="250"/>
      <c r="AG645" s="241"/>
    </row>
    <row r="646" spans="1:33" ht="15.75">
      <c r="A646" s="250" t="s">
        <v>1135</v>
      </c>
      <c r="B646" s="250" t="s">
        <v>893</v>
      </c>
      <c r="C646" s="250" t="s">
        <v>791</v>
      </c>
      <c r="D646" s="250" t="s">
        <v>838</v>
      </c>
      <c r="E646" s="250">
        <v>1.8</v>
      </c>
      <c r="F646" s="251">
        <v>45117.630173611113</v>
      </c>
      <c r="G646" s="250">
        <v>2</v>
      </c>
      <c r="H646" s="250">
        <v>51.374099999999999</v>
      </c>
      <c r="I646" s="250">
        <v>6.49038</v>
      </c>
      <c r="J646" s="250">
        <v>-4.5790040000000003</v>
      </c>
      <c r="K646" s="250">
        <v>-3.7418719999999999</v>
      </c>
      <c r="L646" s="250">
        <v>990.67100000000005</v>
      </c>
      <c r="M646" s="250">
        <v>134.99926199999999</v>
      </c>
      <c r="N646" s="250">
        <v>21700.4038</v>
      </c>
      <c r="O646" s="250">
        <v>21702.727599999998</v>
      </c>
      <c r="P646" s="250">
        <v>2028.23</v>
      </c>
      <c r="Q646" s="250" t="s">
        <v>18</v>
      </c>
      <c r="R646" s="250" t="s">
        <v>839</v>
      </c>
      <c r="S646" s="250" t="s">
        <v>21</v>
      </c>
      <c r="T646" s="250">
        <v>15</v>
      </c>
      <c r="U646" s="250">
        <v>5</v>
      </c>
      <c r="V646" s="250">
        <v>0.7</v>
      </c>
      <c r="W646" s="250">
        <v>0.7</v>
      </c>
      <c r="X646" s="250">
        <v>0.7</v>
      </c>
      <c r="Y646" s="250">
        <v>1700</v>
      </c>
      <c r="Z646" s="250" t="s">
        <v>840</v>
      </c>
      <c r="AA646" s="250">
        <v>0.85</v>
      </c>
      <c r="AB646" s="250" t="s">
        <v>841</v>
      </c>
      <c r="AC646" s="250" t="s">
        <v>842</v>
      </c>
      <c r="AD646" s="250">
        <v>220</v>
      </c>
      <c r="AE646" s="250"/>
      <c r="AF646" s="250"/>
      <c r="AG646" s="241"/>
    </row>
    <row r="647" spans="1:33" ht="15.75">
      <c r="A647" s="250" t="s">
        <v>863</v>
      </c>
      <c r="B647" s="250">
        <v>2</v>
      </c>
      <c r="C647" s="250">
        <v>124</v>
      </c>
      <c r="D647" s="250" t="s">
        <v>898</v>
      </c>
      <c r="E647" s="250">
        <v>1.5</v>
      </c>
      <c r="F647" s="251">
        <v>45117.634432870371</v>
      </c>
      <c r="G647" s="250">
        <v>1</v>
      </c>
      <c r="H647" s="250">
        <v>51.370800000000003</v>
      </c>
      <c r="I647" s="250">
        <v>6.5060399999999996</v>
      </c>
      <c r="J647" s="250">
        <v>-4.5357089999999998</v>
      </c>
      <c r="K647" s="250">
        <v>-3.7082730000000002</v>
      </c>
      <c r="L647" s="250">
        <v>1028.8900000000001</v>
      </c>
      <c r="M647" s="250">
        <v>117.001125</v>
      </c>
      <c r="N647" s="250">
        <v>18228.941999999999</v>
      </c>
      <c r="O647" s="250">
        <v>18222.832299999998</v>
      </c>
      <c r="P647" s="250">
        <v>2014.0500300000001</v>
      </c>
      <c r="Q647" s="250" t="s">
        <v>18</v>
      </c>
      <c r="R647" s="250" t="s">
        <v>839</v>
      </c>
      <c r="S647" s="250" t="s">
        <v>21</v>
      </c>
      <c r="T647" s="250">
        <v>15</v>
      </c>
      <c r="U647" s="250">
        <v>5</v>
      </c>
      <c r="V647" s="250">
        <v>0.7</v>
      </c>
      <c r="W647" s="250">
        <v>0.7</v>
      </c>
      <c r="X647" s="250">
        <v>0.7</v>
      </c>
      <c r="Y647" s="250">
        <v>1700</v>
      </c>
      <c r="Z647" s="250" t="s">
        <v>840</v>
      </c>
      <c r="AA647" s="250">
        <v>0.85</v>
      </c>
      <c r="AB647" s="250" t="s">
        <v>841</v>
      </c>
      <c r="AC647" s="250" t="s">
        <v>842</v>
      </c>
      <c r="AD647" s="250">
        <v>220</v>
      </c>
      <c r="AE647" s="250"/>
      <c r="AF647" s="250"/>
      <c r="AG647" s="241"/>
    </row>
    <row r="648" spans="1:33" ht="15.75">
      <c r="A648" s="250" t="s">
        <v>983</v>
      </c>
      <c r="B648" s="250">
        <v>2</v>
      </c>
      <c r="C648" s="250">
        <v>124</v>
      </c>
      <c r="D648" s="250" t="s">
        <v>898</v>
      </c>
      <c r="E648" s="250">
        <v>1.5</v>
      </c>
      <c r="F648" s="251">
        <v>45117.637974537036</v>
      </c>
      <c r="G648" s="250">
        <v>1</v>
      </c>
      <c r="H648" s="250">
        <v>51.370800000000003</v>
      </c>
      <c r="I648" s="250">
        <v>6.5458699999999999</v>
      </c>
      <c r="J648" s="250">
        <v>-4.5752829999999998</v>
      </c>
      <c r="K648" s="250">
        <v>-3.7354129999999999</v>
      </c>
      <c r="L648" s="250">
        <v>1032.6500000000001</v>
      </c>
      <c r="M648" s="250">
        <v>124.999004</v>
      </c>
      <c r="N648" s="250">
        <v>18228.706699999999</v>
      </c>
      <c r="O648" s="250">
        <v>18222.832299999998</v>
      </c>
      <c r="P648" s="250">
        <v>2014.0500300000001</v>
      </c>
      <c r="Q648" s="250" t="s">
        <v>18</v>
      </c>
      <c r="R648" s="250" t="s">
        <v>839</v>
      </c>
      <c r="S648" s="250" t="s">
        <v>21</v>
      </c>
      <c r="T648" s="250">
        <v>15</v>
      </c>
      <c r="U648" s="250">
        <v>5</v>
      </c>
      <c r="V648" s="250">
        <v>0.7</v>
      </c>
      <c r="W648" s="250">
        <v>0.7</v>
      </c>
      <c r="X648" s="250">
        <v>0.7</v>
      </c>
      <c r="Y648" s="250">
        <v>1700</v>
      </c>
      <c r="Z648" s="250" t="s">
        <v>840</v>
      </c>
      <c r="AA648" s="250">
        <v>0.85</v>
      </c>
      <c r="AB648" s="250" t="s">
        <v>841</v>
      </c>
      <c r="AC648" s="250" t="s">
        <v>842</v>
      </c>
      <c r="AD648" s="250">
        <v>220</v>
      </c>
      <c r="AE648" s="250"/>
      <c r="AF648" s="250"/>
      <c r="AG648" s="241"/>
    </row>
    <row r="649" spans="1:33" ht="15.75">
      <c r="A649" s="250" t="s">
        <v>984</v>
      </c>
      <c r="B649" s="250">
        <v>2</v>
      </c>
      <c r="C649" s="250">
        <v>124</v>
      </c>
      <c r="D649" s="250" t="s">
        <v>898</v>
      </c>
      <c r="E649" s="250">
        <v>1.5</v>
      </c>
      <c r="F649" s="251">
        <v>45117.641562500001</v>
      </c>
      <c r="G649" s="250">
        <v>1</v>
      </c>
      <c r="H649" s="250">
        <v>51.374099999999999</v>
      </c>
      <c r="I649" s="250">
        <v>6.5430299999999999</v>
      </c>
      <c r="J649" s="250">
        <v>-4.6245690000000002</v>
      </c>
      <c r="K649" s="250">
        <v>-3.7802039999999999</v>
      </c>
      <c r="L649" s="250">
        <v>1023.34</v>
      </c>
      <c r="M649" s="250">
        <v>128.50006200000001</v>
      </c>
      <c r="N649" s="250">
        <v>18210.8482</v>
      </c>
      <c r="O649" s="250">
        <v>18222.832299999998</v>
      </c>
      <c r="P649" s="250">
        <v>2014.0500300000001</v>
      </c>
      <c r="Q649" s="250" t="s">
        <v>18</v>
      </c>
      <c r="R649" s="250" t="s">
        <v>839</v>
      </c>
      <c r="S649" s="250" t="s">
        <v>21</v>
      </c>
      <c r="T649" s="250">
        <v>15</v>
      </c>
      <c r="U649" s="250">
        <v>5</v>
      </c>
      <c r="V649" s="250">
        <v>0.7</v>
      </c>
      <c r="W649" s="250">
        <v>0.7</v>
      </c>
      <c r="X649" s="250">
        <v>0.7</v>
      </c>
      <c r="Y649" s="250">
        <v>1700</v>
      </c>
      <c r="Z649" s="250" t="s">
        <v>840</v>
      </c>
      <c r="AA649" s="250">
        <v>0.85</v>
      </c>
      <c r="AB649" s="250" t="s">
        <v>841</v>
      </c>
      <c r="AC649" s="250" t="s">
        <v>842</v>
      </c>
      <c r="AD649" s="250">
        <v>220</v>
      </c>
      <c r="AE649" s="250"/>
      <c r="AF649" s="250"/>
      <c r="AG649" s="241"/>
    </row>
    <row r="650" spans="1:33" ht="15.75">
      <c r="A650" s="250" t="s">
        <v>864</v>
      </c>
      <c r="B650" s="250">
        <v>3</v>
      </c>
      <c r="C650" s="250">
        <v>125</v>
      </c>
      <c r="D650" s="250" t="s">
        <v>902</v>
      </c>
      <c r="E650" s="250">
        <v>1.5</v>
      </c>
      <c r="F650" s="251">
        <v>45117.64571759259</v>
      </c>
      <c r="G650" s="250">
        <v>1</v>
      </c>
      <c r="H650" s="250">
        <v>51.370800000000003</v>
      </c>
      <c r="I650" s="250">
        <v>6.5973300000000004</v>
      </c>
      <c r="J650" s="250">
        <v>-4.5016379999999998</v>
      </c>
      <c r="K650" s="250">
        <v>-3.659411</v>
      </c>
      <c r="L650" s="250">
        <v>1024.42</v>
      </c>
      <c r="M650" s="250">
        <v>123.49981699999999</v>
      </c>
      <c r="N650" s="250">
        <v>18106.532599999999</v>
      </c>
      <c r="O650" s="250">
        <v>0</v>
      </c>
      <c r="P650" s="250">
        <v>0</v>
      </c>
      <c r="Q650" s="250" t="s">
        <v>18</v>
      </c>
      <c r="R650" s="250" t="s">
        <v>916</v>
      </c>
      <c r="S650" s="250" t="s">
        <v>28</v>
      </c>
      <c r="T650" s="250">
        <v>15</v>
      </c>
      <c r="U650" s="250">
        <v>5</v>
      </c>
      <c r="V650" s="250">
        <v>0.7</v>
      </c>
      <c r="W650" s="250">
        <v>0.7</v>
      </c>
      <c r="X650" s="250">
        <v>0.7</v>
      </c>
      <c r="Y650" s="250">
        <v>1700</v>
      </c>
      <c r="Z650" s="250" t="s">
        <v>840</v>
      </c>
      <c r="AA650" s="250">
        <v>0.85</v>
      </c>
      <c r="AB650" s="250" t="s">
        <v>841</v>
      </c>
      <c r="AC650" s="250" t="s">
        <v>842</v>
      </c>
      <c r="AD650" s="250">
        <v>220</v>
      </c>
      <c r="AE650" s="250"/>
      <c r="AF650" s="250"/>
      <c r="AG650" s="241"/>
    </row>
    <row r="651" spans="1:33" ht="15.75">
      <c r="A651" s="250" t="s">
        <v>987</v>
      </c>
      <c r="B651" s="250">
        <v>3</v>
      </c>
      <c r="C651" s="250">
        <v>125</v>
      </c>
      <c r="D651" s="250" t="s">
        <v>902</v>
      </c>
      <c r="E651" s="250">
        <v>1.5</v>
      </c>
      <c r="F651" s="251">
        <v>45117.649328703701</v>
      </c>
      <c r="G651" s="250">
        <v>1</v>
      </c>
      <c r="H651" s="250">
        <v>51.3675</v>
      </c>
      <c r="I651" s="250">
        <v>6.5887799999999999</v>
      </c>
      <c r="J651" s="250">
        <v>-4.5242149999999999</v>
      </c>
      <c r="K651" s="250">
        <v>-3.6844709999999998</v>
      </c>
      <c r="L651" s="250">
        <v>1052.96</v>
      </c>
      <c r="M651" s="250">
        <v>127.498661</v>
      </c>
      <c r="N651" s="250">
        <v>18539.0056</v>
      </c>
      <c r="O651" s="250">
        <v>0</v>
      </c>
      <c r="P651" s="250">
        <v>0</v>
      </c>
      <c r="Q651" s="250" t="s">
        <v>18</v>
      </c>
      <c r="R651" s="250" t="s">
        <v>916</v>
      </c>
      <c r="S651" s="250" t="s">
        <v>28</v>
      </c>
      <c r="T651" s="250">
        <v>15</v>
      </c>
      <c r="U651" s="250">
        <v>5</v>
      </c>
      <c r="V651" s="250">
        <v>0.7</v>
      </c>
      <c r="W651" s="250">
        <v>0.7</v>
      </c>
      <c r="X651" s="250">
        <v>0.7</v>
      </c>
      <c r="Y651" s="250">
        <v>1700</v>
      </c>
      <c r="Z651" s="250" t="s">
        <v>840</v>
      </c>
      <c r="AA651" s="250">
        <v>0.85</v>
      </c>
      <c r="AB651" s="250" t="s">
        <v>841</v>
      </c>
      <c r="AC651" s="250" t="s">
        <v>842</v>
      </c>
      <c r="AD651" s="250">
        <v>216</v>
      </c>
      <c r="AE651" s="250"/>
      <c r="AF651" s="250"/>
      <c r="AG651" s="241"/>
    </row>
    <row r="652" spans="1:33" ht="15.75">
      <c r="A652" s="250" t="s">
        <v>988</v>
      </c>
      <c r="B652" s="250">
        <v>3</v>
      </c>
      <c r="C652" s="250">
        <v>125</v>
      </c>
      <c r="D652" s="250" t="s">
        <v>902</v>
      </c>
      <c r="E652" s="250">
        <v>1.5</v>
      </c>
      <c r="F652" s="251">
        <v>45117.652997685182</v>
      </c>
      <c r="G652" s="250">
        <v>1</v>
      </c>
      <c r="H652" s="250">
        <v>51.374099999999999</v>
      </c>
      <c r="I652" s="250">
        <v>6.51661</v>
      </c>
      <c r="J652" s="250">
        <v>-4.2779910000000001</v>
      </c>
      <c r="K652" s="250">
        <v>-3.4317060000000001</v>
      </c>
      <c r="L652" s="250">
        <v>1109.5999999999999</v>
      </c>
      <c r="M652" s="250">
        <v>133.499505</v>
      </c>
      <c r="N652" s="250">
        <v>19597.476699999999</v>
      </c>
      <c r="O652" s="250">
        <v>0</v>
      </c>
      <c r="P652" s="250">
        <v>0</v>
      </c>
      <c r="Q652" s="250" t="s">
        <v>18</v>
      </c>
      <c r="R652" s="250" t="s">
        <v>916</v>
      </c>
      <c r="S652" s="250" t="s">
        <v>28</v>
      </c>
      <c r="T652" s="250">
        <v>15</v>
      </c>
      <c r="U652" s="250">
        <v>5</v>
      </c>
      <c r="V652" s="250">
        <v>0.7</v>
      </c>
      <c r="W652" s="250">
        <v>0.7</v>
      </c>
      <c r="X652" s="250">
        <v>0.7</v>
      </c>
      <c r="Y652" s="250">
        <v>1700</v>
      </c>
      <c r="Z652" s="250" t="s">
        <v>840</v>
      </c>
      <c r="AA652" s="250">
        <v>0.85</v>
      </c>
      <c r="AB652" s="250" t="s">
        <v>841</v>
      </c>
      <c r="AC652" s="250" t="s">
        <v>842</v>
      </c>
      <c r="AD652" s="250">
        <v>205</v>
      </c>
      <c r="AE652" s="250"/>
      <c r="AF652" s="250"/>
      <c r="AG652" s="241"/>
    </row>
    <row r="653" spans="1:33" ht="15.75">
      <c r="A653" s="250" t="s">
        <v>989</v>
      </c>
      <c r="B653" s="250">
        <v>3</v>
      </c>
      <c r="C653" s="250">
        <v>125</v>
      </c>
      <c r="D653" s="250" t="s">
        <v>902</v>
      </c>
      <c r="E653" s="250">
        <v>1.5</v>
      </c>
      <c r="F653" s="251">
        <v>45117.656736111108</v>
      </c>
      <c r="G653" s="250">
        <v>1</v>
      </c>
      <c r="H653" s="250">
        <v>51.3675</v>
      </c>
      <c r="I653" s="250">
        <v>6.4751300000000001</v>
      </c>
      <c r="J653" s="250">
        <v>-4.2382879999999998</v>
      </c>
      <c r="K653" s="250">
        <v>-3.3889619999999998</v>
      </c>
      <c r="L653" s="250">
        <v>1183.58</v>
      </c>
      <c r="M653" s="250">
        <v>147.499641</v>
      </c>
      <c r="N653" s="250">
        <v>21066.317500000001</v>
      </c>
      <c r="O653" s="250">
        <v>0</v>
      </c>
      <c r="P653" s="250">
        <v>0</v>
      </c>
      <c r="Q653" s="250" t="s">
        <v>18</v>
      </c>
      <c r="R653" s="250" t="s">
        <v>916</v>
      </c>
      <c r="S653" s="250" t="s">
        <v>28</v>
      </c>
      <c r="T653" s="250">
        <v>15</v>
      </c>
      <c r="U653" s="250">
        <v>5</v>
      </c>
      <c r="V653" s="250">
        <v>0.7</v>
      </c>
      <c r="W653" s="250">
        <v>0.7</v>
      </c>
      <c r="X653" s="250">
        <v>0.7</v>
      </c>
      <c r="Y653" s="250">
        <v>1700</v>
      </c>
      <c r="Z653" s="250" t="s">
        <v>840</v>
      </c>
      <c r="AA653" s="250">
        <v>0.85</v>
      </c>
      <c r="AB653" s="250" t="s">
        <v>841</v>
      </c>
      <c r="AC653" s="250" t="s">
        <v>842</v>
      </c>
      <c r="AD653" s="250">
        <v>191</v>
      </c>
      <c r="AE653" s="250"/>
      <c r="AF653" s="250"/>
      <c r="AG653" s="241"/>
    </row>
    <row r="654" spans="1:33" ht="15.75">
      <c r="A654" s="250" t="s">
        <v>1026</v>
      </c>
      <c r="B654" s="250">
        <v>3</v>
      </c>
      <c r="C654" s="250">
        <v>125</v>
      </c>
      <c r="D654" s="250" t="s">
        <v>902</v>
      </c>
      <c r="E654" s="250">
        <v>1.5</v>
      </c>
      <c r="F654" s="251">
        <v>45117.660601851851</v>
      </c>
      <c r="G654" s="250">
        <v>1</v>
      </c>
      <c r="H654" s="250">
        <v>51.370800000000003</v>
      </c>
      <c r="I654" s="250">
        <v>6.4398200000000001</v>
      </c>
      <c r="J654" s="250">
        <v>-4.1045629999999997</v>
      </c>
      <c r="K654" s="250">
        <v>-3.257231</v>
      </c>
      <c r="L654" s="250">
        <v>1261.25</v>
      </c>
      <c r="M654" s="250">
        <v>168.49812900000001</v>
      </c>
      <c r="N654" s="250">
        <v>22556.848900000001</v>
      </c>
      <c r="O654" s="250">
        <v>0</v>
      </c>
      <c r="P654" s="250">
        <v>0</v>
      </c>
      <c r="Q654" s="250" t="s">
        <v>18</v>
      </c>
      <c r="R654" s="250" t="s">
        <v>916</v>
      </c>
      <c r="S654" s="250" t="s">
        <v>28</v>
      </c>
      <c r="T654" s="250">
        <v>15</v>
      </c>
      <c r="U654" s="250">
        <v>5</v>
      </c>
      <c r="V654" s="250">
        <v>0.7</v>
      </c>
      <c r="W654" s="250">
        <v>0.7</v>
      </c>
      <c r="X654" s="250">
        <v>0.7</v>
      </c>
      <c r="Y654" s="250">
        <v>1700</v>
      </c>
      <c r="Z654" s="250" t="s">
        <v>840</v>
      </c>
      <c r="AA654" s="250">
        <v>0.85</v>
      </c>
      <c r="AB654" s="250" t="s">
        <v>841</v>
      </c>
      <c r="AC654" s="250" t="s">
        <v>842</v>
      </c>
      <c r="AD654" s="250">
        <v>179</v>
      </c>
      <c r="AE654" s="250"/>
      <c r="AF654" s="250"/>
      <c r="AG654" s="241"/>
    </row>
    <row r="655" spans="1:33" ht="15.75">
      <c r="A655" s="250" t="s">
        <v>1027</v>
      </c>
      <c r="B655" s="250">
        <v>3</v>
      </c>
      <c r="C655" s="250">
        <v>125</v>
      </c>
      <c r="D655" s="250" t="s">
        <v>902</v>
      </c>
      <c r="E655" s="250">
        <v>1.5</v>
      </c>
      <c r="F655" s="251">
        <v>45117.664733796293</v>
      </c>
      <c r="G655" s="250">
        <v>2</v>
      </c>
      <c r="H655" s="250">
        <v>51.377400000000002</v>
      </c>
      <c r="I655" s="250">
        <v>6.4083199999999998</v>
      </c>
      <c r="J655" s="250">
        <v>-3.7470469999999998</v>
      </c>
      <c r="K655" s="250">
        <v>-2.907985</v>
      </c>
      <c r="L655" s="250">
        <v>1380.11</v>
      </c>
      <c r="M655" s="250">
        <v>164.00066799999999</v>
      </c>
      <c r="N655" s="250">
        <v>24902.042399999998</v>
      </c>
      <c r="O655" s="250">
        <v>0</v>
      </c>
      <c r="P655" s="250">
        <v>0</v>
      </c>
      <c r="Q655" s="250" t="s">
        <v>18</v>
      </c>
      <c r="R655" s="250" t="s">
        <v>1083</v>
      </c>
      <c r="S655" s="250" t="s">
        <v>28</v>
      </c>
      <c r="T655" s="250">
        <v>15</v>
      </c>
      <c r="U655" s="250">
        <v>5</v>
      </c>
      <c r="V655" s="250">
        <v>0.7</v>
      </c>
      <c r="W655" s="250">
        <v>0.7</v>
      </c>
      <c r="X655" s="250">
        <v>0.7</v>
      </c>
      <c r="Y655" s="250">
        <v>1700</v>
      </c>
      <c r="Z655" s="250" t="s">
        <v>840</v>
      </c>
      <c r="AA655" s="250">
        <v>0.85</v>
      </c>
      <c r="AB655" s="250" t="s">
        <v>841</v>
      </c>
      <c r="AC655" s="250" t="s">
        <v>842</v>
      </c>
      <c r="AD655" s="250">
        <v>162</v>
      </c>
      <c r="AE655" s="250"/>
      <c r="AF655" s="250"/>
      <c r="AG655" s="241"/>
    </row>
    <row r="656" spans="1:33" ht="15.75">
      <c r="A656" s="250" t="s">
        <v>1028</v>
      </c>
      <c r="B656" s="250">
        <v>3</v>
      </c>
      <c r="C656" s="250">
        <v>125</v>
      </c>
      <c r="D656" s="250" t="s">
        <v>902</v>
      </c>
      <c r="E656" s="250">
        <v>1.5</v>
      </c>
      <c r="F656" s="251">
        <v>45117.668796296297</v>
      </c>
      <c r="G656" s="250">
        <v>2</v>
      </c>
      <c r="H656" s="250">
        <v>51.374099999999999</v>
      </c>
      <c r="I656" s="250">
        <v>6.3019800000000004</v>
      </c>
      <c r="J656" s="250">
        <v>-3.524562</v>
      </c>
      <c r="K656" s="250">
        <v>-2.7109960000000002</v>
      </c>
      <c r="L656" s="250">
        <v>1522.27</v>
      </c>
      <c r="M656" s="250">
        <v>176.00036600000001</v>
      </c>
      <c r="N656" s="250">
        <v>27164.013999999999</v>
      </c>
      <c r="O656" s="250">
        <v>0</v>
      </c>
      <c r="P656" s="250">
        <v>0</v>
      </c>
      <c r="Q656" s="250" t="s">
        <v>18</v>
      </c>
      <c r="R656" s="250" t="s">
        <v>1083</v>
      </c>
      <c r="S656" s="250" t="s">
        <v>28</v>
      </c>
      <c r="T656" s="250">
        <v>15</v>
      </c>
      <c r="U656" s="250">
        <v>5</v>
      </c>
      <c r="V656" s="250">
        <v>0.7</v>
      </c>
      <c r="W656" s="250">
        <v>0.7</v>
      </c>
      <c r="X656" s="250">
        <v>0.7</v>
      </c>
      <c r="Y656" s="250">
        <v>1700</v>
      </c>
      <c r="Z656" s="250" t="s">
        <v>840</v>
      </c>
      <c r="AA656" s="250">
        <v>0.85</v>
      </c>
      <c r="AB656" s="250" t="s">
        <v>841</v>
      </c>
      <c r="AC656" s="250" t="s">
        <v>842</v>
      </c>
      <c r="AD656" s="250">
        <v>149</v>
      </c>
      <c r="AE656" s="250"/>
      <c r="AF656" s="250"/>
      <c r="AG656" s="241"/>
    </row>
    <row r="657" spans="1:33" ht="15.75">
      <c r="A657" s="250" t="s">
        <v>1029</v>
      </c>
      <c r="B657" s="250">
        <v>3</v>
      </c>
      <c r="C657" s="250">
        <v>125</v>
      </c>
      <c r="D657" s="250" t="s">
        <v>902</v>
      </c>
      <c r="E657" s="250">
        <v>1.5</v>
      </c>
      <c r="F657" s="250"/>
      <c r="G657" s="250">
        <v>2</v>
      </c>
      <c r="H657" s="250">
        <v>0</v>
      </c>
      <c r="I657" s="250">
        <v>0</v>
      </c>
      <c r="J657" s="250">
        <v>0</v>
      </c>
      <c r="K657" s="250">
        <v>0</v>
      </c>
      <c r="L657" s="250">
        <v>0</v>
      </c>
      <c r="M657" s="250">
        <v>0</v>
      </c>
      <c r="N657" s="250">
        <v>0</v>
      </c>
      <c r="O657" s="250">
        <v>0</v>
      </c>
      <c r="P657" s="250">
        <v>0</v>
      </c>
      <c r="Q657" s="250" t="s">
        <v>18</v>
      </c>
      <c r="R657" s="250" t="s">
        <v>852</v>
      </c>
      <c r="S657" s="250" t="s">
        <v>28</v>
      </c>
      <c r="T657" s="250">
        <v>15</v>
      </c>
      <c r="U657" s="250">
        <v>5</v>
      </c>
      <c r="V657" s="250">
        <v>0.7</v>
      </c>
      <c r="W657" s="250">
        <v>0.7</v>
      </c>
      <c r="X657" s="250">
        <v>0.7</v>
      </c>
      <c r="Y657" s="250">
        <v>1700</v>
      </c>
      <c r="Z657" s="250"/>
      <c r="AA657" s="250"/>
      <c r="AB657" s="250" t="s">
        <v>841</v>
      </c>
      <c r="AC657" s="250" t="s">
        <v>842</v>
      </c>
      <c r="AD657" s="250">
        <v>149</v>
      </c>
      <c r="AE657" s="250"/>
      <c r="AF657" s="250"/>
      <c r="AG657" s="241"/>
    </row>
    <row r="658" spans="1:33" ht="15.75">
      <c r="A658" s="250" t="s">
        <v>865</v>
      </c>
      <c r="B658" s="250">
        <v>4</v>
      </c>
      <c r="C658" s="250">
        <v>134</v>
      </c>
      <c r="D658" s="250" t="s">
        <v>906</v>
      </c>
      <c r="E658" s="250">
        <v>1.5</v>
      </c>
      <c r="F658" s="250"/>
      <c r="G658" s="250">
        <v>1</v>
      </c>
      <c r="H658" s="250">
        <v>0</v>
      </c>
      <c r="I658" s="250">
        <v>0</v>
      </c>
      <c r="J658" s="250">
        <v>0</v>
      </c>
      <c r="K658" s="250">
        <v>0</v>
      </c>
      <c r="L658" s="250">
        <v>0</v>
      </c>
      <c r="M658" s="250">
        <v>0</v>
      </c>
      <c r="N658" s="250">
        <v>0</v>
      </c>
      <c r="O658" s="250">
        <v>0</v>
      </c>
      <c r="P658" s="250">
        <v>0</v>
      </c>
      <c r="Q658" s="250" t="s">
        <v>18</v>
      </c>
      <c r="R658" s="250" t="s">
        <v>852</v>
      </c>
      <c r="S658" s="250" t="s">
        <v>28</v>
      </c>
      <c r="T658" s="250">
        <v>15</v>
      </c>
      <c r="U658" s="250">
        <v>5</v>
      </c>
      <c r="V658" s="250">
        <v>0.7</v>
      </c>
      <c r="W658" s="250">
        <v>0.7</v>
      </c>
      <c r="X658" s="250">
        <v>0.7</v>
      </c>
      <c r="Y658" s="250">
        <v>1700</v>
      </c>
      <c r="Z658" s="250"/>
      <c r="AA658" s="250"/>
      <c r="AB658" s="250" t="s">
        <v>841</v>
      </c>
      <c r="AC658" s="250" t="s">
        <v>842</v>
      </c>
      <c r="AD658" s="250">
        <v>50</v>
      </c>
      <c r="AE658" s="250"/>
      <c r="AF658" s="250"/>
      <c r="AG658" s="241"/>
    </row>
    <row r="659" spans="1:33" ht="15.75">
      <c r="A659" s="250" t="s">
        <v>866</v>
      </c>
      <c r="B659" s="250">
        <v>5</v>
      </c>
      <c r="C659" s="250">
        <v>135</v>
      </c>
      <c r="D659" s="250" t="s">
        <v>911</v>
      </c>
      <c r="E659" s="250">
        <v>1.5</v>
      </c>
      <c r="F659" s="250"/>
      <c r="G659" s="250">
        <v>1</v>
      </c>
      <c r="H659" s="250">
        <v>0</v>
      </c>
      <c r="I659" s="250">
        <v>0</v>
      </c>
      <c r="J659" s="250">
        <v>0</v>
      </c>
      <c r="K659" s="250">
        <v>0</v>
      </c>
      <c r="L659" s="250">
        <v>0</v>
      </c>
      <c r="M659" s="250">
        <v>0</v>
      </c>
      <c r="N659" s="250">
        <v>0</v>
      </c>
      <c r="O659" s="250">
        <v>0</v>
      </c>
      <c r="P659" s="250">
        <v>0</v>
      </c>
      <c r="Q659" s="250" t="s">
        <v>18</v>
      </c>
      <c r="R659" s="250" t="s">
        <v>852</v>
      </c>
      <c r="S659" s="250" t="s">
        <v>28</v>
      </c>
      <c r="T659" s="250">
        <v>15</v>
      </c>
      <c r="U659" s="250">
        <v>5</v>
      </c>
      <c r="V659" s="250">
        <v>0.7</v>
      </c>
      <c r="W659" s="250">
        <v>0.7</v>
      </c>
      <c r="X659" s="250">
        <v>0.7</v>
      </c>
      <c r="Y659" s="250">
        <v>1700</v>
      </c>
      <c r="Z659" s="250"/>
      <c r="AA659" s="250"/>
      <c r="AB659" s="250" t="s">
        <v>841</v>
      </c>
      <c r="AC659" s="250" t="s">
        <v>842</v>
      </c>
      <c r="AD659" s="250">
        <v>50</v>
      </c>
      <c r="AE659" s="250"/>
      <c r="AF659" s="250"/>
      <c r="AG659" s="241"/>
    </row>
    <row r="660" spans="1:33" ht="15.75">
      <c r="A660" s="250" t="s">
        <v>993</v>
      </c>
      <c r="B660" s="250">
        <v>5</v>
      </c>
      <c r="C660" s="250">
        <v>135</v>
      </c>
      <c r="D660" s="250" t="s">
        <v>911</v>
      </c>
      <c r="E660" s="250">
        <v>1.5</v>
      </c>
      <c r="F660" s="250"/>
      <c r="G660" s="250">
        <v>1</v>
      </c>
      <c r="H660" s="250">
        <v>0</v>
      </c>
      <c r="I660" s="250">
        <v>0</v>
      </c>
      <c r="J660" s="250">
        <v>0</v>
      </c>
      <c r="K660" s="250">
        <v>0</v>
      </c>
      <c r="L660" s="250">
        <v>0</v>
      </c>
      <c r="M660" s="250">
        <v>0</v>
      </c>
      <c r="N660" s="250">
        <v>0</v>
      </c>
      <c r="O660" s="250">
        <v>0</v>
      </c>
      <c r="P660" s="250">
        <v>0</v>
      </c>
      <c r="Q660" s="250" t="s">
        <v>18</v>
      </c>
      <c r="R660" s="250" t="s">
        <v>852</v>
      </c>
      <c r="S660" s="250" t="s">
        <v>28</v>
      </c>
      <c r="T660" s="250">
        <v>15</v>
      </c>
      <c r="U660" s="250">
        <v>5</v>
      </c>
      <c r="V660" s="250">
        <v>0.7</v>
      </c>
      <c r="W660" s="250">
        <v>0.7</v>
      </c>
      <c r="X660" s="250">
        <v>0.7</v>
      </c>
      <c r="Y660" s="250">
        <v>1700</v>
      </c>
      <c r="Z660" s="250"/>
      <c r="AA660" s="250"/>
      <c r="AB660" s="250" t="s">
        <v>841</v>
      </c>
      <c r="AC660" s="250" t="s">
        <v>842</v>
      </c>
      <c r="AD660" s="250">
        <v>50</v>
      </c>
      <c r="AE660" s="250"/>
      <c r="AF660" s="250"/>
      <c r="AG660" s="241"/>
    </row>
    <row r="661" spans="1:33" ht="15.75">
      <c r="A661" s="250" t="s">
        <v>1136</v>
      </c>
      <c r="B661" s="250" t="s">
        <v>881</v>
      </c>
      <c r="C661" s="250"/>
      <c r="D661" s="250" t="s">
        <v>838</v>
      </c>
      <c r="E661" s="250">
        <v>1.2</v>
      </c>
      <c r="F661" s="250"/>
      <c r="G661" s="250">
        <v>1</v>
      </c>
      <c r="H661" s="250">
        <v>0</v>
      </c>
      <c r="I661" s="250">
        <v>0</v>
      </c>
      <c r="J661" s="250">
        <v>0</v>
      </c>
      <c r="K661" s="250">
        <v>0</v>
      </c>
      <c r="L661" s="250">
        <v>0</v>
      </c>
      <c r="M661" s="250">
        <v>0</v>
      </c>
      <c r="N661" s="250">
        <v>0</v>
      </c>
      <c r="O661" s="250">
        <v>0</v>
      </c>
      <c r="P661" s="250">
        <v>0</v>
      </c>
      <c r="Q661" s="250" t="s">
        <v>18</v>
      </c>
      <c r="R661" s="250" t="s">
        <v>852</v>
      </c>
      <c r="S661" s="250" t="s">
        <v>28</v>
      </c>
      <c r="T661" s="250">
        <v>15</v>
      </c>
      <c r="U661" s="250">
        <v>5</v>
      </c>
      <c r="V661" s="250">
        <v>0.7</v>
      </c>
      <c r="W661" s="250">
        <v>0.7</v>
      </c>
      <c r="X661" s="250">
        <v>0.7</v>
      </c>
      <c r="Y661" s="250">
        <v>1700</v>
      </c>
      <c r="Z661" s="250"/>
      <c r="AA661" s="250"/>
      <c r="AB661" s="250" t="s">
        <v>841</v>
      </c>
      <c r="AC661" s="250" t="s">
        <v>842</v>
      </c>
      <c r="AD661" s="250">
        <v>50</v>
      </c>
      <c r="AE661" s="250"/>
      <c r="AF661" s="250"/>
      <c r="AG661" s="241"/>
    </row>
    <row r="662" spans="1:33" ht="15.75">
      <c r="A662" s="250" t="s">
        <v>835</v>
      </c>
      <c r="B662" s="250" t="s">
        <v>836</v>
      </c>
      <c r="C662" s="250" t="s">
        <v>837</v>
      </c>
      <c r="D662" s="250" t="s">
        <v>838</v>
      </c>
      <c r="E662" s="250">
        <v>1</v>
      </c>
      <c r="F662" s="251">
        <v>45125.359027777777</v>
      </c>
      <c r="G662" s="250">
        <v>1</v>
      </c>
      <c r="H662" s="250">
        <v>51.370800000000003</v>
      </c>
      <c r="I662" s="250">
        <v>10.661799999999999</v>
      </c>
      <c r="J662" s="250">
        <v>-7.1604809999999999</v>
      </c>
      <c r="K662" s="250">
        <v>-6.3148920000000004</v>
      </c>
      <c r="L662" s="250">
        <v>907.41899999999998</v>
      </c>
      <c r="M662" s="250">
        <v>92.500648999999996</v>
      </c>
      <c r="N662" s="250">
        <v>11705.672</v>
      </c>
      <c r="O662" s="250">
        <v>11705.672</v>
      </c>
      <c r="P662" s="250">
        <v>1952.4375700000001</v>
      </c>
      <c r="Q662" s="250" t="s">
        <v>18</v>
      </c>
      <c r="R662" s="250" t="s">
        <v>839</v>
      </c>
      <c r="S662" s="250" t="s">
        <v>21</v>
      </c>
      <c r="T662" s="250">
        <v>15</v>
      </c>
      <c r="U662" s="250">
        <v>5</v>
      </c>
      <c r="V662" s="250">
        <v>0.7</v>
      </c>
      <c r="W662" s="250">
        <v>0.7</v>
      </c>
      <c r="X662" s="250">
        <v>0.7</v>
      </c>
      <c r="Y662" s="250">
        <v>1700</v>
      </c>
      <c r="Z662" s="250" t="s">
        <v>840</v>
      </c>
      <c r="AA662" s="250">
        <v>0.85</v>
      </c>
      <c r="AB662" s="250" t="s">
        <v>841</v>
      </c>
      <c r="AC662" s="250" t="s">
        <v>842</v>
      </c>
      <c r="AD662" s="250">
        <v>220</v>
      </c>
      <c r="AE662" s="250"/>
      <c r="AF662" s="250"/>
    </row>
    <row r="663" spans="1:33" ht="15.75">
      <c r="A663" s="250" t="s">
        <v>843</v>
      </c>
      <c r="B663" s="250" t="s">
        <v>836</v>
      </c>
      <c r="C663" s="250" t="s">
        <v>837</v>
      </c>
      <c r="D663" s="250" t="s">
        <v>838</v>
      </c>
      <c r="E663" s="250">
        <v>1</v>
      </c>
      <c r="F663" s="251">
        <v>45125.362500000003</v>
      </c>
      <c r="G663" s="250">
        <v>1</v>
      </c>
      <c r="H663" s="250">
        <v>51.3675</v>
      </c>
      <c r="I663" s="250">
        <v>9.6792599999999993</v>
      </c>
      <c r="J663" s="250">
        <v>-7.4896849999999997</v>
      </c>
      <c r="K663" s="250">
        <v>-6.6696910000000003</v>
      </c>
      <c r="L663" s="250">
        <v>902.803</v>
      </c>
      <c r="M663" s="250">
        <v>94.000827000000001</v>
      </c>
      <c r="N663" s="250">
        <v>11698.306500000001</v>
      </c>
      <c r="O663" s="250">
        <v>11698.306500000001</v>
      </c>
      <c r="P663" s="250">
        <v>1951.22982</v>
      </c>
      <c r="Q663" s="250" t="s">
        <v>18</v>
      </c>
      <c r="R663" s="250" t="s">
        <v>839</v>
      </c>
      <c r="S663" s="250" t="s">
        <v>21</v>
      </c>
      <c r="T663" s="250">
        <v>15</v>
      </c>
      <c r="U663" s="250">
        <v>5</v>
      </c>
      <c r="V663" s="250">
        <v>0.7</v>
      </c>
      <c r="W663" s="250">
        <v>0.7</v>
      </c>
      <c r="X663" s="250">
        <v>0.7</v>
      </c>
      <c r="Y663" s="250">
        <v>1700</v>
      </c>
      <c r="Z663" s="250" t="s">
        <v>840</v>
      </c>
      <c r="AA663" s="250">
        <v>0.85</v>
      </c>
      <c r="AB663" s="250" t="s">
        <v>841</v>
      </c>
      <c r="AC663" s="250" t="s">
        <v>842</v>
      </c>
      <c r="AD663" s="250">
        <v>220</v>
      </c>
      <c r="AE663" s="250"/>
      <c r="AF663" s="250"/>
    </row>
    <row r="664" spans="1:33" ht="15.75">
      <c r="A664" s="250" t="s">
        <v>844</v>
      </c>
      <c r="B664" s="250" t="s">
        <v>836</v>
      </c>
      <c r="C664" s="250" t="s">
        <v>837</v>
      </c>
      <c r="D664" s="250" t="s">
        <v>838</v>
      </c>
      <c r="E664" s="250">
        <v>1</v>
      </c>
      <c r="F664" s="251">
        <v>45125.365277777775</v>
      </c>
      <c r="G664" s="250">
        <v>1</v>
      </c>
      <c r="H664" s="250">
        <v>51.3675</v>
      </c>
      <c r="I664" s="250">
        <v>8.3948599999999995</v>
      </c>
      <c r="J664" s="250">
        <v>-7.5862020000000001</v>
      </c>
      <c r="K664" s="250">
        <v>-6.7659279999999997</v>
      </c>
      <c r="L664" s="250">
        <v>903.553</v>
      </c>
      <c r="M664" s="250">
        <v>92.999005999999994</v>
      </c>
      <c r="N664" s="250">
        <v>11696.587799999999</v>
      </c>
      <c r="O664" s="250">
        <v>11696.587799999999</v>
      </c>
      <c r="P664" s="250">
        <v>1950.9480000000001</v>
      </c>
      <c r="Q664" s="250" t="s">
        <v>18</v>
      </c>
      <c r="R664" s="250" t="s">
        <v>839</v>
      </c>
      <c r="S664" s="250" t="s">
        <v>21</v>
      </c>
      <c r="T664" s="250">
        <v>15</v>
      </c>
      <c r="U664" s="250">
        <v>5</v>
      </c>
      <c r="V664" s="250">
        <v>0.7</v>
      </c>
      <c r="W664" s="250">
        <v>0.7</v>
      </c>
      <c r="X664" s="250">
        <v>0.7</v>
      </c>
      <c r="Y664" s="250">
        <v>1700</v>
      </c>
      <c r="Z664" s="250" t="s">
        <v>840</v>
      </c>
      <c r="AA664" s="250">
        <v>0.85</v>
      </c>
      <c r="AB664" s="250" t="s">
        <v>841</v>
      </c>
      <c r="AC664" s="250" t="s">
        <v>842</v>
      </c>
      <c r="AD664" s="250">
        <v>220</v>
      </c>
      <c r="AE664" s="250"/>
      <c r="AF664" s="250"/>
    </row>
    <row r="665" spans="1:33" ht="15.75">
      <c r="A665" s="250" t="s">
        <v>845</v>
      </c>
      <c r="B665" s="250" t="s">
        <v>836</v>
      </c>
      <c r="C665" s="250" t="s">
        <v>837</v>
      </c>
      <c r="D665" s="250" t="s">
        <v>838</v>
      </c>
      <c r="E665" s="250">
        <v>1</v>
      </c>
      <c r="F665" s="251">
        <v>45125.368055555555</v>
      </c>
      <c r="G665" s="250">
        <v>1</v>
      </c>
      <c r="H665" s="250">
        <v>51.364100000000001</v>
      </c>
      <c r="I665" s="250">
        <v>7.3647200000000002</v>
      </c>
      <c r="J665" s="250">
        <v>-7.6918689999999996</v>
      </c>
      <c r="K665" s="250">
        <v>-6.8645560000000003</v>
      </c>
      <c r="L665" s="250">
        <v>907.05399999999997</v>
      </c>
      <c r="M665" s="250">
        <v>97.500625999999997</v>
      </c>
      <c r="N665" s="250">
        <v>11726.904200000001</v>
      </c>
      <c r="O665" s="250">
        <v>11726.904200000001</v>
      </c>
      <c r="P665" s="250">
        <v>1955.9190699999999</v>
      </c>
      <c r="Q665" s="250" t="s">
        <v>18</v>
      </c>
      <c r="R665" s="250" t="s">
        <v>839</v>
      </c>
      <c r="S665" s="250" t="s">
        <v>21</v>
      </c>
      <c r="T665" s="250">
        <v>15</v>
      </c>
      <c r="U665" s="250">
        <v>5</v>
      </c>
      <c r="V665" s="250">
        <v>0.7</v>
      </c>
      <c r="W665" s="250">
        <v>0.7</v>
      </c>
      <c r="X665" s="250">
        <v>0.7</v>
      </c>
      <c r="Y665" s="250">
        <v>1700</v>
      </c>
      <c r="Z665" s="250" t="s">
        <v>840</v>
      </c>
      <c r="AA665" s="250">
        <v>0.85</v>
      </c>
      <c r="AB665" s="250" t="s">
        <v>841</v>
      </c>
      <c r="AC665" s="250" t="s">
        <v>842</v>
      </c>
      <c r="AD665" s="250">
        <v>220</v>
      </c>
      <c r="AE665" s="250"/>
      <c r="AF665" s="250"/>
    </row>
    <row r="666" spans="1:33" ht="15.75">
      <c r="A666" s="250" t="s">
        <v>846</v>
      </c>
      <c r="B666" s="250" t="s">
        <v>836</v>
      </c>
      <c r="C666" s="250" t="s">
        <v>837</v>
      </c>
      <c r="D666" s="250" t="s">
        <v>838</v>
      </c>
      <c r="E666" s="250">
        <v>1</v>
      </c>
      <c r="F666" s="251">
        <v>45125.372916666667</v>
      </c>
      <c r="G666" s="250">
        <v>1</v>
      </c>
      <c r="H666" s="250">
        <v>51.374099999999999</v>
      </c>
      <c r="I666" s="250">
        <v>7.0688599999999999</v>
      </c>
      <c r="J666" s="250">
        <v>-7.8896899999999999</v>
      </c>
      <c r="K666" s="250">
        <v>-7.0573689999999996</v>
      </c>
      <c r="L666" s="250">
        <v>916.13</v>
      </c>
      <c r="M666" s="250">
        <v>100.000255</v>
      </c>
      <c r="N666" s="250">
        <v>11719.252399999999</v>
      </c>
      <c r="O666" s="250">
        <v>11719.252399999999</v>
      </c>
      <c r="P666" s="250">
        <v>1954.66437</v>
      </c>
      <c r="Q666" s="250" t="s">
        <v>18</v>
      </c>
      <c r="R666" s="250" t="s">
        <v>839</v>
      </c>
      <c r="S666" s="250" t="s">
        <v>21</v>
      </c>
      <c r="T666" s="250">
        <v>15</v>
      </c>
      <c r="U666" s="250">
        <v>5</v>
      </c>
      <c r="V666" s="250">
        <v>0.7</v>
      </c>
      <c r="W666" s="250">
        <v>0.7</v>
      </c>
      <c r="X666" s="250">
        <v>0.7</v>
      </c>
      <c r="Y666" s="250">
        <v>1700</v>
      </c>
      <c r="Z666" s="250" t="s">
        <v>840</v>
      </c>
      <c r="AA666" s="250">
        <v>0.85</v>
      </c>
      <c r="AB666" s="250" t="s">
        <v>841</v>
      </c>
      <c r="AC666" s="250" t="s">
        <v>842</v>
      </c>
      <c r="AD666" s="250">
        <v>220</v>
      </c>
      <c r="AE666" s="250"/>
      <c r="AF666" s="250"/>
    </row>
    <row r="667" spans="1:33" ht="15.75">
      <c r="A667" s="250" t="s">
        <v>847</v>
      </c>
      <c r="B667" s="250" t="s">
        <v>836</v>
      </c>
      <c r="C667" s="250" t="s">
        <v>837</v>
      </c>
      <c r="D667" s="250" t="s">
        <v>838</v>
      </c>
      <c r="E667" s="250">
        <v>1</v>
      </c>
      <c r="F667" s="251">
        <v>45125.375694444447</v>
      </c>
      <c r="G667" s="250">
        <v>1</v>
      </c>
      <c r="H667" s="250">
        <v>51.3675</v>
      </c>
      <c r="I667" s="250">
        <v>6.7960399999999996</v>
      </c>
      <c r="J667" s="250">
        <v>-7.9540309999999996</v>
      </c>
      <c r="K667" s="250">
        <v>-7.1162409999999996</v>
      </c>
      <c r="L667" s="250">
        <v>910.68600000000004</v>
      </c>
      <c r="M667" s="250">
        <v>102.999908</v>
      </c>
      <c r="N667" s="250">
        <v>11722.035599999999</v>
      </c>
      <c r="O667" s="250">
        <v>11722.035599999999</v>
      </c>
      <c r="P667" s="250">
        <v>1955.12075</v>
      </c>
      <c r="Q667" s="250" t="s">
        <v>18</v>
      </c>
      <c r="R667" s="250" t="s">
        <v>839</v>
      </c>
      <c r="S667" s="250" t="s">
        <v>21</v>
      </c>
      <c r="T667" s="250">
        <v>15</v>
      </c>
      <c r="U667" s="250">
        <v>5</v>
      </c>
      <c r="V667" s="250">
        <v>0.7</v>
      </c>
      <c r="W667" s="250">
        <v>0.7</v>
      </c>
      <c r="X667" s="250">
        <v>0.7</v>
      </c>
      <c r="Y667" s="250">
        <v>1700</v>
      </c>
      <c r="Z667" s="250" t="s">
        <v>840</v>
      </c>
      <c r="AA667" s="250">
        <v>0.85</v>
      </c>
      <c r="AB667" s="250" t="s">
        <v>841</v>
      </c>
      <c r="AC667" s="250" t="s">
        <v>842</v>
      </c>
      <c r="AD667" s="250">
        <v>220</v>
      </c>
      <c r="AE667" s="250"/>
      <c r="AF667" s="250"/>
    </row>
    <row r="668" spans="1:33" ht="15.75">
      <c r="A668" s="250" t="s">
        <v>848</v>
      </c>
      <c r="B668" s="250" t="s">
        <v>836</v>
      </c>
      <c r="C668" s="250" t="s">
        <v>1137</v>
      </c>
      <c r="D668" s="250" t="s">
        <v>838</v>
      </c>
      <c r="E668" s="250">
        <v>1</v>
      </c>
      <c r="F668" s="251">
        <v>45125.381944444445</v>
      </c>
      <c r="G668" s="250">
        <v>1</v>
      </c>
      <c r="H668" s="250">
        <v>51.370800000000003</v>
      </c>
      <c r="I668" s="250">
        <v>6.7400799999999998</v>
      </c>
      <c r="J668" s="250">
        <v>-7.9941339999999999</v>
      </c>
      <c r="K668" s="250">
        <v>-7.1542830000000004</v>
      </c>
      <c r="L668" s="250">
        <v>963.98699999999997</v>
      </c>
      <c r="M668" s="250">
        <v>99.500541999999996</v>
      </c>
      <c r="N668" s="250">
        <v>12035.6811</v>
      </c>
      <c r="O668" s="250">
        <v>12035.6811</v>
      </c>
      <c r="P668" s="250">
        <v>2006.5501099999999</v>
      </c>
      <c r="Q668" s="250" t="s">
        <v>18</v>
      </c>
      <c r="R668" s="250" t="s">
        <v>839</v>
      </c>
      <c r="S668" s="250" t="s">
        <v>21</v>
      </c>
      <c r="T668" s="250">
        <v>15</v>
      </c>
      <c r="U668" s="250">
        <v>5</v>
      </c>
      <c r="V668" s="250">
        <v>0.7</v>
      </c>
      <c r="W668" s="250">
        <v>0.7</v>
      </c>
      <c r="X668" s="250">
        <v>0.7</v>
      </c>
      <c r="Y668" s="250">
        <v>1700</v>
      </c>
      <c r="Z668" s="250" t="s">
        <v>840</v>
      </c>
      <c r="AA668" s="250">
        <v>0.85</v>
      </c>
      <c r="AB668" s="250" t="s">
        <v>841</v>
      </c>
      <c r="AC668" s="250" t="s">
        <v>842</v>
      </c>
      <c r="AD668" s="250">
        <v>220</v>
      </c>
      <c r="AE668" s="250"/>
      <c r="AF668" s="250"/>
    </row>
    <row r="669" spans="1:33" ht="15.75">
      <c r="A669" s="250" t="s">
        <v>849</v>
      </c>
      <c r="B669" s="250" t="s">
        <v>836</v>
      </c>
      <c r="C669" s="250" t="s">
        <v>1137</v>
      </c>
      <c r="D669" s="250" t="s">
        <v>838</v>
      </c>
      <c r="E669" s="250">
        <v>1</v>
      </c>
      <c r="F669" s="251">
        <v>45125.385416666664</v>
      </c>
      <c r="G669" s="250">
        <v>1</v>
      </c>
      <c r="H669" s="250">
        <v>51.374099999999999</v>
      </c>
      <c r="I669" s="250">
        <v>6.6436400000000004</v>
      </c>
      <c r="J669" s="250">
        <v>-8.1116340000000005</v>
      </c>
      <c r="K669" s="250">
        <v>-7.2643810000000002</v>
      </c>
      <c r="L669" s="250">
        <v>965.65200000000004</v>
      </c>
      <c r="M669" s="250">
        <v>98.001441</v>
      </c>
      <c r="N669" s="250">
        <v>12167.609</v>
      </c>
      <c r="O669" s="250">
        <v>12167.609</v>
      </c>
      <c r="P669" s="250">
        <v>2028.1826900000001</v>
      </c>
      <c r="Q669" s="250" t="s">
        <v>18</v>
      </c>
      <c r="R669" s="250" t="s">
        <v>839</v>
      </c>
      <c r="S669" s="250" t="s">
        <v>21</v>
      </c>
      <c r="T669" s="250">
        <v>15</v>
      </c>
      <c r="U669" s="250">
        <v>5</v>
      </c>
      <c r="V669" s="250">
        <v>0.7</v>
      </c>
      <c r="W669" s="250">
        <v>0.7</v>
      </c>
      <c r="X669" s="250">
        <v>0.7</v>
      </c>
      <c r="Y669" s="250">
        <v>1700</v>
      </c>
      <c r="Z669" s="250" t="s">
        <v>840</v>
      </c>
      <c r="AA669" s="250">
        <v>0.85</v>
      </c>
      <c r="AB669" s="250" t="s">
        <v>841</v>
      </c>
      <c r="AC669" s="250" t="s">
        <v>842</v>
      </c>
      <c r="AD669" s="250">
        <v>220</v>
      </c>
      <c r="AE669" s="250"/>
      <c r="AF669" s="250"/>
    </row>
    <row r="670" spans="1:33" ht="15.75">
      <c r="A670" s="250" t="s">
        <v>850</v>
      </c>
      <c r="B670" s="250" t="s">
        <v>836</v>
      </c>
      <c r="C670" s="250" t="s">
        <v>1137</v>
      </c>
      <c r="D670" s="250" t="s">
        <v>838</v>
      </c>
      <c r="E670" s="250">
        <v>1</v>
      </c>
      <c r="F670" s="251">
        <v>45125.388194444444</v>
      </c>
      <c r="G670" s="250">
        <v>1</v>
      </c>
      <c r="H670" s="250">
        <v>51.3675</v>
      </c>
      <c r="I670" s="250">
        <v>6.60541</v>
      </c>
      <c r="J670" s="250">
        <v>-8.1249319999999994</v>
      </c>
      <c r="K670" s="250">
        <v>-7.2842140000000004</v>
      </c>
      <c r="L670" s="250">
        <v>961.79600000000005</v>
      </c>
      <c r="M670" s="250">
        <v>103.49945700000001</v>
      </c>
      <c r="N670" s="250">
        <v>12198.6801</v>
      </c>
      <c r="O670" s="250">
        <v>12198.6801</v>
      </c>
      <c r="P670" s="250">
        <v>2033.2775200000001</v>
      </c>
      <c r="Q670" s="250" t="s">
        <v>18</v>
      </c>
      <c r="R670" s="250" t="s">
        <v>839</v>
      </c>
      <c r="S670" s="250" t="s">
        <v>21</v>
      </c>
      <c r="T670" s="250">
        <v>15</v>
      </c>
      <c r="U670" s="250">
        <v>5</v>
      </c>
      <c r="V670" s="250">
        <v>0.7</v>
      </c>
      <c r="W670" s="250">
        <v>0.7</v>
      </c>
      <c r="X670" s="250">
        <v>0.7</v>
      </c>
      <c r="Y670" s="250">
        <v>1700</v>
      </c>
      <c r="Z670" s="250" t="s">
        <v>840</v>
      </c>
      <c r="AA670" s="250">
        <v>0.85</v>
      </c>
      <c r="AB670" s="250" t="s">
        <v>841</v>
      </c>
      <c r="AC670" s="250" t="s">
        <v>842</v>
      </c>
      <c r="AD670" s="250">
        <v>220</v>
      </c>
      <c r="AE670" s="250"/>
      <c r="AF670" s="250"/>
    </row>
    <row r="671" spans="1:33" ht="15.75">
      <c r="A671" s="250" t="s">
        <v>851</v>
      </c>
      <c r="B671" s="250" t="s">
        <v>836</v>
      </c>
      <c r="C671" s="250" t="s">
        <v>1137</v>
      </c>
      <c r="D671" s="250" t="s">
        <v>838</v>
      </c>
      <c r="E671" s="250">
        <v>1</v>
      </c>
      <c r="F671" s="251">
        <v>45125.390972222223</v>
      </c>
      <c r="G671" s="250">
        <v>1</v>
      </c>
      <c r="H671" s="250">
        <v>51.370800000000003</v>
      </c>
      <c r="I671" s="250">
        <v>6.5396999999999998</v>
      </c>
      <c r="J671" s="250">
        <v>-8.0748949999999997</v>
      </c>
      <c r="K671" s="250">
        <v>-7.2370729999999996</v>
      </c>
      <c r="L671" s="250">
        <v>969.10199999999998</v>
      </c>
      <c r="M671" s="250">
        <v>99.499782999999994</v>
      </c>
      <c r="N671" s="250">
        <v>12145.788399999999</v>
      </c>
      <c r="O671" s="250">
        <v>12145.788399999999</v>
      </c>
      <c r="P671" s="250">
        <v>2024.6047100000001</v>
      </c>
      <c r="Q671" s="250" t="s">
        <v>18</v>
      </c>
      <c r="R671" s="250" t="s">
        <v>839</v>
      </c>
      <c r="S671" s="250" t="s">
        <v>21</v>
      </c>
      <c r="T671" s="250">
        <v>15</v>
      </c>
      <c r="U671" s="250">
        <v>5</v>
      </c>
      <c r="V671" s="250">
        <v>0.7</v>
      </c>
      <c r="W671" s="250">
        <v>0.7</v>
      </c>
      <c r="X671" s="250">
        <v>0.7</v>
      </c>
      <c r="Y671" s="250">
        <v>1700</v>
      </c>
      <c r="Z671" s="250" t="s">
        <v>840</v>
      </c>
      <c r="AA671" s="250">
        <v>0.85</v>
      </c>
      <c r="AB671" s="250" t="s">
        <v>841</v>
      </c>
      <c r="AC671" s="250" t="s">
        <v>842</v>
      </c>
      <c r="AD671" s="250">
        <v>220</v>
      </c>
      <c r="AE671" s="250"/>
      <c r="AF671" s="250"/>
    </row>
    <row r="672" spans="1:33" ht="15.75">
      <c r="A672" s="250" t="s">
        <v>854</v>
      </c>
      <c r="B672" s="250" t="s">
        <v>836</v>
      </c>
      <c r="C672" s="250" t="s">
        <v>1137</v>
      </c>
      <c r="D672" s="250" t="s">
        <v>838</v>
      </c>
      <c r="E672" s="250">
        <v>1</v>
      </c>
      <c r="F672" s="251">
        <v>45125.394444444442</v>
      </c>
      <c r="G672" s="250">
        <v>1</v>
      </c>
      <c r="H672" s="250">
        <v>51.370800000000003</v>
      </c>
      <c r="I672" s="250">
        <v>6.5127899999999999</v>
      </c>
      <c r="J672" s="250">
        <v>-8.1764569999999992</v>
      </c>
      <c r="K672" s="250">
        <v>-7.331753</v>
      </c>
      <c r="L672" s="250">
        <v>959.33299999999997</v>
      </c>
      <c r="M672" s="250">
        <v>98.998980000000003</v>
      </c>
      <c r="N672" s="250">
        <v>12185.3326</v>
      </c>
      <c r="O672" s="250">
        <v>12185.3326</v>
      </c>
      <c r="P672" s="250">
        <v>2031.08889</v>
      </c>
      <c r="Q672" s="250" t="s">
        <v>18</v>
      </c>
      <c r="R672" s="250" t="s">
        <v>839</v>
      </c>
      <c r="S672" s="250" t="s">
        <v>21</v>
      </c>
      <c r="T672" s="250">
        <v>15</v>
      </c>
      <c r="U672" s="250">
        <v>5</v>
      </c>
      <c r="V672" s="250">
        <v>0.7</v>
      </c>
      <c r="W672" s="250">
        <v>0.7</v>
      </c>
      <c r="X672" s="250">
        <v>0.7</v>
      </c>
      <c r="Y672" s="250">
        <v>1700</v>
      </c>
      <c r="Z672" s="250" t="s">
        <v>840</v>
      </c>
      <c r="AA672" s="250">
        <v>0.85</v>
      </c>
      <c r="AB672" s="250" t="s">
        <v>841</v>
      </c>
      <c r="AC672" s="250" t="s">
        <v>842</v>
      </c>
      <c r="AD672" s="250">
        <v>220</v>
      </c>
      <c r="AE672" s="250"/>
      <c r="AF672" s="250"/>
    </row>
    <row r="673" spans="1:32" ht="15.75">
      <c r="A673" s="250" t="s">
        <v>1138</v>
      </c>
      <c r="B673" s="250" t="s">
        <v>881</v>
      </c>
      <c r="C673" s="250" t="s">
        <v>1137</v>
      </c>
      <c r="D673" s="250" t="s">
        <v>838</v>
      </c>
      <c r="E673" s="250">
        <v>1.2</v>
      </c>
      <c r="F673" s="251">
        <v>45125.415277777778</v>
      </c>
      <c r="G673" s="250">
        <v>1</v>
      </c>
      <c r="H673" s="250">
        <v>51.360799999999998</v>
      </c>
      <c r="I673" s="250">
        <v>6.7741699999999998</v>
      </c>
      <c r="J673" s="250">
        <v>-8.0374300000000005</v>
      </c>
      <c r="K673" s="250">
        <v>-7.1960439999999997</v>
      </c>
      <c r="L673" s="250">
        <v>1002.59</v>
      </c>
      <c r="M673" s="250">
        <v>103.498064</v>
      </c>
      <c r="N673" s="250">
        <v>14613.828299999999</v>
      </c>
      <c r="O673" s="250">
        <v>14625.4604</v>
      </c>
      <c r="P673" s="250">
        <v>2028.23</v>
      </c>
      <c r="Q673" s="250" t="s">
        <v>18</v>
      </c>
      <c r="R673" s="250" t="s">
        <v>839</v>
      </c>
      <c r="S673" s="250" t="s">
        <v>21</v>
      </c>
      <c r="T673" s="250">
        <v>15</v>
      </c>
      <c r="U673" s="250">
        <v>5</v>
      </c>
      <c r="V673" s="250">
        <v>0.7</v>
      </c>
      <c r="W673" s="250">
        <v>0.7</v>
      </c>
      <c r="X673" s="250">
        <v>0.7</v>
      </c>
      <c r="Y673" s="250">
        <v>1700</v>
      </c>
      <c r="Z673" s="250" t="s">
        <v>840</v>
      </c>
      <c r="AA673" s="250">
        <v>0.85</v>
      </c>
      <c r="AB673" s="250" t="s">
        <v>841</v>
      </c>
      <c r="AC673" s="250" t="s">
        <v>842</v>
      </c>
      <c r="AD673" s="250">
        <v>220</v>
      </c>
      <c r="AE673" s="250"/>
      <c r="AF673" s="250"/>
    </row>
    <row r="674" spans="1:32" ht="15.75">
      <c r="A674" s="250" t="s">
        <v>1139</v>
      </c>
      <c r="B674" s="250" t="s">
        <v>881</v>
      </c>
      <c r="C674" s="250" t="s">
        <v>1137</v>
      </c>
      <c r="D674" s="250" t="s">
        <v>838</v>
      </c>
      <c r="E674" s="250">
        <v>1.2</v>
      </c>
      <c r="F674" s="251">
        <v>45125.418749999997</v>
      </c>
      <c r="G674" s="250">
        <v>1</v>
      </c>
      <c r="H674" s="250">
        <v>51.370800000000003</v>
      </c>
      <c r="I674" s="250">
        <v>6.5821199999999997</v>
      </c>
      <c r="J674" s="250">
        <v>-8.1101790000000005</v>
      </c>
      <c r="K674" s="250">
        <v>-7.2677579999999997</v>
      </c>
      <c r="L674" s="250">
        <v>999.89</v>
      </c>
      <c r="M674" s="250">
        <v>105.500638</v>
      </c>
      <c r="N674" s="250">
        <v>14625.4866</v>
      </c>
      <c r="O674" s="250">
        <v>14625.4604</v>
      </c>
      <c r="P674" s="250">
        <v>2028.23</v>
      </c>
      <c r="Q674" s="250" t="s">
        <v>18</v>
      </c>
      <c r="R674" s="250" t="s">
        <v>839</v>
      </c>
      <c r="S674" s="250" t="s">
        <v>21</v>
      </c>
      <c r="T674" s="250">
        <v>15</v>
      </c>
      <c r="U674" s="250">
        <v>5</v>
      </c>
      <c r="V674" s="250">
        <v>0.7</v>
      </c>
      <c r="W674" s="250">
        <v>0.7</v>
      </c>
      <c r="X674" s="250">
        <v>0.7</v>
      </c>
      <c r="Y674" s="250">
        <v>1700</v>
      </c>
      <c r="Z674" s="250" t="s">
        <v>840</v>
      </c>
      <c r="AA674" s="250">
        <v>0.85</v>
      </c>
      <c r="AB674" s="250" t="s">
        <v>841</v>
      </c>
      <c r="AC674" s="250" t="s">
        <v>842</v>
      </c>
      <c r="AD674" s="250">
        <v>220</v>
      </c>
      <c r="AE674" s="250"/>
      <c r="AF674" s="250"/>
    </row>
    <row r="675" spans="1:32" ht="15.75">
      <c r="A675" s="250" t="s">
        <v>1140</v>
      </c>
      <c r="B675" s="250" t="s">
        <v>881</v>
      </c>
      <c r="C675" s="250" t="s">
        <v>1137</v>
      </c>
      <c r="D675" s="250" t="s">
        <v>838</v>
      </c>
      <c r="E675" s="250">
        <v>1.2</v>
      </c>
      <c r="F675" s="251">
        <v>45125.421527777777</v>
      </c>
      <c r="G675" s="250">
        <v>1</v>
      </c>
      <c r="H675" s="250">
        <v>51.370800000000003</v>
      </c>
      <c r="I675" s="250">
        <v>6.5363800000000003</v>
      </c>
      <c r="J675" s="250">
        <v>-8.1403130000000008</v>
      </c>
      <c r="K675" s="250">
        <v>-7.3152210000000002</v>
      </c>
      <c r="L675" s="250">
        <v>1000.97</v>
      </c>
      <c r="M675" s="250">
        <v>109.99893899999999</v>
      </c>
      <c r="N675" s="250">
        <v>14637.0663</v>
      </c>
      <c r="O675" s="250">
        <v>14625.4604</v>
      </c>
      <c r="P675" s="250">
        <v>2028.23</v>
      </c>
      <c r="Q675" s="250" t="s">
        <v>18</v>
      </c>
      <c r="R675" s="250" t="s">
        <v>839</v>
      </c>
      <c r="S675" s="250" t="s">
        <v>21</v>
      </c>
      <c r="T675" s="250">
        <v>15</v>
      </c>
      <c r="U675" s="250">
        <v>5</v>
      </c>
      <c r="V675" s="250">
        <v>0.7</v>
      </c>
      <c r="W675" s="250">
        <v>0.7</v>
      </c>
      <c r="X675" s="250">
        <v>0.7</v>
      </c>
      <c r="Y675" s="250">
        <v>1700</v>
      </c>
      <c r="Z675" s="250" t="s">
        <v>840</v>
      </c>
      <c r="AA675" s="250">
        <v>0.85</v>
      </c>
      <c r="AB675" s="250" t="s">
        <v>841</v>
      </c>
      <c r="AC675" s="250" t="s">
        <v>842</v>
      </c>
      <c r="AD675" s="250">
        <v>220</v>
      </c>
      <c r="AE675" s="250"/>
      <c r="AF675" s="250"/>
    </row>
    <row r="676" spans="1:32" ht="15.75">
      <c r="A676" s="250" t="s">
        <v>1141</v>
      </c>
      <c r="B676" s="250" t="s">
        <v>888</v>
      </c>
      <c r="C676" s="250" t="s">
        <v>1137</v>
      </c>
      <c r="D676" s="250" t="s">
        <v>838</v>
      </c>
      <c r="E676" s="250">
        <v>1.5</v>
      </c>
      <c r="F676" s="251">
        <v>45125.425000000003</v>
      </c>
      <c r="G676" s="250">
        <v>1</v>
      </c>
      <c r="H676" s="250">
        <v>51.370800000000003</v>
      </c>
      <c r="I676" s="250">
        <v>6.5525000000000002</v>
      </c>
      <c r="J676" s="250">
        <v>-8.1424749999999992</v>
      </c>
      <c r="K676" s="250">
        <v>-7.3006739999999999</v>
      </c>
      <c r="L676" s="250">
        <v>1019.34</v>
      </c>
      <c r="M676" s="250">
        <v>116.50107300000001</v>
      </c>
      <c r="N676" s="250">
        <v>18317.156599999998</v>
      </c>
      <c r="O676" s="250">
        <v>18326.706999999999</v>
      </c>
      <c r="P676" s="250">
        <v>2028.23</v>
      </c>
      <c r="Q676" s="250" t="s">
        <v>18</v>
      </c>
      <c r="R676" s="250" t="s">
        <v>839</v>
      </c>
      <c r="S676" s="250" t="s">
        <v>21</v>
      </c>
      <c r="T676" s="250">
        <v>15</v>
      </c>
      <c r="U676" s="250">
        <v>5</v>
      </c>
      <c r="V676" s="250">
        <v>0.7</v>
      </c>
      <c r="W676" s="250">
        <v>0.7</v>
      </c>
      <c r="X676" s="250">
        <v>0.7</v>
      </c>
      <c r="Y676" s="250">
        <v>1700</v>
      </c>
      <c r="Z676" s="250" t="s">
        <v>840</v>
      </c>
      <c r="AA676" s="250">
        <v>0.85</v>
      </c>
      <c r="AB676" s="250" t="s">
        <v>841</v>
      </c>
      <c r="AC676" s="250" t="s">
        <v>842</v>
      </c>
      <c r="AD676" s="250">
        <v>220</v>
      </c>
      <c r="AE676" s="250"/>
      <c r="AF676" s="250"/>
    </row>
    <row r="677" spans="1:32" ht="15.75">
      <c r="A677" s="250" t="s">
        <v>1142</v>
      </c>
      <c r="B677" s="250" t="s">
        <v>888</v>
      </c>
      <c r="C677" s="250" t="s">
        <v>1137</v>
      </c>
      <c r="D677" s="250" t="s">
        <v>838</v>
      </c>
      <c r="E677" s="250">
        <v>1.5</v>
      </c>
      <c r="F677" s="251">
        <v>45125.428472222222</v>
      </c>
      <c r="G677" s="250">
        <v>1</v>
      </c>
      <c r="H677" s="250">
        <v>51.370800000000003</v>
      </c>
      <c r="I677" s="250">
        <v>6.7040600000000001</v>
      </c>
      <c r="J677" s="250">
        <v>-8.1378889999999995</v>
      </c>
      <c r="K677" s="250">
        <v>-7.2943319999999998</v>
      </c>
      <c r="L677" s="250">
        <v>1023.24</v>
      </c>
      <c r="M677" s="250">
        <v>114.500247</v>
      </c>
      <c r="N677" s="250">
        <v>18278.0916</v>
      </c>
      <c r="O677" s="250">
        <v>18326.706999999999</v>
      </c>
      <c r="P677" s="250">
        <v>2028.23</v>
      </c>
      <c r="Q677" s="250" t="s">
        <v>18</v>
      </c>
      <c r="R677" s="250" t="s">
        <v>647</v>
      </c>
      <c r="S677" s="250" t="s">
        <v>21</v>
      </c>
      <c r="T677" s="250">
        <v>15</v>
      </c>
      <c r="U677" s="250">
        <v>5</v>
      </c>
      <c r="V677" s="250">
        <v>0.7</v>
      </c>
      <c r="W677" s="250">
        <v>0.7</v>
      </c>
      <c r="X677" s="250">
        <v>0.7</v>
      </c>
      <c r="Y677" s="250">
        <v>1700</v>
      </c>
      <c r="Z677" s="250" t="s">
        <v>840</v>
      </c>
      <c r="AA677" s="250">
        <v>0.85</v>
      </c>
      <c r="AB677" s="250" t="s">
        <v>841</v>
      </c>
      <c r="AC677" s="250" t="s">
        <v>842</v>
      </c>
      <c r="AD677" s="250">
        <v>220</v>
      </c>
      <c r="AE677" s="250"/>
      <c r="AF677" s="250"/>
    </row>
    <row r="678" spans="1:32" ht="15.75">
      <c r="A678" s="250" t="s">
        <v>1143</v>
      </c>
      <c r="B678" s="250" t="s">
        <v>888</v>
      </c>
      <c r="C678" s="250" t="s">
        <v>1137</v>
      </c>
      <c r="D678" s="250" t="s">
        <v>838</v>
      </c>
      <c r="E678" s="250">
        <v>1.5</v>
      </c>
      <c r="F678" s="251">
        <v>45125.432638888888</v>
      </c>
      <c r="G678" s="250">
        <v>1</v>
      </c>
      <c r="H678" s="250">
        <v>51.3675</v>
      </c>
      <c r="I678" s="250">
        <v>6.6077199999999996</v>
      </c>
      <c r="J678" s="250">
        <v>-8.2735079999999996</v>
      </c>
      <c r="K678" s="250">
        <v>-7.4339820000000003</v>
      </c>
      <c r="L678" s="250">
        <v>1033.6300000000001</v>
      </c>
      <c r="M678" s="250">
        <v>115.00057700000001</v>
      </c>
      <c r="N678" s="250">
        <v>18320.420099999999</v>
      </c>
      <c r="O678" s="250">
        <v>18326.706999999999</v>
      </c>
      <c r="P678" s="250">
        <v>2028.23</v>
      </c>
      <c r="Q678" s="250" t="s">
        <v>18</v>
      </c>
      <c r="R678" s="250" t="s">
        <v>839</v>
      </c>
      <c r="S678" s="250" t="s">
        <v>21</v>
      </c>
      <c r="T678" s="250">
        <v>15</v>
      </c>
      <c r="U678" s="250">
        <v>5</v>
      </c>
      <c r="V678" s="250">
        <v>0.7</v>
      </c>
      <c r="W678" s="250">
        <v>0.7</v>
      </c>
      <c r="X678" s="250">
        <v>0.7</v>
      </c>
      <c r="Y678" s="250">
        <v>1700</v>
      </c>
      <c r="Z678" s="250" t="s">
        <v>840</v>
      </c>
      <c r="AA678" s="250">
        <v>0.85</v>
      </c>
      <c r="AB678" s="250" t="s">
        <v>841</v>
      </c>
      <c r="AC678" s="250" t="s">
        <v>842</v>
      </c>
      <c r="AD678" s="250">
        <v>220</v>
      </c>
      <c r="AE678" s="250"/>
      <c r="AF678" s="250"/>
    </row>
    <row r="679" spans="1:32" ht="15.75">
      <c r="A679" s="250" t="s">
        <v>1144</v>
      </c>
      <c r="B679" s="250" t="s">
        <v>888</v>
      </c>
      <c r="C679" s="250" t="s">
        <v>1137</v>
      </c>
      <c r="D679" s="250" t="s">
        <v>838</v>
      </c>
      <c r="E679" s="250">
        <v>1.5</v>
      </c>
      <c r="F679" s="251">
        <v>45125.436111111114</v>
      </c>
      <c r="G679" s="250">
        <v>1</v>
      </c>
      <c r="H679" s="250">
        <v>51.370800000000003</v>
      </c>
      <c r="I679" s="250">
        <v>6.55579</v>
      </c>
      <c r="J679" s="250">
        <v>-8.1893729999999998</v>
      </c>
      <c r="K679" s="250">
        <v>-7.3446389999999999</v>
      </c>
      <c r="L679" s="250">
        <v>1032.56</v>
      </c>
      <c r="M679" s="250">
        <v>123.50064399999999</v>
      </c>
      <c r="N679" s="250">
        <v>18356.713299999999</v>
      </c>
      <c r="O679" s="250">
        <v>18326.706999999999</v>
      </c>
      <c r="P679" s="250">
        <v>2028.23</v>
      </c>
      <c r="Q679" s="250" t="s">
        <v>18</v>
      </c>
      <c r="R679" s="250" t="s">
        <v>647</v>
      </c>
      <c r="S679" s="250" t="s">
        <v>21</v>
      </c>
      <c r="T679" s="250">
        <v>15</v>
      </c>
      <c r="U679" s="250">
        <v>5</v>
      </c>
      <c r="V679" s="250">
        <v>0.7</v>
      </c>
      <c r="W679" s="250">
        <v>0.7</v>
      </c>
      <c r="X679" s="250">
        <v>0.7</v>
      </c>
      <c r="Y679" s="250">
        <v>1700</v>
      </c>
      <c r="Z679" s="250" t="s">
        <v>840</v>
      </c>
      <c r="AA679" s="250">
        <v>0.85</v>
      </c>
      <c r="AB679" s="250" t="s">
        <v>841</v>
      </c>
      <c r="AC679" s="250" t="s">
        <v>842</v>
      </c>
      <c r="AD679" s="250">
        <v>220</v>
      </c>
      <c r="AE679" s="250"/>
      <c r="AF679" s="250"/>
    </row>
    <row r="680" spans="1:32" ht="15.75">
      <c r="A680" s="250" t="s">
        <v>1145</v>
      </c>
      <c r="B680" s="250" t="s">
        <v>888</v>
      </c>
      <c r="C680" s="250" t="s">
        <v>1137</v>
      </c>
      <c r="D680" s="250" t="s">
        <v>838</v>
      </c>
      <c r="E680" s="250">
        <v>1.5</v>
      </c>
      <c r="F680" s="251">
        <v>45125.439583333333</v>
      </c>
      <c r="G680" s="250">
        <v>1</v>
      </c>
      <c r="H680" s="250">
        <v>51.377400000000002</v>
      </c>
      <c r="I680" s="250">
        <v>6.4540899999999999</v>
      </c>
      <c r="J680" s="250">
        <v>-8.3742049999999999</v>
      </c>
      <c r="K680" s="250">
        <v>-7.5258640000000003</v>
      </c>
      <c r="L680" s="250">
        <v>1007.72</v>
      </c>
      <c r="M680" s="250">
        <v>124.499639</v>
      </c>
      <c r="N680" s="250">
        <v>18342.544399999999</v>
      </c>
      <c r="O680" s="250">
        <v>18326.706999999999</v>
      </c>
      <c r="P680" s="250">
        <v>2028.23</v>
      </c>
      <c r="Q680" s="250" t="s">
        <v>18</v>
      </c>
      <c r="R680" s="250" t="s">
        <v>839</v>
      </c>
      <c r="S680" s="250" t="s">
        <v>21</v>
      </c>
      <c r="T680" s="250">
        <v>15</v>
      </c>
      <c r="U680" s="250">
        <v>5</v>
      </c>
      <c r="V680" s="250">
        <v>0.7</v>
      </c>
      <c r="W680" s="250">
        <v>0.7</v>
      </c>
      <c r="X680" s="250">
        <v>0.7</v>
      </c>
      <c r="Y680" s="250">
        <v>1700</v>
      </c>
      <c r="Z680" s="250" t="s">
        <v>840</v>
      </c>
      <c r="AA680" s="250">
        <v>0.85</v>
      </c>
      <c r="AB680" s="250" t="s">
        <v>841</v>
      </c>
      <c r="AC680" s="250" t="s">
        <v>842</v>
      </c>
      <c r="AD680" s="250">
        <v>220</v>
      </c>
      <c r="AE680" s="250"/>
      <c r="AF680" s="250"/>
    </row>
    <row r="681" spans="1:32" ht="15.75">
      <c r="A681" s="250" t="s">
        <v>1146</v>
      </c>
      <c r="B681" s="250" t="s">
        <v>893</v>
      </c>
      <c r="C681" s="250" t="s">
        <v>1137</v>
      </c>
      <c r="D681" s="250" t="s">
        <v>838</v>
      </c>
      <c r="E681" s="250">
        <v>1.8</v>
      </c>
      <c r="F681" s="251">
        <v>45125.443055555559</v>
      </c>
      <c r="G681" s="250">
        <v>1</v>
      </c>
      <c r="H681" s="250">
        <v>51.370800000000003</v>
      </c>
      <c r="I681" s="250">
        <v>6.3402599999999998</v>
      </c>
      <c r="J681" s="250">
        <v>-8.2963520000000006</v>
      </c>
      <c r="K681" s="250">
        <v>-7.4498009999999999</v>
      </c>
      <c r="L681" s="250">
        <v>1037.53</v>
      </c>
      <c r="M681" s="250">
        <v>127.999346</v>
      </c>
      <c r="N681" s="250">
        <v>21959.935600000001</v>
      </c>
      <c r="O681" s="250">
        <v>21996.6803</v>
      </c>
      <c r="P681" s="250">
        <v>2028.23</v>
      </c>
      <c r="Q681" s="250" t="s">
        <v>18</v>
      </c>
      <c r="R681" s="250" t="s">
        <v>647</v>
      </c>
      <c r="S681" s="250" t="s">
        <v>21</v>
      </c>
      <c r="T681" s="250">
        <v>15</v>
      </c>
      <c r="U681" s="250">
        <v>5</v>
      </c>
      <c r="V681" s="250">
        <v>0.7</v>
      </c>
      <c r="W681" s="250">
        <v>0.7</v>
      </c>
      <c r="X681" s="250">
        <v>0.7</v>
      </c>
      <c r="Y681" s="250">
        <v>1700</v>
      </c>
      <c r="Z681" s="250" t="s">
        <v>840</v>
      </c>
      <c r="AA681" s="250">
        <v>0.85</v>
      </c>
      <c r="AB681" s="250" t="s">
        <v>841</v>
      </c>
      <c r="AC681" s="250" t="s">
        <v>842</v>
      </c>
      <c r="AD681" s="250">
        <v>220</v>
      </c>
      <c r="AE681" s="250"/>
      <c r="AF681" s="250"/>
    </row>
    <row r="682" spans="1:32" ht="15.75">
      <c r="A682" s="250" t="s">
        <v>1147</v>
      </c>
      <c r="B682" s="250" t="s">
        <v>893</v>
      </c>
      <c r="C682" s="250" t="s">
        <v>1137</v>
      </c>
      <c r="D682" s="250" t="s">
        <v>838</v>
      </c>
      <c r="E682" s="250">
        <v>1.8</v>
      </c>
      <c r="F682" s="251">
        <v>45125.446527777778</v>
      </c>
      <c r="G682" s="250">
        <v>1</v>
      </c>
      <c r="H682" s="250">
        <v>51.3675</v>
      </c>
      <c r="I682" s="250">
        <v>6.3904500000000004</v>
      </c>
      <c r="J682" s="250">
        <v>-8.3834110000000006</v>
      </c>
      <c r="K682" s="250">
        <v>-7.5517700000000003</v>
      </c>
      <c r="L682" s="250">
        <v>1040.25</v>
      </c>
      <c r="M682" s="250">
        <v>137.00093000000001</v>
      </c>
      <c r="N682" s="250">
        <v>21995.783299999999</v>
      </c>
      <c r="O682" s="250">
        <v>21996.6803</v>
      </c>
      <c r="P682" s="250">
        <v>2028.23</v>
      </c>
      <c r="Q682" s="250" t="s">
        <v>18</v>
      </c>
      <c r="R682" s="250" t="s">
        <v>839</v>
      </c>
      <c r="S682" s="250" t="s">
        <v>21</v>
      </c>
      <c r="T682" s="250">
        <v>15</v>
      </c>
      <c r="U682" s="250">
        <v>5</v>
      </c>
      <c r="V682" s="250">
        <v>0.7</v>
      </c>
      <c r="W682" s="250">
        <v>0.7</v>
      </c>
      <c r="X682" s="250">
        <v>0.7</v>
      </c>
      <c r="Y682" s="250">
        <v>1700</v>
      </c>
      <c r="Z682" s="250" t="s">
        <v>840</v>
      </c>
      <c r="AA682" s="250">
        <v>0.85</v>
      </c>
      <c r="AB682" s="250" t="s">
        <v>841</v>
      </c>
      <c r="AC682" s="250" t="s">
        <v>842</v>
      </c>
      <c r="AD682" s="250">
        <v>220</v>
      </c>
      <c r="AE682" s="250"/>
      <c r="AF682" s="250"/>
    </row>
    <row r="683" spans="1:32" ht="15.75">
      <c r="A683" s="250" t="s">
        <v>1148</v>
      </c>
      <c r="B683" s="250" t="s">
        <v>893</v>
      </c>
      <c r="C683" s="250" t="s">
        <v>1137</v>
      </c>
      <c r="D683" s="250" t="s">
        <v>838</v>
      </c>
      <c r="E683" s="250">
        <v>1.8</v>
      </c>
      <c r="F683" s="251">
        <v>45125.450694444444</v>
      </c>
      <c r="G683" s="250">
        <v>1</v>
      </c>
      <c r="H683" s="250">
        <v>51.370800000000003</v>
      </c>
      <c r="I683" s="250">
        <v>6.4633500000000002</v>
      </c>
      <c r="J683" s="250">
        <v>-8.3291229999999992</v>
      </c>
      <c r="K683" s="250">
        <v>-7.4886720000000002</v>
      </c>
      <c r="L683" s="250">
        <v>1034.26</v>
      </c>
      <c r="M683" s="250">
        <v>118.499576</v>
      </c>
      <c r="N683" s="250">
        <v>21937.741900000001</v>
      </c>
      <c r="O683" s="250">
        <v>21996.6803</v>
      </c>
      <c r="P683" s="250">
        <v>2028.23</v>
      </c>
      <c r="Q683" s="250" t="s">
        <v>18</v>
      </c>
      <c r="R683" s="250" t="s">
        <v>647</v>
      </c>
      <c r="S683" s="250" t="s">
        <v>21</v>
      </c>
      <c r="T683" s="250">
        <v>15</v>
      </c>
      <c r="U683" s="250">
        <v>5</v>
      </c>
      <c r="V683" s="250">
        <v>0.7</v>
      </c>
      <c r="W683" s="250">
        <v>0.7</v>
      </c>
      <c r="X683" s="250">
        <v>0.7</v>
      </c>
      <c r="Y683" s="250">
        <v>1700</v>
      </c>
      <c r="Z683" s="250" t="s">
        <v>840</v>
      </c>
      <c r="AA683" s="250">
        <v>0.85</v>
      </c>
      <c r="AB683" s="250" t="s">
        <v>841</v>
      </c>
      <c r="AC683" s="250" t="s">
        <v>842</v>
      </c>
      <c r="AD683" s="250">
        <v>220</v>
      </c>
      <c r="AE683" s="250"/>
      <c r="AF683" s="250"/>
    </row>
    <row r="684" spans="1:32" ht="15.75">
      <c r="A684" s="250" t="s">
        <v>1149</v>
      </c>
      <c r="B684" s="250" t="s">
        <v>893</v>
      </c>
      <c r="C684" s="250" t="s">
        <v>1137</v>
      </c>
      <c r="D684" s="250" t="s">
        <v>838</v>
      </c>
      <c r="E684" s="250">
        <v>1.8</v>
      </c>
      <c r="F684" s="251">
        <v>45125.45416666667</v>
      </c>
      <c r="G684" s="250">
        <v>1</v>
      </c>
      <c r="H684" s="250">
        <v>51.374099999999999</v>
      </c>
      <c r="I684" s="250">
        <v>6.4366399999999997</v>
      </c>
      <c r="J684" s="250">
        <v>-8.4724029999999999</v>
      </c>
      <c r="K684" s="250">
        <v>-7.6444640000000001</v>
      </c>
      <c r="L684" s="250">
        <v>1039.99</v>
      </c>
      <c r="M684" s="250">
        <v>139.99992599999999</v>
      </c>
      <c r="N684" s="250">
        <v>22010.9061</v>
      </c>
      <c r="O684" s="250">
        <v>21996.6803</v>
      </c>
      <c r="P684" s="250">
        <v>2028.23</v>
      </c>
      <c r="Q684" s="250" t="s">
        <v>18</v>
      </c>
      <c r="R684" s="250" t="s">
        <v>839</v>
      </c>
      <c r="S684" s="250" t="s">
        <v>21</v>
      </c>
      <c r="T684" s="250">
        <v>15</v>
      </c>
      <c r="U684" s="250">
        <v>5</v>
      </c>
      <c r="V684" s="250">
        <v>0.7</v>
      </c>
      <c r="W684" s="250">
        <v>0.7</v>
      </c>
      <c r="X684" s="250">
        <v>0.7</v>
      </c>
      <c r="Y684" s="250">
        <v>1700</v>
      </c>
      <c r="Z684" s="250" t="s">
        <v>840</v>
      </c>
      <c r="AA684" s="250">
        <v>0.85</v>
      </c>
      <c r="AB684" s="250" t="s">
        <v>841</v>
      </c>
      <c r="AC684" s="250" t="s">
        <v>842</v>
      </c>
      <c r="AD684" s="250">
        <v>220</v>
      </c>
      <c r="AE684" s="250"/>
      <c r="AF684" s="250"/>
    </row>
    <row r="685" spans="1:32" ht="15.75">
      <c r="A685" s="250" t="s">
        <v>1150</v>
      </c>
      <c r="B685" s="250" t="s">
        <v>893</v>
      </c>
      <c r="C685" s="250" t="s">
        <v>1137</v>
      </c>
      <c r="D685" s="250" t="s">
        <v>838</v>
      </c>
      <c r="E685" s="250">
        <v>1.8</v>
      </c>
      <c r="F685" s="251">
        <v>45125.458333333336</v>
      </c>
      <c r="G685" s="250">
        <v>1</v>
      </c>
      <c r="H685" s="250">
        <v>51.377400000000002</v>
      </c>
      <c r="I685" s="250">
        <v>6.4849399999999999</v>
      </c>
      <c r="J685" s="250">
        <v>-8.3714480000000009</v>
      </c>
      <c r="K685" s="250">
        <v>-7.5250539999999999</v>
      </c>
      <c r="L685" s="250">
        <v>1052.3699999999999</v>
      </c>
      <c r="M685" s="250">
        <v>124.499347</v>
      </c>
      <c r="N685" s="250">
        <v>21983.351600000002</v>
      </c>
      <c r="O685" s="250">
        <v>21996.6803</v>
      </c>
      <c r="P685" s="250">
        <v>2028.23</v>
      </c>
      <c r="Q685" s="250">
        <v>2028.23</v>
      </c>
      <c r="R685" s="250" t="s">
        <v>839</v>
      </c>
      <c r="S685" s="250" t="s">
        <v>21</v>
      </c>
      <c r="T685" s="250">
        <v>15</v>
      </c>
      <c r="U685" s="250">
        <v>5</v>
      </c>
      <c r="V685" s="250">
        <v>0.7</v>
      </c>
      <c r="W685" s="250">
        <v>0.7</v>
      </c>
      <c r="X685" s="250">
        <v>0.7</v>
      </c>
      <c r="Y685" s="250">
        <v>1700</v>
      </c>
      <c r="Z685" s="250" t="s">
        <v>840</v>
      </c>
      <c r="AA685" s="250">
        <v>0.85</v>
      </c>
      <c r="AB685" s="250" t="s">
        <v>841</v>
      </c>
      <c r="AC685" s="250" t="s">
        <v>842</v>
      </c>
      <c r="AD685" s="250">
        <v>220</v>
      </c>
      <c r="AE685" s="250"/>
      <c r="AF685" s="250"/>
    </row>
    <row r="686" spans="1:32" ht="15.75">
      <c r="A686" s="250" t="s">
        <v>856</v>
      </c>
      <c r="B686" s="250">
        <v>2</v>
      </c>
      <c r="C686" s="250">
        <v>124</v>
      </c>
      <c r="D686" s="250" t="s">
        <v>898</v>
      </c>
      <c r="E686" s="250">
        <v>1.5</v>
      </c>
      <c r="F686" s="251">
        <v>45125.462500000001</v>
      </c>
      <c r="G686" s="250">
        <v>1</v>
      </c>
      <c r="H686" s="250">
        <v>51.374099999999999</v>
      </c>
      <c r="I686" s="250">
        <v>6.5052399999999997</v>
      </c>
      <c r="J686" s="250">
        <v>-8.4632579999999997</v>
      </c>
      <c r="K686" s="250">
        <v>-7.6320860000000001</v>
      </c>
      <c r="L686" s="250">
        <v>1021.61</v>
      </c>
      <c r="M686" s="250">
        <v>121.000079</v>
      </c>
      <c r="N686" s="250">
        <v>18439.462599999999</v>
      </c>
      <c r="O686" s="250">
        <v>18455.8737</v>
      </c>
      <c r="P686" s="250">
        <v>2042.50692</v>
      </c>
      <c r="Q686" s="250">
        <v>2043.33521</v>
      </c>
      <c r="R686" s="250" t="s">
        <v>839</v>
      </c>
      <c r="S686" s="250" t="s">
        <v>769</v>
      </c>
      <c r="T686" s="250">
        <v>15</v>
      </c>
      <c r="U686" s="250">
        <v>5</v>
      </c>
      <c r="V686" s="250">
        <v>0.7</v>
      </c>
      <c r="W686" s="250">
        <v>0.7</v>
      </c>
      <c r="X686" s="250">
        <v>0.7</v>
      </c>
      <c r="Y686" s="250">
        <v>1700</v>
      </c>
      <c r="Z686" s="250" t="s">
        <v>840</v>
      </c>
      <c r="AA686" s="250">
        <v>0.85</v>
      </c>
      <c r="AB686" s="250" t="s">
        <v>841</v>
      </c>
      <c r="AC686" s="250" t="s">
        <v>842</v>
      </c>
      <c r="AD686" s="250">
        <v>220</v>
      </c>
      <c r="AE686" s="250"/>
      <c r="AF686" s="250"/>
    </row>
    <row r="687" spans="1:32" ht="15.75">
      <c r="A687" s="250" t="s">
        <v>959</v>
      </c>
      <c r="B687" s="250">
        <v>2</v>
      </c>
      <c r="C687" s="250">
        <v>124</v>
      </c>
      <c r="D687" s="250" t="s">
        <v>898</v>
      </c>
      <c r="E687" s="250">
        <v>1.5</v>
      </c>
      <c r="F687" s="251">
        <v>45125.46597222222</v>
      </c>
      <c r="G687" s="250">
        <v>1</v>
      </c>
      <c r="H687" s="250">
        <v>51.374099999999999</v>
      </c>
      <c r="I687" s="250">
        <v>6.4876199999999997</v>
      </c>
      <c r="J687" s="250">
        <v>-8.5583840000000002</v>
      </c>
      <c r="K687" s="250">
        <v>-7.7099029999999997</v>
      </c>
      <c r="L687" s="250">
        <v>1033.83</v>
      </c>
      <c r="M687" s="250">
        <v>124.501245</v>
      </c>
      <c r="N687" s="250">
        <v>18453.034299999999</v>
      </c>
      <c r="O687" s="250">
        <v>18455.8737</v>
      </c>
      <c r="P687" s="250">
        <v>2042.50692</v>
      </c>
      <c r="Q687" s="250">
        <v>2043.33521</v>
      </c>
      <c r="R687" s="250" t="s">
        <v>839</v>
      </c>
      <c r="S687" s="250" t="s">
        <v>769</v>
      </c>
      <c r="T687" s="250">
        <v>15</v>
      </c>
      <c r="U687" s="250">
        <v>5</v>
      </c>
      <c r="V687" s="250">
        <v>0.7</v>
      </c>
      <c r="W687" s="250">
        <v>0.7</v>
      </c>
      <c r="X687" s="250">
        <v>0.7</v>
      </c>
      <c r="Y687" s="250">
        <v>1700</v>
      </c>
      <c r="Z687" s="250" t="s">
        <v>840</v>
      </c>
      <c r="AA687" s="250">
        <v>0.85</v>
      </c>
      <c r="AB687" s="250" t="s">
        <v>841</v>
      </c>
      <c r="AC687" s="250" t="s">
        <v>842</v>
      </c>
      <c r="AD687" s="250">
        <v>220</v>
      </c>
      <c r="AE687" s="250"/>
      <c r="AF687" s="250"/>
    </row>
    <row r="688" spans="1:32" ht="15.75">
      <c r="A688" s="250" t="s">
        <v>960</v>
      </c>
      <c r="B688" s="250">
        <v>2</v>
      </c>
      <c r="C688" s="250">
        <v>124</v>
      </c>
      <c r="D688" s="250" t="s">
        <v>898</v>
      </c>
      <c r="E688" s="250">
        <v>1.5</v>
      </c>
      <c r="F688" s="251">
        <v>45125.469444444447</v>
      </c>
      <c r="G688" s="250">
        <v>1</v>
      </c>
      <c r="H688" s="250">
        <v>51.364100000000001</v>
      </c>
      <c r="I688" s="250">
        <v>6.5412299999999997</v>
      </c>
      <c r="J688" s="250">
        <v>-8.5121880000000001</v>
      </c>
      <c r="K688" s="250">
        <v>-7.6639470000000003</v>
      </c>
      <c r="L688" s="250">
        <v>1027.3900000000001</v>
      </c>
      <c r="M688" s="250">
        <v>118.498434</v>
      </c>
      <c r="N688" s="250">
        <v>18475.124</v>
      </c>
      <c r="O688" s="250">
        <v>18455.8737</v>
      </c>
      <c r="P688" s="250">
        <v>2042.50692</v>
      </c>
      <c r="Q688" s="250">
        <v>2043.33521</v>
      </c>
      <c r="R688" s="250" t="s">
        <v>839</v>
      </c>
      <c r="S688" s="250" t="s">
        <v>769</v>
      </c>
      <c r="T688" s="250">
        <v>15</v>
      </c>
      <c r="U688" s="250">
        <v>5</v>
      </c>
      <c r="V688" s="250">
        <v>0.7</v>
      </c>
      <c r="W688" s="250">
        <v>0.7</v>
      </c>
      <c r="X688" s="250">
        <v>0.7</v>
      </c>
      <c r="Y688" s="250">
        <v>1700</v>
      </c>
      <c r="Z688" s="250" t="s">
        <v>840</v>
      </c>
      <c r="AA688" s="250">
        <v>0.85</v>
      </c>
      <c r="AB688" s="250" t="s">
        <v>841</v>
      </c>
      <c r="AC688" s="250" t="s">
        <v>842</v>
      </c>
      <c r="AD688" s="250">
        <v>220</v>
      </c>
      <c r="AE688" s="250"/>
      <c r="AF688" s="250"/>
    </row>
    <row r="689" spans="1:32" ht="15.75">
      <c r="A689" s="250" t="s">
        <v>857</v>
      </c>
      <c r="B689" s="250">
        <v>3</v>
      </c>
      <c r="C689" s="250">
        <v>125</v>
      </c>
      <c r="D689" s="250" t="s">
        <v>902</v>
      </c>
      <c r="E689" s="250">
        <v>1.5</v>
      </c>
      <c r="F689" s="251">
        <v>45125.473611111112</v>
      </c>
      <c r="G689" s="250">
        <v>1</v>
      </c>
      <c r="H689" s="250">
        <v>51.370800000000003</v>
      </c>
      <c r="I689" s="250">
        <v>6.5760899999999998</v>
      </c>
      <c r="J689" s="250">
        <v>-8.6174210000000002</v>
      </c>
      <c r="K689" s="250">
        <v>-7.768103</v>
      </c>
      <c r="L689" s="250">
        <v>1021.78</v>
      </c>
      <c r="M689" s="250">
        <v>121.999098</v>
      </c>
      <c r="N689" s="250">
        <v>18275.729200000002</v>
      </c>
      <c r="O689" s="250">
        <v>18291.3014</v>
      </c>
      <c r="P689" s="250">
        <v>2024.3496500000001</v>
      </c>
      <c r="Q689" s="250">
        <v>2026.00623</v>
      </c>
      <c r="R689" s="250" t="s">
        <v>839</v>
      </c>
      <c r="S689" s="250" t="s">
        <v>769</v>
      </c>
      <c r="T689" s="250">
        <v>15</v>
      </c>
      <c r="U689" s="250">
        <v>5</v>
      </c>
      <c r="V689" s="250">
        <v>0.7</v>
      </c>
      <c r="W689" s="250">
        <v>0.7</v>
      </c>
      <c r="X689" s="250">
        <v>0.7</v>
      </c>
      <c r="Y689" s="250">
        <v>1700</v>
      </c>
      <c r="Z689" s="250" t="s">
        <v>840</v>
      </c>
      <c r="AA689" s="250">
        <v>0.85</v>
      </c>
      <c r="AB689" s="250" t="s">
        <v>841</v>
      </c>
      <c r="AC689" s="250" t="s">
        <v>842</v>
      </c>
      <c r="AD689" s="250">
        <v>220</v>
      </c>
      <c r="AE689" s="250"/>
      <c r="AF689" s="250"/>
    </row>
    <row r="690" spans="1:32" ht="15.75">
      <c r="A690" s="250" t="s">
        <v>962</v>
      </c>
      <c r="B690" s="250">
        <v>3</v>
      </c>
      <c r="C690" s="250">
        <v>125</v>
      </c>
      <c r="D690" s="250" t="s">
        <v>902</v>
      </c>
      <c r="E690" s="250">
        <v>1.5</v>
      </c>
      <c r="F690" s="251">
        <v>45125.477083333331</v>
      </c>
      <c r="G690" s="250">
        <v>1</v>
      </c>
      <c r="H690" s="250">
        <v>51.3675</v>
      </c>
      <c r="I690" s="250">
        <v>6.5726800000000001</v>
      </c>
      <c r="J690" s="250">
        <v>-8.5901259999999997</v>
      </c>
      <c r="K690" s="250">
        <v>-7.7523140000000001</v>
      </c>
      <c r="L690" s="250">
        <v>1016.31</v>
      </c>
      <c r="M690" s="250">
        <v>115.499653</v>
      </c>
      <c r="N690" s="250">
        <v>18293.594400000002</v>
      </c>
      <c r="O690" s="250">
        <v>18291.3014</v>
      </c>
      <c r="P690" s="250">
        <v>2024.3496500000001</v>
      </c>
      <c r="Q690" s="250">
        <v>2026.00623</v>
      </c>
      <c r="R690" s="250" t="s">
        <v>839</v>
      </c>
      <c r="S690" s="250" t="s">
        <v>769</v>
      </c>
      <c r="T690" s="250">
        <v>15</v>
      </c>
      <c r="U690" s="250">
        <v>5</v>
      </c>
      <c r="V690" s="250">
        <v>0.7</v>
      </c>
      <c r="W690" s="250">
        <v>0.7</v>
      </c>
      <c r="X690" s="250">
        <v>0.7</v>
      </c>
      <c r="Y690" s="250">
        <v>1700</v>
      </c>
      <c r="Z690" s="250" t="s">
        <v>840</v>
      </c>
      <c r="AA690" s="250">
        <v>0.85</v>
      </c>
      <c r="AB690" s="250" t="s">
        <v>841</v>
      </c>
      <c r="AC690" s="250" t="s">
        <v>842</v>
      </c>
      <c r="AD690" s="250">
        <v>220</v>
      </c>
      <c r="AE690" s="250"/>
      <c r="AF690" s="250"/>
    </row>
    <row r="691" spans="1:32" ht="15.75">
      <c r="A691" s="250" t="s">
        <v>963</v>
      </c>
      <c r="B691" s="250">
        <v>3</v>
      </c>
      <c r="C691" s="250">
        <v>125</v>
      </c>
      <c r="D691" s="250" t="s">
        <v>902</v>
      </c>
      <c r="E691" s="250">
        <v>1.5</v>
      </c>
      <c r="F691" s="251">
        <v>45125.480555555558</v>
      </c>
      <c r="G691" s="250">
        <v>1</v>
      </c>
      <c r="H691" s="250">
        <v>51.3675</v>
      </c>
      <c r="I691" s="250">
        <v>6.5791399999999998</v>
      </c>
      <c r="J691" s="250">
        <v>-8.5590100000000007</v>
      </c>
      <c r="K691" s="250">
        <v>-7.7338269999999998</v>
      </c>
      <c r="L691" s="250">
        <v>1007.82</v>
      </c>
      <c r="M691" s="250">
        <v>116.500434</v>
      </c>
      <c r="N691" s="250">
        <v>18304.580600000001</v>
      </c>
      <c r="O691" s="250">
        <v>18291.3014</v>
      </c>
      <c r="P691" s="250">
        <v>2024.3496500000001</v>
      </c>
      <c r="Q691" s="250">
        <v>2026.00623</v>
      </c>
      <c r="R691" s="250" t="s">
        <v>839</v>
      </c>
      <c r="S691" s="250" t="s">
        <v>769</v>
      </c>
      <c r="T691" s="250">
        <v>15</v>
      </c>
      <c r="U691" s="250">
        <v>5</v>
      </c>
      <c r="V691" s="250">
        <v>0.7</v>
      </c>
      <c r="W691" s="250">
        <v>0.7</v>
      </c>
      <c r="X691" s="250">
        <v>0.7</v>
      </c>
      <c r="Y691" s="250">
        <v>1700</v>
      </c>
      <c r="Z691" s="250" t="s">
        <v>840</v>
      </c>
      <c r="AA691" s="250">
        <v>0.85</v>
      </c>
      <c r="AB691" s="250" t="s">
        <v>841</v>
      </c>
      <c r="AC691" s="250" t="s">
        <v>842</v>
      </c>
      <c r="AD691" s="250">
        <v>220</v>
      </c>
      <c r="AE691" s="250"/>
      <c r="AF691" s="250"/>
    </row>
    <row r="692" spans="1:32" ht="15.75">
      <c r="A692" s="250" t="s">
        <v>858</v>
      </c>
      <c r="B692" s="250">
        <v>4</v>
      </c>
      <c r="C692" s="250">
        <v>134</v>
      </c>
      <c r="D692" s="250" t="s">
        <v>906</v>
      </c>
      <c r="E692" s="250">
        <v>1.5</v>
      </c>
      <c r="F692" s="251">
        <v>45125.484722222223</v>
      </c>
      <c r="G692" s="250">
        <v>1</v>
      </c>
      <c r="H692" s="250">
        <v>51.374099999999999</v>
      </c>
      <c r="I692" s="250">
        <v>6.5156799999999997</v>
      </c>
      <c r="J692" s="250">
        <v>-8.6715990000000005</v>
      </c>
      <c r="K692" s="250">
        <v>-7.8342349999999996</v>
      </c>
      <c r="L692" s="250">
        <v>1041.21</v>
      </c>
      <c r="M692" s="250">
        <v>117.500136</v>
      </c>
      <c r="N692" s="250">
        <v>18318.7749</v>
      </c>
      <c r="O692" s="250">
        <v>18331.4467</v>
      </c>
      <c r="P692" s="250">
        <v>2028.75388</v>
      </c>
      <c r="Q692" s="250">
        <v>2031.23875</v>
      </c>
      <c r="R692" s="250" t="s">
        <v>839</v>
      </c>
      <c r="S692" s="250" t="s">
        <v>769</v>
      </c>
      <c r="T692" s="250">
        <v>15</v>
      </c>
      <c r="U692" s="250">
        <v>5</v>
      </c>
      <c r="V692" s="250">
        <v>0.7</v>
      </c>
      <c r="W692" s="250">
        <v>0.7</v>
      </c>
      <c r="X692" s="250">
        <v>0.7</v>
      </c>
      <c r="Y692" s="250">
        <v>1700</v>
      </c>
      <c r="Z692" s="250" t="s">
        <v>840</v>
      </c>
      <c r="AA692" s="250">
        <v>0.85</v>
      </c>
      <c r="AB692" s="250" t="s">
        <v>841</v>
      </c>
      <c r="AC692" s="250" t="s">
        <v>842</v>
      </c>
      <c r="AD692" s="250">
        <v>220</v>
      </c>
      <c r="AE692" s="250"/>
      <c r="AF692" s="250"/>
    </row>
    <row r="693" spans="1:32" ht="15.75">
      <c r="A693" s="250" t="s">
        <v>966</v>
      </c>
      <c r="B693" s="250">
        <v>4</v>
      </c>
      <c r="C693" s="250">
        <v>134</v>
      </c>
      <c r="D693" s="250" t="s">
        <v>906</v>
      </c>
      <c r="E693" s="250">
        <v>1.5</v>
      </c>
      <c r="F693" s="251">
        <v>45125.488194444442</v>
      </c>
      <c r="G693" s="250">
        <v>1</v>
      </c>
      <c r="H693" s="250">
        <v>51.374099999999999</v>
      </c>
      <c r="I693" s="250">
        <v>6.5062300000000004</v>
      </c>
      <c r="J693" s="250">
        <v>-8.6164679999999993</v>
      </c>
      <c r="K693" s="250">
        <v>-7.7923020000000003</v>
      </c>
      <c r="L693" s="250">
        <v>1034.25</v>
      </c>
      <c r="M693" s="250">
        <v>119.00151700000001</v>
      </c>
      <c r="N693" s="250">
        <v>18323.6538</v>
      </c>
      <c r="O693" s="250">
        <v>18331.4467</v>
      </c>
      <c r="P693" s="250">
        <v>2028.75388</v>
      </c>
      <c r="Q693" s="250">
        <v>2031.23875</v>
      </c>
      <c r="R693" s="250" t="s">
        <v>839</v>
      </c>
      <c r="S693" s="250" t="s">
        <v>769</v>
      </c>
      <c r="T693" s="250">
        <v>15</v>
      </c>
      <c r="U693" s="250">
        <v>5</v>
      </c>
      <c r="V693" s="250">
        <v>0.7</v>
      </c>
      <c r="W693" s="250">
        <v>0.7</v>
      </c>
      <c r="X693" s="250">
        <v>0.7</v>
      </c>
      <c r="Y693" s="250">
        <v>1700</v>
      </c>
      <c r="Z693" s="250" t="s">
        <v>840</v>
      </c>
      <c r="AA693" s="250">
        <v>0.85</v>
      </c>
      <c r="AB693" s="250" t="s">
        <v>841</v>
      </c>
      <c r="AC693" s="250" t="s">
        <v>842</v>
      </c>
      <c r="AD693" s="250">
        <v>220</v>
      </c>
      <c r="AE693" s="250"/>
      <c r="AF693" s="250"/>
    </row>
    <row r="694" spans="1:32" ht="15.75">
      <c r="A694" s="250" t="s">
        <v>967</v>
      </c>
      <c r="B694" s="250">
        <v>4</v>
      </c>
      <c r="C694" s="250">
        <v>134</v>
      </c>
      <c r="D694" s="250" t="s">
        <v>906</v>
      </c>
      <c r="E694" s="250">
        <v>1.5</v>
      </c>
      <c r="F694" s="251">
        <v>45125.491666666669</v>
      </c>
      <c r="G694" s="250">
        <v>1</v>
      </c>
      <c r="H694" s="250">
        <v>51.377400000000002</v>
      </c>
      <c r="I694" s="250">
        <v>6.4890600000000003</v>
      </c>
      <c r="J694" s="250">
        <v>-8.6280909999999995</v>
      </c>
      <c r="K694" s="250">
        <v>-7.8006399999999996</v>
      </c>
      <c r="L694" s="250">
        <v>1024.8800000000001</v>
      </c>
      <c r="M694" s="250">
        <v>123.998936</v>
      </c>
      <c r="N694" s="250">
        <v>18357.807199999999</v>
      </c>
      <c r="O694" s="250">
        <v>18331.4467</v>
      </c>
      <c r="P694" s="250">
        <v>2028.75388</v>
      </c>
      <c r="Q694" s="250">
        <v>2031.23875</v>
      </c>
      <c r="R694" s="250" t="s">
        <v>647</v>
      </c>
      <c r="S694" s="250" t="s">
        <v>769</v>
      </c>
      <c r="T694" s="250">
        <v>15</v>
      </c>
      <c r="U694" s="250">
        <v>5</v>
      </c>
      <c r="V694" s="250">
        <v>0.7</v>
      </c>
      <c r="W694" s="250">
        <v>0.7</v>
      </c>
      <c r="X694" s="250">
        <v>0.7</v>
      </c>
      <c r="Y694" s="250">
        <v>1700</v>
      </c>
      <c r="Z694" s="250" t="s">
        <v>840</v>
      </c>
      <c r="AA694" s="250">
        <v>0.85</v>
      </c>
      <c r="AB694" s="250" t="s">
        <v>841</v>
      </c>
      <c r="AC694" s="250" t="s">
        <v>842</v>
      </c>
      <c r="AD694" s="250">
        <v>220</v>
      </c>
      <c r="AE694" s="250"/>
      <c r="AF694" s="250"/>
    </row>
    <row r="695" spans="1:32" ht="15.75">
      <c r="A695" s="250" t="s">
        <v>1025</v>
      </c>
      <c r="B695" s="250">
        <v>4</v>
      </c>
      <c r="C695" s="250">
        <v>134</v>
      </c>
      <c r="D695" s="250" t="s">
        <v>906</v>
      </c>
      <c r="E695" s="250">
        <v>1.5</v>
      </c>
      <c r="F695" s="251">
        <v>45125.495138888888</v>
      </c>
      <c r="G695" s="250">
        <v>1</v>
      </c>
      <c r="H695" s="250">
        <v>51.370800000000003</v>
      </c>
      <c r="I695" s="250">
        <v>6.51553</v>
      </c>
      <c r="J695" s="250">
        <v>-8.6703679999999999</v>
      </c>
      <c r="K695" s="250">
        <v>-7.8357960000000002</v>
      </c>
      <c r="L695" s="250">
        <v>1024.81</v>
      </c>
      <c r="M695" s="250">
        <v>119.50106700000001</v>
      </c>
      <c r="N695" s="250">
        <v>18351.911400000001</v>
      </c>
      <c r="O695" s="250">
        <v>18331.4467</v>
      </c>
      <c r="P695" s="250">
        <v>2028.75388</v>
      </c>
      <c r="Q695" s="250">
        <v>2031.23875</v>
      </c>
      <c r="R695" s="250" t="s">
        <v>839</v>
      </c>
      <c r="S695" s="250" t="s">
        <v>769</v>
      </c>
      <c r="T695" s="250">
        <v>15</v>
      </c>
      <c r="U695" s="250">
        <v>5</v>
      </c>
      <c r="V695" s="250">
        <v>0.7</v>
      </c>
      <c r="W695" s="250">
        <v>0.7</v>
      </c>
      <c r="X695" s="250">
        <v>0.7</v>
      </c>
      <c r="Y695" s="250">
        <v>1700</v>
      </c>
      <c r="Z695" s="250" t="s">
        <v>840</v>
      </c>
      <c r="AA695" s="250">
        <v>0.85</v>
      </c>
      <c r="AB695" s="250" t="s">
        <v>841</v>
      </c>
      <c r="AC695" s="250" t="s">
        <v>842</v>
      </c>
      <c r="AD695" s="250">
        <v>220</v>
      </c>
      <c r="AE695" s="250"/>
      <c r="AF695" s="250"/>
    </row>
    <row r="696" spans="1:32" ht="15.75">
      <c r="A696" s="250" t="s">
        <v>859</v>
      </c>
      <c r="B696" s="250">
        <v>5</v>
      </c>
      <c r="C696" s="250">
        <v>135</v>
      </c>
      <c r="D696" s="250" t="s">
        <v>911</v>
      </c>
      <c r="E696" s="250">
        <v>1.5</v>
      </c>
      <c r="F696" s="251">
        <v>45125.499305555553</v>
      </c>
      <c r="G696" s="250">
        <v>1</v>
      </c>
      <c r="H696" s="250">
        <v>51.370800000000003</v>
      </c>
      <c r="I696" s="250">
        <v>6.4673100000000003</v>
      </c>
      <c r="J696" s="250">
        <v>-8.6653830000000003</v>
      </c>
      <c r="K696" s="250">
        <v>-7.8167650000000002</v>
      </c>
      <c r="L696" s="250">
        <v>1025.81</v>
      </c>
      <c r="M696" s="250">
        <v>125.00098199999999</v>
      </c>
      <c r="N696" s="250">
        <v>18407.4594</v>
      </c>
      <c r="O696" s="250">
        <v>18410.905900000002</v>
      </c>
      <c r="P696" s="250">
        <v>2037.5365899999999</v>
      </c>
      <c r="Q696" s="250">
        <v>2040.8497500000001</v>
      </c>
      <c r="R696" s="250" t="s">
        <v>839</v>
      </c>
      <c r="S696" s="250" t="s">
        <v>769</v>
      </c>
      <c r="T696" s="250">
        <v>15</v>
      </c>
      <c r="U696" s="250">
        <v>5</v>
      </c>
      <c r="V696" s="250">
        <v>0.7</v>
      </c>
      <c r="W696" s="250">
        <v>0.7</v>
      </c>
      <c r="X696" s="250">
        <v>0.7</v>
      </c>
      <c r="Y696" s="250">
        <v>1700</v>
      </c>
      <c r="Z696" s="250" t="s">
        <v>840</v>
      </c>
      <c r="AA696" s="250">
        <v>0.85</v>
      </c>
      <c r="AB696" s="250" t="s">
        <v>841</v>
      </c>
      <c r="AC696" s="250" t="s">
        <v>842</v>
      </c>
      <c r="AD696" s="250">
        <v>220</v>
      </c>
      <c r="AE696" s="250"/>
      <c r="AF696" s="250"/>
    </row>
    <row r="697" spans="1:32" ht="15.75">
      <c r="A697" s="250" t="s">
        <v>968</v>
      </c>
      <c r="B697" s="250">
        <v>5</v>
      </c>
      <c r="C697" s="250">
        <v>135</v>
      </c>
      <c r="D697" s="250" t="s">
        <v>911</v>
      </c>
      <c r="E697" s="250">
        <v>1.5</v>
      </c>
      <c r="F697" s="251">
        <v>45125.50277777778</v>
      </c>
      <c r="G697" s="250">
        <v>1</v>
      </c>
      <c r="H697" s="250">
        <v>51.374099999999999</v>
      </c>
      <c r="I697" s="250">
        <v>6.5390100000000002</v>
      </c>
      <c r="J697" s="250">
        <v>-8.6255000000000006</v>
      </c>
      <c r="K697" s="250">
        <v>-7.7812140000000003</v>
      </c>
      <c r="L697" s="250">
        <v>1033.74</v>
      </c>
      <c r="M697" s="250">
        <v>123.00167500000001</v>
      </c>
      <c r="N697" s="250">
        <v>18427.828399999999</v>
      </c>
      <c r="O697" s="250">
        <v>18410.905900000002</v>
      </c>
      <c r="P697" s="250">
        <v>2037.5365899999999</v>
      </c>
      <c r="Q697" s="250">
        <v>2040.8497500000001</v>
      </c>
      <c r="R697" s="250" t="s">
        <v>839</v>
      </c>
      <c r="S697" s="250" t="s">
        <v>769</v>
      </c>
      <c r="T697" s="250">
        <v>15</v>
      </c>
      <c r="U697" s="250">
        <v>5</v>
      </c>
      <c r="V697" s="250">
        <v>0.7</v>
      </c>
      <c r="W697" s="250">
        <v>0.7</v>
      </c>
      <c r="X697" s="250">
        <v>0.7</v>
      </c>
      <c r="Y697" s="250">
        <v>1700</v>
      </c>
      <c r="Z697" s="250" t="s">
        <v>840</v>
      </c>
      <c r="AA697" s="250">
        <v>0.85</v>
      </c>
      <c r="AB697" s="250" t="s">
        <v>841</v>
      </c>
      <c r="AC697" s="250" t="s">
        <v>842</v>
      </c>
      <c r="AD697" s="250">
        <v>220</v>
      </c>
      <c r="AE697" s="250"/>
      <c r="AF697" s="250"/>
    </row>
    <row r="698" spans="1:32" ht="15.75">
      <c r="A698" s="250" t="s">
        <v>969</v>
      </c>
      <c r="B698" s="250">
        <v>5</v>
      </c>
      <c r="C698" s="250">
        <v>135</v>
      </c>
      <c r="D698" s="250" t="s">
        <v>911</v>
      </c>
      <c r="E698" s="250">
        <v>1.5</v>
      </c>
      <c r="F698" s="251">
        <v>45125.506249999999</v>
      </c>
      <c r="G698" s="250">
        <v>1</v>
      </c>
      <c r="H698" s="250">
        <v>51.374099999999999</v>
      </c>
      <c r="I698" s="250">
        <v>6.4803300000000004</v>
      </c>
      <c r="J698" s="250">
        <v>-8.6924209999999995</v>
      </c>
      <c r="K698" s="250">
        <v>-7.8444969999999996</v>
      </c>
      <c r="L698" s="250">
        <v>1031.33</v>
      </c>
      <c r="M698" s="250">
        <v>117.49994100000001</v>
      </c>
      <c r="N698" s="250">
        <v>18397.429899999999</v>
      </c>
      <c r="O698" s="250">
        <v>18410.905900000002</v>
      </c>
      <c r="P698" s="250">
        <v>2037.5365899999999</v>
      </c>
      <c r="Q698" s="250">
        <v>2040.8497500000001</v>
      </c>
      <c r="R698" s="250" t="s">
        <v>839</v>
      </c>
      <c r="S698" s="250" t="s">
        <v>769</v>
      </c>
      <c r="T698" s="250">
        <v>15</v>
      </c>
      <c r="U698" s="250">
        <v>5</v>
      </c>
      <c r="V698" s="250">
        <v>0.7</v>
      </c>
      <c r="W698" s="250">
        <v>0.7</v>
      </c>
      <c r="X698" s="250">
        <v>0.7</v>
      </c>
      <c r="Y698" s="250">
        <v>1700</v>
      </c>
      <c r="Z698" s="250" t="s">
        <v>840</v>
      </c>
      <c r="AA698" s="250">
        <v>0.85</v>
      </c>
      <c r="AB698" s="250" t="s">
        <v>841</v>
      </c>
      <c r="AC698" s="250" t="s">
        <v>842</v>
      </c>
      <c r="AD698" s="250">
        <v>220</v>
      </c>
      <c r="AE698" s="250"/>
      <c r="AF698" s="250"/>
    </row>
    <row r="699" spans="1:32" ht="15.75">
      <c r="A699" s="250" t="s">
        <v>860</v>
      </c>
      <c r="B699" s="250">
        <v>6</v>
      </c>
      <c r="C699" s="250">
        <v>136</v>
      </c>
      <c r="D699" s="250" t="s">
        <v>915</v>
      </c>
      <c r="E699" s="250">
        <v>1.5</v>
      </c>
      <c r="F699" s="251">
        <v>45125.510416666664</v>
      </c>
      <c r="G699" s="250">
        <v>1</v>
      </c>
      <c r="H699" s="250">
        <v>51.374099999999999</v>
      </c>
      <c r="I699" s="250">
        <v>6.4590199999999998</v>
      </c>
      <c r="J699" s="250">
        <v>-8.7383400000000009</v>
      </c>
      <c r="K699" s="250">
        <v>-7.8933910000000003</v>
      </c>
      <c r="L699" s="250">
        <v>1014.98</v>
      </c>
      <c r="M699" s="250">
        <v>125.50118500000001</v>
      </c>
      <c r="N699" s="250">
        <v>18313.476500000001</v>
      </c>
      <c r="O699" s="250">
        <v>18310.497899999998</v>
      </c>
      <c r="P699" s="250">
        <v>2026.45353</v>
      </c>
      <c r="Q699" s="250">
        <v>2030.5949800000001</v>
      </c>
      <c r="R699" s="250" t="s">
        <v>839</v>
      </c>
      <c r="S699" s="250" t="s">
        <v>769</v>
      </c>
      <c r="T699" s="250">
        <v>15</v>
      </c>
      <c r="U699" s="250">
        <v>5</v>
      </c>
      <c r="V699" s="250">
        <v>0.7</v>
      </c>
      <c r="W699" s="250">
        <v>0.7</v>
      </c>
      <c r="X699" s="250">
        <v>0.7</v>
      </c>
      <c r="Y699" s="250">
        <v>1700</v>
      </c>
      <c r="Z699" s="250" t="s">
        <v>840</v>
      </c>
      <c r="AA699" s="250">
        <v>0.85</v>
      </c>
      <c r="AB699" s="250" t="s">
        <v>841</v>
      </c>
      <c r="AC699" s="250" t="s">
        <v>842</v>
      </c>
      <c r="AD699" s="250">
        <v>220</v>
      </c>
      <c r="AE699" s="250"/>
      <c r="AF699" s="250"/>
    </row>
    <row r="700" spans="1:32" ht="15.75">
      <c r="A700" s="250" t="s">
        <v>970</v>
      </c>
      <c r="B700" s="250">
        <v>6</v>
      </c>
      <c r="C700" s="250">
        <v>136</v>
      </c>
      <c r="D700" s="250" t="s">
        <v>915</v>
      </c>
      <c r="E700" s="250">
        <v>1.5</v>
      </c>
      <c r="F700" s="251">
        <v>45125.513888888891</v>
      </c>
      <c r="G700" s="250">
        <v>1</v>
      </c>
      <c r="H700" s="250">
        <v>51.374099999999999</v>
      </c>
      <c r="I700" s="250">
        <v>6.3977399999999998</v>
      </c>
      <c r="J700" s="250">
        <v>-8.6372020000000003</v>
      </c>
      <c r="K700" s="250">
        <v>-7.8056140000000003</v>
      </c>
      <c r="L700" s="250">
        <v>1018.69</v>
      </c>
      <c r="M700" s="250">
        <v>122.50153400000001</v>
      </c>
      <c r="N700" s="250">
        <v>18256.399000000001</v>
      </c>
      <c r="O700" s="250">
        <v>18310.497899999998</v>
      </c>
      <c r="P700" s="250">
        <v>2026.45353</v>
      </c>
      <c r="Q700" s="250">
        <v>2030.5949800000001</v>
      </c>
      <c r="R700" s="250" t="s">
        <v>647</v>
      </c>
      <c r="S700" s="250" t="s">
        <v>769</v>
      </c>
      <c r="T700" s="250">
        <v>15</v>
      </c>
      <c r="U700" s="250">
        <v>5</v>
      </c>
      <c r="V700" s="250">
        <v>0.7</v>
      </c>
      <c r="W700" s="250">
        <v>0.7</v>
      </c>
      <c r="X700" s="250">
        <v>0.7</v>
      </c>
      <c r="Y700" s="250">
        <v>1700</v>
      </c>
      <c r="Z700" s="250" t="s">
        <v>840</v>
      </c>
      <c r="AA700" s="250">
        <v>0.85</v>
      </c>
      <c r="AB700" s="250" t="s">
        <v>841</v>
      </c>
      <c r="AC700" s="250" t="s">
        <v>842</v>
      </c>
      <c r="AD700" s="250">
        <v>220</v>
      </c>
      <c r="AE700" s="250"/>
      <c r="AF700" s="250"/>
    </row>
    <row r="701" spans="1:32" ht="15.75">
      <c r="A701" s="250" t="s">
        <v>971</v>
      </c>
      <c r="B701" s="250">
        <v>6</v>
      </c>
      <c r="C701" s="250">
        <v>136</v>
      </c>
      <c r="D701" s="250" t="s">
        <v>915</v>
      </c>
      <c r="E701" s="250">
        <v>1.5</v>
      </c>
      <c r="F701" s="251">
        <v>45125.518055555556</v>
      </c>
      <c r="G701" s="250">
        <v>1</v>
      </c>
      <c r="H701" s="250">
        <v>51.370800000000003</v>
      </c>
      <c r="I701" s="250">
        <v>6.4892200000000004</v>
      </c>
      <c r="J701" s="250">
        <v>-8.7009349999999994</v>
      </c>
      <c r="K701" s="250">
        <v>-7.8599449999999997</v>
      </c>
      <c r="L701" s="250">
        <v>1018.74</v>
      </c>
      <c r="M701" s="250">
        <v>108.500209</v>
      </c>
      <c r="N701" s="250">
        <v>18268.429199999999</v>
      </c>
      <c r="O701" s="250">
        <v>18310.497899999998</v>
      </c>
      <c r="P701" s="250">
        <v>2026.45353</v>
      </c>
      <c r="Q701" s="250">
        <v>2030.5949800000001</v>
      </c>
      <c r="R701" s="250" t="s">
        <v>647</v>
      </c>
      <c r="S701" s="250" t="s">
        <v>769</v>
      </c>
      <c r="T701" s="250">
        <v>15</v>
      </c>
      <c r="U701" s="250">
        <v>5</v>
      </c>
      <c r="V701" s="250">
        <v>0.7</v>
      </c>
      <c r="W701" s="250">
        <v>0.7</v>
      </c>
      <c r="X701" s="250">
        <v>0.7</v>
      </c>
      <c r="Y701" s="250">
        <v>1700</v>
      </c>
      <c r="Z701" s="250" t="s">
        <v>840</v>
      </c>
      <c r="AA701" s="250">
        <v>0.85</v>
      </c>
      <c r="AB701" s="250" t="s">
        <v>841</v>
      </c>
      <c r="AC701" s="250" t="s">
        <v>842</v>
      </c>
      <c r="AD701" s="250">
        <v>220</v>
      </c>
      <c r="AE701" s="250"/>
      <c r="AF701" s="250"/>
    </row>
    <row r="702" spans="1:32" ht="15.75">
      <c r="A702" s="250" t="s">
        <v>972</v>
      </c>
      <c r="B702" s="250">
        <v>6</v>
      </c>
      <c r="C702" s="250">
        <v>136</v>
      </c>
      <c r="D702" s="250" t="s">
        <v>915</v>
      </c>
      <c r="E702" s="250">
        <v>1.5</v>
      </c>
      <c r="F702" s="251">
        <v>45125.520833333336</v>
      </c>
      <c r="G702" s="250">
        <v>1</v>
      </c>
      <c r="H702" s="250">
        <v>51.370800000000003</v>
      </c>
      <c r="I702" s="250">
        <v>6.5652699999999999</v>
      </c>
      <c r="J702" s="250">
        <v>-8.6614640000000005</v>
      </c>
      <c r="K702" s="250">
        <v>-7.8452909999999996</v>
      </c>
      <c r="L702" s="250">
        <v>1012.03</v>
      </c>
      <c r="M702" s="250">
        <v>117.999134</v>
      </c>
      <c r="N702" s="250">
        <v>18294.1044</v>
      </c>
      <c r="O702" s="250">
        <v>18310.497899999998</v>
      </c>
      <c r="P702" s="250">
        <v>2026.45353</v>
      </c>
      <c r="Q702" s="250">
        <v>2030.5949800000001</v>
      </c>
      <c r="R702" s="250" t="s">
        <v>839</v>
      </c>
      <c r="S702" s="250" t="s">
        <v>769</v>
      </c>
      <c r="T702" s="250">
        <v>15</v>
      </c>
      <c r="U702" s="250">
        <v>5</v>
      </c>
      <c r="V702" s="250">
        <v>0.7</v>
      </c>
      <c r="W702" s="250">
        <v>0.7</v>
      </c>
      <c r="X702" s="250">
        <v>0.7</v>
      </c>
      <c r="Y702" s="250">
        <v>1700</v>
      </c>
      <c r="Z702" s="250" t="s">
        <v>840</v>
      </c>
      <c r="AA702" s="250">
        <v>0.85</v>
      </c>
      <c r="AB702" s="250" t="s">
        <v>841</v>
      </c>
      <c r="AC702" s="250" t="s">
        <v>842</v>
      </c>
      <c r="AD702" s="250">
        <v>220</v>
      </c>
      <c r="AE702" s="250"/>
      <c r="AF702" s="250"/>
    </row>
    <row r="703" spans="1:32" ht="15.75">
      <c r="A703" s="250" t="s">
        <v>973</v>
      </c>
      <c r="B703" s="250">
        <v>6</v>
      </c>
      <c r="C703" s="250">
        <v>136</v>
      </c>
      <c r="D703" s="250" t="s">
        <v>915</v>
      </c>
      <c r="E703" s="250">
        <v>1.5</v>
      </c>
      <c r="F703" s="251">
        <v>45125.525000000001</v>
      </c>
      <c r="G703" s="250">
        <v>1</v>
      </c>
      <c r="H703" s="250">
        <v>51.370800000000003</v>
      </c>
      <c r="I703" s="250">
        <v>6.5911799999999996</v>
      </c>
      <c r="J703" s="250">
        <v>-8.7104959999999991</v>
      </c>
      <c r="K703" s="250">
        <v>-7.8638899999999996</v>
      </c>
      <c r="L703" s="250">
        <v>1028.76</v>
      </c>
      <c r="M703" s="250">
        <v>118.000045</v>
      </c>
      <c r="N703" s="250">
        <v>18323.912799999998</v>
      </c>
      <c r="O703" s="250">
        <v>18310.497899999998</v>
      </c>
      <c r="P703" s="250">
        <v>2026.45353</v>
      </c>
      <c r="Q703" s="250">
        <v>2030.5949800000001</v>
      </c>
      <c r="R703" s="250" t="s">
        <v>839</v>
      </c>
      <c r="S703" s="250" t="s">
        <v>769</v>
      </c>
      <c r="T703" s="250">
        <v>15</v>
      </c>
      <c r="U703" s="250">
        <v>5</v>
      </c>
      <c r="V703" s="250">
        <v>0.7</v>
      </c>
      <c r="W703" s="250">
        <v>0.7</v>
      </c>
      <c r="X703" s="250">
        <v>0.7</v>
      </c>
      <c r="Y703" s="250">
        <v>1700</v>
      </c>
      <c r="Z703" s="250" t="s">
        <v>840</v>
      </c>
      <c r="AA703" s="250">
        <v>0.85</v>
      </c>
      <c r="AB703" s="250" t="s">
        <v>841</v>
      </c>
      <c r="AC703" s="250" t="s">
        <v>842</v>
      </c>
      <c r="AD703" s="250">
        <v>220</v>
      </c>
      <c r="AE703" s="250"/>
      <c r="AF703" s="250"/>
    </row>
    <row r="704" spans="1:32" ht="15.75">
      <c r="A704" s="250" t="s">
        <v>861</v>
      </c>
      <c r="B704" s="250">
        <v>7</v>
      </c>
      <c r="C704" s="250">
        <v>137</v>
      </c>
      <c r="D704" s="250" t="s">
        <v>926</v>
      </c>
      <c r="E704" s="250">
        <v>1.5</v>
      </c>
      <c r="F704" s="251">
        <v>45125.52847222222</v>
      </c>
      <c r="G704" s="250">
        <v>1</v>
      </c>
      <c r="H704" s="250">
        <v>51.374099999999999</v>
      </c>
      <c r="I704" s="250">
        <v>6.4799300000000004</v>
      </c>
      <c r="J704" s="250">
        <v>-8.7057739999999999</v>
      </c>
      <c r="K704" s="250">
        <v>-7.8741820000000002</v>
      </c>
      <c r="L704" s="250">
        <v>1013.55</v>
      </c>
      <c r="M704" s="250">
        <v>119.99990699999999</v>
      </c>
      <c r="N704" s="250">
        <v>18350.522400000002</v>
      </c>
      <c r="O704" s="250">
        <v>18296.205000000002</v>
      </c>
      <c r="P704" s="250">
        <v>2024.88707</v>
      </c>
      <c r="Q704" s="250">
        <v>2029.85681</v>
      </c>
      <c r="R704" s="250" t="s">
        <v>647</v>
      </c>
      <c r="S704" s="250" t="s">
        <v>769</v>
      </c>
      <c r="T704" s="250">
        <v>15</v>
      </c>
      <c r="U704" s="250">
        <v>5</v>
      </c>
      <c r="V704" s="250">
        <v>0.7</v>
      </c>
      <c r="W704" s="250">
        <v>0.7</v>
      </c>
      <c r="X704" s="250">
        <v>0.7</v>
      </c>
      <c r="Y704" s="250">
        <v>1700</v>
      </c>
      <c r="Z704" s="250" t="s">
        <v>840</v>
      </c>
      <c r="AA704" s="250">
        <v>0.85</v>
      </c>
      <c r="AB704" s="250" t="s">
        <v>841</v>
      </c>
      <c r="AC704" s="250" t="s">
        <v>842</v>
      </c>
      <c r="AD704" s="250">
        <v>220</v>
      </c>
      <c r="AE704" s="250"/>
      <c r="AF704" s="250"/>
    </row>
    <row r="705" spans="1:32" ht="15.75">
      <c r="A705" s="250" t="s">
        <v>974</v>
      </c>
      <c r="B705" s="250">
        <v>7</v>
      </c>
      <c r="C705" s="250">
        <v>137</v>
      </c>
      <c r="D705" s="250" t="s">
        <v>926</v>
      </c>
      <c r="E705" s="250">
        <v>1.5</v>
      </c>
      <c r="F705" s="251">
        <v>45125.532638888886</v>
      </c>
      <c r="G705" s="250">
        <v>1</v>
      </c>
      <c r="H705" s="250">
        <v>51.370800000000003</v>
      </c>
      <c r="I705" s="250">
        <v>6.4958999999999998</v>
      </c>
      <c r="J705" s="250">
        <v>-8.6697869999999995</v>
      </c>
      <c r="K705" s="250">
        <v>-7.8218110000000003</v>
      </c>
      <c r="L705" s="250">
        <v>1031.2</v>
      </c>
      <c r="M705" s="250">
        <v>116.499501</v>
      </c>
      <c r="N705" s="250">
        <v>18300.854899999998</v>
      </c>
      <c r="O705" s="250">
        <v>18296.205000000002</v>
      </c>
      <c r="P705" s="250">
        <v>2024.88707</v>
      </c>
      <c r="Q705" s="250">
        <v>2029.85681</v>
      </c>
      <c r="R705" s="250" t="s">
        <v>839</v>
      </c>
      <c r="S705" s="250" t="s">
        <v>769</v>
      </c>
      <c r="T705" s="250">
        <v>15</v>
      </c>
      <c r="U705" s="250">
        <v>5</v>
      </c>
      <c r="V705" s="250">
        <v>0.7</v>
      </c>
      <c r="W705" s="250">
        <v>0.7</v>
      </c>
      <c r="X705" s="250">
        <v>0.7</v>
      </c>
      <c r="Y705" s="250">
        <v>1700</v>
      </c>
      <c r="Z705" s="250" t="s">
        <v>840</v>
      </c>
      <c r="AA705" s="250">
        <v>0.85</v>
      </c>
      <c r="AB705" s="250" t="s">
        <v>841</v>
      </c>
      <c r="AC705" s="250" t="s">
        <v>842</v>
      </c>
      <c r="AD705" s="250">
        <v>220</v>
      </c>
      <c r="AE705" s="250"/>
      <c r="AF705" s="250"/>
    </row>
    <row r="706" spans="1:32" ht="15.75">
      <c r="A706" s="250" t="s">
        <v>975</v>
      </c>
      <c r="B706" s="250">
        <v>7</v>
      </c>
      <c r="C706" s="250">
        <v>137</v>
      </c>
      <c r="D706" s="250" t="s">
        <v>926</v>
      </c>
      <c r="E706" s="250">
        <v>1.5</v>
      </c>
      <c r="F706" s="251">
        <v>45125.536111111112</v>
      </c>
      <c r="G706" s="250">
        <v>1</v>
      </c>
      <c r="H706" s="250">
        <v>51.374099999999999</v>
      </c>
      <c r="I706" s="250">
        <v>6.4807800000000002</v>
      </c>
      <c r="J706" s="250">
        <v>-8.6757449999999992</v>
      </c>
      <c r="K706" s="250">
        <v>-7.826047</v>
      </c>
      <c r="L706" s="250">
        <v>1012.36</v>
      </c>
      <c r="M706" s="250">
        <v>109.99879799999999</v>
      </c>
      <c r="N706" s="250">
        <v>18294.397199999999</v>
      </c>
      <c r="O706" s="250">
        <v>18296.205000000002</v>
      </c>
      <c r="P706" s="250">
        <v>2024.88707</v>
      </c>
      <c r="Q706" s="250">
        <v>2029.85681</v>
      </c>
      <c r="R706" s="250" t="s">
        <v>839</v>
      </c>
      <c r="S706" s="250" t="s">
        <v>769</v>
      </c>
      <c r="T706" s="250">
        <v>15</v>
      </c>
      <c r="U706" s="250">
        <v>5</v>
      </c>
      <c r="V706" s="250">
        <v>0.7</v>
      </c>
      <c r="W706" s="250">
        <v>0.7</v>
      </c>
      <c r="X706" s="250">
        <v>0.7</v>
      </c>
      <c r="Y706" s="250">
        <v>1700</v>
      </c>
      <c r="Z706" s="250" t="s">
        <v>840</v>
      </c>
      <c r="AA706" s="250">
        <v>0.85</v>
      </c>
      <c r="AB706" s="250" t="s">
        <v>841</v>
      </c>
      <c r="AC706" s="250" t="s">
        <v>842</v>
      </c>
      <c r="AD706" s="250">
        <v>220</v>
      </c>
      <c r="AE706" s="250"/>
      <c r="AF706" s="250"/>
    </row>
    <row r="707" spans="1:32" ht="15.75">
      <c r="A707" s="250" t="s">
        <v>976</v>
      </c>
      <c r="B707" s="250">
        <v>7</v>
      </c>
      <c r="C707" s="250">
        <v>137</v>
      </c>
      <c r="D707" s="250" t="s">
        <v>926</v>
      </c>
      <c r="E707" s="250">
        <v>1.5</v>
      </c>
      <c r="F707" s="251">
        <v>45125.539583333331</v>
      </c>
      <c r="G707" s="250">
        <v>1</v>
      </c>
      <c r="H707" s="250">
        <v>51.377400000000002</v>
      </c>
      <c r="I707" s="250">
        <v>6.5316700000000001</v>
      </c>
      <c r="J707" s="250">
        <v>-8.7048550000000002</v>
      </c>
      <c r="K707" s="250">
        <v>-7.8653339999999998</v>
      </c>
      <c r="L707" s="250">
        <v>1012.24</v>
      </c>
      <c r="M707" s="250">
        <v>122.49945200000001</v>
      </c>
      <c r="N707" s="250">
        <v>18293.363099999999</v>
      </c>
      <c r="O707" s="250">
        <v>18296.205000000002</v>
      </c>
      <c r="P707" s="250">
        <v>2024.88707</v>
      </c>
      <c r="Q707" s="250">
        <v>2029.85681</v>
      </c>
      <c r="R707" s="250" t="s">
        <v>839</v>
      </c>
      <c r="S707" s="250" t="s">
        <v>769</v>
      </c>
      <c r="T707" s="250">
        <v>15</v>
      </c>
      <c r="U707" s="250">
        <v>5</v>
      </c>
      <c r="V707" s="250">
        <v>0.7</v>
      </c>
      <c r="W707" s="250">
        <v>0.7</v>
      </c>
      <c r="X707" s="250">
        <v>0.7</v>
      </c>
      <c r="Y707" s="250">
        <v>1700</v>
      </c>
      <c r="Z707" s="250" t="s">
        <v>840</v>
      </c>
      <c r="AA707" s="250">
        <v>0.85</v>
      </c>
      <c r="AB707" s="250" t="s">
        <v>841</v>
      </c>
      <c r="AC707" s="250" t="s">
        <v>842</v>
      </c>
      <c r="AD707" s="250">
        <v>220</v>
      </c>
      <c r="AE707" s="250"/>
      <c r="AF707" s="250"/>
    </row>
    <row r="708" spans="1:32" ht="15.75">
      <c r="A708" s="250" t="s">
        <v>862</v>
      </c>
      <c r="B708" s="250">
        <v>8</v>
      </c>
      <c r="C708" s="250" t="s">
        <v>1137</v>
      </c>
      <c r="D708" s="250" t="s">
        <v>838</v>
      </c>
      <c r="E708" s="250">
        <v>1.5</v>
      </c>
      <c r="F708" s="251">
        <v>45125.543749999997</v>
      </c>
      <c r="G708" s="250">
        <v>1</v>
      </c>
      <c r="H708" s="250">
        <v>51.370800000000003</v>
      </c>
      <c r="I708" s="250">
        <v>6.4467699999999999</v>
      </c>
      <c r="J708" s="250">
        <v>-8.7718139999999991</v>
      </c>
      <c r="K708" s="250">
        <v>-7.9318309999999999</v>
      </c>
      <c r="L708" s="250">
        <v>1023.91</v>
      </c>
      <c r="M708" s="250">
        <v>125.501017</v>
      </c>
      <c r="N708" s="250">
        <v>18310.052899999999</v>
      </c>
      <c r="O708" s="250">
        <v>18273.803899999999</v>
      </c>
      <c r="P708" s="250">
        <v>2022.4319700000001</v>
      </c>
      <c r="Q708" s="250">
        <v>2028.23</v>
      </c>
      <c r="R708" s="250" t="s">
        <v>647</v>
      </c>
      <c r="S708" s="250" t="s">
        <v>769</v>
      </c>
      <c r="T708" s="250">
        <v>15</v>
      </c>
      <c r="U708" s="250">
        <v>5</v>
      </c>
      <c r="V708" s="250">
        <v>0.7</v>
      </c>
      <c r="W708" s="250">
        <v>0.7</v>
      </c>
      <c r="X708" s="250">
        <v>0.7</v>
      </c>
      <c r="Y708" s="250">
        <v>1700</v>
      </c>
      <c r="Z708" s="250" t="s">
        <v>840</v>
      </c>
      <c r="AA708" s="250">
        <v>0.85</v>
      </c>
      <c r="AB708" s="250" t="s">
        <v>841</v>
      </c>
      <c r="AC708" s="250" t="s">
        <v>842</v>
      </c>
      <c r="AD708" s="250">
        <v>220</v>
      </c>
      <c r="AE708" s="250"/>
      <c r="AF708" s="250"/>
    </row>
    <row r="709" spans="1:32" ht="15.75">
      <c r="A709" s="250" t="s">
        <v>978</v>
      </c>
      <c r="B709" s="250">
        <v>8</v>
      </c>
      <c r="C709" s="250" t="s">
        <v>1137</v>
      </c>
      <c r="D709" s="250" t="s">
        <v>838</v>
      </c>
      <c r="E709" s="250">
        <v>1.5</v>
      </c>
      <c r="F709" s="251">
        <v>45125.547222222223</v>
      </c>
      <c r="G709" s="250">
        <v>1</v>
      </c>
      <c r="H709" s="250">
        <v>51.3675</v>
      </c>
      <c r="I709" s="250">
        <v>6.4251399999999999</v>
      </c>
      <c r="J709" s="250">
        <v>-8.5724090000000004</v>
      </c>
      <c r="K709" s="250">
        <v>-7.7385390000000003</v>
      </c>
      <c r="L709" s="250">
        <v>1020.79</v>
      </c>
      <c r="M709" s="250">
        <v>115.501014</v>
      </c>
      <c r="N709" s="250">
        <v>18267.962100000001</v>
      </c>
      <c r="O709" s="250">
        <v>18273.803899999999</v>
      </c>
      <c r="P709" s="250">
        <v>2022.4319700000001</v>
      </c>
      <c r="Q709" s="250">
        <v>2028.23</v>
      </c>
      <c r="R709" s="250" t="s">
        <v>839</v>
      </c>
      <c r="S709" s="250" t="s">
        <v>769</v>
      </c>
      <c r="T709" s="250">
        <v>15</v>
      </c>
      <c r="U709" s="250">
        <v>5</v>
      </c>
      <c r="V709" s="250">
        <v>0.7</v>
      </c>
      <c r="W709" s="250">
        <v>0.7</v>
      </c>
      <c r="X709" s="250">
        <v>0.7</v>
      </c>
      <c r="Y709" s="250">
        <v>1700</v>
      </c>
      <c r="Z709" s="250" t="s">
        <v>840</v>
      </c>
      <c r="AA709" s="250">
        <v>0.85</v>
      </c>
      <c r="AB709" s="250" t="s">
        <v>841</v>
      </c>
      <c r="AC709" s="250" t="s">
        <v>842</v>
      </c>
      <c r="AD709" s="250">
        <v>220</v>
      </c>
      <c r="AE709" s="250"/>
      <c r="AF709" s="250"/>
    </row>
    <row r="710" spans="1:32" ht="15.75">
      <c r="A710" s="250" t="s">
        <v>979</v>
      </c>
      <c r="B710" s="250">
        <v>8</v>
      </c>
      <c r="C710" s="250" t="s">
        <v>1137</v>
      </c>
      <c r="D710" s="250" t="s">
        <v>838</v>
      </c>
      <c r="E710" s="250">
        <v>1.5</v>
      </c>
      <c r="F710" s="251">
        <v>45125.550694444442</v>
      </c>
      <c r="G710" s="250">
        <v>1</v>
      </c>
      <c r="H710" s="250">
        <v>51.370800000000003</v>
      </c>
      <c r="I710" s="250">
        <v>6.3958000000000004</v>
      </c>
      <c r="J710" s="250">
        <v>-8.7821890000000007</v>
      </c>
      <c r="K710" s="250">
        <v>-7.9326930000000004</v>
      </c>
      <c r="L710" s="250">
        <v>1020.65</v>
      </c>
      <c r="M710" s="250">
        <v>112.50093</v>
      </c>
      <c r="N710" s="250">
        <v>18276.878700000001</v>
      </c>
      <c r="O710" s="250">
        <v>18273.803899999999</v>
      </c>
      <c r="P710" s="250">
        <v>2022.4319700000001</v>
      </c>
      <c r="Q710" s="250">
        <v>2028.23</v>
      </c>
      <c r="R710" s="250" t="s">
        <v>839</v>
      </c>
      <c r="S710" s="250" t="s">
        <v>769</v>
      </c>
      <c r="T710" s="250">
        <v>15</v>
      </c>
      <c r="U710" s="250">
        <v>5</v>
      </c>
      <c r="V710" s="250">
        <v>0.7</v>
      </c>
      <c r="W710" s="250">
        <v>0.7</v>
      </c>
      <c r="X710" s="250">
        <v>0.7</v>
      </c>
      <c r="Y710" s="250">
        <v>1700</v>
      </c>
      <c r="Z710" s="250" t="s">
        <v>840</v>
      </c>
      <c r="AA710" s="250">
        <v>0.85</v>
      </c>
      <c r="AB710" s="250" t="s">
        <v>841</v>
      </c>
      <c r="AC710" s="250" t="s">
        <v>842</v>
      </c>
      <c r="AD710" s="250">
        <v>220</v>
      </c>
      <c r="AE710" s="250"/>
      <c r="AF710" s="250"/>
    </row>
    <row r="711" spans="1:32" ht="15.75">
      <c r="A711" s="250" t="s">
        <v>980</v>
      </c>
      <c r="B711" s="250">
        <v>8</v>
      </c>
      <c r="C711" s="250" t="s">
        <v>1137</v>
      </c>
      <c r="D711" s="250" t="s">
        <v>838</v>
      </c>
      <c r="E711" s="250">
        <v>1.5</v>
      </c>
      <c r="F711" s="251">
        <v>45125.554166666669</v>
      </c>
      <c r="G711" s="250">
        <v>1</v>
      </c>
      <c r="H711" s="250">
        <v>51.374099999999999</v>
      </c>
      <c r="I711" s="250">
        <v>6.3669900000000004</v>
      </c>
      <c r="J711" s="250">
        <v>-8.6214200000000005</v>
      </c>
      <c r="K711" s="250">
        <v>-7.7797790000000004</v>
      </c>
      <c r="L711" s="250">
        <v>1027.23</v>
      </c>
      <c r="M711" s="250">
        <v>115.998553</v>
      </c>
      <c r="N711" s="250">
        <v>18276.570899999999</v>
      </c>
      <c r="O711" s="250">
        <v>18273.803899999999</v>
      </c>
      <c r="P711" s="250">
        <v>2022.4319700000001</v>
      </c>
      <c r="Q711" s="250">
        <v>2028.23</v>
      </c>
      <c r="R711" s="250" t="s">
        <v>839</v>
      </c>
      <c r="S711" s="250" t="s">
        <v>769</v>
      </c>
      <c r="T711" s="250">
        <v>15</v>
      </c>
      <c r="U711" s="250">
        <v>5</v>
      </c>
      <c r="V711" s="250">
        <v>0.7</v>
      </c>
      <c r="W711" s="250">
        <v>0.7</v>
      </c>
      <c r="X711" s="250">
        <v>0.7</v>
      </c>
      <c r="Y711" s="250">
        <v>1700</v>
      </c>
      <c r="Z711" s="250" t="s">
        <v>840</v>
      </c>
      <c r="AA711" s="250">
        <v>0.85</v>
      </c>
      <c r="AB711" s="250" t="s">
        <v>841</v>
      </c>
      <c r="AC711" s="250" t="s">
        <v>842</v>
      </c>
      <c r="AD711" s="250">
        <v>220</v>
      </c>
      <c r="AE711" s="250"/>
      <c r="AF711" s="250"/>
    </row>
    <row r="712" spans="1:32" ht="15.75">
      <c r="A712" s="250" t="s">
        <v>863</v>
      </c>
      <c r="B712" s="250">
        <v>9</v>
      </c>
      <c r="C712" s="250" t="s">
        <v>1137</v>
      </c>
      <c r="D712" s="250" t="s">
        <v>838</v>
      </c>
      <c r="E712" s="250">
        <v>1.5</v>
      </c>
      <c r="F712" s="251">
        <v>45125.557638888888</v>
      </c>
      <c r="G712" s="250">
        <v>1</v>
      </c>
      <c r="H712" s="250">
        <v>51.370800000000003</v>
      </c>
      <c r="I712" s="250">
        <v>6.4169499999999999</v>
      </c>
      <c r="J712" s="250">
        <v>-8.6385719999999999</v>
      </c>
      <c r="K712" s="250">
        <v>-7.7912660000000002</v>
      </c>
      <c r="L712" s="250">
        <v>1035.67</v>
      </c>
      <c r="M712" s="250">
        <v>116.498915</v>
      </c>
      <c r="N712" s="250">
        <v>18303.353599999999</v>
      </c>
      <c r="O712" s="250">
        <v>18302.1852</v>
      </c>
      <c r="P712" s="250">
        <v>2025.5424800000001</v>
      </c>
      <c r="Q712" s="250" t="s">
        <v>18</v>
      </c>
      <c r="R712" s="250" t="s">
        <v>839</v>
      </c>
      <c r="S712" s="250" t="s">
        <v>28</v>
      </c>
      <c r="T712" s="250">
        <v>15</v>
      </c>
      <c r="U712" s="250">
        <v>5</v>
      </c>
      <c r="V712" s="250">
        <v>0.7</v>
      </c>
      <c r="W712" s="250">
        <v>0.7</v>
      </c>
      <c r="X712" s="250">
        <v>0.7</v>
      </c>
      <c r="Y712" s="250">
        <v>1700</v>
      </c>
      <c r="Z712" s="250" t="s">
        <v>840</v>
      </c>
      <c r="AA712" s="250">
        <v>0.85</v>
      </c>
      <c r="AB712" s="250" t="s">
        <v>841</v>
      </c>
      <c r="AC712" s="250" t="s">
        <v>842</v>
      </c>
      <c r="AD712" s="250">
        <v>220</v>
      </c>
      <c r="AE712" s="250"/>
      <c r="AF712" s="250"/>
    </row>
    <row r="713" spans="1:32" ht="15.75">
      <c r="A713" s="250" t="s">
        <v>983</v>
      </c>
      <c r="B713" s="250">
        <v>9</v>
      </c>
      <c r="C713" s="250" t="s">
        <v>1137</v>
      </c>
      <c r="D713" s="250" t="s">
        <v>838</v>
      </c>
      <c r="E713" s="250">
        <v>1.5</v>
      </c>
      <c r="F713" s="251">
        <v>45125.561111111114</v>
      </c>
      <c r="G713" s="250">
        <v>1</v>
      </c>
      <c r="H713" s="250">
        <v>51.374099999999999</v>
      </c>
      <c r="I713" s="250">
        <v>6.3483499999999999</v>
      </c>
      <c r="J713" s="250">
        <v>-8.6745560000000008</v>
      </c>
      <c r="K713" s="250">
        <v>-7.8440799999999999</v>
      </c>
      <c r="L713" s="250">
        <v>1015.13</v>
      </c>
      <c r="M713" s="250">
        <v>117.500916</v>
      </c>
      <c r="N713" s="250">
        <v>18287.080999999998</v>
      </c>
      <c r="O713" s="250">
        <v>18302.1852</v>
      </c>
      <c r="P713" s="250">
        <v>2025.5424800000001</v>
      </c>
      <c r="Q713" s="250" t="s">
        <v>18</v>
      </c>
      <c r="R713" s="250" t="s">
        <v>839</v>
      </c>
      <c r="S713" s="250" t="s">
        <v>28</v>
      </c>
      <c r="T713" s="250">
        <v>15</v>
      </c>
      <c r="U713" s="250">
        <v>5</v>
      </c>
      <c r="V713" s="250">
        <v>0.7</v>
      </c>
      <c r="W713" s="250">
        <v>0.7</v>
      </c>
      <c r="X713" s="250">
        <v>0.7</v>
      </c>
      <c r="Y713" s="250">
        <v>1700</v>
      </c>
      <c r="Z713" s="250" t="s">
        <v>840</v>
      </c>
      <c r="AA713" s="250">
        <v>0.85</v>
      </c>
      <c r="AB713" s="250" t="s">
        <v>841</v>
      </c>
      <c r="AC713" s="250" t="s">
        <v>842</v>
      </c>
      <c r="AD713" s="250">
        <v>220</v>
      </c>
      <c r="AE713" s="250"/>
      <c r="AF713" s="250"/>
    </row>
    <row r="714" spans="1:32" ht="15.75">
      <c r="A714" s="250" t="s">
        <v>984</v>
      </c>
      <c r="B714" s="250">
        <v>9</v>
      </c>
      <c r="C714" s="250" t="s">
        <v>1137</v>
      </c>
      <c r="D714" s="250" t="s">
        <v>838</v>
      </c>
      <c r="E714" s="250">
        <v>1.5</v>
      </c>
      <c r="F714" s="251">
        <v>45125.564583333333</v>
      </c>
      <c r="G714" s="250">
        <v>1</v>
      </c>
      <c r="H714" s="250">
        <v>51.374099999999999</v>
      </c>
      <c r="I714" s="250">
        <v>6.4051</v>
      </c>
      <c r="J714" s="250">
        <v>-8.7557390000000002</v>
      </c>
      <c r="K714" s="250">
        <v>-7.9132490000000004</v>
      </c>
      <c r="L714" s="250">
        <v>1021.07</v>
      </c>
      <c r="M714" s="250">
        <v>124.00107800000001</v>
      </c>
      <c r="N714" s="250">
        <v>18316.121200000001</v>
      </c>
      <c r="O714" s="250">
        <v>18302.1852</v>
      </c>
      <c r="P714" s="250">
        <v>2025.5424800000001</v>
      </c>
      <c r="Q714" s="250" t="s">
        <v>18</v>
      </c>
      <c r="R714" s="250" t="s">
        <v>839</v>
      </c>
      <c r="S714" s="250" t="s">
        <v>28</v>
      </c>
      <c r="T714" s="250">
        <v>15</v>
      </c>
      <c r="U714" s="250">
        <v>5</v>
      </c>
      <c r="V714" s="250">
        <v>0.7</v>
      </c>
      <c r="W714" s="250">
        <v>0.7</v>
      </c>
      <c r="X714" s="250">
        <v>0.7</v>
      </c>
      <c r="Y714" s="250">
        <v>1700</v>
      </c>
      <c r="Z714" s="250" t="s">
        <v>840</v>
      </c>
      <c r="AA714" s="250">
        <v>0.85</v>
      </c>
      <c r="AB714" s="250" t="s">
        <v>841</v>
      </c>
      <c r="AC714" s="250" t="s">
        <v>842</v>
      </c>
      <c r="AD714" s="250">
        <v>220</v>
      </c>
      <c r="AE714" s="250"/>
      <c r="AF714" s="250"/>
    </row>
    <row r="715" spans="1:32" ht="15.75">
      <c r="B715" s="227"/>
      <c r="C715" s="227"/>
      <c r="D715" s="227"/>
      <c r="E715" s="227"/>
      <c r="F715" s="227"/>
      <c r="G715" s="227"/>
      <c r="H715" s="227"/>
      <c r="I715" s="227"/>
      <c r="J715" s="227"/>
      <c r="K715" s="227"/>
      <c r="L715" s="227"/>
      <c r="M715" s="227"/>
      <c r="N715" s="227"/>
      <c r="O715" s="227"/>
      <c r="P715" s="227"/>
      <c r="Q715" s="227"/>
      <c r="R715" s="227"/>
      <c r="S715" s="227"/>
      <c r="T715" s="227"/>
      <c r="U715" s="227"/>
      <c r="V715" s="227"/>
      <c r="W715" s="227"/>
      <c r="X715" s="227"/>
      <c r="Y715" s="227"/>
      <c r="Z715" s="227"/>
      <c r="AA715" s="227"/>
      <c r="AB715" s="227"/>
      <c r="AC715" s="227"/>
      <c r="AD715" s="227"/>
    </row>
    <row r="716" spans="1:32" ht="15.75">
      <c r="B716" s="227"/>
      <c r="C716" s="227"/>
      <c r="D716" s="227"/>
      <c r="E716" s="227"/>
      <c r="F716" s="227"/>
      <c r="G716" s="227"/>
      <c r="H716" s="227"/>
      <c r="I716" s="227"/>
      <c r="J716" s="227"/>
      <c r="K716" s="227"/>
      <c r="L716" s="227"/>
      <c r="M716" s="227"/>
      <c r="N716" s="227"/>
      <c r="O716" s="227"/>
      <c r="P716" s="227"/>
      <c r="Q716" s="227"/>
      <c r="R716" s="227"/>
      <c r="S716" s="227"/>
      <c r="T716" s="227"/>
      <c r="U716" s="227"/>
      <c r="V716" s="227"/>
      <c r="W716" s="227"/>
      <c r="X716" s="227"/>
      <c r="Y716" s="227"/>
      <c r="Z716" s="227"/>
      <c r="AA716" s="227"/>
      <c r="AB716" s="227"/>
      <c r="AC716" s="227"/>
      <c r="AD716" s="227"/>
    </row>
    <row r="717" spans="1:32" ht="15.75">
      <c r="B717" s="227"/>
      <c r="C717" s="227"/>
      <c r="D717" s="227"/>
      <c r="E717" s="227"/>
      <c r="F717" s="227"/>
      <c r="G717" s="227"/>
      <c r="H717" s="227"/>
      <c r="I717" s="227"/>
      <c r="J717" s="227"/>
      <c r="K717" s="227"/>
      <c r="L717" s="227"/>
      <c r="M717" s="227"/>
      <c r="N717" s="227"/>
      <c r="O717" s="227"/>
      <c r="P717" s="227"/>
      <c r="Q717" s="227"/>
      <c r="R717" s="227"/>
      <c r="S717" s="227"/>
      <c r="T717" s="227"/>
      <c r="U717" s="227"/>
      <c r="V717" s="227"/>
      <c r="W717" s="227"/>
      <c r="X717" s="227"/>
      <c r="Y717" s="227"/>
      <c r="Z717" s="227"/>
      <c r="AA717" s="227"/>
      <c r="AB717" s="227"/>
      <c r="AC717" s="227"/>
      <c r="AD717" s="227"/>
    </row>
    <row r="718" spans="1:32" ht="15.75">
      <c r="B718" s="227"/>
      <c r="C718" s="227"/>
      <c r="D718" s="227"/>
      <c r="E718" s="227"/>
      <c r="F718" s="227"/>
      <c r="G718" s="227"/>
      <c r="H718" s="227"/>
      <c r="I718" s="227"/>
      <c r="J718" s="227"/>
      <c r="K718" s="227"/>
      <c r="L718" s="227"/>
      <c r="M718" s="227"/>
      <c r="N718" s="227"/>
      <c r="O718" s="227"/>
      <c r="P718" s="227"/>
      <c r="Q718" s="227"/>
      <c r="R718" s="227"/>
      <c r="S718" s="227"/>
      <c r="T718" s="227"/>
      <c r="U718" s="227"/>
      <c r="V718" s="227"/>
      <c r="W718" s="227"/>
      <c r="X718" s="227"/>
      <c r="Y718" s="227"/>
      <c r="Z718" s="227"/>
      <c r="AA718" s="227"/>
      <c r="AB718" s="227"/>
      <c r="AC718" s="227"/>
      <c r="AD718" s="227"/>
    </row>
    <row r="719" spans="1:32" ht="15.75">
      <c r="B719" s="227"/>
      <c r="C719" s="227"/>
      <c r="D719" s="227"/>
      <c r="E719" s="227"/>
      <c r="F719" s="227"/>
      <c r="G719" s="227"/>
      <c r="H719" s="227"/>
      <c r="I719" s="227"/>
      <c r="J719" s="227"/>
      <c r="K719" s="227"/>
      <c r="L719" s="227"/>
      <c r="M719" s="227"/>
      <c r="N719" s="227"/>
      <c r="O719" s="227"/>
      <c r="P719" s="227"/>
      <c r="Q719" s="227"/>
      <c r="R719" s="227"/>
      <c r="S719" s="227"/>
      <c r="T719" s="227"/>
      <c r="U719" s="227"/>
      <c r="V719" s="227"/>
      <c r="W719" s="227"/>
      <c r="X719" s="227"/>
      <c r="Y719" s="227"/>
      <c r="Z719" s="227"/>
      <c r="AA719" s="227"/>
      <c r="AB719" s="227"/>
      <c r="AC719" s="227"/>
      <c r="AD719" s="227"/>
    </row>
    <row r="720" spans="1:32" ht="15.75">
      <c r="B720" s="227"/>
      <c r="C720" s="227"/>
      <c r="D720" s="227"/>
      <c r="E720" s="227"/>
      <c r="F720" s="227"/>
      <c r="G720" s="227"/>
      <c r="H720" s="227"/>
      <c r="I720" s="227"/>
      <c r="J720" s="227"/>
      <c r="K720" s="227"/>
      <c r="L720" s="227"/>
      <c r="M720" s="227"/>
      <c r="N720" s="227"/>
      <c r="O720" s="227"/>
      <c r="P720" s="227"/>
      <c r="Q720" s="227"/>
      <c r="R720" s="227"/>
      <c r="S720" s="227"/>
      <c r="T720" s="227"/>
      <c r="U720" s="227"/>
      <c r="V720" s="227"/>
      <c r="W720" s="227"/>
      <c r="X720" s="227"/>
      <c r="Y720" s="227"/>
      <c r="Z720" s="227"/>
      <c r="AA720" s="227"/>
      <c r="AB720" s="227"/>
      <c r="AC720" s="227"/>
      <c r="AD720" s="227"/>
    </row>
    <row r="721" spans="2:30" ht="15.75">
      <c r="B721" s="227"/>
      <c r="C721" s="227"/>
      <c r="D721" s="227"/>
      <c r="E721" s="227"/>
      <c r="F721" s="227"/>
      <c r="G721" s="227"/>
      <c r="H721" s="227"/>
      <c r="I721" s="227"/>
      <c r="J721" s="227"/>
      <c r="K721" s="227"/>
      <c r="L721" s="227"/>
      <c r="M721" s="227"/>
      <c r="N721" s="227"/>
      <c r="O721" s="227"/>
      <c r="P721" s="227"/>
      <c r="Q721" s="227"/>
      <c r="R721" s="227"/>
      <c r="S721" s="227"/>
      <c r="T721" s="227"/>
      <c r="U721" s="227"/>
      <c r="V721" s="227"/>
      <c r="W721" s="227"/>
      <c r="X721" s="227"/>
      <c r="Y721" s="227"/>
      <c r="Z721" s="227"/>
      <c r="AA721" s="227"/>
      <c r="AB721" s="227"/>
      <c r="AC721" s="227"/>
      <c r="AD721" s="227"/>
    </row>
    <row r="722" spans="2:30" ht="15.75">
      <c r="B722" s="227"/>
      <c r="C722" s="227"/>
      <c r="D722" s="227"/>
      <c r="E722" s="227"/>
      <c r="F722" s="227"/>
      <c r="G722" s="227"/>
      <c r="H722" s="227"/>
      <c r="I722" s="227"/>
      <c r="J722" s="227"/>
      <c r="K722" s="227"/>
      <c r="L722" s="227"/>
      <c r="M722" s="227"/>
      <c r="N722" s="227"/>
      <c r="O722" s="227"/>
      <c r="P722" s="227"/>
      <c r="Q722" s="227"/>
      <c r="R722" s="227"/>
      <c r="S722" s="227"/>
      <c r="T722" s="227"/>
      <c r="U722" s="227"/>
      <c r="V722" s="227"/>
      <c r="W722" s="227"/>
      <c r="X722" s="227"/>
      <c r="Y722" s="227"/>
      <c r="Z722" s="227"/>
      <c r="AA722" s="227"/>
      <c r="AB722" s="227"/>
      <c r="AC722" s="227"/>
      <c r="AD722" s="227"/>
    </row>
    <row r="723" spans="2:30" ht="15.75">
      <c r="B723" s="227"/>
      <c r="C723" s="227"/>
      <c r="D723" s="227"/>
      <c r="E723" s="227"/>
      <c r="F723" s="227"/>
      <c r="G723" s="227"/>
      <c r="H723" s="227"/>
      <c r="I723" s="227"/>
      <c r="J723" s="227"/>
      <c r="K723" s="227"/>
      <c r="L723" s="227"/>
      <c r="M723" s="227"/>
      <c r="N723" s="227"/>
      <c r="O723" s="227"/>
      <c r="P723" s="227"/>
      <c r="Q723" s="227"/>
      <c r="R723" s="227"/>
      <c r="S723" s="227"/>
      <c r="T723" s="227"/>
      <c r="U723" s="227"/>
      <c r="V723" s="227"/>
      <c r="W723" s="227"/>
      <c r="X723" s="227"/>
      <c r="Y723" s="227"/>
      <c r="Z723" s="227"/>
      <c r="AA723" s="227"/>
      <c r="AB723" s="227"/>
      <c r="AC723" s="227"/>
      <c r="AD723" s="227"/>
    </row>
    <row r="724" spans="2:30" ht="15.75">
      <c r="B724" s="227"/>
      <c r="C724" s="227"/>
      <c r="D724" s="227"/>
      <c r="E724" s="227"/>
      <c r="F724" s="227"/>
      <c r="G724" s="227"/>
      <c r="H724" s="227"/>
      <c r="I724" s="227"/>
      <c r="J724" s="227"/>
      <c r="K724" s="227"/>
      <c r="L724" s="227"/>
      <c r="M724" s="227"/>
      <c r="N724" s="227"/>
      <c r="O724" s="227"/>
      <c r="P724" s="227"/>
      <c r="Q724" s="227"/>
      <c r="R724" s="227"/>
      <c r="S724" s="227"/>
      <c r="T724" s="227"/>
      <c r="U724" s="227"/>
      <c r="V724" s="227"/>
      <c r="W724" s="227"/>
      <c r="X724" s="227"/>
      <c r="Y724" s="227"/>
      <c r="Z724" s="227"/>
      <c r="AA724" s="227"/>
      <c r="AB724" s="227"/>
      <c r="AC724" s="227"/>
      <c r="AD724" s="227"/>
    </row>
    <row r="725" spans="2:30" ht="15.75">
      <c r="B725" s="227"/>
      <c r="C725" s="227"/>
      <c r="D725" s="227"/>
      <c r="E725" s="227"/>
      <c r="F725" s="227"/>
      <c r="G725" s="227"/>
      <c r="H725" s="227"/>
      <c r="I725" s="227"/>
      <c r="J725" s="227"/>
      <c r="K725" s="227"/>
      <c r="L725" s="227"/>
      <c r="M725" s="227"/>
      <c r="N725" s="227"/>
      <c r="O725" s="227"/>
      <c r="P725" s="227"/>
      <c r="Q725" s="227"/>
      <c r="R725" s="227"/>
      <c r="S725" s="227"/>
      <c r="T725" s="227"/>
      <c r="U725" s="227"/>
      <c r="V725" s="227"/>
      <c r="W725" s="227"/>
      <c r="X725" s="227"/>
      <c r="Y725" s="227"/>
      <c r="Z725" s="227"/>
      <c r="AA725" s="227"/>
      <c r="AB725" s="227"/>
      <c r="AC725" s="227"/>
      <c r="AD725" s="227"/>
    </row>
    <row r="726" spans="2:30" ht="15.75">
      <c r="B726" s="227"/>
      <c r="C726" s="227"/>
      <c r="D726" s="227"/>
      <c r="E726" s="227"/>
      <c r="F726" s="227"/>
      <c r="G726" s="227"/>
      <c r="H726" s="227"/>
      <c r="I726" s="227"/>
      <c r="J726" s="227"/>
      <c r="K726" s="227"/>
      <c r="L726" s="227"/>
      <c r="M726" s="227"/>
      <c r="N726" s="227"/>
      <c r="O726" s="227"/>
      <c r="P726" s="227"/>
      <c r="Q726" s="227"/>
      <c r="R726" s="227"/>
      <c r="S726" s="227"/>
      <c r="T726" s="227"/>
      <c r="U726" s="227"/>
      <c r="V726" s="227"/>
      <c r="W726" s="227"/>
      <c r="X726" s="227"/>
      <c r="Y726" s="227"/>
      <c r="Z726" s="227"/>
      <c r="AA726" s="227"/>
      <c r="AB726" s="227"/>
      <c r="AC726" s="227"/>
      <c r="AD726" s="227"/>
    </row>
    <row r="727" spans="2:30" ht="15.75">
      <c r="B727" s="227"/>
      <c r="C727" s="227"/>
      <c r="D727" s="227"/>
      <c r="E727" s="227"/>
      <c r="F727" s="227"/>
      <c r="G727" s="227"/>
      <c r="H727" s="227"/>
      <c r="I727" s="227"/>
      <c r="J727" s="227"/>
      <c r="K727" s="227"/>
      <c r="L727" s="227"/>
      <c r="M727" s="227"/>
      <c r="N727" s="227"/>
      <c r="O727" s="227"/>
      <c r="P727" s="227"/>
      <c r="Q727" s="227"/>
      <c r="R727" s="227"/>
      <c r="S727" s="227"/>
      <c r="T727" s="227"/>
      <c r="U727" s="227"/>
      <c r="V727" s="227"/>
      <c r="W727" s="227"/>
      <c r="X727" s="227"/>
      <c r="Y727" s="227"/>
      <c r="Z727" s="227"/>
      <c r="AA727" s="227"/>
      <c r="AB727" s="227"/>
      <c r="AC727" s="227"/>
      <c r="AD727" s="227"/>
    </row>
    <row r="728" spans="2:30" ht="15.75">
      <c r="B728" s="227"/>
      <c r="C728" s="227"/>
      <c r="D728" s="227"/>
      <c r="E728" s="227"/>
      <c r="F728" s="227"/>
      <c r="G728" s="227"/>
      <c r="H728" s="227"/>
      <c r="I728" s="227"/>
      <c r="J728" s="227"/>
      <c r="K728" s="227"/>
      <c r="L728" s="227"/>
      <c r="M728" s="227"/>
      <c r="N728" s="227"/>
      <c r="O728" s="227"/>
      <c r="P728" s="227"/>
      <c r="Q728" s="227"/>
      <c r="R728" s="227"/>
      <c r="S728" s="227"/>
      <c r="T728" s="227"/>
      <c r="U728" s="227"/>
      <c r="V728" s="227"/>
      <c r="W728" s="227"/>
      <c r="X728" s="227"/>
      <c r="Y728" s="227"/>
      <c r="Z728" s="227"/>
      <c r="AA728" s="227"/>
      <c r="AB728" s="227"/>
      <c r="AC728" s="227"/>
      <c r="AD728" s="227"/>
    </row>
    <row r="729" spans="2:30" ht="15.75">
      <c r="B729" s="227"/>
      <c r="C729" s="227"/>
      <c r="D729" s="227"/>
      <c r="E729" s="227"/>
      <c r="F729" s="227"/>
      <c r="G729" s="227"/>
      <c r="H729" s="227"/>
      <c r="I729" s="227"/>
      <c r="J729" s="227"/>
      <c r="K729" s="227"/>
      <c r="L729" s="227"/>
      <c r="M729" s="227"/>
      <c r="N729" s="227"/>
      <c r="O729" s="227"/>
      <c r="P729" s="227"/>
      <c r="Q729" s="227"/>
      <c r="R729" s="227"/>
      <c r="S729" s="227"/>
      <c r="T729" s="227"/>
      <c r="U729" s="227"/>
      <c r="V729" s="227"/>
      <c r="W729" s="227"/>
      <c r="X729" s="227"/>
      <c r="Y729" s="227"/>
      <c r="Z729" s="227"/>
      <c r="AA729" s="227"/>
      <c r="AB729" s="227"/>
      <c r="AC729" s="227"/>
      <c r="AD729" s="227"/>
    </row>
    <row r="730" spans="2:30" ht="15.75">
      <c r="B730" s="227"/>
      <c r="C730" s="227"/>
      <c r="D730" s="227"/>
      <c r="E730" s="227"/>
      <c r="F730" s="227"/>
      <c r="G730" s="227"/>
      <c r="H730" s="227"/>
      <c r="I730" s="227"/>
      <c r="J730" s="227"/>
      <c r="K730" s="227"/>
      <c r="L730" s="227"/>
      <c r="M730" s="227"/>
      <c r="N730" s="227"/>
      <c r="O730" s="227"/>
      <c r="P730" s="227"/>
      <c r="Q730" s="227"/>
      <c r="R730" s="227"/>
      <c r="S730" s="227"/>
      <c r="T730" s="227"/>
      <c r="U730" s="227"/>
      <c r="V730" s="227"/>
      <c r="W730" s="227"/>
      <c r="X730" s="227"/>
      <c r="Y730" s="227"/>
      <c r="Z730" s="227"/>
      <c r="AA730" s="227"/>
      <c r="AB730" s="227"/>
      <c r="AC730" s="227"/>
      <c r="AD730" s="227"/>
    </row>
    <row r="731" spans="2:30" ht="15.75">
      <c r="B731" s="227"/>
      <c r="C731" s="227"/>
      <c r="D731" s="227"/>
      <c r="E731" s="227"/>
      <c r="F731" s="227"/>
      <c r="G731" s="227"/>
      <c r="H731" s="227"/>
      <c r="I731" s="227"/>
      <c r="J731" s="227"/>
      <c r="K731" s="227"/>
      <c r="L731" s="227"/>
      <c r="M731" s="227"/>
      <c r="N731" s="227"/>
      <c r="O731" s="227"/>
      <c r="P731" s="227"/>
      <c r="Q731" s="227"/>
      <c r="R731" s="227"/>
      <c r="S731" s="227"/>
      <c r="T731" s="227"/>
      <c r="U731" s="227"/>
      <c r="V731" s="227"/>
      <c r="W731" s="227"/>
      <c r="X731" s="227"/>
      <c r="Y731" s="227"/>
      <c r="Z731" s="227"/>
      <c r="AA731" s="227"/>
      <c r="AB731" s="227"/>
      <c r="AC731" s="227"/>
      <c r="AD731" s="227"/>
    </row>
    <row r="732" spans="2:30" ht="15.75">
      <c r="B732" s="227"/>
      <c r="C732" s="227"/>
      <c r="D732" s="227"/>
      <c r="E732" s="227"/>
      <c r="F732" s="227"/>
      <c r="G732" s="227"/>
      <c r="H732" s="227"/>
      <c r="I732" s="227"/>
      <c r="J732" s="227"/>
      <c r="K732" s="227"/>
      <c r="L732" s="227"/>
      <c r="M732" s="227"/>
      <c r="N732" s="227"/>
      <c r="O732" s="227"/>
      <c r="P732" s="227"/>
      <c r="Q732" s="227"/>
      <c r="R732" s="227"/>
      <c r="S732" s="227"/>
      <c r="T732" s="227"/>
      <c r="U732" s="227"/>
      <c r="V732" s="227"/>
      <c r="W732" s="227"/>
      <c r="X732" s="227"/>
      <c r="Y732" s="227"/>
      <c r="Z732" s="227"/>
      <c r="AA732" s="227"/>
      <c r="AB732" s="227"/>
      <c r="AC732" s="227"/>
      <c r="AD732" s="227"/>
    </row>
    <row r="733" spans="2:30" ht="15.75">
      <c r="B733" s="227"/>
      <c r="C733" s="227"/>
      <c r="D733" s="227"/>
      <c r="E733" s="227"/>
      <c r="F733" s="227"/>
      <c r="G733" s="227"/>
      <c r="H733" s="227"/>
      <c r="I733" s="227"/>
      <c r="J733" s="227"/>
      <c r="K733" s="227"/>
      <c r="L733" s="227"/>
      <c r="M733" s="227"/>
      <c r="N733" s="227"/>
      <c r="O733" s="227"/>
      <c r="P733" s="227"/>
      <c r="Q733" s="227"/>
      <c r="R733" s="227"/>
      <c r="S733" s="227"/>
      <c r="T733" s="227"/>
      <c r="U733" s="227"/>
      <c r="V733" s="227"/>
      <c r="W733" s="227"/>
      <c r="X733" s="227"/>
      <c r="Y733" s="227"/>
      <c r="Z733" s="227"/>
      <c r="AA733" s="227"/>
      <c r="AB733" s="227"/>
      <c r="AC733" s="227"/>
      <c r="AD733" s="227"/>
    </row>
    <row r="734" spans="2:30" ht="15.75">
      <c r="B734" s="227"/>
      <c r="C734" s="227"/>
      <c r="D734" s="227"/>
      <c r="E734" s="227"/>
      <c r="F734" s="227"/>
      <c r="G734" s="227"/>
      <c r="H734" s="227"/>
      <c r="I734" s="227"/>
      <c r="J734" s="227"/>
      <c r="K734" s="227"/>
      <c r="L734" s="227"/>
      <c r="M734" s="227"/>
      <c r="N734" s="227"/>
      <c r="O734" s="227"/>
      <c r="P734" s="227"/>
      <c r="Q734" s="227"/>
      <c r="R734" s="227"/>
      <c r="S734" s="227"/>
      <c r="T734" s="227"/>
      <c r="U734" s="227"/>
      <c r="V734" s="227"/>
      <c r="W734" s="227"/>
      <c r="X734" s="227"/>
      <c r="Y734" s="227"/>
      <c r="Z734" s="227"/>
      <c r="AA734" s="227"/>
      <c r="AB734" s="227"/>
      <c r="AC734" s="227"/>
      <c r="AD734" s="227"/>
    </row>
    <row r="735" spans="2:30" ht="15.75">
      <c r="B735" s="227"/>
      <c r="C735" s="227"/>
      <c r="D735" s="227"/>
      <c r="E735" s="227"/>
      <c r="F735" s="227"/>
      <c r="G735" s="227"/>
      <c r="H735" s="227"/>
      <c r="I735" s="227"/>
      <c r="J735" s="227"/>
      <c r="K735" s="227"/>
      <c r="L735" s="227"/>
      <c r="M735" s="227"/>
      <c r="N735" s="227"/>
      <c r="O735" s="227"/>
      <c r="P735" s="227"/>
      <c r="Q735" s="227"/>
      <c r="R735" s="227"/>
      <c r="S735" s="227"/>
      <c r="T735" s="227"/>
      <c r="U735" s="227"/>
      <c r="V735" s="227"/>
      <c r="W735" s="227"/>
      <c r="X735" s="227"/>
      <c r="Y735" s="227"/>
      <c r="Z735" s="227"/>
      <c r="AA735" s="227"/>
      <c r="AB735" s="227"/>
      <c r="AC735" s="227"/>
      <c r="AD735" s="227"/>
    </row>
    <row r="736" spans="2:30" ht="15.75">
      <c r="B736" s="227"/>
      <c r="C736" s="227"/>
      <c r="D736" s="227"/>
      <c r="E736" s="227"/>
      <c r="F736" s="227"/>
      <c r="G736" s="227"/>
      <c r="H736" s="227"/>
      <c r="I736" s="227"/>
      <c r="J736" s="227"/>
      <c r="K736" s="227"/>
      <c r="L736" s="227"/>
      <c r="M736" s="227"/>
      <c r="N736" s="227"/>
      <c r="O736" s="227"/>
      <c r="P736" s="227"/>
      <c r="Q736" s="227"/>
      <c r="R736" s="227"/>
      <c r="S736" s="227"/>
      <c r="T736" s="227"/>
      <c r="U736" s="227"/>
      <c r="V736" s="227"/>
      <c r="W736" s="227"/>
      <c r="X736" s="227"/>
      <c r="Y736" s="227"/>
      <c r="Z736" s="227"/>
      <c r="AA736" s="227"/>
      <c r="AB736" s="227"/>
      <c r="AC736" s="227"/>
      <c r="AD736" s="227"/>
    </row>
    <row r="737" spans="2:30" ht="15.75">
      <c r="B737" s="227"/>
      <c r="C737" s="227"/>
      <c r="D737" s="227"/>
      <c r="E737" s="227"/>
      <c r="F737" s="227"/>
      <c r="G737" s="227"/>
      <c r="H737" s="227"/>
      <c r="I737" s="227"/>
      <c r="J737" s="227"/>
      <c r="K737" s="227"/>
      <c r="L737" s="227"/>
      <c r="M737" s="227"/>
      <c r="N737" s="227"/>
      <c r="O737" s="227"/>
      <c r="P737" s="227"/>
      <c r="Q737" s="227"/>
      <c r="R737" s="227"/>
      <c r="S737" s="227"/>
      <c r="T737" s="227"/>
      <c r="U737" s="227"/>
      <c r="V737" s="227"/>
      <c r="W737" s="227"/>
      <c r="X737" s="227"/>
      <c r="Y737" s="227"/>
      <c r="Z737" s="227"/>
      <c r="AA737" s="227"/>
      <c r="AB737" s="227"/>
      <c r="AC737" s="227"/>
      <c r="AD737" s="227"/>
    </row>
    <row r="738" spans="2:30" ht="15.75">
      <c r="B738" s="227"/>
      <c r="C738" s="227"/>
      <c r="D738" s="227"/>
      <c r="E738" s="227"/>
      <c r="F738" s="227"/>
      <c r="G738" s="227"/>
      <c r="H738" s="227"/>
      <c r="I738" s="227"/>
      <c r="J738" s="227"/>
      <c r="K738" s="227"/>
      <c r="L738" s="227"/>
      <c r="M738" s="227"/>
      <c r="N738" s="227"/>
      <c r="O738" s="227"/>
      <c r="P738" s="227"/>
      <c r="Q738" s="227"/>
      <c r="R738" s="227"/>
      <c r="S738" s="227"/>
      <c r="T738" s="227"/>
      <c r="U738" s="227"/>
      <c r="V738" s="227"/>
      <c r="W738" s="227"/>
      <c r="X738" s="227"/>
      <c r="Y738" s="227"/>
      <c r="Z738" s="227"/>
      <c r="AA738" s="227"/>
      <c r="AB738" s="227"/>
      <c r="AC738" s="227"/>
      <c r="AD738" s="227"/>
    </row>
    <row r="739" spans="2:30" ht="15.75">
      <c r="B739" s="227"/>
      <c r="C739" s="227"/>
      <c r="D739" s="227"/>
      <c r="E739" s="227"/>
      <c r="F739" s="227"/>
      <c r="G739" s="227"/>
      <c r="H739" s="227"/>
      <c r="I739" s="227"/>
      <c r="J739" s="227"/>
      <c r="K739" s="227"/>
      <c r="L739" s="227"/>
      <c r="M739" s="227"/>
      <c r="N739" s="227"/>
      <c r="O739" s="227"/>
      <c r="P739" s="227"/>
      <c r="Q739" s="227"/>
      <c r="R739" s="227"/>
      <c r="S739" s="227"/>
      <c r="T739" s="227"/>
      <c r="U739" s="227"/>
      <c r="V739" s="227"/>
      <c r="W739" s="227"/>
      <c r="X739" s="227"/>
      <c r="Y739" s="227"/>
      <c r="Z739" s="227"/>
      <c r="AA739" s="227"/>
      <c r="AB739" s="227"/>
      <c r="AC739" s="227"/>
      <c r="AD739" s="227"/>
    </row>
    <row r="740" spans="2:30" ht="15.75">
      <c r="B740" s="227"/>
      <c r="C740" s="227"/>
      <c r="D740" s="227"/>
      <c r="E740" s="227"/>
      <c r="F740" s="227"/>
      <c r="G740" s="227"/>
      <c r="H740" s="227"/>
      <c r="I740" s="227"/>
      <c r="J740" s="227"/>
      <c r="K740" s="227"/>
      <c r="L740" s="227"/>
      <c r="M740" s="227"/>
      <c r="N740" s="227"/>
      <c r="O740" s="227"/>
      <c r="P740" s="227"/>
      <c r="Q740" s="227"/>
      <c r="R740" s="227"/>
      <c r="S740" s="227"/>
      <c r="T740" s="227"/>
      <c r="U740" s="227"/>
      <c r="V740" s="227"/>
      <c r="W740" s="227"/>
      <c r="X740" s="227"/>
      <c r="Y740" s="227"/>
      <c r="Z740" s="227"/>
      <c r="AA740" s="227"/>
      <c r="AB740" s="227"/>
      <c r="AC740" s="227"/>
      <c r="AD740" s="227"/>
    </row>
    <row r="741" spans="2:30" ht="15.75">
      <c r="B741" s="227"/>
      <c r="C741" s="227"/>
      <c r="D741" s="227"/>
      <c r="E741" s="227"/>
      <c r="F741" s="227"/>
      <c r="G741" s="227"/>
      <c r="H741" s="227"/>
      <c r="I741" s="227"/>
      <c r="J741" s="227"/>
      <c r="K741" s="227"/>
      <c r="L741" s="227"/>
      <c r="M741" s="227"/>
      <c r="N741" s="227"/>
      <c r="O741" s="227"/>
      <c r="P741" s="227"/>
      <c r="Q741" s="227"/>
      <c r="R741" s="227"/>
      <c r="S741" s="227"/>
      <c r="T741" s="227"/>
      <c r="U741" s="227"/>
      <c r="V741" s="227"/>
      <c r="W741" s="227"/>
      <c r="X741" s="227"/>
      <c r="Y741" s="227"/>
      <c r="Z741" s="227"/>
      <c r="AA741" s="227"/>
      <c r="AB741" s="227"/>
      <c r="AC741" s="227"/>
      <c r="AD741" s="227"/>
    </row>
    <row r="742" spans="2:30" ht="15.75">
      <c r="B742" s="227"/>
      <c r="C742" s="227"/>
      <c r="D742" s="227"/>
      <c r="E742" s="227"/>
      <c r="F742" s="227"/>
      <c r="G742" s="227"/>
      <c r="H742" s="227"/>
      <c r="I742" s="227"/>
      <c r="J742" s="227"/>
      <c r="K742" s="227"/>
      <c r="L742" s="227"/>
      <c r="M742" s="227"/>
      <c r="N742" s="227"/>
      <c r="O742" s="227"/>
      <c r="P742" s="227"/>
      <c r="Q742" s="227"/>
      <c r="R742" s="227"/>
      <c r="S742" s="227"/>
      <c r="T742" s="227"/>
      <c r="U742" s="227"/>
      <c r="V742" s="227"/>
      <c r="W742" s="227"/>
      <c r="X742" s="227"/>
      <c r="Y742" s="227"/>
      <c r="Z742" s="227"/>
      <c r="AA742" s="227"/>
      <c r="AB742" s="227"/>
      <c r="AC742" s="227"/>
      <c r="AD742" s="227"/>
    </row>
    <row r="743" spans="2:30" ht="15.75">
      <c r="B743" s="227"/>
      <c r="C743" s="227"/>
      <c r="D743" s="227"/>
      <c r="E743" s="227"/>
      <c r="F743" s="227"/>
      <c r="G743" s="227"/>
      <c r="H743" s="227"/>
      <c r="I743" s="227"/>
      <c r="J743" s="227"/>
      <c r="K743" s="227"/>
      <c r="L743" s="227"/>
      <c r="M743" s="227"/>
      <c r="N743" s="227"/>
      <c r="O743" s="227"/>
      <c r="P743" s="227"/>
      <c r="Q743" s="227"/>
      <c r="R743" s="227"/>
      <c r="S743" s="227"/>
      <c r="T743" s="227"/>
      <c r="U743" s="227"/>
      <c r="V743" s="227"/>
      <c r="W743" s="227"/>
      <c r="X743" s="227"/>
      <c r="Y743" s="227"/>
      <c r="Z743" s="227"/>
      <c r="AA743" s="227"/>
      <c r="AB743" s="227"/>
      <c r="AC743" s="227"/>
      <c r="AD743" s="227"/>
    </row>
    <row r="744" spans="2:30" ht="15.75">
      <c r="B744" s="227"/>
      <c r="C744" s="227"/>
      <c r="D744" s="227"/>
      <c r="E744" s="227"/>
      <c r="F744" s="227"/>
      <c r="G744" s="227"/>
      <c r="H744" s="227"/>
      <c r="I744" s="227"/>
      <c r="J744" s="227"/>
      <c r="K744" s="227"/>
      <c r="L744" s="227"/>
      <c r="M744" s="227"/>
      <c r="N744" s="227"/>
      <c r="O744" s="227"/>
      <c r="P744" s="227"/>
      <c r="Q744" s="227"/>
      <c r="R744" s="227"/>
      <c r="S744" s="227"/>
      <c r="T744" s="227"/>
      <c r="U744" s="227"/>
      <c r="V744" s="227"/>
      <c r="W744" s="227"/>
      <c r="X744" s="227"/>
      <c r="Y744" s="227"/>
      <c r="Z744" s="227"/>
      <c r="AA744" s="227"/>
      <c r="AB744" s="227"/>
      <c r="AC744" s="227"/>
      <c r="AD744" s="227"/>
    </row>
    <row r="745" spans="2:30" ht="15.75">
      <c r="B745" s="227"/>
      <c r="C745" s="227"/>
      <c r="D745" s="227"/>
      <c r="E745" s="227"/>
      <c r="F745" s="227"/>
      <c r="G745" s="227"/>
      <c r="H745" s="227"/>
      <c r="I745" s="227"/>
      <c r="J745" s="227"/>
      <c r="K745" s="227"/>
      <c r="L745" s="227"/>
      <c r="M745" s="227"/>
      <c r="N745" s="227"/>
      <c r="O745" s="227"/>
      <c r="P745" s="227"/>
      <c r="Q745" s="227"/>
      <c r="R745" s="227"/>
      <c r="S745" s="227"/>
      <c r="T745" s="227"/>
      <c r="U745" s="227"/>
      <c r="V745" s="227"/>
      <c r="W745" s="227"/>
      <c r="X745" s="227"/>
      <c r="Y745" s="227"/>
      <c r="Z745" s="227"/>
      <c r="AA745" s="227"/>
      <c r="AB745" s="227"/>
      <c r="AC745" s="227"/>
      <c r="AD745" s="227"/>
    </row>
    <row r="746" spans="2:30" ht="15.75">
      <c r="B746" s="227"/>
      <c r="C746" s="227"/>
      <c r="D746" s="227"/>
      <c r="E746" s="227"/>
      <c r="F746" s="227"/>
      <c r="G746" s="227"/>
      <c r="H746" s="227"/>
      <c r="I746" s="227"/>
      <c r="J746" s="227"/>
      <c r="K746" s="227"/>
      <c r="L746" s="227"/>
      <c r="M746" s="227"/>
      <c r="N746" s="227"/>
      <c r="O746" s="227"/>
      <c r="P746" s="227"/>
      <c r="Q746" s="227"/>
      <c r="R746" s="227"/>
      <c r="S746" s="227"/>
      <c r="T746" s="227"/>
      <c r="U746" s="227"/>
      <c r="V746" s="227"/>
      <c r="W746" s="227"/>
      <c r="X746" s="227"/>
      <c r="Y746" s="227"/>
      <c r="Z746" s="227"/>
      <c r="AA746" s="227"/>
      <c r="AB746" s="227"/>
      <c r="AC746" s="227"/>
      <c r="AD746" s="227"/>
    </row>
    <row r="747" spans="2:30" ht="15.75">
      <c r="B747" s="227"/>
      <c r="C747" s="227"/>
      <c r="D747" s="227"/>
      <c r="E747" s="227"/>
      <c r="F747" s="227"/>
      <c r="G747" s="227"/>
      <c r="H747" s="227"/>
      <c r="I747" s="227"/>
      <c r="J747" s="227"/>
      <c r="K747" s="227"/>
      <c r="L747" s="227"/>
      <c r="M747" s="227"/>
      <c r="N747" s="227"/>
      <c r="O747" s="227"/>
      <c r="P747" s="227"/>
      <c r="Q747" s="227"/>
      <c r="R747" s="227"/>
      <c r="S747" s="227"/>
      <c r="T747" s="227"/>
      <c r="U747" s="227"/>
      <c r="V747" s="227"/>
      <c r="W747" s="227"/>
      <c r="X747" s="227"/>
      <c r="Y747" s="227"/>
      <c r="Z747" s="227"/>
      <c r="AA747" s="227"/>
      <c r="AB747" s="227"/>
      <c r="AC747" s="227"/>
      <c r="AD747" s="227"/>
    </row>
    <row r="748" spans="2:30" ht="15.75">
      <c r="B748" s="227"/>
      <c r="C748" s="227"/>
      <c r="D748" s="227"/>
      <c r="E748" s="227"/>
      <c r="F748" s="227"/>
      <c r="G748" s="227"/>
      <c r="H748" s="227"/>
      <c r="I748" s="227"/>
      <c r="J748" s="227"/>
      <c r="K748" s="227"/>
      <c r="L748" s="227"/>
      <c r="M748" s="227"/>
      <c r="N748" s="227"/>
      <c r="O748" s="227"/>
      <c r="P748" s="227"/>
      <c r="Q748" s="227"/>
      <c r="R748" s="227"/>
      <c r="S748" s="227"/>
      <c r="T748" s="227"/>
      <c r="U748" s="227"/>
      <c r="V748" s="227"/>
      <c r="W748" s="227"/>
      <c r="X748" s="227"/>
      <c r="Y748" s="227"/>
      <c r="Z748" s="227"/>
      <c r="AA748" s="227"/>
      <c r="AB748" s="227"/>
      <c r="AC748" s="227"/>
      <c r="AD748" s="227"/>
    </row>
    <row r="749" spans="2:30" ht="15.75">
      <c r="B749" s="227"/>
      <c r="C749" s="227"/>
      <c r="D749" s="227"/>
      <c r="E749" s="227"/>
      <c r="F749" s="227"/>
      <c r="G749" s="227"/>
      <c r="H749" s="227"/>
      <c r="I749" s="227"/>
      <c r="J749" s="227"/>
      <c r="K749" s="227"/>
      <c r="L749" s="227"/>
      <c r="M749" s="227"/>
      <c r="N749" s="227"/>
      <c r="O749" s="227"/>
      <c r="P749" s="227"/>
      <c r="Q749" s="227"/>
      <c r="R749" s="227"/>
      <c r="S749" s="227"/>
      <c r="T749" s="227"/>
      <c r="U749" s="227"/>
      <c r="V749" s="227"/>
      <c r="W749" s="227"/>
      <c r="X749" s="227"/>
      <c r="Y749" s="227"/>
      <c r="Z749" s="227"/>
      <c r="AA749" s="227"/>
      <c r="AB749" s="227"/>
      <c r="AC749" s="227"/>
      <c r="AD749" s="227"/>
    </row>
    <row r="750" spans="2:30" ht="15.75">
      <c r="B750" s="227"/>
      <c r="C750" s="227"/>
      <c r="D750" s="227"/>
      <c r="E750" s="227"/>
      <c r="F750" s="227"/>
      <c r="G750" s="227"/>
      <c r="H750" s="227"/>
      <c r="I750" s="227"/>
      <c r="J750" s="227"/>
      <c r="K750" s="227"/>
      <c r="L750" s="227"/>
      <c r="M750" s="227"/>
      <c r="N750" s="227"/>
      <c r="O750" s="227"/>
      <c r="P750" s="227"/>
      <c r="Q750" s="227"/>
      <c r="R750" s="227"/>
      <c r="S750" s="227"/>
      <c r="T750" s="227"/>
      <c r="U750" s="227"/>
      <c r="V750" s="227"/>
      <c r="W750" s="227"/>
      <c r="X750" s="227"/>
      <c r="Y750" s="227"/>
      <c r="Z750" s="227"/>
      <c r="AA750" s="227"/>
      <c r="AB750" s="227"/>
      <c r="AC750" s="227"/>
      <c r="AD750" s="227"/>
    </row>
    <row r="751" spans="2:30" ht="15.75">
      <c r="B751" s="227"/>
      <c r="C751" s="227"/>
      <c r="D751" s="227"/>
      <c r="E751" s="227"/>
      <c r="F751" s="227"/>
      <c r="G751" s="227"/>
      <c r="H751" s="227"/>
      <c r="I751" s="227"/>
      <c r="J751" s="227"/>
      <c r="K751" s="227"/>
      <c r="L751" s="227"/>
      <c r="M751" s="227"/>
      <c r="N751" s="227"/>
      <c r="O751" s="227"/>
      <c r="P751" s="227"/>
      <c r="Q751" s="227"/>
      <c r="R751" s="227"/>
      <c r="S751" s="227"/>
      <c r="T751" s="227"/>
      <c r="U751" s="227"/>
      <c r="V751" s="227"/>
      <c r="W751" s="227"/>
      <c r="X751" s="227"/>
      <c r="Y751" s="227"/>
      <c r="Z751" s="227"/>
      <c r="AA751" s="227"/>
      <c r="AB751" s="227"/>
      <c r="AC751" s="227"/>
      <c r="AD751" s="227"/>
    </row>
    <row r="752" spans="2:30" ht="15.75">
      <c r="B752" s="227"/>
      <c r="C752" s="227"/>
      <c r="D752" s="227"/>
      <c r="E752" s="227"/>
      <c r="F752" s="227"/>
      <c r="G752" s="227"/>
      <c r="H752" s="227"/>
      <c r="I752" s="227"/>
      <c r="J752" s="227"/>
      <c r="K752" s="227"/>
      <c r="L752" s="227"/>
      <c r="M752" s="227"/>
      <c r="N752" s="227"/>
      <c r="O752" s="227"/>
      <c r="P752" s="227"/>
      <c r="Q752" s="227"/>
      <c r="R752" s="227"/>
      <c r="S752" s="227"/>
      <c r="T752" s="227"/>
      <c r="U752" s="227"/>
      <c r="V752" s="227"/>
      <c r="W752" s="227"/>
      <c r="X752" s="227"/>
      <c r="Y752" s="227"/>
      <c r="Z752" s="227"/>
      <c r="AA752" s="227"/>
      <c r="AB752" s="227"/>
      <c r="AC752" s="227"/>
      <c r="AD752" s="227"/>
    </row>
    <row r="753" spans="2:30" ht="15.75">
      <c r="B753" s="227"/>
      <c r="C753" s="227"/>
      <c r="D753" s="227"/>
      <c r="E753" s="227"/>
      <c r="F753" s="227"/>
      <c r="G753" s="227"/>
      <c r="H753" s="227"/>
      <c r="I753" s="227"/>
      <c r="J753" s="227"/>
      <c r="K753" s="227"/>
      <c r="L753" s="227"/>
      <c r="M753" s="227"/>
      <c r="N753" s="227"/>
      <c r="O753" s="227"/>
      <c r="P753" s="227"/>
      <c r="Q753" s="227"/>
      <c r="R753" s="227"/>
      <c r="S753" s="227"/>
      <c r="T753" s="227"/>
      <c r="U753" s="227"/>
      <c r="V753" s="227"/>
      <c r="W753" s="227"/>
      <c r="X753" s="227"/>
      <c r="Y753" s="227"/>
      <c r="Z753" s="227"/>
      <c r="AA753" s="227"/>
      <c r="AB753" s="227"/>
      <c r="AC753" s="227"/>
      <c r="AD753" s="227"/>
    </row>
    <row r="754" spans="2:30" ht="15.75">
      <c r="B754" s="227"/>
      <c r="C754" s="227"/>
      <c r="D754" s="227"/>
      <c r="E754" s="227"/>
      <c r="F754" s="227"/>
      <c r="G754" s="227"/>
      <c r="H754" s="227"/>
      <c r="I754" s="227"/>
      <c r="J754" s="227"/>
      <c r="K754" s="227"/>
      <c r="L754" s="227"/>
      <c r="M754" s="227"/>
      <c r="N754" s="227"/>
      <c r="O754" s="227"/>
      <c r="P754" s="227"/>
      <c r="Q754" s="227"/>
      <c r="R754" s="227"/>
      <c r="S754" s="227"/>
      <c r="T754" s="227"/>
      <c r="U754" s="227"/>
      <c r="V754" s="227"/>
      <c r="W754" s="227"/>
      <c r="X754" s="227"/>
      <c r="Y754" s="227"/>
      <c r="Z754" s="227"/>
      <c r="AA754" s="227"/>
      <c r="AB754" s="227"/>
      <c r="AC754" s="227"/>
      <c r="AD754" s="227"/>
    </row>
    <row r="755" spans="2:30" ht="15.75">
      <c r="B755" s="227"/>
      <c r="C755" s="227"/>
      <c r="D755" s="227"/>
      <c r="E755" s="227"/>
      <c r="F755" s="227"/>
      <c r="G755" s="227"/>
      <c r="H755" s="227"/>
      <c r="I755" s="227"/>
      <c r="J755" s="227"/>
      <c r="K755" s="227"/>
      <c r="L755" s="227"/>
      <c r="M755" s="227"/>
      <c r="N755" s="227"/>
      <c r="O755" s="227"/>
      <c r="P755" s="227"/>
      <c r="Q755" s="227"/>
      <c r="R755" s="227"/>
      <c r="S755" s="227"/>
      <c r="T755" s="227"/>
      <c r="U755" s="227"/>
      <c r="V755" s="227"/>
      <c r="W755" s="227"/>
      <c r="X755" s="227"/>
      <c r="Y755" s="227"/>
      <c r="Z755" s="227"/>
      <c r="AA755" s="227"/>
      <c r="AB755" s="227"/>
      <c r="AC755" s="227"/>
      <c r="AD755" s="227"/>
    </row>
    <row r="756" spans="2:30" ht="15.75">
      <c r="B756" s="227"/>
      <c r="C756" s="227"/>
      <c r="D756" s="227"/>
      <c r="E756" s="227"/>
      <c r="F756" s="227"/>
      <c r="G756" s="227"/>
      <c r="H756" s="227"/>
      <c r="I756" s="227"/>
      <c r="J756" s="227"/>
      <c r="K756" s="227"/>
      <c r="L756" s="227"/>
      <c r="M756" s="227"/>
      <c r="N756" s="227"/>
      <c r="O756" s="227"/>
      <c r="P756" s="227"/>
      <c r="Q756" s="227"/>
      <c r="R756" s="227"/>
      <c r="S756" s="227"/>
      <c r="T756" s="227"/>
      <c r="U756" s="227"/>
      <c r="V756" s="227"/>
      <c r="W756" s="227"/>
      <c r="X756" s="227"/>
      <c r="Y756" s="227"/>
      <c r="Z756" s="227"/>
      <c r="AA756" s="227"/>
      <c r="AB756" s="227"/>
      <c r="AC756" s="227"/>
      <c r="AD756" s="227"/>
    </row>
    <row r="757" spans="2:30" ht="15.75">
      <c r="B757" s="227"/>
      <c r="C757" s="227"/>
      <c r="D757" s="227"/>
      <c r="E757" s="227"/>
      <c r="F757" s="227"/>
      <c r="G757" s="227"/>
      <c r="H757" s="227"/>
      <c r="I757" s="227"/>
      <c r="J757" s="227"/>
      <c r="K757" s="227"/>
      <c r="L757" s="227"/>
      <c r="M757" s="227"/>
      <c r="N757" s="227"/>
      <c r="O757" s="227"/>
      <c r="P757" s="227"/>
      <c r="Q757" s="227"/>
      <c r="R757" s="227"/>
      <c r="S757" s="227"/>
      <c r="T757" s="227"/>
      <c r="U757" s="227"/>
      <c r="V757" s="227"/>
      <c r="W757" s="227"/>
      <c r="X757" s="227"/>
      <c r="Y757" s="227"/>
      <c r="Z757" s="227"/>
      <c r="AA757" s="227"/>
      <c r="AB757" s="227"/>
      <c r="AC757" s="227"/>
      <c r="AD757" s="227"/>
    </row>
    <row r="758" spans="2:30" ht="15.75">
      <c r="B758" s="227"/>
      <c r="C758" s="227"/>
      <c r="D758" s="227"/>
      <c r="E758" s="227"/>
      <c r="F758" s="227"/>
      <c r="G758" s="227"/>
      <c r="H758" s="227"/>
      <c r="I758" s="227"/>
      <c r="J758" s="227"/>
      <c r="K758" s="227"/>
      <c r="L758" s="227"/>
      <c r="M758" s="227"/>
      <c r="N758" s="227"/>
      <c r="O758" s="227"/>
      <c r="P758" s="227"/>
      <c r="Q758" s="227"/>
      <c r="R758" s="227"/>
      <c r="S758" s="227"/>
      <c r="T758" s="227"/>
      <c r="U758" s="227"/>
      <c r="V758" s="227"/>
      <c r="W758" s="227"/>
      <c r="X758" s="227"/>
      <c r="Y758" s="227"/>
      <c r="Z758" s="227"/>
      <c r="AA758" s="227"/>
      <c r="AB758" s="227"/>
      <c r="AC758" s="227"/>
      <c r="AD758" s="227"/>
    </row>
    <row r="759" spans="2:30" ht="15.75">
      <c r="B759" s="227"/>
      <c r="C759" s="227"/>
      <c r="D759" s="227"/>
      <c r="E759" s="227"/>
      <c r="F759" s="227"/>
      <c r="G759" s="227"/>
      <c r="H759" s="227"/>
      <c r="I759" s="227"/>
      <c r="J759" s="227"/>
      <c r="K759" s="227"/>
      <c r="L759" s="227"/>
      <c r="M759" s="227"/>
      <c r="N759" s="227"/>
      <c r="O759" s="227"/>
      <c r="P759" s="227"/>
      <c r="Q759" s="227"/>
      <c r="R759" s="227"/>
      <c r="S759" s="227"/>
      <c r="T759" s="227"/>
      <c r="U759" s="227"/>
      <c r="V759" s="227"/>
      <c r="W759" s="227"/>
      <c r="X759" s="227"/>
      <c r="Y759" s="227"/>
      <c r="Z759" s="227"/>
      <c r="AA759" s="227"/>
      <c r="AB759" s="227"/>
      <c r="AC759" s="227"/>
      <c r="AD759" s="227"/>
    </row>
    <row r="760" spans="2:30" ht="15.75">
      <c r="B760" s="227"/>
      <c r="C760" s="227"/>
      <c r="D760" s="227"/>
      <c r="E760" s="227"/>
      <c r="F760" s="227"/>
      <c r="G760" s="227"/>
      <c r="H760" s="227"/>
      <c r="I760" s="227"/>
      <c r="J760" s="227"/>
      <c r="K760" s="227"/>
      <c r="L760" s="227"/>
      <c r="M760" s="227"/>
      <c r="N760" s="227"/>
      <c r="O760" s="227"/>
      <c r="P760" s="227"/>
      <c r="Q760" s="227"/>
      <c r="R760" s="227"/>
      <c r="S760" s="227"/>
      <c r="T760" s="227"/>
      <c r="U760" s="227"/>
      <c r="V760" s="227"/>
      <c r="W760" s="227"/>
      <c r="X760" s="227"/>
      <c r="Y760" s="227"/>
      <c r="Z760" s="227"/>
      <c r="AA760" s="227"/>
      <c r="AB760" s="227"/>
      <c r="AC760" s="227"/>
      <c r="AD760" s="227"/>
    </row>
    <row r="761" spans="2:30" ht="15.75">
      <c r="B761" s="227"/>
      <c r="C761" s="227"/>
      <c r="D761" s="227"/>
      <c r="E761" s="227"/>
      <c r="F761" s="227"/>
      <c r="G761" s="227"/>
      <c r="H761" s="227"/>
      <c r="I761" s="227"/>
      <c r="J761" s="227"/>
      <c r="K761" s="227"/>
      <c r="L761" s="227"/>
      <c r="M761" s="227"/>
      <c r="N761" s="227"/>
      <c r="O761" s="227"/>
      <c r="P761" s="227"/>
      <c r="Q761" s="227"/>
      <c r="R761" s="227"/>
      <c r="S761" s="227"/>
      <c r="T761" s="227"/>
      <c r="U761" s="227"/>
      <c r="V761" s="227"/>
      <c r="W761" s="227"/>
      <c r="X761" s="227"/>
      <c r="Y761" s="227"/>
      <c r="Z761" s="227"/>
      <c r="AA761" s="227"/>
      <c r="AB761" s="227"/>
      <c r="AC761" s="227"/>
      <c r="AD761" s="227"/>
    </row>
    <row r="762" spans="2:30" ht="15.75">
      <c r="B762" s="227"/>
      <c r="C762" s="227"/>
      <c r="D762" s="227"/>
      <c r="E762" s="227"/>
      <c r="F762" s="227"/>
      <c r="G762" s="227"/>
      <c r="H762" s="227"/>
      <c r="I762" s="227"/>
      <c r="J762" s="227"/>
      <c r="K762" s="227"/>
      <c r="L762" s="227"/>
      <c r="M762" s="227"/>
      <c r="N762" s="227"/>
      <c r="O762" s="227"/>
      <c r="P762" s="227"/>
      <c r="Q762" s="227"/>
      <c r="R762" s="227"/>
      <c r="S762" s="227"/>
      <c r="T762" s="227"/>
      <c r="U762" s="227"/>
      <c r="V762" s="227"/>
      <c r="W762" s="227"/>
      <c r="X762" s="227"/>
      <c r="Y762" s="227"/>
      <c r="Z762" s="227"/>
      <c r="AA762" s="227"/>
      <c r="AB762" s="227"/>
      <c r="AC762" s="227"/>
      <c r="AD762" s="227"/>
    </row>
    <row r="763" spans="2:30" ht="15.75">
      <c r="B763" s="227"/>
      <c r="C763" s="227"/>
      <c r="D763" s="227"/>
      <c r="E763" s="227"/>
      <c r="F763" s="227"/>
      <c r="G763" s="227"/>
      <c r="H763" s="227"/>
      <c r="I763" s="227"/>
      <c r="J763" s="227"/>
      <c r="K763" s="227"/>
      <c r="L763" s="227"/>
      <c r="M763" s="227"/>
      <c r="N763" s="227"/>
      <c r="O763" s="227"/>
      <c r="P763" s="227"/>
      <c r="Q763" s="227"/>
      <c r="R763" s="227"/>
      <c r="S763" s="227"/>
      <c r="T763" s="227"/>
      <c r="U763" s="227"/>
      <c r="V763" s="227"/>
      <c r="W763" s="227"/>
      <c r="X763" s="227"/>
      <c r="Y763" s="227"/>
      <c r="Z763" s="227"/>
      <c r="AA763" s="227"/>
      <c r="AB763" s="227"/>
      <c r="AC763" s="227"/>
      <c r="AD763" s="227"/>
    </row>
    <row r="764" spans="2:30" ht="15.75">
      <c r="B764" s="227"/>
      <c r="C764" s="227"/>
      <c r="D764" s="227"/>
      <c r="E764" s="227"/>
      <c r="F764" s="227"/>
      <c r="G764" s="227"/>
      <c r="H764" s="227"/>
      <c r="I764" s="227"/>
      <c r="J764" s="227"/>
      <c r="K764" s="227"/>
      <c r="L764" s="227"/>
      <c r="M764" s="227"/>
      <c r="N764" s="227"/>
      <c r="O764" s="227"/>
      <c r="P764" s="227"/>
      <c r="Q764" s="227"/>
      <c r="R764" s="227"/>
      <c r="S764" s="227"/>
      <c r="T764" s="227"/>
      <c r="U764" s="227"/>
      <c r="V764" s="227"/>
      <c r="W764" s="227"/>
      <c r="X764" s="227"/>
      <c r="Y764" s="227"/>
      <c r="Z764" s="227"/>
      <c r="AA764" s="227"/>
      <c r="AB764" s="227"/>
      <c r="AC764" s="227"/>
      <c r="AD764" s="227"/>
    </row>
    <row r="765" spans="2:30" ht="15.75">
      <c r="B765" s="227"/>
      <c r="C765" s="227"/>
      <c r="D765" s="227"/>
      <c r="E765" s="227"/>
      <c r="F765" s="227"/>
      <c r="G765" s="227"/>
      <c r="H765" s="227"/>
      <c r="I765" s="227"/>
      <c r="J765" s="227"/>
      <c r="K765" s="227"/>
      <c r="L765" s="227"/>
      <c r="M765" s="227"/>
      <c r="N765" s="227"/>
      <c r="O765" s="227"/>
      <c r="P765" s="227"/>
      <c r="Q765" s="227"/>
      <c r="R765" s="227"/>
      <c r="S765" s="227"/>
      <c r="T765" s="227"/>
      <c r="U765" s="227"/>
      <c r="V765" s="227"/>
      <c r="W765" s="227"/>
      <c r="X765" s="227"/>
      <c r="Y765" s="227"/>
      <c r="Z765" s="227"/>
      <c r="AA765" s="227"/>
      <c r="AB765" s="227"/>
      <c r="AC765" s="227"/>
      <c r="AD765" s="227"/>
    </row>
    <row r="766" spans="2:30" ht="15.75">
      <c r="B766" s="227"/>
      <c r="C766" s="227"/>
      <c r="D766" s="227"/>
      <c r="E766" s="227"/>
      <c r="F766" s="227"/>
      <c r="G766" s="227"/>
      <c r="H766" s="227"/>
      <c r="I766" s="227"/>
      <c r="J766" s="227"/>
      <c r="K766" s="227"/>
      <c r="L766" s="227"/>
      <c r="M766" s="227"/>
      <c r="N766" s="227"/>
      <c r="O766" s="227"/>
      <c r="P766" s="227"/>
      <c r="Q766" s="227"/>
      <c r="R766" s="227"/>
      <c r="S766" s="227"/>
      <c r="T766" s="227"/>
      <c r="U766" s="227"/>
      <c r="V766" s="227"/>
      <c r="W766" s="227"/>
      <c r="X766" s="227"/>
      <c r="Y766" s="227"/>
      <c r="Z766" s="227"/>
      <c r="AA766" s="227"/>
      <c r="AB766" s="227"/>
      <c r="AC766" s="227"/>
      <c r="AD766" s="227"/>
    </row>
    <row r="767" spans="2:30" ht="15.75">
      <c r="B767" s="227"/>
      <c r="C767" s="227"/>
      <c r="D767" s="227"/>
      <c r="E767" s="227"/>
      <c r="F767" s="227"/>
      <c r="G767" s="227"/>
      <c r="H767" s="227"/>
      <c r="I767" s="227"/>
      <c r="J767" s="227"/>
      <c r="K767" s="227"/>
      <c r="L767" s="227"/>
      <c r="M767" s="227"/>
      <c r="N767" s="227"/>
      <c r="O767" s="227"/>
      <c r="P767" s="227"/>
      <c r="Q767" s="227"/>
      <c r="R767" s="227"/>
      <c r="S767" s="227"/>
      <c r="T767" s="227"/>
      <c r="U767" s="227"/>
      <c r="V767" s="227"/>
      <c r="W767" s="227"/>
      <c r="X767" s="227"/>
      <c r="Y767" s="227"/>
      <c r="Z767" s="227"/>
      <c r="AA767" s="227"/>
      <c r="AB767" s="227"/>
      <c r="AC767" s="227"/>
      <c r="AD767" s="227"/>
    </row>
    <row r="768" spans="2:30" ht="15.75">
      <c r="B768" s="227"/>
      <c r="C768" s="227"/>
      <c r="D768" s="227"/>
      <c r="E768" s="227"/>
      <c r="F768" s="227"/>
      <c r="G768" s="227"/>
      <c r="H768" s="227"/>
      <c r="I768" s="227"/>
      <c r="J768" s="227"/>
      <c r="K768" s="227"/>
      <c r="L768" s="227"/>
      <c r="M768" s="227"/>
      <c r="N768" s="227"/>
      <c r="O768" s="227"/>
      <c r="P768" s="227"/>
      <c r="Q768" s="227"/>
      <c r="R768" s="227"/>
      <c r="S768" s="227"/>
      <c r="T768" s="227"/>
      <c r="U768" s="227"/>
      <c r="V768" s="227"/>
      <c r="W768" s="227"/>
      <c r="X768" s="227"/>
      <c r="Y768" s="227"/>
      <c r="Z768" s="227"/>
      <c r="AA768" s="227"/>
      <c r="AB768" s="227"/>
      <c r="AC768" s="227"/>
      <c r="AD768" s="227"/>
    </row>
    <row r="769" spans="2:30" ht="15.75">
      <c r="B769" s="227"/>
      <c r="C769" s="227"/>
      <c r="D769" s="227"/>
      <c r="E769" s="227"/>
      <c r="F769" s="227"/>
      <c r="G769" s="227"/>
      <c r="H769" s="227"/>
      <c r="I769" s="227"/>
      <c r="J769" s="227"/>
      <c r="K769" s="227"/>
      <c r="L769" s="227"/>
      <c r="M769" s="227"/>
      <c r="N769" s="227"/>
      <c r="O769" s="227"/>
      <c r="P769" s="227"/>
      <c r="Q769" s="227"/>
      <c r="R769" s="227"/>
      <c r="S769" s="227"/>
      <c r="T769" s="227"/>
      <c r="U769" s="227"/>
      <c r="V769" s="227"/>
      <c r="W769" s="227"/>
      <c r="X769" s="227"/>
      <c r="Y769" s="227"/>
      <c r="Z769" s="227"/>
      <c r="AA769" s="227"/>
      <c r="AB769" s="227"/>
      <c r="AC769" s="227"/>
      <c r="AD769" s="227"/>
    </row>
    <row r="770" spans="2:30" ht="15.75">
      <c r="B770" s="227"/>
      <c r="C770" s="227"/>
      <c r="D770" s="227"/>
      <c r="E770" s="227"/>
      <c r="F770" s="227"/>
      <c r="G770" s="227"/>
      <c r="H770" s="227"/>
      <c r="I770" s="227"/>
      <c r="J770" s="227"/>
      <c r="K770" s="227"/>
      <c r="L770" s="227"/>
      <c r="M770" s="227"/>
      <c r="N770" s="227"/>
      <c r="O770" s="227"/>
      <c r="P770" s="227"/>
      <c r="Q770" s="227"/>
      <c r="R770" s="227"/>
      <c r="S770" s="227"/>
      <c r="T770" s="227"/>
      <c r="U770" s="227"/>
      <c r="V770" s="227"/>
      <c r="W770" s="227"/>
      <c r="X770" s="227"/>
      <c r="Y770" s="227"/>
      <c r="Z770" s="227"/>
      <c r="AA770" s="227"/>
      <c r="AB770" s="227"/>
      <c r="AC770" s="227"/>
      <c r="AD770" s="227"/>
    </row>
    <row r="771" spans="2:30" ht="15.75">
      <c r="B771" s="227"/>
      <c r="C771" s="227"/>
      <c r="D771" s="227"/>
      <c r="E771" s="227"/>
      <c r="F771" s="227"/>
      <c r="G771" s="227"/>
      <c r="H771" s="227"/>
      <c r="I771" s="227"/>
      <c r="J771" s="227"/>
      <c r="K771" s="227"/>
      <c r="L771" s="227"/>
      <c r="M771" s="227"/>
      <c r="N771" s="227"/>
      <c r="O771" s="227"/>
      <c r="P771" s="227"/>
      <c r="Q771" s="227"/>
      <c r="R771" s="227"/>
      <c r="S771" s="227"/>
      <c r="T771" s="227"/>
      <c r="U771" s="227"/>
      <c r="V771" s="227"/>
      <c r="W771" s="227"/>
      <c r="X771" s="227"/>
      <c r="Y771" s="227"/>
      <c r="Z771" s="227"/>
      <c r="AA771" s="227"/>
      <c r="AB771" s="227"/>
      <c r="AC771" s="227"/>
      <c r="AD771" s="227"/>
    </row>
    <row r="772" spans="2:30" ht="15.75">
      <c r="B772" s="227"/>
      <c r="C772" s="227"/>
      <c r="D772" s="227"/>
      <c r="E772" s="227"/>
      <c r="F772" s="227"/>
      <c r="G772" s="227"/>
      <c r="H772" s="227"/>
      <c r="I772" s="227"/>
      <c r="J772" s="227"/>
      <c r="K772" s="227"/>
      <c r="L772" s="227"/>
      <c r="M772" s="227"/>
      <c r="N772" s="227"/>
      <c r="O772" s="227"/>
      <c r="P772" s="227"/>
      <c r="Q772" s="227"/>
      <c r="R772" s="227"/>
      <c r="S772" s="227"/>
      <c r="T772" s="227"/>
      <c r="U772" s="227"/>
      <c r="V772" s="227"/>
      <c r="W772" s="227"/>
      <c r="X772" s="227"/>
      <c r="Y772" s="227"/>
      <c r="Z772" s="227"/>
      <c r="AA772" s="227"/>
      <c r="AB772" s="227"/>
      <c r="AC772" s="227"/>
      <c r="AD772" s="227"/>
    </row>
    <row r="773" spans="2:30" ht="15.75">
      <c r="B773" s="227"/>
      <c r="C773" s="227"/>
      <c r="D773" s="227"/>
      <c r="E773" s="227"/>
      <c r="F773" s="227"/>
      <c r="G773" s="227"/>
      <c r="H773" s="227"/>
      <c r="I773" s="227"/>
      <c r="J773" s="227"/>
      <c r="K773" s="227"/>
      <c r="L773" s="227"/>
      <c r="M773" s="227"/>
      <c r="N773" s="227"/>
      <c r="O773" s="227"/>
      <c r="P773" s="227"/>
      <c r="Q773" s="227"/>
      <c r="R773" s="227"/>
      <c r="S773" s="227"/>
      <c r="T773" s="227"/>
      <c r="U773" s="227"/>
      <c r="V773" s="227"/>
      <c r="W773" s="227"/>
      <c r="X773" s="227"/>
      <c r="Y773" s="227"/>
      <c r="Z773" s="227"/>
      <c r="AA773" s="227"/>
      <c r="AB773" s="227"/>
      <c r="AC773" s="227"/>
      <c r="AD773" s="227"/>
    </row>
    <row r="774" spans="2:30" ht="15.75">
      <c r="B774" s="227"/>
      <c r="C774" s="227"/>
      <c r="D774" s="227"/>
      <c r="E774" s="227"/>
      <c r="F774" s="227"/>
      <c r="G774" s="227"/>
      <c r="H774" s="227"/>
      <c r="I774" s="227"/>
      <c r="J774" s="227"/>
      <c r="K774" s="227"/>
      <c r="L774" s="227"/>
      <c r="M774" s="227"/>
      <c r="N774" s="227"/>
      <c r="O774" s="227"/>
      <c r="P774" s="227"/>
      <c r="Q774" s="227"/>
      <c r="R774" s="227"/>
      <c r="S774" s="227"/>
      <c r="T774" s="227"/>
      <c r="U774" s="227"/>
      <c r="V774" s="227"/>
      <c r="W774" s="227"/>
      <c r="X774" s="227"/>
      <c r="Y774" s="227"/>
      <c r="Z774" s="227"/>
      <c r="AA774" s="227"/>
      <c r="AB774" s="227"/>
      <c r="AC774" s="227"/>
      <c r="AD774" s="227"/>
    </row>
    <row r="775" spans="2:30" ht="15.75">
      <c r="B775" s="227"/>
      <c r="C775" s="227"/>
      <c r="D775" s="227"/>
      <c r="E775" s="227"/>
      <c r="F775" s="227"/>
      <c r="G775" s="227"/>
      <c r="H775" s="227"/>
      <c r="I775" s="227"/>
      <c r="J775" s="227"/>
      <c r="K775" s="227"/>
      <c r="L775" s="227"/>
      <c r="M775" s="227"/>
      <c r="N775" s="227"/>
      <c r="O775" s="227"/>
      <c r="P775" s="227"/>
      <c r="Q775" s="227"/>
      <c r="R775" s="227"/>
      <c r="S775" s="227"/>
      <c r="T775" s="227"/>
      <c r="U775" s="227"/>
      <c r="V775" s="227"/>
      <c r="W775" s="227"/>
      <c r="X775" s="227"/>
      <c r="Y775" s="227"/>
      <c r="Z775" s="227"/>
      <c r="AA775" s="227"/>
      <c r="AB775" s="227"/>
      <c r="AC775" s="227"/>
      <c r="AD775" s="227"/>
    </row>
    <row r="776" spans="2:30" ht="15.75">
      <c r="B776" s="227"/>
      <c r="C776" s="227"/>
      <c r="D776" s="227"/>
      <c r="E776" s="227"/>
      <c r="F776" s="227"/>
      <c r="G776" s="227"/>
      <c r="H776" s="227"/>
      <c r="I776" s="227"/>
      <c r="J776" s="227"/>
      <c r="K776" s="227"/>
      <c r="L776" s="227"/>
      <c r="M776" s="227"/>
      <c r="N776" s="227"/>
      <c r="O776" s="227"/>
      <c r="P776" s="227"/>
      <c r="Q776" s="227"/>
      <c r="R776" s="227"/>
      <c r="S776" s="227"/>
      <c r="T776" s="227"/>
      <c r="U776" s="227"/>
      <c r="V776" s="227"/>
      <c r="W776" s="227"/>
      <c r="X776" s="227"/>
      <c r="Y776" s="227"/>
      <c r="Z776" s="227"/>
      <c r="AA776" s="227"/>
      <c r="AB776" s="227"/>
      <c r="AC776" s="227"/>
      <c r="AD776" s="227"/>
    </row>
    <row r="777" spans="2:30" ht="15.75">
      <c r="B777" s="227"/>
      <c r="C777" s="227"/>
      <c r="D777" s="227"/>
      <c r="E777" s="227"/>
      <c r="F777" s="227"/>
      <c r="G777" s="227"/>
      <c r="H777" s="227"/>
      <c r="I777" s="227"/>
      <c r="J777" s="227"/>
      <c r="K777" s="227"/>
      <c r="L777" s="227"/>
      <c r="M777" s="227"/>
      <c r="N777" s="227"/>
      <c r="O777" s="227"/>
      <c r="P777" s="227"/>
      <c r="Q777" s="227"/>
      <c r="R777" s="227"/>
      <c r="S777" s="227"/>
      <c r="T777" s="227"/>
      <c r="U777" s="227"/>
      <c r="V777" s="227"/>
      <c r="W777" s="227"/>
      <c r="X777" s="227"/>
      <c r="Y777" s="227"/>
      <c r="Z777" s="227"/>
      <c r="AA777" s="227"/>
      <c r="AB777" s="227"/>
      <c r="AC777" s="227"/>
      <c r="AD777" s="227"/>
    </row>
    <row r="778" spans="2:30" ht="15.75">
      <c r="B778" s="227"/>
      <c r="C778" s="227"/>
      <c r="D778" s="227"/>
      <c r="E778" s="227"/>
      <c r="F778" s="227"/>
      <c r="G778" s="227"/>
      <c r="H778" s="227"/>
      <c r="I778" s="227"/>
      <c r="J778" s="227"/>
      <c r="K778" s="227"/>
      <c r="L778" s="227"/>
      <c r="M778" s="227"/>
      <c r="N778" s="227"/>
      <c r="O778" s="227"/>
      <c r="P778" s="227"/>
      <c r="Q778" s="227"/>
      <c r="R778" s="227"/>
      <c r="S778" s="227"/>
      <c r="T778" s="227"/>
      <c r="U778" s="227"/>
      <c r="V778" s="227"/>
      <c r="W778" s="227"/>
      <c r="X778" s="227"/>
      <c r="Y778" s="227"/>
      <c r="Z778" s="227"/>
      <c r="AA778" s="227"/>
      <c r="AB778" s="227"/>
      <c r="AC778" s="227"/>
      <c r="AD778" s="227"/>
    </row>
    <row r="779" spans="2:30" ht="15.75">
      <c r="B779" s="227"/>
      <c r="C779" s="227"/>
      <c r="D779" s="227"/>
      <c r="E779" s="227"/>
      <c r="F779" s="227"/>
      <c r="G779" s="227"/>
      <c r="H779" s="227"/>
      <c r="I779" s="227"/>
      <c r="J779" s="227"/>
      <c r="K779" s="227"/>
      <c r="L779" s="227"/>
      <c r="M779" s="227"/>
      <c r="N779" s="227"/>
      <c r="O779" s="227"/>
      <c r="P779" s="227"/>
      <c r="Q779" s="227"/>
      <c r="R779" s="227"/>
      <c r="S779" s="227"/>
      <c r="T779" s="227"/>
      <c r="U779" s="227"/>
      <c r="V779" s="227"/>
      <c r="W779" s="227"/>
      <c r="X779" s="227"/>
      <c r="Y779" s="227"/>
      <c r="Z779" s="227"/>
      <c r="AA779" s="227"/>
      <c r="AB779" s="227"/>
      <c r="AC779" s="227"/>
      <c r="AD779" s="227"/>
    </row>
    <row r="780" spans="2:30" ht="15.75">
      <c r="B780" s="227"/>
      <c r="C780" s="227"/>
      <c r="D780" s="227"/>
      <c r="E780" s="227"/>
      <c r="F780" s="227"/>
      <c r="G780" s="227"/>
      <c r="H780" s="227"/>
      <c r="I780" s="227"/>
      <c r="J780" s="227"/>
      <c r="K780" s="227"/>
      <c r="L780" s="227"/>
      <c r="M780" s="227"/>
      <c r="N780" s="227"/>
      <c r="O780" s="227"/>
      <c r="P780" s="227"/>
      <c r="Q780" s="227"/>
      <c r="R780" s="227"/>
      <c r="S780" s="227"/>
      <c r="T780" s="227"/>
      <c r="U780" s="227"/>
      <c r="V780" s="227"/>
      <c r="W780" s="227"/>
      <c r="X780" s="227"/>
      <c r="Y780" s="227"/>
      <c r="Z780" s="227"/>
      <c r="AA780" s="227"/>
      <c r="AB780" s="227"/>
      <c r="AC780" s="227"/>
      <c r="AD780" s="227"/>
    </row>
    <row r="781" spans="2:30" ht="15.75">
      <c r="B781" s="227"/>
      <c r="C781" s="227"/>
      <c r="D781" s="227"/>
      <c r="E781" s="227"/>
      <c r="F781" s="227"/>
      <c r="G781" s="227"/>
      <c r="H781" s="227"/>
      <c r="I781" s="227"/>
      <c r="J781" s="227"/>
      <c r="K781" s="227"/>
      <c r="L781" s="227"/>
      <c r="M781" s="227"/>
      <c r="N781" s="227"/>
      <c r="O781" s="227"/>
      <c r="P781" s="227"/>
      <c r="Q781" s="227"/>
      <c r="R781" s="227"/>
      <c r="S781" s="227"/>
      <c r="T781" s="227"/>
      <c r="U781" s="227"/>
      <c r="V781" s="227"/>
      <c r="W781" s="227"/>
      <c r="X781" s="227"/>
      <c r="Y781" s="227"/>
      <c r="Z781" s="227"/>
      <c r="AA781" s="227"/>
      <c r="AB781" s="227"/>
      <c r="AC781" s="227"/>
      <c r="AD781" s="227"/>
    </row>
    <row r="782" spans="2:30" ht="15.75">
      <c r="B782" s="227"/>
      <c r="C782" s="227"/>
      <c r="D782" s="227"/>
      <c r="E782" s="227"/>
      <c r="F782" s="227"/>
      <c r="G782" s="227"/>
      <c r="H782" s="227"/>
      <c r="I782" s="227"/>
      <c r="J782" s="227"/>
      <c r="K782" s="227"/>
      <c r="L782" s="227"/>
      <c r="M782" s="227"/>
      <c r="N782" s="227"/>
      <c r="O782" s="227"/>
      <c r="P782" s="227"/>
      <c r="Q782" s="227"/>
      <c r="R782" s="227"/>
      <c r="S782" s="227"/>
      <c r="T782" s="227"/>
      <c r="U782" s="227"/>
      <c r="V782" s="227"/>
      <c r="W782" s="227"/>
      <c r="X782" s="227"/>
      <c r="Y782" s="227"/>
      <c r="Z782" s="227"/>
      <c r="AA782" s="227"/>
      <c r="AB782" s="227"/>
      <c r="AC782" s="227"/>
      <c r="AD782" s="227"/>
    </row>
    <row r="783" spans="2:30" ht="15.75">
      <c r="B783" s="227"/>
      <c r="C783" s="227"/>
      <c r="D783" s="227"/>
      <c r="E783" s="227"/>
      <c r="F783" s="227"/>
      <c r="G783" s="227"/>
      <c r="H783" s="227"/>
      <c r="I783" s="227"/>
      <c r="J783" s="227"/>
      <c r="K783" s="227"/>
      <c r="L783" s="227"/>
      <c r="M783" s="227"/>
      <c r="N783" s="227"/>
      <c r="O783" s="227"/>
      <c r="P783" s="227"/>
      <c r="Q783" s="227"/>
      <c r="R783" s="227"/>
      <c r="S783" s="227"/>
      <c r="T783" s="227"/>
      <c r="U783" s="227"/>
      <c r="V783" s="227"/>
      <c r="W783" s="227"/>
      <c r="X783" s="227"/>
      <c r="Y783" s="227"/>
      <c r="Z783" s="227"/>
      <c r="AA783" s="227"/>
      <c r="AB783" s="227"/>
      <c r="AC783" s="227"/>
      <c r="AD783" s="227"/>
    </row>
    <row r="784" spans="2:30" ht="15.75">
      <c r="B784" s="227"/>
      <c r="C784" s="227"/>
      <c r="D784" s="227"/>
      <c r="E784" s="227"/>
      <c r="F784" s="227"/>
      <c r="G784" s="227"/>
      <c r="H784" s="227"/>
      <c r="I784" s="227"/>
      <c r="J784" s="227"/>
      <c r="K784" s="227"/>
      <c r="L784" s="227"/>
      <c r="M784" s="227"/>
      <c r="N784" s="227"/>
      <c r="O784" s="227"/>
      <c r="P784" s="227"/>
      <c r="Q784" s="227"/>
      <c r="R784" s="227"/>
      <c r="S784" s="227"/>
      <c r="T784" s="227"/>
      <c r="U784" s="227"/>
      <c r="V784" s="227"/>
      <c r="W784" s="227"/>
      <c r="X784" s="227"/>
      <c r="Y784" s="227"/>
      <c r="Z784" s="227"/>
      <c r="AA784" s="227"/>
      <c r="AB784" s="227"/>
      <c r="AC784" s="227"/>
      <c r="AD784" s="227"/>
    </row>
    <row r="785" spans="2:30" ht="15.75">
      <c r="B785" s="227"/>
      <c r="C785" s="227"/>
      <c r="D785" s="227"/>
      <c r="E785" s="227"/>
      <c r="F785" s="227"/>
      <c r="G785" s="227"/>
      <c r="H785" s="227"/>
      <c r="I785" s="227"/>
      <c r="J785" s="227"/>
      <c r="K785" s="227"/>
      <c r="L785" s="227"/>
      <c r="M785" s="227"/>
      <c r="N785" s="227"/>
      <c r="O785" s="227"/>
      <c r="P785" s="227"/>
      <c r="Q785" s="227"/>
      <c r="R785" s="227"/>
      <c r="S785" s="227"/>
      <c r="T785" s="227"/>
      <c r="U785" s="227"/>
      <c r="V785" s="227"/>
      <c r="W785" s="227"/>
      <c r="X785" s="227"/>
      <c r="Y785" s="227"/>
      <c r="Z785" s="227"/>
      <c r="AA785" s="227"/>
      <c r="AB785" s="227"/>
      <c r="AC785" s="227"/>
      <c r="AD785" s="227"/>
    </row>
    <row r="786" spans="2:30" ht="15.75">
      <c r="B786" s="227"/>
      <c r="C786" s="227"/>
      <c r="D786" s="227"/>
      <c r="E786" s="227"/>
      <c r="F786" s="227"/>
      <c r="G786" s="227"/>
      <c r="H786" s="227"/>
      <c r="I786" s="227"/>
      <c r="J786" s="227"/>
      <c r="K786" s="227"/>
      <c r="L786" s="227"/>
      <c r="M786" s="227"/>
      <c r="N786" s="227"/>
      <c r="O786" s="227"/>
      <c r="P786" s="227"/>
      <c r="Q786" s="227"/>
      <c r="R786" s="227"/>
      <c r="S786" s="227"/>
      <c r="T786" s="227"/>
      <c r="U786" s="227"/>
      <c r="V786" s="227"/>
      <c r="W786" s="227"/>
      <c r="X786" s="227"/>
      <c r="Y786" s="227"/>
      <c r="Z786" s="227"/>
      <c r="AA786" s="227"/>
      <c r="AB786" s="227"/>
      <c r="AC786" s="227"/>
      <c r="AD786" s="227"/>
    </row>
    <row r="787" spans="2:30" ht="15.75">
      <c r="B787" s="227"/>
      <c r="C787" s="227"/>
      <c r="D787" s="227"/>
      <c r="E787" s="227"/>
      <c r="F787" s="227"/>
      <c r="G787" s="227"/>
      <c r="H787" s="227"/>
      <c r="I787" s="227"/>
      <c r="J787" s="227"/>
      <c r="K787" s="227"/>
      <c r="L787" s="227"/>
      <c r="M787" s="227"/>
      <c r="N787" s="227"/>
      <c r="O787" s="227"/>
      <c r="P787" s="227"/>
      <c r="Q787" s="227"/>
      <c r="R787" s="227"/>
      <c r="S787" s="227"/>
      <c r="T787" s="227"/>
      <c r="U787" s="227"/>
      <c r="V787" s="227"/>
      <c r="W787" s="227"/>
      <c r="X787" s="227"/>
      <c r="Y787" s="227"/>
      <c r="Z787" s="227"/>
      <c r="AA787" s="227"/>
      <c r="AB787" s="227"/>
      <c r="AC787" s="227"/>
      <c r="AD787" s="227"/>
    </row>
    <row r="788" spans="2:30" ht="15.75">
      <c r="B788" s="227"/>
      <c r="C788" s="227"/>
      <c r="D788" s="227"/>
      <c r="E788" s="227"/>
      <c r="F788" s="227"/>
      <c r="G788" s="227"/>
      <c r="H788" s="227"/>
      <c r="I788" s="227"/>
      <c r="J788" s="227"/>
      <c r="K788" s="227"/>
      <c r="L788" s="227"/>
      <c r="M788" s="227"/>
      <c r="N788" s="227"/>
      <c r="O788" s="227"/>
      <c r="P788" s="227"/>
      <c r="Q788" s="227"/>
      <c r="R788" s="227"/>
      <c r="S788" s="227"/>
      <c r="T788" s="227"/>
      <c r="U788" s="227"/>
      <c r="V788" s="227"/>
      <c r="W788" s="227"/>
      <c r="X788" s="227"/>
      <c r="Y788" s="227"/>
      <c r="Z788" s="227"/>
      <c r="AA788" s="227"/>
      <c r="AB788" s="227"/>
      <c r="AC788" s="227"/>
      <c r="AD788" s="227"/>
    </row>
    <row r="789" spans="2:30" ht="15.75">
      <c r="B789" s="227"/>
      <c r="C789" s="227"/>
      <c r="D789" s="227"/>
      <c r="E789" s="227"/>
      <c r="F789" s="227"/>
      <c r="G789" s="227"/>
      <c r="H789" s="227"/>
      <c r="I789" s="227"/>
      <c r="J789" s="227"/>
      <c r="K789" s="227"/>
      <c r="L789" s="227"/>
      <c r="M789" s="227"/>
      <c r="N789" s="227"/>
      <c r="O789" s="227"/>
      <c r="P789" s="227"/>
      <c r="Q789" s="227"/>
      <c r="R789" s="227"/>
      <c r="S789" s="227"/>
      <c r="T789" s="227"/>
      <c r="U789" s="227"/>
      <c r="V789" s="227"/>
      <c r="W789" s="227"/>
      <c r="X789" s="227"/>
      <c r="Y789" s="227"/>
      <c r="Z789" s="227"/>
      <c r="AA789" s="227"/>
      <c r="AB789" s="227"/>
      <c r="AC789" s="227"/>
      <c r="AD789" s="227"/>
    </row>
    <row r="790" spans="2:30" ht="15.75">
      <c r="B790" s="227"/>
      <c r="C790" s="227"/>
      <c r="D790" s="227"/>
      <c r="E790" s="227"/>
      <c r="F790" s="227"/>
      <c r="G790" s="227"/>
      <c r="H790" s="227"/>
      <c r="I790" s="227"/>
      <c r="J790" s="227"/>
      <c r="K790" s="227"/>
      <c r="L790" s="227"/>
      <c r="M790" s="227"/>
      <c r="N790" s="227"/>
      <c r="O790" s="227"/>
      <c r="P790" s="227"/>
      <c r="Q790" s="227"/>
      <c r="R790" s="227"/>
      <c r="S790" s="227"/>
      <c r="T790" s="227"/>
      <c r="U790" s="227"/>
      <c r="V790" s="227"/>
      <c r="W790" s="227"/>
      <c r="X790" s="227"/>
      <c r="Y790" s="227"/>
      <c r="Z790" s="227"/>
      <c r="AA790" s="227"/>
      <c r="AB790" s="227"/>
      <c r="AC790" s="227"/>
      <c r="AD790" s="227"/>
    </row>
    <row r="791" spans="2:30" ht="15.75">
      <c r="B791" s="227"/>
      <c r="C791" s="227"/>
      <c r="D791" s="227"/>
      <c r="E791" s="227"/>
      <c r="F791" s="227"/>
      <c r="G791" s="227"/>
      <c r="H791" s="227"/>
      <c r="I791" s="227"/>
      <c r="J791" s="227"/>
      <c r="K791" s="227"/>
      <c r="L791" s="227"/>
      <c r="M791" s="227"/>
      <c r="N791" s="227"/>
      <c r="O791" s="227"/>
      <c r="P791" s="227"/>
      <c r="Q791" s="227"/>
      <c r="R791" s="227"/>
      <c r="S791" s="227"/>
      <c r="T791" s="227"/>
      <c r="U791" s="227"/>
      <c r="V791" s="227"/>
      <c r="W791" s="227"/>
      <c r="X791" s="227"/>
      <c r="Y791" s="227"/>
      <c r="Z791" s="227"/>
      <c r="AA791" s="227"/>
      <c r="AB791" s="227"/>
      <c r="AC791" s="227"/>
      <c r="AD791" s="227"/>
    </row>
    <row r="792" spans="2:30" ht="15.75">
      <c r="B792" s="227"/>
      <c r="C792" s="227"/>
      <c r="D792" s="227"/>
      <c r="E792" s="227"/>
      <c r="F792" s="227"/>
      <c r="G792" s="227"/>
      <c r="H792" s="227"/>
      <c r="I792" s="227"/>
      <c r="J792" s="227"/>
      <c r="K792" s="227"/>
      <c r="L792" s="227"/>
      <c r="M792" s="227"/>
      <c r="N792" s="227"/>
      <c r="O792" s="227"/>
      <c r="P792" s="227"/>
      <c r="Q792" s="227"/>
      <c r="R792" s="227"/>
      <c r="S792" s="227"/>
      <c r="T792" s="227"/>
      <c r="U792" s="227"/>
      <c r="V792" s="227"/>
      <c r="W792" s="227"/>
      <c r="X792" s="227"/>
      <c r="Y792" s="227"/>
      <c r="Z792" s="227"/>
      <c r="AA792" s="227"/>
      <c r="AB792" s="227"/>
      <c r="AC792" s="227"/>
      <c r="AD792" s="227"/>
    </row>
    <row r="793" spans="2:30" ht="15.75">
      <c r="B793" s="227"/>
      <c r="C793" s="227"/>
      <c r="D793" s="227"/>
      <c r="E793" s="227"/>
      <c r="F793" s="227"/>
      <c r="G793" s="227"/>
      <c r="H793" s="227"/>
      <c r="I793" s="227"/>
      <c r="J793" s="227"/>
      <c r="K793" s="227"/>
      <c r="L793" s="227"/>
      <c r="M793" s="227"/>
      <c r="N793" s="227"/>
      <c r="O793" s="227"/>
      <c r="P793" s="227"/>
      <c r="Q793" s="227"/>
      <c r="R793" s="227"/>
      <c r="S793" s="227"/>
      <c r="T793" s="227"/>
      <c r="U793" s="227"/>
      <c r="V793" s="227"/>
      <c r="W793" s="227"/>
      <c r="X793" s="227"/>
      <c r="Y793" s="227"/>
      <c r="Z793" s="227"/>
      <c r="AA793" s="227"/>
      <c r="AB793" s="227"/>
      <c r="AC793" s="227"/>
      <c r="AD793" s="227"/>
    </row>
    <row r="794" spans="2:30" ht="15.75">
      <c r="B794" s="227"/>
      <c r="C794" s="227"/>
      <c r="D794" s="227"/>
      <c r="E794" s="227"/>
      <c r="F794" s="227"/>
      <c r="G794" s="227"/>
      <c r="H794" s="227"/>
      <c r="I794" s="227"/>
      <c r="J794" s="227"/>
      <c r="K794" s="227"/>
      <c r="L794" s="227"/>
      <c r="M794" s="227"/>
      <c r="N794" s="227"/>
      <c r="O794" s="227"/>
      <c r="P794" s="227"/>
      <c r="Q794" s="227"/>
      <c r="R794" s="227"/>
      <c r="S794" s="227"/>
      <c r="T794" s="227"/>
      <c r="U794" s="227"/>
      <c r="V794" s="227"/>
      <c r="W794" s="227"/>
      <c r="X794" s="227"/>
      <c r="Y794" s="227"/>
      <c r="Z794" s="227"/>
      <c r="AA794" s="227"/>
      <c r="AB794" s="227"/>
      <c r="AC794" s="227"/>
      <c r="AD794" s="227"/>
    </row>
    <row r="795" spans="2:30" ht="15.75">
      <c r="B795" s="227"/>
      <c r="C795" s="227"/>
      <c r="D795" s="227"/>
      <c r="E795" s="227"/>
      <c r="F795" s="227"/>
      <c r="G795" s="227"/>
      <c r="H795" s="227"/>
      <c r="I795" s="227"/>
      <c r="J795" s="227"/>
      <c r="K795" s="227"/>
      <c r="L795" s="227"/>
      <c r="M795" s="227"/>
      <c r="N795" s="227"/>
      <c r="O795" s="227"/>
      <c r="P795" s="227"/>
      <c r="Q795" s="227"/>
      <c r="R795" s="227"/>
      <c r="S795" s="227"/>
      <c r="T795" s="227"/>
      <c r="U795" s="227"/>
      <c r="V795" s="227"/>
      <c r="W795" s="227"/>
      <c r="X795" s="227"/>
      <c r="Y795" s="227"/>
      <c r="Z795" s="227"/>
      <c r="AA795" s="227"/>
      <c r="AB795" s="227"/>
      <c r="AC795" s="227"/>
      <c r="AD795" s="227"/>
    </row>
    <row r="796" spans="2:30" ht="15.75">
      <c r="B796" s="227"/>
      <c r="C796" s="227"/>
      <c r="D796" s="227"/>
      <c r="E796" s="227"/>
      <c r="F796" s="227"/>
      <c r="G796" s="227"/>
      <c r="H796" s="227"/>
      <c r="I796" s="227"/>
      <c r="J796" s="227"/>
      <c r="K796" s="227"/>
      <c r="L796" s="227"/>
      <c r="M796" s="227"/>
      <c r="N796" s="227"/>
      <c r="O796" s="227"/>
      <c r="P796" s="227"/>
      <c r="Q796" s="227"/>
      <c r="R796" s="227"/>
      <c r="S796" s="227"/>
      <c r="T796" s="227"/>
      <c r="U796" s="227"/>
      <c r="V796" s="227"/>
      <c r="W796" s="227"/>
      <c r="X796" s="227"/>
      <c r="Y796" s="227"/>
      <c r="Z796" s="227"/>
      <c r="AA796" s="227"/>
      <c r="AB796" s="227"/>
      <c r="AC796" s="227"/>
      <c r="AD796" s="227"/>
    </row>
    <row r="797" spans="2:30" ht="15.75">
      <c r="B797" s="227"/>
      <c r="C797" s="227"/>
      <c r="D797" s="227"/>
      <c r="E797" s="227"/>
      <c r="F797" s="227"/>
      <c r="G797" s="227"/>
      <c r="H797" s="227"/>
      <c r="I797" s="227"/>
      <c r="J797" s="227"/>
      <c r="K797" s="227"/>
      <c r="L797" s="227"/>
      <c r="M797" s="227"/>
      <c r="N797" s="227"/>
      <c r="O797" s="227"/>
      <c r="P797" s="227"/>
      <c r="Q797" s="227"/>
      <c r="R797" s="227"/>
      <c r="S797" s="227"/>
      <c r="T797" s="227"/>
      <c r="U797" s="227"/>
      <c r="V797" s="227"/>
      <c r="W797" s="227"/>
      <c r="X797" s="227"/>
      <c r="Y797" s="227"/>
      <c r="Z797" s="227"/>
      <c r="AA797" s="227"/>
      <c r="AB797" s="227"/>
      <c r="AC797" s="227"/>
      <c r="AD797" s="227"/>
    </row>
    <row r="798" spans="2:30" ht="15.75">
      <c r="B798" s="227"/>
      <c r="C798" s="227"/>
      <c r="D798" s="227"/>
      <c r="E798" s="227"/>
      <c r="F798" s="227"/>
      <c r="G798" s="227"/>
      <c r="H798" s="227"/>
      <c r="I798" s="227"/>
      <c r="J798" s="227"/>
      <c r="K798" s="227"/>
      <c r="L798" s="227"/>
      <c r="M798" s="227"/>
      <c r="N798" s="227"/>
      <c r="O798" s="227"/>
      <c r="P798" s="227"/>
      <c r="Q798" s="227"/>
      <c r="R798" s="227"/>
      <c r="S798" s="227"/>
      <c r="T798" s="227"/>
      <c r="U798" s="227"/>
      <c r="V798" s="227"/>
      <c r="W798" s="227"/>
      <c r="X798" s="227"/>
      <c r="Y798" s="227"/>
      <c r="Z798" s="227"/>
      <c r="AA798" s="227"/>
      <c r="AB798" s="227"/>
      <c r="AC798" s="227"/>
      <c r="AD798" s="227"/>
    </row>
    <row r="799" spans="2:30" ht="15.75">
      <c r="B799" s="227"/>
      <c r="C799" s="227"/>
      <c r="D799" s="227"/>
      <c r="E799" s="227"/>
      <c r="F799" s="227"/>
      <c r="G799" s="227"/>
      <c r="H799" s="227"/>
      <c r="I799" s="227"/>
      <c r="J799" s="227"/>
      <c r="K799" s="227"/>
      <c r="L799" s="227"/>
      <c r="M799" s="227"/>
      <c r="N799" s="227"/>
      <c r="O799" s="227"/>
      <c r="P799" s="227"/>
      <c r="Q799" s="227"/>
      <c r="R799" s="227"/>
      <c r="S799" s="227"/>
      <c r="T799" s="227"/>
      <c r="U799" s="227"/>
      <c r="V799" s="227"/>
      <c r="W799" s="227"/>
      <c r="X799" s="227"/>
      <c r="Y799" s="227"/>
      <c r="Z799" s="227"/>
      <c r="AA799" s="227"/>
      <c r="AB799" s="227"/>
      <c r="AC799" s="227"/>
      <c r="AD799" s="227"/>
    </row>
    <row r="800" spans="2:30" ht="15.75">
      <c r="B800" s="227"/>
      <c r="C800" s="227"/>
      <c r="D800" s="227"/>
      <c r="E800" s="227"/>
      <c r="F800" s="227"/>
      <c r="G800" s="227"/>
      <c r="H800" s="227"/>
      <c r="I800" s="227"/>
      <c r="J800" s="227"/>
      <c r="K800" s="227"/>
      <c r="L800" s="227"/>
      <c r="M800" s="227"/>
      <c r="N800" s="227"/>
      <c r="O800" s="227"/>
      <c r="P800" s="227"/>
      <c r="Q800" s="227"/>
      <c r="R800" s="227"/>
      <c r="S800" s="227"/>
      <c r="T800" s="227"/>
      <c r="U800" s="227"/>
      <c r="V800" s="227"/>
      <c r="W800" s="227"/>
      <c r="X800" s="227"/>
      <c r="Y800" s="227"/>
      <c r="Z800" s="227"/>
      <c r="AA800" s="227"/>
      <c r="AB800" s="227"/>
      <c r="AC800" s="227"/>
      <c r="AD800" s="227"/>
    </row>
    <row r="801" spans="2:30" ht="15.75">
      <c r="B801" s="227"/>
      <c r="C801" s="227"/>
      <c r="D801" s="227"/>
      <c r="E801" s="227"/>
      <c r="F801" s="227"/>
      <c r="G801" s="227"/>
      <c r="H801" s="227"/>
      <c r="I801" s="227"/>
      <c r="J801" s="227"/>
      <c r="K801" s="227"/>
      <c r="L801" s="227"/>
      <c r="M801" s="227"/>
      <c r="N801" s="227"/>
      <c r="O801" s="227"/>
      <c r="P801" s="227"/>
      <c r="Q801" s="227"/>
      <c r="R801" s="227"/>
      <c r="S801" s="227"/>
      <c r="T801" s="227"/>
      <c r="U801" s="227"/>
      <c r="V801" s="227"/>
      <c r="W801" s="227"/>
      <c r="X801" s="227"/>
      <c r="Y801" s="227"/>
      <c r="Z801" s="227"/>
      <c r="AA801" s="227"/>
      <c r="AB801" s="227"/>
      <c r="AC801" s="227"/>
      <c r="AD801" s="227"/>
    </row>
    <row r="802" spans="2:30" ht="15.75">
      <c r="B802" s="227"/>
      <c r="C802" s="227"/>
      <c r="D802" s="227"/>
      <c r="E802" s="227"/>
      <c r="F802" s="227"/>
      <c r="G802" s="227"/>
      <c r="H802" s="227"/>
      <c r="I802" s="227"/>
      <c r="J802" s="227"/>
      <c r="K802" s="227"/>
      <c r="L802" s="227"/>
      <c r="M802" s="227"/>
      <c r="N802" s="227"/>
      <c r="O802" s="227"/>
      <c r="P802" s="227"/>
      <c r="Q802" s="227"/>
      <c r="R802" s="227"/>
      <c r="S802" s="227"/>
      <c r="T802" s="227"/>
      <c r="U802" s="227"/>
      <c r="V802" s="227"/>
      <c r="W802" s="227"/>
      <c r="X802" s="227"/>
      <c r="Y802" s="227"/>
      <c r="Z802" s="227"/>
      <c r="AA802" s="227"/>
      <c r="AB802" s="227"/>
      <c r="AC802" s="227"/>
      <c r="AD802" s="227"/>
    </row>
    <row r="803" spans="2:30" ht="15.75">
      <c r="B803" s="227"/>
      <c r="C803" s="227"/>
      <c r="D803" s="227"/>
      <c r="E803" s="227"/>
      <c r="F803" s="227"/>
      <c r="G803" s="227"/>
      <c r="H803" s="227"/>
      <c r="I803" s="227"/>
      <c r="J803" s="227"/>
      <c r="K803" s="227"/>
      <c r="L803" s="227"/>
      <c r="M803" s="227"/>
      <c r="N803" s="227"/>
      <c r="O803" s="227"/>
      <c r="P803" s="227"/>
      <c r="Q803" s="227"/>
      <c r="R803" s="227"/>
      <c r="S803" s="227"/>
      <c r="T803" s="227"/>
      <c r="U803" s="227"/>
      <c r="V803" s="227"/>
      <c r="W803" s="227"/>
      <c r="X803" s="227"/>
      <c r="Y803" s="227"/>
      <c r="Z803" s="227"/>
      <c r="AA803" s="227"/>
      <c r="AB803" s="227"/>
      <c r="AC803" s="227"/>
      <c r="AD803" s="227"/>
    </row>
    <row r="804" spans="2:30" ht="15.75">
      <c r="B804" s="227"/>
      <c r="C804" s="227"/>
      <c r="D804" s="227"/>
      <c r="E804" s="227"/>
      <c r="F804" s="227"/>
      <c r="G804" s="227"/>
      <c r="H804" s="227"/>
      <c r="I804" s="227"/>
      <c r="J804" s="227"/>
      <c r="K804" s="227"/>
      <c r="L804" s="227"/>
      <c r="M804" s="227"/>
      <c r="N804" s="227"/>
      <c r="O804" s="227"/>
      <c r="P804" s="227"/>
      <c r="Q804" s="227"/>
      <c r="R804" s="227"/>
      <c r="S804" s="227"/>
      <c r="T804" s="227"/>
      <c r="U804" s="227"/>
      <c r="V804" s="227"/>
      <c r="W804" s="227"/>
      <c r="X804" s="227"/>
      <c r="Y804" s="227"/>
      <c r="Z804" s="227"/>
      <c r="AA804" s="227"/>
      <c r="AB804" s="227"/>
      <c r="AC804" s="227"/>
      <c r="AD804" s="227"/>
    </row>
    <row r="805" spans="2:30" ht="15.75">
      <c r="B805" s="227"/>
      <c r="C805" s="227"/>
      <c r="D805" s="227"/>
      <c r="E805" s="227"/>
      <c r="F805" s="227"/>
      <c r="G805" s="227"/>
      <c r="H805" s="227"/>
      <c r="I805" s="227"/>
      <c r="J805" s="227"/>
      <c r="K805" s="227"/>
      <c r="L805" s="227"/>
      <c r="M805" s="227"/>
      <c r="N805" s="227"/>
      <c r="O805" s="227"/>
      <c r="P805" s="227"/>
      <c r="Q805" s="227"/>
      <c r="R805" s="227"/>
      <c r="S805" s="227"/>
      <c r="T805" s="227"/>
      <c r="U805" s="227"/>
      <c r="V805" s="227"/>
      <c r="W805" s="227"/>
      <c r="X805" s="227"/>
      <c r="Y805" s="227"/>
      <c r="Z805" s="227"/>
      <c r="AA805" s="227"/>
      <c r="AB805" s="227"/>
      <c r="AC805" s="227"/>
      <c r="AD805" s="227"/>
    </row>
    <row r="806" spans="2:30" ht="15.75">
      <c r="B806" s="227"/>
      <c r="C806" s="227"/>
      <c r="D806" s="227"/>
      <c r="E806" s="227"/>
      <c r="F806" s="227"/>
      <c r="G806" s="227"/>
      <c r="H806" s="227"/>
      <c r="I806" s="227"/>
      <c r="J806" s="227"/>
      <c r="K806" s="227"/>
      <c r="L806" s="227"/>
      <c r="M806" s="227"/>
      <c r="N806" s="227"/>
      <c r="O806" s="227"/>
      <c r="P806" s="227"/>
      <c r="Q806" s="227"/>
      <c r="R806" s="227"/>
      <c r="S806" s="227"/>
      <c r="T806" s="227"/>
      <c r="U806" s="227"/>
      <c r="V806" s="227"/>
      <c r="W806" s="227"/>
      <c r="X806" s="227"/>
      <c r="Y806" s="227"/>
      <c r="Z806" s="227"/>
      <c r="AA806" s="227"/>
      <c r="AB806" s="227"/>
      <c r="AC806" s="227"/>
      <c r="AD806" s="227"/>
    </row>
    <row r="807" spans="2:30" ht="15.75">
      <c r="B807" s="227"/>
      <c r="C807" s="227"/>
      <c r="D807" s="227"/>
      <c r="E807" s="227"/>
      <c r="F807" s="227"/>
      <c r="G807" s="227"/>
      <c r="H807" s="227"/>
      <c r="I807" s="227"/>
      <c r="J807" s="227"/>
      <c r="K807" s="227"/>
      <c r="L807" s="227"/>
      <c r="M807" s="227"/>
      <c r="N807" s="227"/>
      <c r="O807" s="227"/>
      <c r="P807" s="227"/>
      <c r="Q807" s="227"/>
      <c r="R807" s="227"/>
      <c r="S807" s="227"/>
      <c r="T807" s="227"/>
      <c r="U807" s="227"/>
      <c r="V807" s="227"/>
      <c r="W807" s="227"/>
      <c r="X807" s="227"/>
      <c r="Y807" s="227"/>
      <c r="Z807" s="227"/>
      <c r="AA807" s="227"/>
      <c r="AB807" s="227"/>
      <c r="AC807" s="227"/>
      <c r="AD807" s="227"/>
    </row>
    <row r="808" spans="2:30" ht="15.75">
      <c r="B808" s="227"/>
      <c r="C808" s="227"/>
      <c r="D808" s="227"/>
      <c r="E808" s="227"/>
      <c r="F808" s="227"/>
      <c r="G808" s="227"/>
      <c r="H808" s="227"/>
      <c r="I808" s="227"/>
      <c r="J808" s="227"/>
      <c r="K808" s="227"/>
      <c r="L808" s="227"/>
      <c r="M808" s="227"/>
      <c r="N808" s="227"/>
      <c r="O808" s="227"/>
      <c r="P808" s="227"/>
      <c r="Q808" s="227"/>
      <c r="R808" s="227"/>
      <c r="S808" s="227"/>
      <c r="T808" s="227"/>
      <c r="U808" s="227"/>
      <c r="V808" s="227"/>
      <c r="W808" s="227"/>
      <c r="X808" s="227"/>
      <c r="Y808" s="227"/>
      <c r="Z808" s="227"/>
      <c r="AA808" s="227"/>
      <c r="AB808" s="227"/>
      <c r="AC808" s="227"/>
      <c r="AD808" s="227"/>
    </row>
    <row r="809" spans="2:30" ht="15.75">
      <c r="B809" s="227"/>
      <c r="C809" s="227"/>
      <c r="D809" s="227"/>
      <c r="E809" s="227"/>
      <c r="F809" s="227"/>
      <c r="G809" s="227"/>
      <c r="H809" s="227"/>
      <c r="I809" s="227"/>
      <c r="J809" s="227"/>
      <c r="K809" s="227"/>
      <c r="L809" s="227"/>
      <c r="M809" s="227"/>
      <c r="N809" s="227"/>
      <c r="O809" s="227"/>
      <c r="P809" s="227"/>
      <c r="Q809" s="227"/>
      <c r="R809" s="227"/>
      <c r="S809" s="227"/>
      <c r="T809" s="227"/>
      <c r="U809" s="227"/>
      <c r="V809" s="227"/>
      <c r="W809" s="227"/>
      <c r="X809" s="227"/>
      <c r="Y809" s="227"/>
      <c r="Z809" s="227"/>
      <c r="AA809" s="227"/>
      <c r="AB809" s="227"/>
      <c r="AC809" s="227"/>
      <c r="AD809" s="227"/>
    </row>
    <row r="810" spans="2:30" ht="15.75">
      <c r="B810" s="227"/>
      <c r="C810" s="227"/>
      <c r="D810" s="227"/>
      <c r="E810" s="227"/>
      <c r="F810" s="227"/>
      <c r="G810" s="227"/>
      <c r="H810" s="227"/>
      <c r="I810" s="227"/>
      <c r="J810" s="227"/>
      <c r="K810" s="227"/>
      <c r="L810" s="227"/>
      <c r="M810" s="227"/>
      <c r="N810" s="227"/>
      <c r="O810" s="227"/>
      <c r="P810" s="227"/>
      <c r="Q810" s="227"/>
      <c r="R810" s="227"/>
      <c r="S810" s="227"/>
      <c r="T810" s="227"/>
      <c r="U810" s="227"/>
      <c r="V810" s="227"/>
      <c r="W810" s="227"/>
      <c r="X810" s="227"/>
      <c r="Y810" s="227"/>
      <c r="Z810" s="227"/>
      <c r="AA810" s="227"/>
      <c r="AB810" s="227"/>
      <c r="AC810" s="227"/>
      <c r="AD810" s="227"/>
    </row>
    <row r="811" spans="2:30" ht="15.75">
      <c r="B811" s="227"/>
      <c r="C811" s="227"/>
      <c r="D811" s="227"/>
      <c r="E811" s="227"/>
      <c r="F811" s="227"/>
      <c r="G811" s="227"/>
      <c r="H811" s="227"/>
      <c r="I811" s="227"/>
      <c r="J811" s="227"/>
      <c r="K811" s="227"/>
      <c r="L811" s="227"/>
      <c r="M811" s="227"/>
      <c r="N811" s="227"/>
      <c r="O811" s="227"/>
      <c r="P811" s="227"/>
      <c r="Q811" s="227"/>
      <c r="R811" s="227"/>
      <c r="S811" s="227"/>
      <c r="T811" s="227"/>
      <c r="U811" s="227"/>
      <c r="V811" s="227"/>
      <c r="W811" s="227"/>
      <c r="X811" s="227"/>
      <c r="Y811" s="227"/>
      <c r="Z811" s="227"/>
      <c r="AA811" s="227"/>
      <c r="AB811" s="227"/>
      <c r="AC811" s="227"/>
      <c r="AD811" s="227"/>
    </row>
    <row r="812" spans="2:30" ht="15.75">
      <c r="B812" s="227"/>
      <c r="C812" s="227"/>
      <c r="D812" s="227"/>
      <c r="E812" s="227"/>
      <c r="F812" s="227"/>
      <c r="G812" s="227"/>
      <c r="H812" s="227"/>
      <c r="I812" s="227"/>
      <c r="J812" s="227"/>
      <c r="K812" s="227"/>
      <c r="L812" s="227"/>
      <c r="M812" s="227"/>
      <c r="N812" s="227"/>
      <c r="O812" s="227"/>
      <c r="P812" s="227"/>
      <c r="Q812" s="227"/>
      <c r="R812" s="227"/>
      <c r="S812" s="227"/>
      <c r="T812" s="227"/>
      <c r="U812" s="227"/>
      <c r="V812" s="227"/>
      <c r="W812" s="227"/>
      <c r="X812" s="227"/>
      <c r="Y812" s="227"/>
      <c r="Z812" s="227"/>
      <c r="AA812" s="227"/>
      <c r="AB812" s="227"/>
      <c r="AC812" s="227"/>
      <c r="AD812" s="227"/>
    </row>
    <row r="813" spans="2:30" ht="15.75">
      <c r="B813" s="227"/>
      <c r="C813" s="227"/>
      <c r="D813" s="227"/>
      <c r="E813" s="227"/>
      <c r="F813" s="227"/>
      <c r="G813" s="227"/>
      <c r="H813" s="227"/>
      <c r="I813" s="227"/>
      <c r="J813" s="227"/>
      <c r="K813" s="227"/>
      <c r="L813" s="227"/>
      <c r="M813" s="227"/>
      <c r="N813" s="227"/>
      <c r="O813" s="227"/>
      <c r="P813" s="227"/>
      <c r="Q813" s="227"/>
      <c r="R813" s="227"/>
      <c r="S813" s="227"/>
      <c r="T813" s="227"/>
      <c r="U813" s="227"/>
      <c r="V813" s="227"/>
      <c r="W813" s="227"/>
      <c r="X813" s="227"/>
      <c r="Y813" s="227"/>
      <c r="Z813" s="227"/>
      <c r="AA813" s="227"/>
      <c r="AB813" s="227"/>
      <c r="AC813" s="227"/>
      <c r="AD813" s="227"/>
    </row>
    <row r="814" spans="2:30" ht="15.75">
      <c r="B814" s="227"/>
      <c r="C814" s="227"/>
      <c r="D814" s="227"/>
      <c r="E814" s="227"/>
      <c r="F814" s="227"/>
      <c r="G814" s="227"/>
      <c r="H814" s="227"/>
      <c r="I814" s="227"/>
      <c r="J814" s="227"/>
      <c r="K814" s="227"/>
      <c r="L814" s="227"/>
      <c r="M814" s="227"/>
      <c r="N814" s="227"/>
      <c r="O814" s="227"/>
      <c r="P814" s="227"/>
      <c r="Q814" s="227"/>
      <c r="R814" s="227"/>
      <c r="S814" s="227"/>
      <c r="T814" s="227"/>
      <c r="U814" s="227"/>
      <c r="V814" s="227"/>
      <c r="W814" s="227"/>
      <c r="X814" s="227"/>
      <c r="Y814" s="227"/>
      <c r="Z814" s="227"/>
      <c r="AA814" s="227"/>
      <c r="AB814" s="227"/>
      <c r="AC814" s="227"/>
      <c r="AD814" s="227"/>
    </row>
    <row r="815" spans="2:30" ht="15.75">
      <c r="B815" s="227"/>
      <c r="C815" s="227"/>
      <c r="D815" s="227"/>
      <c r="E815" s="227"/>
      <c r="F815" s="227"/>
      <c r="G815" s="227"/>
      <c r="H815" s="227"/>
      <c r="I815" s="227"/>
      <c r="J815" s="227"/>
      <c r="K815" s="227"/>
      <c r="L815" s="227"/>
      <c r="M815" s="227"/>
      <c r="N815" s="227"/>
      <c r="O815" s="227"/>
      <c r="P815" s="227"/>
      <c r="Q815" s="227"/>
      <c r="R815" s="227"/>
      <c r="S815" s="227"/>
      <c r="T815" s="227"/>
      <c r="U815" s="227"/>
      <c r="V815" s="227"/>
      <c r="W815" s="227"/>
      <c r="X815" s="227"/>
      <c r="Y815" s="227"/>
      <c r="Z815" s="227"/>
      <c r="AA815" s="227"/>
      <c r="AB815" s="227"/>
      <c r="AC815" s="227"/>
      <c r="AD815" s="227"/>
    </row>
    <row r="816" spans="2:30" ht="15.75">
      <c r="B816" s="227"/>
      <c r="C816" s="227"/>
      <c r="D816" s="227"/>
      <c r="E816" s="227"/>
      <c r="F816" s="227"/>
      <c r="G816" s="227"/>
      <c r="H816" s="227"/>
      <c r="I816" s="227"/>
      <c r="J816" s="227"/>
      <c r="K816" s="227"/>
      <c r="L816" s="227"/>
      <c r="M816" s="227"/>
      <c r="N816" s="227"/>
      <c r="O816" s="227"/>
      <c r="P816" s="227"/>
      <c r="Q816" s="227"/>
      <c r="R816" s="227"/>
      <c r="S816" s="227"/>
      <c r="T816" s="227"/>
      <c r="U816" s="227"/>
      <c r="V816" s="227"/>
      <c r="W816" s="227"/>
      <c r="X816" s="227"/>
      <c r="Y816" s="227"/>
      <c r="Z816" s="227"/>
      <c r="AA816" s="227"/>
      <c r="AB816" s="227"/>
      <c r="AC816" s="227"/>
      <c r="AD816" s="227"/>
    </row>
    <row r="817" spans="2:30" ht="15.75">
      <c r="B817" s="227"/>
      <c r="C817" s="227"/>
      <c r="D817" s="227"/>
      <c r="E817" s="227"/>
      <c r="F817" s="227"/>
      <c r="G817" s="227"/>
      <c r="H817" s="227"/>
      <c r="I817" s="227"/>
      <c r="J817" s="227"/>
      <c r="K817" s="227"/>
      <c r="L817" s="227"/>
      <c r="M817" s="227"/>
      <c r="N817" s="227"/>
      <c r="O817" s="227"/>
      <c r="P817" s="227"/>
      <c r="Q817" s="227"/>
      <c r="R817" s="227"/>
      <c r="S817" s="227"/>
      <c r="T817" s="227"/>
      <c r="U817" s="227"/>
      <c r="V817" s="227"/>
      <c r="W817" s="227"/>
      <c r="X817" s="227"/>
      <c r="Y817" s="227"/>
      <c r="Z817" s="227"/>
      <c r="AA817" s="227"/>
      <c r="AB817" s="227"/>
      <c r="AC817" s="227"/>
      <c r="AD817" s="227"/>
    </row>
    <row r="818" spans="2:30" ht="15.75">
      <c r="B818" s="227"/>
      <c r="C818" s="227"/>
      <c r="D818" s="227"/>
      <c r="E818" s="227"/>
      <c r="F818" s="227"/>
      <c r="G818" s="227"/>
      <c r="H818" s="227"/>
      <c r="I818" s="227"/>
      <c r="J818" s="227"/>
      <c r="K818" s="227"/>
      <c r="L818" s="227"/>
      <c r="M818" s="227"/>
      <c r="N818" s="227"/>
      <c r="O818" s="227"/>
      <c r="P818" s="227"/>
      <c r="Q818" s="227"/>
      <c r="R818" s="227"/>
      <c r="S818" s="227"/>
      <c r="T818" s="227"/>
      <c r="U818" s="227"/>
      <c r="V818" s="227"/>
      <c r="W818" s="227"/>
      <c r="X818" s="227"/>
      <c r="Y818" s="227"/>
      <c r="Z818" s="227"/>
      <c r="AA818" s="227"/>
      <c r="AB818" s="227"/>
      <c r="AC818" s="227"/>
      <c r="AD818" s="227"/>
    </row>
    <row r="819" spans="2:30" ht="15.75">
      <c r="B819" s="227"/>
      <c r="C819" s="227"/>
      <c r="D819" s="227"/>
      <c r="E819" s="227"/>
      <c r="F819" s="227"/>
      <c r="G819" s="227"/>
      <c r="H819" s="227"/>
      <c r="I819" s="227"/>
      <c r="J819" s="227"/>
      <c r="K819" s="227"/>
      <c r="L819" s="227"/>
      <c r="M819" s="227"/>
      <c r="N819" s="227"/>
      <c r="O819" s="227"/>
      <c r="P819" s="227"/>
      <c r="Q819" s="227"/>
      <c r="R819" s="227"/>
      <c r="S819" s="227"/>
      <c r="T819" s="227"/>
      <c r="U819" s="227"/>
      <c r="V819" s="227"/>
      <c r="W819" s="227"/>
      <c r="X819" s="227"/>
      <c r="Y819" s="227"/>
      <c r="Z819" s="227"/>
      <c r="AA819" s="227"/>
      <c r="AB819" s="227"/>
      <c r="AC819" s="227"/>
      <c r="AD819" s="227"/>
    </row>
    <row r="820" spans="2:30" ht="15.75">
      <c r="B820" s="227"/>
      <c r="C820" s="227"/>
      <c r="D820" s="227"/>
      <c r="E820" s="227"/>
      <c r="F820" s="227"/>
      <c r="G820" s="227"/>
      <c r="H820" s="227"/>
      <c r="I820" s="227"/>
      <c r="J820" s="227"/>
      <c r="K820" s="227"/>
      <c r="L820" s="227"/>
      <c r="M820" s="227"/>
      <c r="N820" s="227"/>
      <c r="O820" s="227"/>
      <c r="P820" s="227"/>
      <c r="Q820" s="227"/>
      <c r="R820" s="227"/>
      <c r="S820" s="227"/>
      <c r="T820" s="227"/>
      <c r="U820" s="227"/>
      <c r="V820" s="227"/>
      <c r="W820" s="227"/>
      <c r="X820" s="227"/>
      <c r="Y820" s="227"/>
      <c r="Z820" s="227"/>
      <c r="AA820" s="227"/>
      <c r="AB820" s="227"/>
      <c r="AC820" s="227"/>
      <c r="AD820" s="227"/>
    </row>
    <row r="821" spans="2:30" ht="15.75">
      <c r="B821" s="227"/>
      <c r="C821" s="227"/>
      <c r="D821" s="227"/>
      <c r="E821" s="227"/>
      <c r="F821" s="227"/>
      <c r="G821" s="227"/>
      <c r="H821" s="227"/>
      <c r="I821" s="227"/>
      <c r="J821" s="227"/>
      <c r="K821" s="227"/>
      <c r="L821" s="227"/>
      <c r="M821" s="227"/>
      <c r="N821" s="227"/>
      <c r="O821" s="227"/>
      <c r="P821" s="227"/>
      <c r="Q821" s="227"/>
      <c r="R821" s="227"/>
      <c r="S821" s="227"/>
      <c r="T821" s="227"/>
      <c r="U821" s="227"/>
      <c r="V821" s="227"/>
      <c r="W821" s="227"/>
      <c r="X821" s="227"/>
      <c r="Y821" s="227"/>
      <c r="Z821" s="227"/>
      <c r="AA821" s="227"/>
      <c r="AB821" s="227"/>
      <c r="AC821" s="227"/>
      <c r="AD821" s="227"/>
    </row>
    <row r="822" spans="2:30" ht="15.75">
      <c r="B822" s="227"/>
      <c r="C822" s="227"/>
      <c r="D822" s="227"/>
      <c r="E822" s="227"/>
      <c r="F822" s="227"/>
      <c r="G822" s="227"/>
      <c r="H822" s="227"/>
      <c r="I822" s="227"/>
      <c r="J822" s="227"/>
      <c r="K822" s="227"/>
      <c r="L822" s="227"/>
      <c r="M822" s="227"/>
      <c r="N822" s="227"/>
      <c r="O822" s="227"/>
      <c r="P822" s="227"/>
      <c r="Q822" s="227"/>
      <c r="R822" s="227"/>
      <c r="S822" s="227"/>
      <c r="T822" s="227"/>
      <c r="U822" s="227"/>
      <c r="V822" s="227"/>
      <c r="W822" s="227"/>
      <c r="X822" s="227"/>
      <c r="Y822" s="227"/>
      <c r="Z822" s="227"/>
      <c r="AA822" s="227"/>
      <c r="AB822" s="227"/>
      <c r="AC822" s="227"/>
      <c r="AD822" s="227"/>
    </row>
    <row r="823" spans="2:30" ht="15.75">
      <c r="B823" s="227"/>
      <c r="C823" s="227"/>
      <c r="D823" s="227"/>
      <c r="E823" s="227"/>
      <c r="F823" s="227"/>
      <c r="G823" s="227"/>
      <c r="H823" s="227"/>
      <c r="I823" s="227"/>
      <c r="J823" s="227"/>
      <c r="K823" s="227"/>
      <c r="L823" s="227"/>
      <c r="M823" s="227"/>
      <c r="N823" s="227"/>
      <c r="O823" s="227"/>
      <c r="P823" s="227"/>
      <c r="Q823" s="227"/>
      <c r="R823" s="227"/>
      <c r="S823" s="227"/>
      <c r="T823" s="227"/>
      <c r="U823" s="227"/>
      <c r="V823" s="227"/>
      <c r="W823" s="227"/>
      <c r="X823" s="227"/>
      <c r="Y823" s="227"/>
      <c r="Z823" s="227"/>
      <c r="AA823" s="227"/>
      <c r="AB823" s="227"/>
      <c r="AC823" s="227"/>
      <c r="AD823" s="227"/>
    </row>
    <row r="824" spans="2:30" ht="15.75">
      <c r="B824" s="227"/>
      <c r="C824" s="227"/>
      <c r="D824" s="227"/>
      <c r="E824" s="227"/>
      <c r="F824" s="227"/>
      <c r="G824" s="227"/>
      <c r="H824" s="227"/>
      <c r="I824" s="227"/>
      <c r="J824" s="227"/>
      <c r="K824" s="227"/>
      <c r="L824" s="227"/>
      <c r="M824" s="227"/>
      <c r="N824" s="227"/>
      <c r="O824" s="227"/>
      <c r="P824" s="227"/>
      <c r="Q824" s="227"/>
      <c r="R824" s="227"/>
      <c r="S824" s="227"/>
      <c r="T824" s="227"/>
      <c r="U824" s="227"/>
      <c r="V824" s="227"/>
      <c r="W824" s="227"/>
      <c r="X824" s="227"/>
      <c r="Y824" s="227"/>
      <c r="Z824" s="227"/>
      <c r="AA824" s="227"/>
      <c r="AB824" s="227"/>
      <c r="AC824" s="227"/>
      <c r="AD824" s="227"/>
    </row>
    <row r="825" spans="2:30" ht="15.75">
      <c r="B825" s="227"/>
      <c r="C825" s="227"/>
      <c r="D825" s="227"/>
      <c r="E825" s="227"/>
      <c r="F825" s="227"/>
      <c r="G825" s="227"/>
      <c r="H825" s="227"/>
      <c r="I825" s="227"/>
      <c r="J825" s="227"/>
      <c r="K825" s="227"/>
      <c r="L825" s="227"/>
      <c r="M825" s="227"/>
      <c r="N825" s="227"/>
      <c r="O825" s="227"/>
      <c r="P825" s="227"/>
      <c r="Q825" s="227"/>
      <c r="R825" s="227"/>
      <c r="S825" s="227"/>
      <c r="T825" s="227"/>
      <c r="U825" s="227"/>
      <c r="V825" s="227"/>
      <c r="W825" s="227"/>
      <c r="X825" s="227"/>
      <c r="Y825" s="227"/>
      <c r="Z825" s="227"/>
      <c r="AA825" s="227"/>
      <c r="AB825" s="227"/>
      <c r="AC825" s="227"/>
      <c r="AD825" s="227"/>
    </row>
    <row r="826" spans="2:30" ht="15.75">
      <c r="B826" s="227"/>
      <c r="C826" s="227"/>
      <c r="D826" s="227"/>
      <c r="E826" s="227"/>
      <c r="F826" s="227"/>
      <c r="G826" s="227"/>
      <c r="H826" s="227"/>
      <c r="I826" s="227"/>
      <c r="J826" s="227"/>
      <c r="K826" s="227"/>
      <c r="L826" s="227"/>
      <c r="M826" s="227"/>
      <c r="N826" s="227"/>
      <c r="O826" s="227"/>
      <c r="P826" s="227"/>
      <c r="Q826" s="227"/>
      <c r="R826" s="227"/>
      <c r="S826" s="227"/>
      <c r="T826" s="227"/>
      <c r="U826" s="227"/>
      <c r="V826" s="227"/>
      <c r="W826" s="227"/>
      <c r="X826" s="227"/>
      <c r="Y826" s="227"/>
      <c r="Z826" s="227"/>
      <c r="AA826" s="227"/>
      <c r="AB826" s="227"/>
      <c r="AC826" s="227"/>
      <c r="AD826" s="227"/>
    </row>
    <row r="827" spans="2:30" ht="15.75">
      <c r="B827" s="227"/>
      <c r="C827" s="227"/>
      <c r="D827" s="227"/>
      <c r="E827" s="227"/>
      <c r="F827" s="227"/>
      <c r="G827" s="227"/>
      <c r="H827" s="227"/>
      <c r="I827" s="227"/>
      <c r="J827" s="227"/>
      <c r="K827" s="227"/>
      <c r="L827" s="227"/>
      <c r="M827" s="227"/>
      <c r="N827" s="227"/>
      <c r="O827" s="227"/>
      <c r="P827" s="227"/>
      <c r="Q827" s="227"/>
      <c r="R827" s="227"/>
      <c r="S827" s="227"/>
      <c r="T827" s="227"/>
      <c r="U827" s="227"/>
      <c r="V827" s="227"/>
      <c r="W827" s="227"/>
      <c r="X827" s="227"/>
      <c r="Y827" s="227"/>
      <c r="Z827" s="227"/>
      <c r="AA827" s="227"/>
      <c r="AB827" s="227"/>
      <c r="AC827" s="227"/>
      <c r="AD827" s="227"/>
    </row>
    <row r="828" spans="2:30" ht="15.75">
      <c r="B828" s="227"/>
      <c r="C828" s="227"/>
      <c r="D828" s="227"/>
      <c r="E828" s="227"/>
      <c r="F828" s="227"/>
      <c r="G828" s="227"/>
      <c r="H828" s="227"/>
      <c r="I828" s="227"/>
      <c r="J828" s="227"/>
      <c r="K828" s="227"/>
      <c r="L828" s="227"/>
      <c r="M828" s="227"/>
      <c r="N828" s="227"/>
      <c r="O828" s="227"/>
      <c r="P828" s="227"/>
      <c r="Q828" s="227"/>
      <c r="R828" s="227"/>
      <c r="S828" s="227"/>
      <c r="T828" s="227"/>
      <c r="U828" s="227"/>
      <c r="V828" s="227"/>
      <c r="W828" s="227"/>
      <c r="X828" s="227"/>
      <c r="Y828" s="227"/>
      <c r="Z828" s="227"/>
      <c r="AA828" s="227"/>
      <c r="AB828" s="227"/>
      <c r="AC828" s="227"/>
      <c r="AD828" s="227"/>
    </row>
    <row r="829" spans="2:30" ht="15.75">
      <c r="B829" s="227"/>
      <c r="C829" s="227"/>
      <c r="D829" s="227"/>
      <c r="E829" s="227"/>
      <c r="F829" s="227"/>
      <c r="G829" s="227"/>
      <c r="H829" s="227"/>
      <c r="I829" s="227"/>
      <c r="J829" s="227"/>
      <c r="K829" s="227"/>
      <c r="L829" s="227"/>
      <c r="M829" s="227"/>
      <c r="N829" s="227"/>
      <c r="O829" s="227"/>
      <c r="P829" s="227"/>
      <c r="Q829" s="227"/>
      <c r="R829" s="227"/>
      <c r="S829" s="227"/>
      <c r="T829" s="227"/>
      <c r="U829" s="227"/>
      <c r="V829" s="227"/>
      <c r="W829" s="227"/>
      <c r="X829" s="227"/>
      <c r="Y829" s="227"/>
      <c r="Z829" s="227"/>
      <c r="AA829" s="227"/>
      <c r="AB829" s="227"/>
      <c r="AC829" s="227"/>
      <c r="AD829" s="227"/>
    </row>
    <row r="830" spans="2:30" ht="15.75">
      <c r="B830" s="227"/>
      <c r="C830" s="227"/>
      <c r="D830" s="227"/>
      <c r="E830" s="227"/>
      <c r="F830" s="227"/>
      <c r="G830" s="227"/>
      <c r="H830" s="227"/>
      <c r="I830" s="227"/>
      <c r="J830" s="227"/>
      <c r="K830" s="227"/>
      <c r="L830" s="227"/>
      <c r="M830" s="227"/>
      <c r="N830" s="227"/>
      <c r="O830" s="227"/>
      <c r="P830" s="227"/>
      <c r="Q830" s="227"/>
      <c r="R830" s="227"/>
      <c r="S830" s="227"/>
      <c r="T830" s="227"/>
      <c r="U830" s="227"/>
      <c r="V830" s="227"/>
      <c r="W830" s="227"/>
      <c r="X830" s="227"/>
      <c r="Y830" s="227"/>
      <c r="Z830" s="227"/>
      <c r="AA830" s="227"/>
      <c r="AB830" s="227"/>
      <c r="AC830" s="227"/>
      <c r="AD830" s="227"/>
    </row>
    <row r="831" spans="2:30" ht="15.75">
      <c r="B831" s="227"/>
      <c r="C831" s="227"/>
      <c r="D831" s="227"/>
      <c r="E831" s="227"/>
      <c r="F831" s="227"/>
      <c r="G831" s="227"/>
      <c r="H831" s="227"/>
      <c r="I831" s="227"/>
      <c r="J831" s="227"/>
      <c r="K831" s="227"/>
      <c r="L831" s="227"/>
      <c r="M831" s="227"/>
      <c r="N831" s="227"/>
      <c r="O831" s="227"/>
      <c r="P831" s="227"/>
      <c r="Q831" s="227"/>
      <c r="R831" s="227"/>
      <c r="S831" s="227"/>
      <c r="T831" s="227"/>
      <c r="U831" s="227"/>
      <c r="V831" s="227"/>
      <c r="W831" s="227"/>
      <c r="X831" s="227"/>
      <c r="Y831" s="227"/>
      <c r="Z831" s="227"/>
      <c r="AA831" s="227"/>
      <c r="AB831" s="227"/>
      <c r="AC831" s="227"/>
      <c r="AD831" s="227"/>
    </row>
    <row r="832" spans="2:30" ht="15.75">
      <c r="B832" s="227"/>
      <c r="C832" s="227"/>
      <c r="D832" s="227"/>
      <c r="E832" s="227"/>
      <c r="F832" s="227"/>
      <c r="G832" s="227"/>
      <c r="H832" s="227"/>
      <c r="I832" s="227"/>
      <c r="J832" s="227"/>
      <c r="K832" s="227"/>
      <c r="L832" s="227"/>
      <c r="M832" s="227"/>
      <c r="N832" s="227"/>
      <c r="O832" s="227"/>
      <c r="P832" s="227"/>
      <c r="Q832" s="227"/>
      <c r="R832" s="227"/>
      <c r="S832" s="227"/>
      <c r="T832" s="227"/>
      <c r="U832" s="227"/>
      <c r="V832" s="227"/>
      <c r="W832" s="227"/>
      <c r="X832" s="227"/>
      <c r="Y832" s="227"/>
      <c r="Z832" s="227"/>
      <c r="AA832" s="227"/>
      <c r="AB832" s="227"/>
      <c r="AC832" s="227"/>
      <c r="AD832" s="227"/>
    </row>
    <row r="833" spans="2:30" ht="15.75">
      <c r="B833" s="227"/>
      <c r="C833" s="227"/>
      <c r="D833" s="227"/>
      <c r="E833" s="227"/>
      <c r="F833" s="227"/>
      <c r="G833" s="227"/>
      <c r="H833" s="227"/>
      <c r="I833" s="227"/>
      <c r="J833" s="227"/>
      <c r="K833" s="227"/>
      <c r="L833" s="227"/>
      <c r="M833" s="227"/>
      <c r="N833" s="227"/>
      <c r="O833" s="227"/>
      <c r="P833" s="227"/>
      <c r="Q833" s="227"/>
      <c r="R833" s="227"/>
      <c r="S833" s="227"/>
      <c r="T833" s="227"/>
      <c r="U833" s="227"/>
      <c r="V833" s="227"/>
      <c r="W833" s="227"/>
      <c r="X833" s="227"/>
      <c r="Y833" s="227"/>
      <c r="Z833" s="227"/>
      <c r="AA833" s="227"/>
      <c r="AB833" s="227"/>
      <c r="AC833" s="227"/>
      <c r="AD833" s="227"/>
    </row>
    <row r="834" spans="2:30" ht="15.75">
      <c r="B834" s="227"/>
      <c r="C834" s="227"/>
      <c r="D834" s="227"/>
      <c r="E834" s="227"/>
      <c r="F834" s="227"/>
      <c r="G834" s="227"/>
      <c r="H834" s="227"/>
      <c r="I834" s="227"/>
      <c r="J834" s="227"/>
      <c r="K834" s="227"/>
      <c r="L834" s="227"/>
      <c r="M834" s="227"/>
      <c r="N834" s="227"/>
      <c r="O834" s="227"/>
      <c r="P834" s="227"/>
      <c r="Q834" s="227"/>
      <c r="R834" s="227"/>
      <c r="S834" s="227"/>
      <c r="T834" s="227"/>
      <c r="U834" s="227"/>
      <c r="V834" s="227"/>
      <c r="W834" s="227"/>
      <c r="X834" s="227"/>
      <c r="Y834" s="227"/>
      <c r="Z834" s="227"/>
      <c r="AA834" s="227"/>
      <c r="AB834" s="227"/>
      <c r="AC834" s="227"/>
      <c r="AD834" s="227"/>
    </row>
    <row r="835" spans="2:30" ht="15.75">
      <c r="B835" s="227"/>
      <c r="C835" s="227"/>
      <c r="D835" s="227"/>
      <c r="E835" s="227"/>
      <c r="F835" s="227"/>
      <c r="G835" s="227"/>
      <c r="H835" s="227"/>
      <c r="I835" s="227"/>
      <c r="J835" s="227"/>
      <c r="K835" s="227"/>
      <c r="L835" s="227"/>
      <c r="M835" s="227"/>
      <c r="N835" s="227"/>
      <c r="O835" s="227"/>
      <c r="P835" s="227"/>
      <c r="Q835" s="227"/>
      <c r="R835" s="227"/>
      <c r="S835" s="227"/>
      <c r="T835" s="227"/>
      <c r="U835" s="227"/>
      <c r="V835" s="227"/>
      <c r="W835" s="227"/>
      <c r="X835" s="227"/>
      <c r="Y835" s="227"/>
      <c r="Z835" s="227"/>
      <c r="AA835" s="227"/>
      <c r="AB835" s="227"/>
      <c r="AC835" s="227"/>
      <c r="AD835" s="227"/>
    </row>
    <row r="836" spans="2:30" ht="15.75">
      <c r="B836" s="227"/>
      <c r="C836" s="227"/>
      <c r="D836" s="227"/>
      <c r="E836" s="227"/>
      <c r="F836" s="227"/>
      <c r="G836" s="227"/>
      <c r="H836" s="227"/>
      <c r="I836" s="227"/>
      <c r="J836" s="227"/>
      <c r="K836" s="227"/>
      <c r="L836" s="227"/>
      <c r="M836" s="227"/>
      <c r="N836" s="227"/>
      <c r="O836" s="227"/>
      <c r="P836" s="227"/>
      <c r="Q836" s="227"/>
      <c r="R836" s="227"/>
      <c r="S836" s="227"/>
      <c r="T836" s="227"/>
      <c r="U836" s="227"/>
      <c r="V836" s="227"/>
      <c r="W836" s="227"/>
      <c r="X836" s="227"/>
      <c r="Y836" s="227"/>
      <c r="Z836" s="227"/>
      <c r="AA836" s="227"/>
      <c r="AB836" s="227"/>
      <c r="AC836" s="227"/>
      <c r="AD836" s="227"/>
    </row>
    <row r="837" spans="2:30" ht="15.75">
      <c r="B837" s="227"/>
      <c r="C837" s="227"/>
      <c r="D837" s="227"/>
      <c r="E837" s="227"/>
      <c r="F837" s="227"/>
      <c r="G837" s="227"/>
      <c r="H837" s="227"/>
      <c r="I837" s="227"/>
      <c r="J837" s="227"/>
      <c r="K837" s="227"/>
      <c r="L837" s="227"/>
      <c r="M837" s="227"/>
      <c r="N837" s="227"/>
      <c r="O837" s="227"/>
      <c r="P837" s="227"/>
      <c r="Q837" s="227"/>
      <c r="R837" s="227"/>
      <c r="S837" s="227"/>
      <c r="T837" s="227"/>
      <c r="U837" s="227"/>
      <c r="V837" s="227"/>
      <c r="W837" s="227"/>
      <c r="X837" s="227"/>
      <c r="Y837" s="227"/>
      <c r="Z837" s="227"/>
      <c r="AA837" s="227"/>
      <c r="AB837" s="227"/>
      <c r="AC837" s="227"/>
      <c r="AD837" s="227"/>
    </row>
    <row r="838" spans="2:30" ht="15.75">
      <c r="B838" s="227"/>
      <c r="C838" s="227"/>
      <c r="D838" s="227"/>
      <c r="E838" s="227"/>
      <c r="F838" s="227"/>
      <c r="G838" s="227"/>
      <c r="H838" s="227"/>
      <c r="I838" s="227"/>
      <c r="J838" s="227"/>
      <c r="K838" s="227"/>
      <c r="L838" s="227"/>
      <c r="M838" s="227"/>
      <c r="N838" s="227"/>
      <c r="O838" s="227"/>
      <c r="P838" s="227"/>
      <c r="Q838" s="227"/>
      <c r="R838" s="227"/>
      <c r="S838" s="227"/>
      <c r="T838" s="227"/>
      <c r="U838" s="227"/>
      <c r="V838" s="227"/>
      <c r="W838" s="227"/>
      <c r="X838" s="227"/>
      <c r="Y838" s="227"/>
      <c r="Z838" s="227"/>
      <c r="AA838" s="227"/>
      <c r="AB838" s="227"/>
      <c r="AC838" s="227"/>
      <c r="AD838" s="227"/>
    </row>
    <row r="839" spans="2:30" ht="15.75">
      <c r="B839" s="227"/>
      <c r="C839" s="227"/>
      <c r="D839" s="227"/>
      <c r="E839" s="227"/>
      <c r="F839" s="227"/>
      <c r="G839" s="227"/>
      <c r="H839" s="227"/>
      <c r="I839" s="227"/>
      <c r="J839" s="227"/>
      <c r="K839" s="227"/>
      <c r="L839" s="227"/>
      <c r="M839" s="227"/>
      <c r="N839" s="227"/>
      <c r="O839" s="227"/>
      <c r="P839" s="227"/>
      <c r="Q839" s="227"/>
      <c r="R839" s="227"/>
      <c r="S839" s="227"/>
      <c r="T839" s="227"/>
      <c r="U839" s="227"/>
      <c r="V839" s="227"/>
      <c r="W839" s="227"/>
      <c r="X839" s="227"/>
      <c r="Y839" s="227"/>
      <c r="Z839" s="227"/>
      <c r="AA839" s="227"/>
      <c r="AB839" s="227"/>
      <c r="AC839" s="227"/>
      <c r="AD839" s="227"/>
    </row>
    <row r="840" spans="2:30" ht="15.75">
      <c r="B840" s="227"/>
      <c r="C840" s="227"/>
      <c r="D840" s="227"/>
      <c r="E840" s="227"/>
      <c r="F840" s="227"/>
      <c r="G840" s="227"/>
      <c r="H840" s="227"/>
      <c r="I840" s="227"/>
      <c r="J840" s="227"/>
      <c r="K840" s="227"/>
      <c r="L840" s="227"/>
      <c r="M840" s="227"/>
      <c r="N840" s="227"/>
      <c r="O840" s="227"/>
      <c r="P840" s="227"/>
      <c r="Q840" s="227"/>
      <c r="R840" s="227"/>
      <c r="S840" s="227"/>
      <c r="T840" s="227"/>
      <c r="U840" s="227"/>
      <c r="V840" s="227"/>
      <c r="W840" s="227"/>
      <c r="X840" s="227"/>
      <c r="Y840" s="227"/>
      <c r="Z840" s="227"/>
      <c r="AA840" s="227"/>
      <c r="AB840" s="227"/>
      <c r="AC840" s="227"/>
      <c r="AD840" s="227"/>
    </row>
    <row r="841" spans="2:30" ht="15.75">
      <c r="B841" s="227"/>
      <c r="C841" s="227"/>
      <c r="D841" s="227"/>
      <c r="E841" s="227"/>
      <c r="F841" s="227"/>
      <c r="G841" s="227"/>
      <c r="H841" s="227"/>
      <c r="I841" s="227"/>
      <c r="J841" s="227"/>
      <c r="K841" s="227"/>
      <c r="L841" s="227"/>
      <c r="M841" s="227"/>
      <c r="N841" s="227"/>
      <c r="O841" s="227"/>
      <c r="P841" s="227"/>
      <c r="Q841" s="227"/>
      <c r="R841" s="227"/>
      <c r="S841" s="227"/>
      <c r="T841" s="227"/>
      <c r="U841" s="227"/>
      <c r="V841" s="227"/>
      <c r="W841" s="227"/>
      <c r="X841" s="227"/>
      <c r="Y841" s="227"/>
      <c r="Z841" s="227"/>
      <c r="AA841" s="227"/>
      <c r="AB841" s="227"/>
      <c r="AC841" s="227"/>
      <c r="AD841" s="227"/>
    </row>
    <row r="842" spans="2:30" ht="15.75">
      <c r="B842" s="227"/>
      <c r="C842" s="227"/>
      <c r="D842" s="227"/>
      <c r="E842" s="227"/>
      <c r="F842" s="227"/>
      <c r="G842" s="227"/>
      <c r="H842" s="227"/>
      <c r="I842" s="227"/>
      <c r="J842" s="227"/>
      <c r="K842" s="227"/>
      <c r="L842" s="227"/>
      <c r="M842" s="227"/>
      <c r="N842" s="227"/>
      <c r="O842" s="227"/>
      <c r="P842" s="227"/>
      <c r="Q842" s="227"/>
      <c r="R842" s="227"/>
      <c r="S842" s="227"/>
      <c r="T842" s="227"/>
      <c r="U842" s="227"/>
      <c r="V842" s="227"/>
      <c r="W842" s="227"/>
      <c r="X842" s="227"/>
      <c r="Y842" s="227"/>
      <c r="Z842" s="227"/>
      <c r="AA842" s="227"/>
      <c r="AB842" s="227"/>
      <c r="AC842" s="227"/>
      <c r="AD842" s="227"/>
    </row>
    <row r="843" spans="2:30" ht="15.75">
      <c r="B843" s="227"/>
      <c r="C843" s="227"/>
      <c r="D843" s="227"/>
      <c r="E843" s="227"/>
      <c r="F843" s="227"/>
      <c r="G843" s="227"/>
      <c r="H843" s="227"/>
      <c r="I843" s="227"/>
      <c r="J843" s="227"/>
      <c r="K843" s="227"/>
      <c r="L843" s="227"/>
      <c r="M843" s="227"/>
      <c r="N843" s="227"/>
      <c r="O843" s="227"/>
      <c r="P843" s="227"/>
      <c r="Q843" s="227"/>
      <c r="R843" s="227"/>
      <c r="S843" s="227"/>
      <c r="T843" s="227"/>
      <c r="U843" s="227"/>
      <c r="V843" s="227"/>
      <c r="W843" s="227"/>
      <c r="X843" s="227"/>
      <c r="Y843" s="227"/>
      <c r="Z843" s="227"/>
      <c r="AA843" s="227"/>
      <c r="AB843" s="227"/>
      <c r="AC843" s="227"/>
      <c r="AD843" s="227"/>
    </row>
    <row r="844" spans="2:30" ht="15.75">
      <c r="B844" s="227"/>
      <c r="C844" s="227"/>
      <c r="D844" s="227"/>
      <c r="E844" s="227"/>
      <c r="F844" s="227"/>
      <c r="G844" s="227"/>
      <c r="H844" s="227"/>
      <c r="I844" s="227"/>
      <c r="J844" s="227"/>
      <c r="K844" s="227"/>
      <c r="L844" s="227"/>
      <c r="M844" s="227"/>
      <c r="N844" s="227"/>
      <c r="O844" s="227"/>
      <c r="P844" s="227"/>
      <c r="Q844" s="227"/>
      <c r="R844" s="227"/>
      <c r="S844" s="227"/>
      <c r="T844" s="227"/>
      <c r="U844" s="227"/>
      <c r="V844" s="227"/>
      <c r="W844" s="227"/>
      <c r="X844" s="227"/>
      <c r="Y844" s="227"/>
      <c r="Z844" s="227"/>
      <c r="AA844" s="227"/>
      <c r="AB844" s="227"/>
      <c r="AC844" s="227"/>
      <c r="AD844" s="227"/>
    </row>
    <row r="845" spans="2:30" ht="15.75">
      <c r="B845" s="227"/>
      <c r="C845" s="227"/>
      <c r="D845" s="227"/>
      <c r="E845" s="227"/>
      <c r="F845" s="227"/>
      <c r="G845" s="227"/>
      <c r="H845" s="227"/>
      <c r="I845" s="227"/>
      <c r="J845" s="227"/>
      <c r="K845" s="227"/>
      <c r="L845" s="227"/>
      <c r="M845" s="227"/>
      <c r="N845" s="227"/>
      <c r="O845" s="227"/>
      <c r="P845" s="227"/>
      <c r="Q845" s="227"/>
      <c r="R845" s="227"/>
      <c r="S845" s="227"/>
      <c r="T845" s="227"/>
      <c r="U845" s="227"/>
      <c r="V845" s="227"/>
      <c r="W845" s="227"/>
      <c r="X845" s="227"/>
      <c r="Y845" s="227"/>
      <c r="Z845" s="227"/>
      <c r="AA845" s="227"/>
      <c r="AB845" s="227"/>
      <c r="AC845" s="227"/>
      <c r="AD845" s="227"/>
    </row>
    <row r="846" spans="2:30" ht="15.75">
      <c r="B846" s="227"/>
      <c r="C846" s="227"/>
      <c r="D846" s="227"/>
      <c r="E846" s="227"/>
      <c r="F846" s="227"/>
      <c r="G846" s="227"/>
      <c r="H846" s="227"/>
      <c r="I846" s="227"/>
      <c r="J846" s="227"/>
      <c r="K846" s="227"/>
      <c r="L846" s="227"/>
      <c r="M846" s="227"/>
      <c r="N846" s="227"/>
      <c r="O846" s="227"/>
      <c r="P846" s="227"/>
      <c r="Q846" s="227"/>
      <c r="R846" s="227"/>
      <c r="S846" s="227"/>
      <c r="T846" s="227"/>
      <c r="U846" s="227"/>
      <c r="V846" s="227"/>
      <c r="W846" s="227"/>
      <c r="X846" s="227"/>
      <c r="Y846" s="227"/>
      <c r="Z846" s="227"/>
      <c r="AA846" s="227"/>
      <c r="AB846" s="227"/>
      <c r="AC846" s="227"/>
      <c r="AD846" s="227"/>
    </row>
    <row r="847" spans="2:30" ht="15.75">
      <c r="B847" s="227"/>
      <c r="C847" s="227"/>
      <c r="D847" s="227"/>
      <c r="E847" s="227"/>
      <c r="F847" s="227"/>
      <c r="G847" s="227"/>
      <c r="H847" s="227"/>
      <c r="I847" s="227"/>
      <c r="J847" s="227"/>
      <c r="K847" s="227"/>
      <c r="L847" s="227"/>
      <c r="M847" s="227"/>
      <c r="N847" s="227"/>
      <c r="O847" s="227"/>
      <c r="P847" s="227"/>
      <c r="Q847" s="227"/>
      <c r="R847" s="227"/>
      <c r="S847" s="227"/>
      <c r="T847" s="227"/>
      <c r="U847" s="227"/>
      <c r="V847" s="227"/>
      <c r="W847" s="227"/>
      <c r="X847" s="227"/>
      <c r="Y847" s="227"/>
      <c r="Z847" s="227"/>
      <c r="AA847" s="227"/>
      <c r="AB847" s="227"/>
      <c r="AC847" s="227"/>
      <c r="AD847" s="227"/>
    </row>
    <row r="848" spans="2:30" ht="15.75">
      <c r="B848" s="227"/>
      <c r="C848" s="227"/>
      <c r="D848" s="227"/>
      <c r="E848" s="227"/>
      <c r="F848" s="227"/>
      <c r="G848" s="227"/>
      <c r="H848" s="227"/>
      <c r="I848" s="227"/>
      <c r="J848" s="227"/>
      <c r="K848" s="227"/>
      <c r="L848" s="227"/>
      <c r="M848" s="227"/>
      <c r="N848" s="227"/>
      <c r="O848" s="227"/>
      <c r="P848" s="227"/>
      <c r="Q848" s="227"/>
      <c r="R848" s="227"/>
      <c r="S848" s="227"/>
      <c r="T848" s="227"/>
      <c r="U848" s="227"/>
      <c r="V848" s="227"/>
      <c r="W848" s="227"/>
      <c r="X848" s="227"/>
      <c r="Y848" s="227"/>
      <c r="Z848" s="227"/>
      <c r="AA848" s="227"/>
      <c r="AB848" s="227"/>
      <c r="AC848" s="227"/>
      <c r="AD848" s="227"/>
    </row>
    <row r="849" spans="2:30" ht="15.75">
      <c r="B849" s="227"/>
      <c r="C849" s="227"/>
      <c r="D849" s="227"/>
      <c r="E849" s="227"/>
      <c r="F849" s="227"/>
      <c r="G849" s="227"/>
      <c r="H849" s="227"/>
      <c r="I849" s="227"/>
      <c r="J849" s="227"/>
      <c r="K849" s="227"/>
      <c r="L849" s="227"/>
      <c r="M849" s="227"/>
      <c r="N849" s="227"/>
      <c r="O849" s="227"/>
      <c r="P849" s="227"/>
      <c r="Q849" s="227"/>
      <c r="R849" s="227"/>
      <c r="S849" s="227"/>
      <c r="T849" s="227"/>
      <c r="U849" s="227"/>
      <c r="V849" s="227"/>
      <c r="W849" s="227"/>
      <c r="X849" s="227"/>
      <c r="Y849" s="227"/>
      <c r="Z849" s="227"/>
      <c r="AA849" s="227"/>
      <c r="AB849" s="227"/>
      <c r="AC849" s="227"/>
      <c r="AD849" s="227"/>
    </row>
    <row r="850" spans="2:30" ht="15.75">
      <c r="B850" s="227"/>
      <c r="C850" s="227"/>
      <c r="D850" s="227"/>
      <c r="E850" s="227"/>
      <c r="F850" s="227"/>
      <c r="G850" s="227"/>
      <c r="H850" s="227"/>
      <c r="I850" s="227"/>
      <c r="J850" s="227"/>
      <c r="K850" s="227"/>
      <c r="L850" s="227"/>
      <c r="M850" s="227"/>
      <c r="N850" s="227"/>
      <c r="O850" s="227"/>
      <c r="P850" s="227"/>
      <c r="Q850" s="227"/>
      <c r="R850" s="227"/>
      <c r="S850" s="227"/>
      <c r="T850" s="227"/>
      <c r="U850" s="227"/>
      <c r="V850" s="227"/>
      <c r="W850" s="227"/>
      <c r="X850" s="227"/>
      <c r="Y850" s="227"/>
      <c r="Z850" s="227"/>
      <c r="AA850" s="227"/>
      <c r="AB850" s="227"/>
      <c r="AC850" s="227"/>
      <c r="AD850" s="227"/>
    </row>
    <row r="851" spans="2:30" ht="15.75">
      <c r="B851" s="227"/>
      <c r="C851" s="227"/>
      <c r="D851" s="227"/>
      <c r="E851" s="227"/>
      <c r="F851" s="227"/>
      <c r="G851" s="227"/>
      <c r="H851" s="227"/>
      <c r="I851" s="227"/>
      <c r="J851" s="227"/>
      <c r="K851" s="227"/>
      <c r="L851" s="227"/>
      <c r="M851" s="227"/>
      <c r="N851" s="227"/>
      <c r="O851" s="227"/>
      <c r="P851" s="227"/>
      <c r="Q851" s="227"/>
      <c r="R851" s="227"/>
      <c r="S851" s="227"/>
      <c r="T851" s="227"/>
      <c r="U851" s="227"/>
      <c r="V851" s="227"/>
      <c r="W851" s="227"/>
      <c r="X851" s="227"/>
      <c r="Y851" s="227"/>
      <c r="Z851" s="227"/>
      <c r="AA851" s="227"/>
      <c r="AB851" s="227"/>
      <c r="AC851" s="227"/>
      <c r="AD851" s="227"/>
    </row>
    <row r="852" spans="2:30" ht="15.75">
      <c r="B852" s="227"/>
      <c r="C852" s="227"/>
      <c r="D852" s="227"/>
      <c r="E852" s="227"/>
      <c r="F852" s="227"/>
      <c r="G852" s="227"/>
      <c r="H852" s="227"/>
      <c r="I852" s="227"/>
      <c r="J852" s="227"/>
      <c r="K852" s="227"/>
      <c r="L852" s="227"/>
      <c r="M852" s="227"/>
      <c r="N852" s="227"/>
      <c r="O852" s="227"/>
      <c r="P852" s="227"/>
      <c r="Q852" s="227"/>
      <c r="R852" s="227"/>
      <c r="S852" s="227"/>
      <c r="T852" s="227"/>
      <c r="U852" s="227"/>
      <c r="V852" s="227"/>
      <c r="W852" s="227"/>
      <c r="X852" s="227"/>
      <c r="Y852" s="227"/>
      <c r="Z852" s="227"/>
      <c r="AA852" s="227"/>
      <c r="AB852" s="227"/>
      <c r="AC852" s="227"/>
      <c r="AD852" s="227"/>
    </row>
    <row r="853" spans="2:30" ht="15.75">
      <c r="B853" s="227"/>
      <c r="C853" s="227"/>
      <c r="D853" s="227"/>
      <c r="E853" s="227"/>
      <c r="F853" s="227"/>
      <c r="G853" s="227"/>
      <c r="H853" s="227"/>
      <c r="I853" s="227"/>
      <c r="J853" s="227"/>
      <c r="K853" s="227"/>
      <c r="L853" s="227"/>
      <c r="M853" s="227"/>
      <c r="N853" s="227"/>
      <c r="O853" s="227"/>
      <c r="P853" s="227"/>
      <c r="Q853" s="227"/>
      <c r="R853" s="227"/>
      <c r="S853" s="227"/>
      <c r="T853" s="227"/>
      <c r="U853" s="227"/>
      <c r="V853" s="227"/>
      <c r="W853" s="227"/>
      <c r="X853" s="227"/>
      <c r="Y853" s="227"/>
      <c r="Z853" s="227"/>
      <c r="AA853" s="227"/>
      <c r="AB853" s="227"/>
      <c r="AC853" s="227"/>
      <c r="AD853" s="227"/>
    </row>
    <row r="854" spans="2:30" ht="15.75">
      <c r="B854" s="227"/>
      <c r="C854" s="227"/>
      <c r="D854" s="227"/>
      <c r="E854" s="227"/>
      <c r="F854" s="227"/>
      <c r="G854" s="227"/>
      <c r="H854" s="227"/>
      <c r="I854" s="227"/>
      <c r="J854" s="227"/>
      <c r="K854" s="227"/>
      <c r="L854" s="227"/>
      <c r="M854" s="227"/>
      <c r="N854" s="227"/>
      <c r="O854" s="227"/>
      <c r="P854" s="227"/>
      <c r="Q854" s="227"/>
      <c r="R854" s="227"/>
      <c r="S854" s="227"/>
      <c r="T854" s="227"/>
      <c r="U854" s="227"/>
      <c r="V854" s="227"/>
      <c r="W854" s="227"/>
      <c r="X854" s="227"/>
      <c r="Y854" s="227"/>
      <c r="Z854" s="227"/>
      <c r="AA854" s="227"/>
      <c r="AB854" s="227"/>
      <c r="AC854" s="227"/>
      <c r="AD854" s="227"/>
    </row>
    <row r="855" spans="2:30" ht="15.75">
      <c r="B855" s="227"/>
      <c r="C855" s="227"/>
      <c r="D855" s="227"/>
      <c r="E855" s="227"/>
      <c r="F855" s="227"/>
      <c r="G855" s="227"/>
      <c r="H855" s="227"/>
      <c r="I855" s="227"/>
      <c r="J855" s="227"/>
      <c r="K855" s="227"/>
      <c r="L855" s="227"/>
      <c r="M855" s="227"/>
      <c r="N855" s="227"/>
      <c r="O855" s="227"/>
      <c r="P855" s="227"/>
      <c r="Q855" s="227"/>
      <c r="R855" s="227"/>
      <c r="S855" s="227"/>
      <c r="T855" s="227"/>
      <c r="U855" s="227"/>
      <c r="V855" s="227"/>
      <c r="W855" s="227"/>
      <c r="X855" s="227"/>
      <c r="Y855" s="227"/>
      <c r="Z855" s="227"/>
      <c r="AA855" s="227"/>
      <c r="AB855" s="227"/>
      <c r="AC855" s="227"/>
      <c r="AD855" s="227"/>
    </row>
    <row r="856" spans="2:30" ht="15.75">
      <c r="B856" s="227"/>
      <c r="C856" s="227"/>
      <c r="D856" s="227"/>
      <c r="E856" s="227"/>
      <c r="F856" s="227"/>
      <c r="G856" s="227"/>
      <c r="H856" s="227"/>
      <c r="I856" s="227"/>
      <c r="J856" s="227"/>
      <c r="K856" s="227"/>
      <c r="L856" s="227"/>
      <c r="M856" s="227"/>
      <c r="N856" s="227"/>
      <c r="O856" s="227"/>
      <c r="P856" s="227"/>
      <c r="Q856" s="227"/>
      <c r="R856" s="227"/>
      <c r="S856" s="227"/>
      <c r="T856" s="227"/>
      <c r="U856" s="227"/>
      <c r="V856" s="227"/>
      <c r="W856" s="227"/>
      <c r="X856" s="227"/>
      <c r="Y856" s="227"/>
      <c r="Z856" s="227"/>
      <c r="AA856" s="227"/>
      <c r="AB856" s="227"/>
      <c r="AC856" s="227"/>
      <c r="AD856" s="227"/>
    </row>
    <row r="857" spans="2:30" ht="15.75">
      <c r="B857" s="227"/>
      <c r="C857" s="227"/>
      <c r="D857" s="227"/>
      <c r="E857" s="227"/>
      <c r="F857" s="227"/>
      <c r="G857" s="227"/>
      <c r="H857" s="227"/>
      <c r="I857" s="227"/>
      <c r="J857" s="227"/>
      <c r="K857" s="227"/>
      <c r="L857" s="227"/>
      <c r="M857" s="227"/>
      <c r="N857" s="227"/>
      <c r="O857" s="227"/>
      <c r="P857" s="227"/>
      <c r="Q857" s="227"/>
      <c r="R857" s="227"/>
      <c r="S857" s="227"/>
      <c r="T857" s="227"/>
      <c r="U857" s="227"/>
      <c r="V857" s="227"/>
      <c r="W857" s="227"/>
      <c r="X857" s="227"/>
      <c r="Y857" s="227"/>
      <c r="Z857" s="227"/>
      <c r="AA857" s="227"/>
      <c r="AB857" s="227"/>
      <c r="AC857" s="227"/>
      <c r="AD857" s="227"/>
    </row>
    <row r="858" spans="2:30" ht="15.75">
      <c r="B858" s="227"/>
      <c r="C858" s="227"/>
      <c r="D858" s="227"/>
      <c r="E858" s="227"/>
      <c r="F858" s="227"/>
      <c r="G858" s="227"/>
      <c r="H858" s="227"/>
      <c r="I858" s="227"/>
      <c r="J858" s="227"/>
      <c r="K858" s="227"/>
      <c r="L858" s="227"/>
      <c r="M858" s="227"/>
      <c r="N858" s="227"/>
      <c r="O858" s="227"/>
      <c r="P858" s="227"/>
      <c r="Q858" s="227"/>
      <c r="R858" s="227"/>
      <c r="S858" s="227"/>
      <c r="T858" s="227"/>
      <c r="U858" s="227"/>
      <c r="V858" s="227"/>
      <c r="W858" s="227"/>
      <c r="X858" s="227"/>
      <c r="Y858" s="227"/>
      <c r="Z858" s="227"/>
      <c r="AA858" s="227"/>
      <c r="AB858" s="227"/>
      <c r="AC858" s="227"/>
      <c r="AD858" s="227"/>
    </row>
    <row r="859" spans="2:30" ht="15.75">
      <c r="B859" s="227"/>
      <c r="C859" s="227"/>
      <c r="D859" s="227"/>
      <c r="E859" s="227"/>
      <c r="F859" s="227"/>
      <c r="G859" s="227"/>
      <c r="H859" s="227"/>
      <c r="I859" s="227"/>
      <c r="J859" s="227"/>
      <c r="K859" s="227"/>
      <c r="L859" s="227"/>
      <c r="M859" s="227"/>
      <c r="N859" s="227"/>
      <c r="O859" s="227"/>
      <c r="P859" s="227"/>
      <c r="Q859" s="227"/>
      <c r="R859" s="227"/>
      <c r="S859" s="227"/>
      <c r="T859" s="227"/>
      <c r="U859" s="227"/>
      <c r="V859" s="227"/>
      <c r="W859" s="227"/>
      <c r="X859" s="227"/>
      <c r="Y859" s="227"/>
      <c r="Z859" s="227"/>
      <c r="AA859" s="227"/>
      <c r="AB859" s="227"/>
      <c r="AC859" s="227"/>
      <c r="AD859" s="227"/>
    </row>
    <row r="860" spans="2:30" ht="15.75">
      <c r="B860" s="227"/>
      <c r="C860" s="227"/>
      <c r="D860" s="227"/>
      <c r="E860" s="227"/>
      <c r="F860" s="227"/>
      <c r="G860" s="227"/>
      <c r="H860" s="227"/>
      <c r="I860" s="227"/>
      <c r="J860" s="227"/>
      <c r="K860" s="227"/>
      <c r="L860" s="227"/>
      <c r="M860" s="227"/>
      <c r="N860" s="227"/>
      <c r="O860" s="227"/>
      <c r="P860" s="227"/>
      <c r="Q860" s="227"/>
      <c r="R860" s="227"/>
      <c r="S860" s="227"/>
      <c r="T860" s="227"/>
      <c r="U860" s="227"/>
      <c r="V860" s="227"/>
      <c r="W860" s="227"/>
      <c r="X860" s="227"/>
      <c r="Y860" s="227"/>
      <c r="Z860" s="227"/>
      <c r="AA860" s="227"/>
      <c r="AB860" s="227"/>
      <c r="AC860" s="227"/>
      <c r="AD860" s="227"/>
    </row>
    <row r="861" spans="2:30" ht="15.75">
      <c r="B861" s="227"/>
      <c r="C861" s="227"/>
      <c r="D861" s="227"/>
      <c r="E861" s="227"/>
      <c r="F861" s="227"/>
      <c r="G861" s="227"/>
      <c r="H861" s="227"/>
      <c r="I861" s="227"/>
      <c r="J861" s="227"/>
      <c r="K861" s="227"/>
      <c r="L861" s="227"/>
      <c r="M861" s="227"/>
      <c r="N861" s="227"/>
      <c r="O861" s="227"/>
      <c r="P861" s="227"/>
      <c r="Q861" s="227"/>
      <c r="R861" s="227"/>
      <c r="S861" s="227"/>
      <c r="T861" s="227"/>
      <c r="U861" s="227"/>
      <c r="V861" s="227"/>
      <c r="W861" s="227"/>
      <c r="X861" s="227"/>
      <c r="Y861" s="227"/>
      <c r="Z861" s="227"/>
      <c r="AA861" s="227"/>
      <c r="AB861" s="227"/>
      <c r="AC861" s="227"/>
      <c r="AD861" s="227"/>
    </row>
    <row r="862" spans="2:30" ht="15.75">
      <c r="B862" s="227"/>
      <c r="C862" s="227"/>
      <c r="D862" s="227"/>
      <c r="E862" s="227"/>
      <c r="F862" s="227"/>
      <c r="G862" s="227"/>
      <c r="H862" s="227"/>
      <c r="I862" s="227"/>
      <c r="J862" s="227"/>
      <c r="K862" s="227"/>
      <c r="L862" s="227"/>
      <c r="M862" s="227"/>
      <c r="N862" s="227"/>
      <c r="O862" s="227"/>
      <c r="P862" s="227"/>
      <c r="Q862" s="227"/>
      <c r="R862" s="227"/>
      <c r="S862" s="227"/>
      <c r="T862" s="227"/>
      <c r="U862" s="227"/>
      <c r="V862" s="227"/>
      <c r="W862" s="227"/>
      <c r="X862" s="227"/>
      <c r="Y862" s="227"/>
      <c r="Z862" s="227"/>
      <c r="AA862" s="227"/>
      <c r="AB862" s="227"/>
      <c r="AC862" s="227"/>
      <c r="AD862" s="227"/>
    </row>
    <row r="863" spans="2:30" ht="15.75">
      <c r="B863" s="227"/>
      <c r="C863" s="227"/>
      <c r="D863" s="227"/>
      <c r="E863" s="227"/>
      <c r="F863" s="227"/>
      <c r="G863" s="227"/>
      <c r="H863" s="227"/>
      <c r="I863" s="227"/>
      <c r="J863" s="227"/>
      <c r="K863" s="227"/>
      <c r="L863" s="227"/>
      <c r="M863" s="227"/>
      <c r="N863" s="227"/>
      <c r="O863" s="227"/>
      <c r="P863" s="227"/>
      <c r="Q863" s="227"/>
      <c r="R863" s="227"/>
      <c r="S863" s="227"/>
      <c r="T863" s="227"/>
      <c r="U863" s="227"/>
      <c r="V863" s="227"/>
      <c r="W863" s="227"/>
      <c r="X863" s="227"/>
      <c r="Y863" s="227"/>
      <c r="Z863" s="227"/>
      <c r="AA863" s="227"/>
      <c r="AB863" s="227"/>
      <c r="AC863" s="227"/>
      <c r="AD863" s="227"/>
    </row>
    <row r="864" spans="2:30" ht="15.75">
      <c r="B864" s="227"/>
      <c r="C864" s="227"/>
      <c r="D864" s="227"/>
      <c r="E864" s="227"/>
      <c r="F864" s="227"/>
      <c r="G864" s="227"/>
      <c r="H864" s="227"/>
      <c r="I864" s="227"/>
      <c r="J864" s="227"/>
      <c r="K864" s="227"/>
      <c r="L864" s="227"/>
      <c r="M864" s="227"/>
      <c r="N864" s="227"/>
      <c r="O864" s="227"/>
      <c r="P864" s="227"/>
      <c r="Q864" s="227"/>
      <c r="R864" s="227"/>
      <c r="S864" s="227"/>
      <c r="T864" s="227"/>
      <c r="U864" s="227"/>
      <c r="V864" s="227"/>
      <c r="W864" s="227"/>
      <c r="X864" s="227"/>
      <c r="Y864" s="227"/>
      <c r="Z864" s="227"/>
      <c r="AA864" s="227"/>
      <c r="AB864" s="227"/>
      <c r="AC864" s="227"/>
      <c r="AD864" s="227"/>
    </row>
    <row r="865" spans="2:30" ht="15.75">
      <c r="B865" s="227"/>
      <c r="C865" s="227"/>
      <c r="D865" s="227"/>
      <c r="E865" s="227"/>
      <c r="F865" s="227"/>
      <c r="G865" s="227"/>
      <c r="H865" s="227"/>
      <c r="I865" s="227"/>
      <c r="J865" s="227"/>
      <c r="K865" s="227"/>
      <c r="L865" s="227"/>
      <c r="M865" s="227"/>
      <c r="N865" s="227"/>
      <c r="O865" s="227"/>
      <c r="P865" s="227"/>
      <c r="Q865" s="227"/>
      <c r="R865" s="227"/>
      <c r="S865" s="227"/>
      <c r="T865" s="227"/>
      <c r="U865" s="227"/>
      <c r="V865" s="227"/>
      <c r="W865" s="227"/>
      <c r="X865" s="227"/>
      <c r="Y865" s="227"/>
      <c r="Z865" s="227"/>
      <c r="AA865" s="227"/>
      <c r="AB865" s="227"/>
      <c r="AC865" s="227"/>
      <c r="AD865" s="227"/>
    </row>
    <row r="866" spans="2:30" ht="15.75">
      <c r="B866" s="227"/>
      <c r="C866" s="227"/>
      <c r="D866" s="227"/>
      <c r="E866" s="227"/>
      <c r="F866" s="227"/>
      <c r="G866" s="227"/>
      <c r="H866" s="227"/>
      <c r="I866" s="227"/>
      <c r="J866" s="227"/>
      <c r="K866" s="227"/>
      <c r="L866" s="227"/>
      <c r="M866" s="227"/>
      <c r="N866" s="227"/>
      <c r="O866" s="227"/>
      <c r="P866" s="227"/>
      <c r="Q866" s="227"/>
      <c r="R866" s="227"/>
      <c r="S866" s="227"/>
      <c r="T866" s="227"/>
      <c r="U866" s="227"/>
      <c r="V866" s="227"/>
      <c r="W866" s="227"/>
      <c r="X866" s="227"/>
      <c r="Y866" s="227"/>
      <c r="Z866" s="227"/>
      <c r="AA866" s="227"/>
      <c r="AB866" s="227"/>
      <c r="AC866" s="227"/>
      <c r="AD866" s="227"/>
    </row>
    <row r="867" spans="2:30" ht="15.75">
      <c r="B867" s="227"/>
      <c r="C867" s="227"/>
      <c r="D867" s="227"/>
      <c r="E867" s="227"/>
      <c r="F867" s="227"/>
      <c r="G867" s="227"/>
      <c r="H867" s="227"/>
      <c r="I867" s="227"/>
      <c r="J867" s="227"/>
      <c r="K867" s="227"/>
      <c r="L867" s="227"/>
      <c r="M867" s="227"/>
      <c r="N867" s="227"/>
      <c r="O867" s="227"/>
      <c r="P867" s="227"/>
      <c r="Q867" s="227"/>
      <c r="R867" s="227"/>
      <c r="S867" s="227"/>
      <c r="T867" s="227"/>
      <c r="U867" s="227"/>
      <c r="V867" s="227"/>
      <c r="W867" s="227"/>
      <c r="X867" s="227"/>
      <c r="Y867" s="227"/>
      <c r="Z867" s="227"/>
      <c r="AA867" s="227"/>
      <c r="AB867" s="227"/>
      <c r="AC867" s="227"/>
      <c r="AD867" s="227"/>
    </row>
    <row r="868" spans="2:30" ht="15.75">
      <c r="B868" s="227"/>
      <c r="C868" s="227"/>
      <c r="D868" s="227"/>
      <c r="E868" s="227"/>
      <c r="F868" s="227"/>
      <c r="G868" s="227"/>
      <c r="H868" s="227"/>
      <c r="I868" s="227"/>
      <c r="J868" s="227"/>
      <c r="K868" s="227"/>
      <c r="L868" s="227"/>
      <c r="M868" s="227"/>
      <c r="N868" s="227"/>
      <c r="O868" s="227"/>
      <c r="P868" s="227"/>
      <c r="Q868" s="227"/>
      <c r="R868" s="227"/>
      <c r="S868" s="227"/>
      <c r="T868" s="227"/>
      <c r="U868" s="227"/>
      <c r="V868" s="227"/>
      <c r="W868" s="227"/>
      <c r="X868" s="227"/>
      <c r="Y868" s="227"/>
      <c r="Z868" s="227"/>
      <c r="AA868" s="227"/>
      <c r="AB868" s="227"/>
      <c r="AC868" s="227"/>
      <c r="AD868" s="227"/>
    </row>
    <row r="869" spans="2:30" ht="15.75">
      <c r="B869" s="227"/>
      <c r="C869" s="227"/>
      <c r="D869" s="227"/>
      <c r="E869" s="227"/>
      <c r="F869" s="227"/>
      <c r="G869" s="227"/>
      <c r="H869" s="227"/>
      <c r="I869" s="227"/>
      <c r="J869" s="227"/>
      <c r="K869" s="227"/>
      <c r="L869" s="227"/>
      <c r="M869" s="227"/>
      <c r="N869" s="227"/>
      <c r="O869" s="227"/>
      <c r="P869" s="227"/>
      <c r="Q869" s="227"/>
      <c r="R869" s="227"/>
      <c r="S869" s="227"/>
      <c r="T869" s="227"/>
      <c r="U869" s="227"/>
      <c r="V869" s="227"/>
      <c r="W869" s="227"/>
      <c r="X869" s="227"/>
      <c r="Y869" s="227"/>
      <c r="Z869" s="227"/>
      <c r="AA869" s="227"/>
      <c r="AB869" s="227"/>
      <c r="AC869" s="227"/>
      <c r="AD869" s="227"/>
    </row>
    <row r="870" spans="2:30" ht="15.75">
      <c r="B870" s="227"/>
      <c r="C870" s="227"/>
      <c r="D870" s="227"/>
      <c r="E870" s="227"/>
      <c r="F870" s="227"/>
      <c r="G870" s="227"/>
      <c r="H870" s="227"/>
      <c r="I870" s="227"/>
      <c r="J870" s="227"/>
      <c r="K870" s="227"/>
      <c r="L870" s="227"/>
      <c r="M870" s="227"/>
      <c r="N870" s="227"/>
      <c r="O870" s="227"/>
      <c r="P870" s="227"/>
      <c r="Q870" s="227"/>
      <c r="R870" s="227"/>
      <c r="S870" s="227"/>
      <c r="T870" s="227"/>
      <c r="U870" s="227"/>
      <c r="V870" s="227"/>
      <c r="W870" s="227"/>
      <c r="X870" s="227"/>
      <c r="Y870" s="227"/>
      <c r="Z870" s="227"/>
      <c r="AA870" s="227"/>
      <c r="AB870" s="227"/>
      <c r="AC870" s="227"/>
      <c r="AD870" s="227"/>
    </row>
    <row r="871" spans="2:30" ht="15.75">
      <c r="B871" s="227"/>
      <c r="C871" s="227"/>
      <c r="D871" s="227"/>
      <c r="E871" s="227"/>
      <c r="F871" s="227"/>
      <c r="G871" s="227"/>
      <c r="H871" s="227"/>
      <c r="I871" s="227"/>
      <c r="J871" s="227"/>
      <c r="K871" s="227"/>
      <c r="L871" s="227"/>
      <c r="M871" s="227"/>
      <c r="N871" s="227"/>
      <c r="O871" s="227"/>
      <c r="P871" s="227"/>
      <c r="Q871" s="227"/>
      <c r="R871" s="227"/>
      <c r="S871" s="227"/>
      <c r="T871" s="227"/>
      <c r="U871" s="227"/>
      <c r="V871" s="227"/>
      <c r="W871" s="227"/>
      <c r="X871" s="227"/>
      <c r="Y871" s="227"/>
      <c r="Z871" s="227"/>
      <c r="AA871" s="227"/>
      <c r="AB871" s="227"/>
      <c r="AC871" s="227"/>
      <c r="AD871" s="227"/>
    </row>
    <row r="872" spans="2:30" ht="15.75">
      <c r="B872" s="227"/>
      <c r="C872" s="227"/>
      <c r="D872" s="227"/>
      <c r="E872" s="227"/>
      <c r="F872" s="227"/>
      <c r="G872" s="227"/>
      <c r="H872" s="227"/>
      <c r="I872" s="227"/>
      <c r="J872" s="227"/>
      <c r="K872" s="227"/>
      <c r="L872" s="227"/>
      <c r="M872" s="227"/>
      <c r="N872" s="227"/>
      <c r="O872" s="227"/>
      <c r="P872" s="227"/>
      <c r="Q872" s="227"/>
      <c r="R872" s="227"/>
      <c r="S872" s="227"/>
      <c r="T872" s="227"/>
      <c r="U872" s="227"/>
      <c r="V872" s="227"/>
      <c r="W872" s="227"/>
      <c r="X872" s="227"/>
      <c r="Y872" s="227"/>
      <c r="Z872" s="227"/>
      <c r="AA872" s="227"/>
      <c r="AB872" s="227"/>
      <c r="AC872" s="227"/>
      <c r="AD872" s="227"/>
    </row>
    <row r="873" spans="2:30" ht="15.75">
      <c r="B873" s="227"/>
      <c r="C873" s="227"/>
      <c r="D873" s="227"/>
      <c r="E873" s="227"/>
      <c r="F873" s="227"/>
      <c r="G873" s="227"/>
      <c r="H873" s="227"/>
      <c r="I873" s="227"/>
      <c r="J873" s="227"/>
      <c r="K873" s="227"/>
      <c r="L873" s="227"/>
      <c r="M873" s="227"/>
      <c r="N873" s="227"/>
      <c r="O873" s="227"/>
      <c r="P873" s="227"/>
      <c r="Q873" s="227"/>
      <c r="R873" s="227"/>
      <c r="S873" s="227"/>
      <c r="T873" s="227"/>
      <c r="U873" s="227"/>
      <c r="V873" s="227"/>
      <c r="W873" s="227"/>
      <c r="X873" s="227"/>
      <c r="Y873" s="227"/>
      <c r="Z873" s="227"/>
      <c r="AA873" s="227"/>
      <c r="AB873" s="227"/>
      <c r="AC873" s="227"/>
      <c r="AD873" s="227"/>
    </row>
    <row r="874" spans="2:30" ht="15.75">
      <c r="B874" s="227"/>
      <c r="C874" s="227"/>
      <c r="D874" s="227"/>
      <c r="E874" s="227"/>
      <c r="F874" s="227"/>
      <c r="G874" s="227"/>
      <c r="H874" s="227"/>
      <c r="I874" s="227"/>
      <c r="J874" s="227"/>
      <c r="K874" s="227"/>
      <c r="L874" s="227"/>
      <c r="M874" s="227"/>
      <c r="N874" s="227"/>
      <c r="O874" s="227"/>
      <c r="P874" s="227"/>
      <c r="Q874" s="227"/>
      <c r="R874" s="227"/>
      <c r="S874" s="227"/>
      <c r="T874" s="227"/>
      <c r="U874" s="227"/>
      <c r="V874" s="227"/>
      <c r="W874" s="227"/>
      <c r="X874" s="227"/>
      <c r="Y874" s="227"/>
      <c r="Z874" s="227"/>
      <c r="AA874" s="227"/>
      <c r="AB874" s="227"/>
      <c r="AC874" s="227"/>
      <c r="AD874" s="227"/>
    </row>
    <row r="875" spans="2:30" ht="15.75">
      <c r="B875" s="227"/>
      <c r="C875" s="227"/>
      <c r="D875" s="227"/>
      <c r="E875" s="227"/>
      <c r="F875" s="227"/>
      <c r="G875" s="227"/>
      <c r="H875" s="227"/>
      <c r="I875" s="227"/>
      <c r="J875" s="227"/>
      <c r="K875" s="227"/>
      <c r="L875" s="227"/>
      <c r="M875" s="227"/>
      <c r="N875" s="227"/>
      <c r="O875" s="227"/>
      <c r="P875" s="227"/>
      <c r="Q875" s="227"/>
      <c r="R875" s="227"/>
      <c r="S875" s="227"/>
      <c r="T875" s="227"/>
      <c r="U875" s="227"/>
      <c r="V875" s="227"/>
      <c r="W875" s="227"/>
      <c r="X875" s="227"/>
      <c r="Y875" s="227"/>
      <c r="Z875" s="227"/>
      <c r="AA875" s="227"/>
      <c r="AB875" s="227"/>
      <c r="AC875" s="227"/>
      <c r="AD875" s="227"/>
    </row>
    <row r="876" spans="2:30" ht="15.75">
      <c r="B876" s="227"/>
      <c r="C876" s="227"/>
      <c r="D876" s="227"/>
      <c r="E876" s="227"/>
      <c r="F876" s="227"/>
      <c r="G876" s="227"/>
      <c r="H876" s="227"/>
      <c r="I876" s="227"/>
      <c r="J876" s="227"/>
      <c r="K876" s="227"/>
      <c r="L876" s="227"/>
      <c r="M876" s="227"/>
      <c r="N876" s="227"/>
      <c r="O876" s="227"/>
      <c r="P876" s="227"/>
      <c r="Q876" s="227"/>
      <c r="R876" s="227"/>
      <c r="S876" s="227"/>
      <c r="T876" s="227"/>
      <c r="U876" s="227"/>
      <c r="V876" s="227"/>
      <c r="W876" s="227"/>
      <c r="X876" s="227"/>
      <c r="Y876" s="227"/>
      <c r="Z876" s="227"/>
      <c r="AA876" s="227"/>
      <c r="AB876" s="227"/>
      <c r="AC876" s="227"/>
      <c r="AD876" s="227"/>
    </row>
    <row r="877" spans="2:30" ht="15.75">
      <c r="B877" s="227"/>
      <c r="C877" s="227"/>
      <c r="D877" s="227"/>
      <c r="E877" s="227"/>
      <c r="F877" s="227"/>
      <c r="G877" s="227"/>
      <c r="H877" s="227"/>
      <c r="I877" s="227"/>
      <c r="J877" s="227"/>
      <c r="K877" s="227"/>
      <c r="L877" s="227"/>
      <c r="M877" s="227"/>
      <c r="N877" s="227"/>
      <c r="O877" s="227"/>
      <c r="P877" s="227"/>
      <c r="Q877" s="227"/>
      <c r="R877" s="227"/>
      <c r="S877" s="227"/>
      <c r="T877" s="227"/>
      <c r="U877" s="227"/>
      <c r="V877" s="227"/>
      <c r="W877" s="227"/>
      <c r="X877" s="227"/>
      <c r="Y877" s="227"/>
      <c r="Z877" s="227"/>
      <c r="AA877" s="227"/>
      <c r="AB877" s="227"/>
      <c r="AC877" s="227"/>
      <c r="AD877" s="227"/>
    </row>
    <row r="878" spans="2:30" ht="15.75">
      <c r="B878" s="227"/>
      <c r="C878" s="227"/>
      <c r="D878" s="227"/>
      <c r="E878" s="227"/>
      <c r="F878" s="227"/>
      <c r="G878" s="227"/>
      <c r="H878" s="227"/>
      <c r="I878" s="227"/>
      <c r="J878" s="227"/>
      <c r="K878" s="227"/>
      <c r="L878" s="227"/>
      <c r="M878" s="227"/>
      <c r="N878" s="227"/>
      <c r="O878" s="227"/>
      <c r="P878" s="227"/>
      <c r="Q878" s="227"/>
      <c r="R878" s="227"/>
      <c r="S878" s="227"/>
      <c r="T878" s="227"/>
      <c r="U878" s="227"/>
      <c r="V878" s="227"/>
      <c r="W878" s="227"/>
      <c r="X878" s="227"/>
      <c r="Y878" s="227"/>
      <c r="Z878" s="227"/>
      <c r="AA878" s="227"/>
      <c r="AB878" s="227"/>
      <c r="AC878" s="227"/>
      <c r="AD878" s="227"/>
    </row>
    <row r="879" spans="2:30" ht="15.75">
      <c r="B879" s="227"/>
      <c r="C879" s="227"/>
      <c r="D879" s="227"/>
      <c r="E879" s="227"/>
      <c r="F879" s="227"/>
      <c r="G879" s="227"/>
      <c r="H879" s="227"/>
      <c r="I879" s="227"/>
      <c r="J879" s="227"/>
      <c r="K879" s="227"/>
      <c r="L879" s="227"/>
      <c r="M879" s="227"/>
      <c r="N879" s="227"/>
      <c r="O879" s="227"/>
      <c r="P879" s="227"/>
      <c r="Q879" s="227"/>
      <c r="R879" s="227"/>
      <c r="S879" s="227"/>
      <c r="T879" s="227"/>
      <c r="U879" s="227"/>
      <c r="V879" s="227"/>
      <c r="W879" s="227"/>
      <c r="X879" s="227"/>
      <c r="Y879" s="227"/>
      <c r="Z879" s="227"/>
      <c r="AA879" s="227"/>
      <c r="AB879" s="227"/>
      <c r="AC879" s="227"/>
      <c r="AD879" s="227"/>
    </row>
    <row r="880" spans="2:30" ht="15.75">
      <c r="B880" s="227"/>
      <c r="C880" s="227"/>
      <c r="D880" s="227"/>
      <c r="E880" s="227"/>
      <c r="F880" s="227"/>
      <c r="G880" s="227"/>
      <c r="H880" s="227"/>
      <c r="I880" s="227"/>
      <c r="J880" s="227"/>
      <c r="K880" s="227"/>
      <c r="L880" s="227"/>
      <c r="M880" s="227"/>
      <c r="N880" s="227"/>
      <c r="O880" s="227"/>
      <c r="P880" s="227"/>
      <c r="Q880" s="227"/>
      <c r="R880" s="227"/>
      <c r="S880" s="227"/>
      <c r="T880" s="227"/>
      <c r="U880" s="227"/>
      <c r="V880" s="227"/>
      <c r="W880" s="227"/>
      <c r="X880" s="227"/>
      <c r="Y880" s="227"/>
      <c r="Z880" s="227"/>
      <c r="AA880" s="227"/>
      <c r="AB880" s="227"/>
      <c r="AC880" s="227"/>
      <c r="AD880" s="227"/>
    </row>
    <row r="881" spans="2:30" ht="15.75">
      <c r="B881" s="227"/>
      <c r="C881" s="227"/>
      <c r="D881" s="227"/>
      <c r="E881" s="227"/>
      <c r="F881" s="227"/>
      <c r="G881" s="227"/>
      <c r="H881" s="227"/>
      <c r="I881" s="227"/>
      <c r="J881" s="227"/>
      <c r="K881" s="227"/>
      <c r="L881" s="227"/>
      <c r="M881" s="227"/>
      <c r="N881" s="227"/>
      <c r="O881" s="227"/>
      <c r="P881" s="227"/>
      <c r="Q881" s="227"/>
      <c r="R881" s="227"/>
      <c r="S881" s="227"/>
      <c r="T881" s="227"/>
      <c r="U881" s="227"/>
      <c r="V881" s="227"/>
      <c r="W881" s="227"/>
      <c r="X881" s="227"/>
      <c r="Y881" s="227"/>
      <c r="Z881" s="227"/>
      <c r="AA881" s="227"/>
      <c r="AB881" s="227"/>
      <c r="AC881" s="227"/>
      <c r="AD881" s="227"/>
    </row>
    <row r="882" spans="2:30" ht="15.75">
      <c r="B882" s="227"/>
      <c r="C882" s="227"/>
      <c r="D882" s="227"/>
      <c r="E882" s="227"/>
      <c r="F882" s="227"/>
      <c r="G882" s="227"/>
      <c r="H882" s="227"/>
      <c r="I882" s="227"/>
      <c r="J882" s="227"/>
      <c r="K882" s="227"/>
      <c r="L882" s="227"/>
      <c r="M882" s="227"/>
      <c r="N882" s="227"/>
      <c r="O882" s="227"/>
      <c r="P882" s="227"/>
      <c r="Q882" s="227"/>
      <c r="R882" s="227"/>
      <c r="S882" s="227"/>
      <c r="T882" s="227"/>
      <c r="U882" s="227"/>
      <c r="V882" s="227"/>
      <c r="W882" s="227"/>
      <c r="X882" s="227"/>
      <c r="Y882" s="227"/>
      <c r="Z882" s="227"/>
      <c r="AA882" s="227"/>
      <c r="AB882" s="227"/>
      <c r="AC882" s="227"/>
      <c r="AD882" s="227"/>
    </row>
    <row r="883" spans="2:30" ht="15.75">
      <c r="B883" s="227"/>
      <c r="C883" s="227"/>
      <c r="D883" s="227"/>
      <c r="E883" s="227"/>
      <c r="F883" s="227"/>
      <c r="G883" s="227"/>
      <c r="H883" s="227"/>
      <c r="I883" s="227"/>
      <c r="J883" s="227"/>
      <c r="K883" s="227"/>
      <c r="L883" s="227"/>
      <c r="M883" s="227"/>
      <c r="N883" s="227"/>
      <c r="O883" s="227"/>
      <c r="P883" s="227"/>
      <c r="Q883" s="227"/>
      <c r="R883" s="227"/>
      <c r="S883" s="227"/>
      <c r="T883" s="227"/>
      <c r="U883" s="227"/>
      <c r="V883" s="227"/>
      <c r="W883" s="227"/>
      <c r="X883" s="227"/>
      <c r="Y883" s="227"/>
      <c r="Z883" s="227"/>
      <c r="AA883" s="227"/>
      <c r="AB883" s="227"/>
      <c r="AC883" s="227"/>
      <c r="AD883" s="227"/>
    </row>
    <row r="884" spans="2:30" ht="15.75">
      <c r="B884" s="227"/>
      <c r="C884" s="227"/>
      <c r="D884" s="227"/>
      <c r="E884" s="227"/>
      <c r="F884" s="227"/>
      <c r="G884" s="227"/>
      <c r="H884" s="227"/>
      <c r="I884" s="227"/>
      <c r="J884" s="227"/>
      <c r="K884" s="227"/>
      <c r="L884" s="227"/>
      <c r="M884" s="227"/>
      <c r="N884" s="227"/>
      <c r="O884" s="227"/>
      <c r="P884" s="227"/>
      <c r="Q884" s="227"/>
      <c r="R884" s="227"/>
      <c r="S884" s="227"/>
      <c r="T884" s="227"/>
      <c r="U884" s="227"/>
      <c r="V884" s="227"/>
      <c r="W884" s="227"/>
      <c r="X884" s="227"/>
      <c r="Y884" s="227"/>
      <c r="Z884" s="227"/>
      <c r="AA884" s="227"/>
      <c r="AB884" s="227"/>
      <c r="AC884" s="227"/>
      <c r="AD884" s="227"/>
    </row>
    <row r="885" spans="2:30" ht="15.75">
      <c r="B885" s="227"/>
      <c r="C885" s="227"/>
      <c r="D885" s="227"/>
      <c r="E885" s="227"/>
      <c r="F885" s="227"/>
      <c r="G885" s="227"/>
      <c r="H885" s="227"/>
      <c r="I885" s="227"/>
      <c r="J885" s="227"/>
      <c r="K885" s="227"/>
      <c r="L885" s="227"/>
      <c r="M885" s="227"/>
      <c r="N885" s="227"/>
      <c r="O885" s="227"/>
      <c r="P885" s="227"/>
      <c r="Q885" s="227"/>
      <c r="R885" s="227"/>
      <c r="S885" s="227"/>
      <c r="T885" s="227"/>
      <c r="U885" s="227"/>
      <c r="V885" s="227"/>
      <c r="W885" s="227"/>
      <c r="X885" s="227"/>
      <c r="Y885" s="227"/>
      <c r="Z885" s="227"/>
      <c r="AA885" s="227"/>
      <c r="AB885" s="227"/>
      <c r="AC885" s="227"/>
      <c r="AD885" s="227"/>
    </row>
    <row r="886" spans="2:30" ht="15.75">
      <c r="B886" s="227"/>
      <c r="C886" s="227"/>
      <c r="D886" s="227"/>
      <c r="E886" s="227"/>
      <c r="F886" s="227"/>
      <c r="G886" s="227"/>
      <c r="H886" s="227"/>
      <c r="I886" s="227"/>
      <c r="J886" s="227"/>
      <c r="K886" s="227"/>
      <c r="L886" s="227"/>
      <c r="M886" s="227"/>
      <c r="N886" s="227"/>
      <c r="O886" s="227"/>
      <c r="P886" s="227"/>
      <c r="Q886" s="227"/>
      <c r="R886" s="227"/>
      <c r="S886" s="227"/>
      <c r="T886" s="227"/>
      <c r="U886" s="227"/>
      <c r="V886" s="227"/>
      <c r="W886" s="227"/>
      <c r="X886" s="227"/>
      <c r="Y886" s="227"/>
      <c r="Z886" s="227"/>
      <c r="AA886" s="227"/>
      <c r="AB886" s="227"/>
      <c r="AC886" s="227"/>
      <c r="AD886" s="227"/>
    </row>
    <row r="887" spans="2:30" ht="15.75">
      <c r="B887" s="227"/>
      <c r="C887" s="227"/>
      <c r="D887" s="227"/>
      <c r="E887" s="227"/>
      <c r="F887" s="227"/>
      <c r="G887" s="227"/>
      <c r="H887" s="227"/>
      <c r="I887" s="227"/>
      <c r="J887" s="227"/>
      <c r="K887" s="227"/>
      <c r="L887" s="227"/>
      <c r="M887" s="227"/>
      <c r="N887" s="227"/>
      <c r="O887" s="227"/>
      <c r="P887" s="227"/>
      <c r="Q887" s="227"/>
      <c r="R887" s="227"/>
      <c r="S887" s="227"/>
      <c r="T887" s="227"/>
      <c r="U887" s="227"/>
      <c r="V887" s="227"/>
      <c r="W887" s="227"/>
      <c r="X887" s="227"/>
      <c r="Y887" s="227"/>
      <c r="Z887" s="227"/>
      <c r="AA887" s="227"/>
      <c r="AB887" s="227"/>
      <c r="AC887" s="227"/>
      <c r="AD887" s="227"/>
    </row>
    <row r="888" spans="2:30" ht="15.75">
      <c r="B888" s="227"/>
      <c r="C888" s="227"/>
      <c r="D888" s="227"/>
      <c r="E888" s="227"/>
      <c r="F888" s="227"/>
      <c r="G888" s="227"/>
      <c r="H888" s="227"/>
      <c r="I888" s="227"/>
      <c r="J888" s="227"/>
      <c r="K888" s="227"/>
      <c r="L888" s="227"/>
      <c r="M888" s="227"/>
      <c r="N888" s="227"/>
      <c r="O888" s="227"/>
      <c r="P888" s="227"/>
      <c r="Q888" s="227"/>
      <c r="R888" s="227"/>
      <c r="S888" s="227"/>
      <c r="T888" s="227"/>
      <c r="U888" s="227"/>
      <c r="V888" s="227"/>
      <c r="W888" s="227"/>
      <c r="X888" s="227"/>
      <c r="Y888" s="227"/>
      <c r="Z888" s="227"/>
      <c r="AA888" s="227"/>
      <c r="AB888" s="227"/>
      <c r="AC888" s="227"/>
      <c r="AD888" s="227"/>
    </row>
    <row r="889" spans="2:30" ht="15.75">
      <c r="B889" s="227"/>
      <c r="C889" s="227"/>
      <c r="D889" s="227"/>
      <c r="E889" s="227"/>
      <c r="F889" s="227"/>
      <c r="G889" s="227"/>
      <c r="H889" s="227"/>
      <c r="I889" s="227"/>
      <c r="J889" s="227"/>
      <c r="K889" s="227"/>
      <c r="L889" s="227"/>
      <c r="M889" s="227"/>
      <c r="N889" s="227"/>
      <c r="O889" s="227"/>
      <c r="P889" s="227"/>
      <c r="Q889" s="227"/>
      <c r="R889" s="227"/>
      <c r="S889" s="227"/>
      <c r="T889" s="227"/>
      <c r="U889" s="227"/>
      <c r="V889" s="227"/>
      <c r="W889" s="227"/>
      <c r="X889" s="227"/>
      <c r="Y889" s="227"/>
      <c r="Z889" s="227"/>
      <c r="AA889" s="227"/>
      <c r="AB889" s="227"/>
      <c r="AC889" s="227"/>
      <c r="AD889" s="227"/>
    </row>
    <row r="890" spans="2:30" ht="15.75">
      <c r="B890" s="227"/>
      <c r="C890" s="227"/>
      <c r="D890" s="227"/>
      <c r="E890" s="227"/>
      <c r="F890" s="227"/>
      <c r="G890" s="227"/>
      <c r="H890" s="227"/>
      <c r="I890" s="227"/>
      <c r="J890" s="227"/>
      <c r="K890" s="227"/>
      <c r="L890" s="227"/>
      <c r="M890" s="227"/>
      <c r="N890" s="227"/>
      <c r="O890" s="227"/>
      <c r="P890" s="227"/>
      <c r="Q890" s="227"/>
      <c r="R890" s="227"/>
      <c r="S890" s="227"/>
      <c r="T890" s="227"/>
      <c r="U890" s="227"/>
      <c r="V890" s="227"/>
      <c r="W890" s="227"/>
      <c r="X890" s="227"/>
      <c r="Y890" s="227"/>
      <c r="Z890" s="227"/>
      <c r="AA890" s="227"/>
      <c r="AB890" s="227"/>
      <c r="AC890" s="227"/>
      <c r="AD890" s="227"/>
    </row>
    <row r="891" spans="2:30" ht="15.75">
      <c r="B891" s="227"/>
      <c r="C891" s="227"/>
      <c r="D891" s="227"/>
      <c r="E891" s="227"/>
      <c r="F891" s="227"/>
      <c r="G891" s="227"/>
      <c r="H891" s="227"/>
      <c r="I891" s="227"/>
      <c r="J891" s="227"/>
      <c r="K891" s="227"/>
      <c r="L891" s="227"/>
      <c r="M891" s="227"/>
      <c r="N891" s="227"/>
      <c r="O891" s="227"/>
      <c r="P891" s="227"/>
      <c r="Q891" s="227"/>
      <c r="R891" s="227"/>
      <c r="S891" s="227"/>
      <c r="T891" s="227"/>
      <c r="U891" s="227"/>
      <c r="V891" s="227"/>
      <c r="W891" s="227"/>
      <c r="X891" s="227"/>
      <c r="Y891" s="227"/>
      <c r="Z891" s="227"/>
      <c r="AA891" s="227"/>
      <c r="AB891" s="227"/>
      <c r="AC891" s="227"/>
      <c r="AD891" s="227"/>
    </row>
    <row r="892" spans="2:30" ht="15.75">
      <c r="B892" s="227"/>
      <c r="C892" s="227"/>
      <c r="D892" s="227"/>
      <c r="E892" s="227"/>
      <c r="F892" s="227"/>
      <c r="G892" s="227"/>
      <c r="H892" s="227"/>
      <c r="I892" s="227"/>
      <c r="J892" s="227"/>
      <c r="K892" s="227"/>
      <c r="L892" s="227"/>
      <c r="M892" s="227"/>
      <c r="N892" s="227"/>
      <c r="O892" s="227"/>
      <c r="P892" s="227"/>
      <c r="Q892" s="227"/>
      <c r="R892" s="227"/>
      <c r="S892" s="227"/>
      <c r="T892" s="227"/>
      <c r="U892" s="227"/>
      <c r="V892" s="227"/>
      <c r="W892" s="227"/>
      <c r="X892" s="227"/>
      <c r="Y892" s="227"/>
      <c r="Z892" s="227"/>
      <c r="AA892" s="227"/>
      <c r="AB892" s="227"/>
      <c r="AC892" s="227"/>
      <c r="AD892" s="227"/>
    </row>
    <row r="893" spans="2:30" ht="15.75">
      <c r="B893" s="227"/>
      <c r="C893" s="227"/>
      <c r="D893" s="227"/>
      <c r="E893" s="227"/>
      <c r="F893" s="227"/>
      <c r="G893" s="227"/>
      <c r="H893" s="227"/>
      <c r="I893" s="227"/>
      <c r="J893" s="227"/>
      <c r="K893" s="227"/>
      <c r="L893" s="227"/>
      <c r="M893" s="227"/>
      <c r="N893" s="227"/>
      <c r="O893" s="227"/>
      <c r="P893" s="227"/>
      <c r="Q893" s="227"/>
      <c r="R893" s="227"/>
      <c r="S893" s="227"/>
      <c r="T893" s="227"/>
      <c r="U893" s="227"/>
      <c r="V893" s="227"/>
      <c r="W893" s="227"/>
      <c r="X893" s="227"/>
      <c r="Y893" s="227"/>
      <c r="Z893" s="227"/>
      <c r="AA893" s="227"/>
      <c r="AB893" s="227"/>
      <c r="AC893" s="227"/>
      <c r="AD893" s="227"/>
    </row>
    <row r="894" spans="2:30" ht="15.75">
      <c r="B894" s="227"/>
      <c r="C894" s="227"/>
      <c r="D894" s="227"/>
      <c r="E894" s="227"/>
      <c r="F894" s="227"/>
      <c r="G894" s="227"/>
      <c r="H894" s="227"/>
      <c r="I894" s="227"/>
      <c r="J894" s="227"/>
      <c r="K894" s="227"/>
      <c r="L894" s="227"/>
      <c r="M894" s="227"/>
      <c r="N894" s="227"/>
      <c r="O894" s="227"/>
      <c r="P894" s="227"/>
      <c r="Q894" s="227"/>
      <c r="R894" s="227"/>
      <c r="S894" s="227"/>
      <c r="T894" s="227"/>
      <c r="U894" s="227"/>
      <c r="V894" s="227"/>
      <c r="W894" s="227"/>
      <c r="X894" s="227"/>
      <c r="Y894" s="227"/>
      <c r="Z894" s="227"/>
      <c r="AA894" s="227"/>
      <c r="AB894" s="227"/>
      <c r="AC894" s="227"/>
      <c r="AD894" s="227"/>
    </row>
    <row r="895" spans="2:30" ht="15.75">
      <c r="B895" s="227"/>
      <c r="C895" s="227"/>
      <c r="D895" s="227"/>
      <c r="E895" s="227"/>
      <c r="F895" s="227"/>
      <c r="G895" s="227"/>
      <c r="H895" s="227"/>
      <c r="I895" s="227"/>
      <c r="J895" s="227"/>
      <c r="K895" s="227"/>
      <c r="L895" s="227"/>
      <c r="M895" s="227"/>
      <c r="N895" s="227"/>
      <c r="O895" s="227"/>
      <c r="P895" s="227"/>
      <c r="Q895" s="227"/>
      <c r="R895" s="227"/>
      <c r="S895" s="227"/>
      <c r="T895" s="227"/>
      <c r="U895" s="227"/>
      <c r="V895" s="227"/>
      <c r="W895" s="227"/>
      <c r="X895" s="227"/>
      <c r="Y895" s="227"/>
      <c r="Z895" s="227"/>
      <c r="AA895" s="227"/>
      <c r="AB895" s="227"/>
      <c r="AC895" s="227"/>
      <c r="AD895" s="227"/>
    </row>
    <row r="896" spans="2:30" ht="15.75">
      <c r="B896" s="227"/>
      <c r="C896" s="227"/>
      <c r="D896" s="227"/>
      <c r="E896" s="227"/>
      <c r="F896" s="227"/>
      <c r="G896" s="227"/>
      <c r="H896" s="227"/>
      <c r="I896" s="227"/>
      <c r="J896" s="227"/>
      <c r="K896" s="227"/>
      <c r="L896" s="227"/>
      <c r="M896" s="227"/>
      <c r="N896" s="227"/>
      <c r="O896" s="227"/>
      <c r="P896" s="227"/>
      <c r="Q896" s="227"/>
      <c r="R896" s="227"/>
      <c r="S896" s="227"/>
      <c r="T896" s="227"/>
      <c r="U896" s="227"/>
      <c r="V896" s="227"/>
      <c r="W896" s="227"/>
      <c r="X896" s="227"/>
      <c r="Y896" s="227"/>
      <c r="Z896" s="227"/>
      <c r="AA896" s="227"/>
      <c r="AB896" s="227"/>
      <c r="AC896" s="227"/>
      <c r="AD896" s="227"/>
    </row>
    <row r="897" spans="2:30" ht="15.75">
      <c r="B897" s="227"/>
      <c r="C897" s="227"/>
      <c r="D897" s="227"/>
      <c r="E897" s="227"/>
      <c r="F897" s="227"/>
      <c r="G897" s="227"/>
      <c r="H897" s="227"/>
      <c r="I897" s="227"/>
      <c r="J897" s="227"/>
      <c r="K897" s="227"/>
      <c r="L897" s="227"/>
      <c r="M897" s="227"/>
      <c r="N897" s="227"/>
      <c r="O897" s="227"/>
      <c r="P897" s="227"/>
      <c r="Q897" s="227"/>
      <c r="R897" s="227"/>
      <c r="S897" s="227"/>
      <c r="T897" s="227"/>
      <c r="U897" s="227"/>
      <c r="V897" s="227"/>
      <c r="W897" s="227"/>
      <c r="X897" s="227"/>
      <c r="Y897" s="227"/>
      <c r="Z897" s="227"/>
      <c r="AA897" s="227"/>
      <c r="AB897" s="227"/>
      <c r="AC897" s="227"/>
      <c r="AD897" s="227"/>
    </row>
    <row r="898" spans="2:30" ht="15.75">
      <c r="B898" s="227"/>
      <c r="C898" s="227"/>
      <c r="D898" s="227"/>
      <c r="E898" s="227"/>
      <c r="F898" s="227"/>
      <c r="G898" s="227"/>
      <c r="H898" s="227"/>
      <c r="I898" s="227"/>
      <c r="J898" s="227"/>
      <c r="K898" s="227"/>
      <c r="L898" s="227"/>
      <c r="M898" s="227"/>
      <c r="N898" s="227"/>
      <c r="O898" s="227"/>
      <c r="P898" s="227"/>
      <c r="Q898" s="227"/>
      <c r="R898" s="227"/>
      <c r="S898" s="227"/>
      <c r="T898" s="227"/>
      <c r="U898" s="227"/>
      <c r="V898" s="227"/>
      <c r="W898" s="227"/>
      <c r="X898" s="227"/>
      <c r="Y898" s="227"/>
      <c r="Z898" s="227"/>
      <c r="AA898" s="227"/>
      <c r="AB898" s="227"/>
      <c r="AC898" s="227"/>
      <c r="AD898" s="227"/>
    </row>
    <row r="899" spans="2:30" ht="15.75">
      <c r="B899" s="227"/>
      <c r="C899" s="227"/>
      <c r="D899" s="227"/>
      <c r="E899" s="227"/>
      <c r="F899" s="227"/>
      <c r="G899" s="227"/>
      <c r="H899" s="227"/>
      <c r="I899" s="227"/>
      <c r="J899" s="227"/>
      <c r="K899" s="227"/>
      <c r="L899" s="227"/>
      <c r="M899" s="227"/>
      <c r="N899" s="227"/>
      <c r="O899" s="227"/>
      <c r="P899" s="227"/>
      <c r="Q899" s="227"/>
      <c r="R899" s="227"/>
      <c r="S899" s="227"/>
      <c r="T899" s="227"/>
      <c r="U899" s="227"/>
      <c r="V899" s="227"/>
      <c r="W899" s="227"/>
      <c r="X899" s="227"/>
      <c r="Y899" s="227"/>
      <c r="Z899" s="227"/>
      <c r="AA899" s="227"/>
      <c r="AB899" s="227"/>
      <c r="AC899" s="227"/>
      <c r="AD899" s="227"/>
    </row>
    <row r="900" spans="2:30" ht="15.75">
      <c r="B900" s="227"/>
      <c r="C900" s="227"/>
      <c r="D900" s="227"/>
      <c r="E900" s="227"/>
      <c r="F900" s="227"/>
      <c r="G900" s="227"/>
      <c r="H900" s="227"/>
      <c r="I900" s="227"/>
      <c r="J900" s="227"/>
      <c r="K900" s="227"/>
      <c r="L900" s="227"/>
      <c r="M900" s="227"/>
      <c r="N900" s="227"/>
      <c r="O900" s="227"/>
      <c r="P900" s="227"/>
      <c r="Q900" s="227"/>
      <c r="R900" s="227"/>
      <c r="S900" s="227"/>
      <c r="T900" s="227"/>
      <c r="U900" s="227"/>
      <c r="V900" s="227"/>
      <c r="W900" s="227"/>
      <c r="X900" s="227"/>
      <c r="Y900" s="227"/>
      <c r="Z900" s="227"/>
      <c r="AA900" s="227"/>
      <c r="AB900" s="227"/>
      <c r="AC900" s="227"/>
      <c r="AD900" s="227"/>
    </row>
    <row r="901" spans="2:30" ht="15.75">
      <c r="B901" s="227"/>
      <c r="C901" s="227"/>
      <c r="D901" s="227"/>
      <c r="E901" s="227"/>
      <c r="F901" s="227"/>
      <c r="G901" s="227"/>
      <c r="H901" s="227"/>
      <c r="I901" s="227"/>
      <c r="J901" s="227"/>
      <c r="K901" s="227"/>
      <c r="L901" s="227"/>
      <c r="M901" s="227"/>
      <c r="N901" s="227"/>
      <c r="O901" s="227"/>
      <c r="P901" s="227"/>
      <c r="Q901" s="227"/>
      <c r="R901" s="227"/>
      <c r="S901" s="227"/>
      <c r="T901" s="227"/>
      <c r="U901" s="227"/>
      <c r="V901" s="227"/>
      <c r="W901" s="227"/>
      <c r="X901" s="227"/>
      <c r="Y901" s="227"/>
      <c r="Z901" s="227"/>
      <c r="AA901" s="227"/>
      <c r="AB901" s="227"/>
      <c r="AC901" s="227"/>
      <c r="AD901" s="227"/>
    </row>
    <row r="902" spans="2:30" ht="15.75">
      <c r="B902" s="227"/>
      <c r="C902" s="227"/>
      <c r="D902" s="227"/>
      <c r="E902" s="227"/>
      <c r="F902" s="227"/>
      <c r="G902" s="227"/>
      <c r="H902" s="227"/>
      <c r="I902" s="227"/>
      <c r="J902" s="227"/>
      <c r="K902" s="227"/>
      <c r="L902" s="227"/>
      <c r="M902" s="227"/>
      <c r="N902" s="227"/>
      <c r="O902" s="227"/>
      <c r="P902" s="227"/>
      <c r="Q902" s="227"/>
      <c r="R902" s="227"/>
      <c r="S902" s="227"/>
      <c r="T902" s="227"/>
      <c r="U902" s="227"/>
      <c r="V902" s="227"/>
      <c r="W902" s="227"/>
      <c r="X902" s="227"/>
      <c r="Y902" s="227"/>
      <c r="Z902" s="227"/>
      <c r="AA902" s="227"/>
      <c r="AB902" s="227"/>
      <c r="AC902" s="227"/>
      <c r="AD902" s="227"/>
    </row>
    <row r="903" spans="2:30" ht="15.75">
      <c r="B903" s="227"/>
      <c r="C903" s="227"/>
      <c r="D903" s="227"/>
      <c r="E903" s="227"/>
      <c r="F903" s="227"/>
      <c r="G903" s="227"/>
      <c r="H903" s="227"/>
      <c r="I903" s="227"/>
      <c r="J903" s="227"/>
      <c r="K903" s="227"/>
      <c r="L903" s="227"/>
      <c r="M903" s="227"/>
      <c r="N903" s="227"/>
      <c r="O903" s="227"/>
      <c r="P903" s="227"/>
      <c r="Q903" s="227"/>
      <c r="R903" s="227"/>
      <c r="S903" s="227"/>
      <c r="T903" s="227"/>
      <c r="U903" s="227"/>
      <c r="V903" s="227"/>
      <c r="W903" s="227"/>
      <c r="X903" s="227"/>
      <c r="Y903" s="227"/>
      <c r="Z903" s="227"/>
      <c r="AA903" s="227"/>
      <c r="AB903" s="227"/>
      <c r="AC903" s="227"/>
      <c r="AD903" s="227"/>
    </row>
    <row r="904" spans="2:30" ht="15.75">
      <c r="B904" s="227"/>
      <c r="C904" s="227"/>
      <c r="D904" s="227"/>
      <c r="E904" s="227"/>
      <c r="F904" s="227"/>
      <c r="G904" s="227"/>
      <c r="H904" s="227"/>
      <c r="I904" s="227"/>
      <c r="J904" s="227"/>
      <c r="K904" s="227"/>
      <c r="L904" s="227"/>
      <c r="M904" s="227"/>
      <c r="N904" s="227"/>
      <c r="O904" s="227"/>
      <c r="P904" s="227"/>
      <c r="Q904" s="227"/>
      <c r="R904" s="227"/>
      <c r="S904" s="227"/>
      <c r="T904" s="227"/>
      <c r="U904" s="227"/>
      <c r="V904" s="227"/>
      <c r="W904" s="227"/>
      <c r="X904" s="227"/>
      <c r="Y904" s="227"/>
      <c r="Z904" s="227"/>
      <c r="AA904" s="227"/>
      <c r="AB904" s="227"/>
      <c r="AC904" s="227"/>
      <c r="AD904" s="227"/>
    </row>
    <row r="905" spans="2:30" ht="15.75">
      <c r="B905" s="227"/>
      <c r="C905" s="227"/>
      <c r="D905" s="227"/>
      <c r="E905" s="227"/>
      <c r="F905" s="227"/>
      <c r="G905" s="227"/>
      <c r="H905" s="227"/>
      <c r="I905" s="227"/>
      <c r="J905" s="227"/>
      <c r="K905" s="227"/>
      <c r="L905" s="227"/>
      <c r="M905" s="227"/>
      <c r="N905" s="227"/>
      <c r="O905" s="227"/>
      <c r="P905" s="227"/>
      <c r="Q905" s="227"/>
      <c r="R905" s="227"/>
      <c r="S905" s="227"/>
      <c r="T905" s="227"/>
      <c r="U905" s="227"/>
      <c r="V905" s="227"/>
      <c r="W905" s="227"/>
      <c r="X905" s="227"/>
      <c r="Y905" s="227"/>
      <c r="Z905" s="227"/>
      <c r="AA905" s="227"/>
      <c r="AB905" s="227"/>
      <c r="AC905" s="227"/>
      <c r="AD905" s="227"/>
    </row>
    <row r="906" spans="2:30" ht="15.75">
      <c r="B906" s="227"/>
      <c r="C906" s="227"/>
      <c r="D906" s="227"/>
      <c r="E906" s="227"/>
      <c r="F906" s="227"/>
      <c r="G906" s="227"/>
      <c r="H906" s="227"/>
      <c r="I906" s="227"/>
      <c r="J906" s="227"/>
      <c r="K906" s="227"/>
      <c r="L906" s="227"/>
      <c r="M906" s="227"/>
      <c r="N906" s="227"/>
      <c r="O906" s="227"/>
      <c r="P906" s="227"/>
      <c r="Q906" s="227"/>
      <c r="R906" s="227"/>
      <c r="S906" s="227"/>
      <c r="T906" s="227"/>
      <c r="U906" s="227"/>
      <c r="V906" s="227"/>
      <c r="W906" s="227"/>
      <c r="X906" s="227"/>
      <c r="Y906" s="227"/>
      <c r="Z906" s="227"/>
      <c r="AA906" s="227"/>
      <c r="AB906" s="227"/>
      <c r="AC906" s="227"/>
      <c r="AD906" s="227"/>
    </row>
    <row r="907" spans="2:30" ht="15.75">
      <c r="B907" s="227"/>
      <c r="C907" s="227"/>
      <c r="D907" s="227"/>
      <c r="E907" s="227"/>
      <c r="F907" s="227"/>
      <c r="G907" s="227"/>
      <c r="H907" s="227"/>
      <c r="I907" s="227"/>
      <c r="J907" s="227"/>
      <c r="K907" s="227"/>
      <c r="L907" s="227"/>
      <c r="M907" s="227"/>
      <c r="N907" s="227"/>
      <c r="O907" s="227"/>
      <c r="P907" s="227"/>
      <c r="Q907" s="227"/>
      <c r="R907" s="227"/>
      <c r="S907" s="227"/>
      <c r="T907" s="227"/>
      <c r="U907" s="227"/>
      <c r="V907" s="227"/>
      <c r="W907" s="227"/>
      <c r="X907" s="227"/>
      <c r="Y907" s="227"/>
      <c r="Z907" s="227"/>
      <c r="AA907" s="227"/>
      <c r="AB907" s="227"/>
      <c r="AC907" s="227"/>
      <c r="AD907" s="227"/>
    </row>
    <row r="908" spans="2:30" ht="15.75">
      <c r="B908" s="227"/>
      <c r="C908" s="227"/>
      <c r="D908" s="227"/>
      <c r="E908" s="227"/>
      <c r="F908" s="227"/>
      <c r="G908" s="227"/>
      <c r="H908" s="227"/>
      <c r="I908" s="227"/>
      <c r="J908" s="227"/>
      <c r="K908" s="227"/>
      <c r="L908" s="227"/>
      <c r="M908" s="227"/>
      <c r="N908" s="227"/>
      <c r="O908" s="227"/>
      <c r="P908" s="227"/>
      <c r="Q908" s="227"/>
      <c r="R908" s="227"/>
      <c r="S908" s="227"/>
      <c r="T908" s="227"/>
      <c r="U908" s="227"/>
      <c r="V908" s="227"/>
      <c r="W908" s="227"/>
      <c r="X908" s="227"/>
      <c r="Y908" s="227"/>
      <c r="Z908" s="227"/>
      <c r="AA908" s="227"/>
      <c r="AB908" s="227"/>
      <c r="AC908" s="227"/>
      <c r="AD908" s="227"/>
    </row>
    <row r="909" spans="2:30" ht="15.75">
      <c r="B909" s="227"/>
      <c r="C909" s="227"/>
      <c r="D909" s="227"/>
      <c r="E909" s="227"/>
      <c r="F909" s="227"/>
      <c r="G909" s="227"/>
      <c r="H909" s="227"/>
      <c r="I909" s="227"/>
      <c r="J909" s="227"/>
      <c r="K909" s="227"/>
      <c r="L909" s="227"/>
      <c r="M909" s="227"/>
      <c r="N909" s="227"/>
      <c r="O909" s="227"/>
      <c r="P909" s="227"/>
      <c r="Q909" s="227"/>
      <c r="R909" s="227"/>
      <c r="S909" s="227"/>
      <c r="T909" s="227"/>
      <c r="U909" s="227"/>
      <c r="V909" s="227"/>
      <c r="W909" s="227"/>
      <c r="X909" s="227"/>
      <c r="Y909" s="227"/>
      <c r="Z909" s="227"/>
      <c r="AA909" s="227"/>
      <c r="AB909" s="227"/>
      <c r="AC909" s="227"/>
      <c r="AD909" s="227"/>
    </row>
    <row r="910" spans="2:30" ht="15.75">
      <c r="B910" s="227"/>
      <c r="C910" s="227"/>
      <c r="D910" s="227"/>
      <c r="E910" s="227"/>
      <c r="F910" s="227"/>
      <c r="G910" s="227"/>
      <c r="H910" s="227"/>
      <c r="I910" s="227"/>
      <c r="J910" s="227"/>
      <c r="K910" s="227"/>
      <c r="L910" s="227"/>
      <c r="M910" s="227"/>
      <c r="N910" s="227"/>
      <c r="O910" s="227"/>
      <c r="P910" s="227"/>
      <c r="Q910" s="227"/>
      <c r="R910" s="227"/>
      <c r="S910" s="227"/>
      <c r="T910" s="227"/>
      <c r="U910" s="227"/>
      <c r="V910" s="227"/>
      <c r="W910" s="227"/>
      <c r="X910" s="227"/>
      <c r="Y910" s="227"/>
      <c r="Z910" s="227"/>
      <c r="AA910" s="227"/>
      <c r="AB910" s="227"/>
      <c r="AC910" s="227"/>
      <c r="AD910" s="227"/>
    </row>
    <row r="911" spans="2:30" ht="15.75">
      <c r="B911" s="227"/>
      <c r="C911" s="227"/>
      <c r="D911" s="227"/>
      <c r="E911" s="227"/>
      <c r="F911" s="227"/>
      <c r="G911" s="227"/>
      <c r="H911" s="227"/>
      <c r="I911" s="227"/>
      <c r="J911" s="227"/>
      <c r="K911" s="227"/>
      <c r="L911" s="227"/>
      <c r="M911" s="227"/>
      <c r="N911" s="227"/>
      <c r="O911" s="227"/>
      <c r="P911" s="227"/>
      <c r="Q911" s="227"/>
      <c r="R911" s="227"/>
      <c r="S911" s="227"/>
      <c r="T911" s="227"/>
      <c r="U911" s="227"/>
      <c r="V911" s="227"/>
      <c r="W911" s="227"/>
      <c r="X911" s="227"/>
      <c r="Y911" s="227"/>
      <c r="Z911" s="227"/>
      <c r="AA911" s="227"/>
      <c r="AB911" s="227"/>
      <c r="AC911" s="227"/>
      <c r="AD911" s="227"/>
    </row>
    <row r="912" spans="2:30" ht="15.75">
      <c r="B912" s="227"/>
      <c r="C912" s="227"/>
      <c r="D912" s="227"/>
      <c r="E912" s="227"/>
      <c r="F912" s="227"/>
      <c r="G912" s="227"/>
      <c r="H912" s="227"/>
      <c r="I912" s="227"/>
      <c r="J912" s="227"/>
      <c r="K912" s="227"/>
      <c r="L912" s="227"/>
      <c r="M912" s="227"/>
      <c r="N912" s="227"/>
      <c r="O912" s="227"/>
      <c r="P912" s="227"/>
      <c r="Q912" s="227"/>
      <c r="R912" s="227"/>
      <c r="S912" s="227"/>
      <c r="T912" s="227"/>
      <c r="U912" s="227"/>
      <c r="V912" s="227"/>
      <c r="W912" s="227"/>
      <c r="X912" s="227"/>
      <c r="Y912" s="227"/>
      <c r="Z912" s="227"/>
      <c r="AA912" s="227"/>
      <c r="AB912" s="227"/>
      <c r="AC912" s="227"/>
      <c r="AD912" s="227"/>
    </row>
    <row r="913" spans="2:30" ht="15.75">
      <c r="B913" s="227"/>
      <c r="C913" s="227"/>
      <c r="D913" s="227"/>
      <c r="E913" s="227"/>
      <c r="F913" s="227"/>
      <c r="G913" s="227"/>
      <c r="H913" s="227"/>
      <c r="I913" s="227"/>
      <c r="J913" s="227"/>
      <c r="K913" s="227"/>
      <c r="L913" s="227"/>
      <c r="M913" s="227"/>
      <c r="N913" s="227"/>
      <c r="O913" s="227"/>
      <c r="P913" s="227"/>
      <c r="Q913" s="227"/>
      <c r="R913" s="227"/>
      <c r="S913" s="227"/>
      <c r="T913" s="227"/>
      <c r="U913" s="227"/>
      <c r="V913" s="227"/>
      <c r="W913" s="227"/>
      <c r="X913" s="227"/>
      <c r="Y913" s="227"/>
      <c r="Z913" s="227"/>
      <c r="AA913" s="227"/>
      <c r="AB913" s="227"/>
      <c r="AC913" s="227"/>
      <c r="AD913" s="227"/>
    </row>
    <row r="914" spans="2:30" ht="15.75">
      <c r="B914" s="227"/>
      <c r="C914" s="227"/>
      <c r="D914" s="227"/>
      <c r="E914" s="227"/>
      <c r="F914" s="227"/>
      <c r="G914" s="227"/>
      <c r="H914" s="227"/>
      <c r="I914" s="227"/>
      <c r="J914" s="227"/>
      <c r="K914" s="227"/>
      <c r="L914" s="227"/>
      <c r="M914" s="227"/>
      <c r="N914" s="227"/>
      <c r="O914" s="227"/>
      <c r="P914" s="227"/>
      <c r="Q914" s="227"/>
      <c r="R914" s="227"/>
      <c r="S914" s="227"/>
      <c r="T914" s="227"/>
      <c r="U914" s="227"/>
      <c r="V914" s="227"/>
      <c r="W914" s="227"/>
      <c r="X914" s="227"/>
      <c r="Y914" s="227"/>
      <c r="Z914" s="227"/>
      <c r="AA914" s="227"/>
      <c r="AB914" s="227"/>
      <c r="AC914" s="227"/>
      <c r="AD914" s="227"/>
    </row>
    <row r="915" spans="2:30" ht="15.75">
      <c r="B915" s="227"/>
      <c r="C915" s="227"/>
      <c r="D915" s="227"/>
      <c r="E915" s="227"/>
      <c r="F915" s="227"/>
      <c r="G915" s="227"/>
      <c r="H915" s="227"/>
      <c r="I915" s="227"/>
      <c r="J915" s="227"/>
      <c r="K915" s="227"/>
      <c r="L915" s="227"/>
      <c r="M915" s="227"/>
      <c r="N915" s="227"/>
      <c r="O915" s="227"/>
      <c r="P915" s="227"/>
      <c r="Q915" s="227"/>
      <c r="R915" s="227"/>
      <c r="S915" s="227"/>
      <c r="T915" s="227"/>
      <c r="U915" s="227"/>
      <c r="V915" s="227"/>
      <c r="W915" s="227"/>
      <c r="X915" s="227"/>
      <c r="Y915" s="227"/>
      <c r="Z915" s="227"/>
      <c r="AA915" s="227"/>
      <c r="AB915" s="227"/>
      <c r="AC915" s="227"/>
      <c r="AD915" s="227"/>
    </row>
    <row r="916" spans="2:30" ht="15.75">
      <c r="B916" s="227"/>
      <c r="C916" s="227"/>
      <c r="D916" s="227"/>
      <c r="E916" s="227"/>
      <c r="F916" s="227"/>
      <c r="G916" s="227"/>
      <c r="H916" s="227"/>
      <c r="I916" s="227"/>
      <c r="J916" s="227"/>
      <c r="K916" s="227"/>
      <c r="L916" s="227"/>
      <c r="M916" s="227"/>
      <c r="N916" s="227"/>
      <c r="O916" s="227"/>
      <c r="P916" s="227"/>
      <c r="Q916" s="227"/>
      <c r="R916" s="227"/>
      <c r="S916" s="227"/>
      <c r="T916" s="227"/>
      <c r="U916" s="227"/>
      <c r="V916" s="227"/>
      <c r="W916" s="227"/>
      <c r="X916" s="227"/>
      <c r="Y916" s="227"/>
      <c r="Z916" s="227"/>
      <c r="AA916" s="227"/>
      <c r="AB916" s="227"/>
      <c r="AC916" s="227"/>
      <c r="AD916" s="227"/>
    </row>
    <row r="917" spans="2:30" ht="15.75">
      <c r="B917" s="227"/>
      <c r="C917" s="227"/>
      <c r="D917" s="227"/>
      <c r="E917" s="227"/>
      <c r="F917" s="227"/>
      <c r="G917" s="227"/>
      <c r="H917" s="227"/>
      <c r="I917" s="227"/>
      <c r="J917" s="227"/>
      <c r="K917" s="227"/>
      <c r="L917" s="227"/>
      <c r="M917" s="227"/>
      <c r="N917" s="227"/>
      <c r="O917" s="227"/>
      <c r="P917" s="227"/>
      <c r="Q917" s="227"/>
      <c r="R917" s="227"/>
      <c r="S917" s="227"/>
      <c r="T917" s="227"/>
      <c r="U917" s="227"/>
      <c r="V917" s="227"/>
      <c r="W917" s="227"/>
      <c r="X917" s="227"/>
      <c r="Y917" s="227"/>
      <c r="Z917" s="227"/>
      <c r="AA917" s="227"/>
      <c r="AB917" s="227"/>
      <c r="AC917" s="227"/>
      <c r="AD917" s="227"/>
    </row>
    <row r="918" spans="2:30" ht="15.75">
      <c r="B918" s="227"/>
      <c r="C918" s="227"/>
      <c r="D918" s="227"/>
      <c r="E918" s="227"/>
      <c r="F918" s="227"/>
      <c r="G918" s="227"/>
      <c r="H918" s="227"/>
      <c r="I918" s="227"/>
      <c r="J918" s="227"/>
      <c r="K918" s="227"/>
      <c r="L918" s="227"/>
      <c r="M918" s="227"/>
      <c r="N918" s="227"/>
      <c r="O918" s="227"/>
      <c r="P918" s="227"/>
      <c r="Q918" s="227"/>
      <c r="R918" s="227"/>
      <c r="S918" s="227"/>
      <c r="T918" s="227"/>
      <c r="U918" s="227"/>
      <c r="V918" s="227"/>
      <c r="W918" s="227"/>
      <c r="X918" s="227"/>
      <c r="Y918" s="227"/>
      <c r="Z918" s="227"/>
      <c r="AA918" s="227"/>
      <c r="AB918" s="227"/>
      <c r="AC918" s="227"/>
      <c r="AD918" s="227"/>
    </row>
    <row r="919" spans="2:30" ht="15.75">
      <c r="B919" s="227"/>
      <c r="C919" s="227"/>
      <c r="D919" s="227"/>
      <c r="E919" s="227"/>
      <c r="F919" s="227"/>
      <c r="G919" s="227"/>
      <c r="H919" s="227"/>
      <c r="I919" s="227"/>
      <c r="J919" s="227"/>
      <c r="K919" s="227"/>
      <c r="L919" s="227"/>
      <c r="M919" s="227"/>
      <c r="N919" s="227"/>
      <c r="O919" s="227"/>
      <c r="P919" s="227"/>
      <c r="Q919" s="227"/>
      <c r="R919" s="227"/>
      <c r="S919" s="227"/>
      <c r="T919" s="227"/>
      <c r="U919" s="227"/>
      <c r="V919" s="227"/>
      <c r="W919" s="227"/>
      <c r="X919" s="227"/>
      <c r="Y919" s="227"/>
      <c r="Z919" s="227"/>
      <c r="AA919" s="227"/>
      <c r="AB919" s="227"/>
      <c r="AC919" s="227"/>
      <c r="AD919" s="227"/>
    </row>
    <row r="920" spans="2:30" ht="15.75">
      <c r="B920" s="227"/>
      <c r="C920" s="227"/>
      <c r="D920" s="227"/>
      <c r="E920" s="227"/>
      <c r="F920" s="227"/>
      <c r="G920" s="227"/>
      <c r="H920" s="227"/>
      <c r="I920" s="227"/>
      <c r="J920" s="227"/>
      <c r="K920" s="227"/>
      <c r="L920" s="227"/>
      <c r="M920" s="227"/>
      <c r="N920" s="227"/>
      <c r="O920" s="227"/>
      <c r="P920" s="227"/>
      <c r="Q920" s="227"/>
      <c r="R920" s="227"/>
      <c r="S920" s="227"/>
      <c r="T920" s="227"/>
      <c r="U920" s="227"/>
      <c r="V920" s="227"/>
      <c r="W920" s="227"/>
      <c r="X920" s="227"/>
      <c r="Y920" s="227"/>
      <c r="Z920" s="227"/>
      <c r="AA920" s="227"/>
      <c r="AB920" s="227"/>
      <c r="AC920" s="227"/>
      <c r="AD920" s="227"/>
    </row>
    <row r="921" spans="2:30" ht="15.75">
      <c r="B921" s="227"/>
      <c r="C921" s="227"/>
      <c r="D921" s="227"/>
      <c r="E921" s="227"/>
      <c r="F921" s="227"/>
      <c r="G921" s="227"/>
      <c r="H921" s="227"/>
      <c r="I921" s="227"/>
      <c r="J921" s="227"/>
      <c r="K921" s="227"/>
      <c r="L921" s="227"/>
      <c r="M921" s="227"/>
      <c r="N921" s="227"/>
      <c r="O921" s="227"/>
      <c r="P921" s="227"/>
      <c r="Q921" s="227"/>
      <c r="R921" s="227"/>
      <c r="S921" s="227"/>
      <c r="T921" s="227"/>
      <c r="U921" s="227"/>
      <c r="V921" s="227"/>
      <c r="W921" s="227"/>
      <c r="X921" s="227"/>
      <c r="Y921" s="227"/>
      <c r="Z921" s="227"/>
      <c r="AA921" s="227"/>
      <c r="AB921" s="227"/>
      <c r="AC921" s="227"/>
      <c r="AD921" s="227"/>
    </row>
    <row r="922" spans="2:30" ht="15.75">
      <c r="B922" s="227"/>
      <c r="C922" s="227"/>
      <c r="D922" s="227"/>
      <c r="E922" s="227"/>
      <c r="F922" s="227"/>
      <c r="G922" s="227"/>
      <c r="H922" s="227"/>
      <c r="I922" s="227"/>
      <c r="J922" s="227"/>
      <c r="K922" s="227"/>
      <c r="L922" s="227"/>
      <c r="M922" s="227"/>
      <c r="N922" s="227"/>
      <c r="O922" s="227"/>
      <c r="P922" s="227"/>
      <c r="Q922" s="227"/>
      <c r="R922" s="227"/>
      <c r="S922" s="227"/>
      <c r="T922" s="227"/>
      <c r="U922" s="227"/>
      <c r="V922" s="227"/>
      <c r="W922" s="227"/>
      <c r="X922" s="227"/>
      <c r="Y922" s="227"/>
      <c r="Z922" s="227"/>
      <c r="AA922" s="227"/>
      <c r="AB922" s="227"/>
      <c r="AC922" s="227"/>
      <c r="AD922" s="227"/>
    </row>
    <row r="923" spans="2:30" ht="15.75">
      <c r="B923" s="227"/>
      <c r="C923" s="227"/>
      <c r="D923" s="227"/>
      <c r="E923" s="227"/>
      <c r="F923" s="227"/>
      <c r="G923" s="227"/>
      <c r="H923" s="227"/>
      <c r="I923" s="227"/>
      <c r="J923" s="227"/>
      <c r="K923" s="227"/>
      <c r="L923" s="227"/>
      <c r="M923" s="227"/>
      <c r="N923" s="227"/>
      <c r="O923" s="227"/>
      <c r="P923" s="227"/>
      <c r="Q923" s="227"/>
      <c r="R923" s="227"/>
      <c r="S923" s="227"/>
      <c r="T923" s="227"/>
      <c r="U923" s="227"/>
      <c r="V923" s="227"/>
      <c r="W923" s="227"/>
      <c r="X923" s="227"/>
      <c r="Y923" s="227"/>
      <c r="Z923" s="227"/>
      <c r="AA923" s="227"/>
      <c r="AB923" s="227"/>
      <c r="AC923" s="227"/>
      <c r="AD923" s="227"/>
    </row>
    <row r="924" spans="2:30" ht="15.75">
      <c r="B924" s="227"/>
      <c r="C924" s="227"/>
      <c r="D924" s="227"/>
      <c r="E924" s="227"/>
      <c r="F924" s="227"/>
      <c r="G924" s="227"/>
      <c r="H924" s="227"/>
      <c r="I924" s="227"/>
      <c r="J924" s="227"/>
      <c r="K924" s="227"/>
      <c r="L924" s="227"/>
      <c r="M924" s="227"/>
      <c r="N924" s="227"/>
      <c r="O924" s="227"/>
      <c r="P924" s="227"/>
      <c r="Q924" s="227"/>
      <c r="R924" s="227"/>
      <c r="S924" s="227"/>
      <c r="T924" s="227"/>
      <c r="U924" s="227"/>
      <c r="V924" s="227"/>
      <c r="W924" s="227"/>
      <c r="X924" s="227"/>
      <c r="Y924" s="227"/>
      <c r="Z924" s="227"/>
      <c r="AA924" s="227"/>
      <c r="AB924" s="227"/>
      <c r="AC924" s="227"/>
      <c r="AD924" s="227"/>
    </row>
    <row r="925" spans="2:30" ht="15.75">
      <c r="B925" s="227"/>
      <c r="C925" s="227"/>
      <c r="D925" s="227"/>
      <c r="E925" s="227"/>
      <c r="F925" s="227"/>
      <c r="G925" s="227"/>
      <c r="H925" s="227"/>
      <c r="I925" s="227"/>
      <c r="J925" s="227"/>
      <c r="K925" s="227"/>
      <c r="L925" s="227"/>
      <c r="M925" s="227"/>
      <c r="N925" s="227"/>
      <c r="O925" s="227"/>
      <c r="P925" s="227"/>
      <c r="Q925" s="227"/>
      <c r="R925" s="227"/>
      <c r="S925" s="227"/>
      <c r="T925" s="227"/>
      <c r="U925" s="227"/>
      <c r="V925" s="227"/>
      <c r="W925" s="227"/>
      <c r="X925" s="227"/>
      <c r="Y925" s="227"/>
      <c r="Z925" s="227"/>
      <c r="AA925" s="227"/>
      <c r="AB925" s="227"/>
      <c r="AC925" s="227"/>
      <c r="AD925" s="227"/>
    </row>
    <row r="926" spans="2:30" ht="15.75">
      <c r="B926" s="227"/>
      <c r="C926" s="227"/>
      <c r="D926" s="227"/>
      <c r="E926" s="227"/>
      <c r="F926" s="227"/>
      <c r="G926" s="227"/>
      <c r="H926" s="227"/>
      <c r="I926" s="227"/>
      <c r="J926" s="227"/>
      <c r="K926" s="227"/>
      <c r="L926" s="227"/>
      <c r="M926" s="227"/>
      <c r="N926" s="227"/>
      <c r="O926" s="227"/>
      <c r="P926" s="227"/>
      <c r="Q926" s="227"/>
      <c r="R926" s="227"/>
      <c r="S926" s="227"/>
      <c r="T926" s="227"/>
      <c r="U926" s="227"/>
      <c r="V926" s="227"/>
      <c r="W926" s="227"/>
      <c r="X926" s="227"/>
      <c r="Y926" s="227"/>
      <c r="Z926" s="227"/>
      <c r="AA926" s="227"/>
      <c r="AB926" s="227"/>
      <c r="AC926" s="227"/>
      <c r="AD926" s="227"/>
    </row>
    <row r="927" spans="2:30" ht="15.75">
      <c r="B927" s="227"/>
      <c r="C927" s="227"/>
      <c r="D927" s="227"/>
      <c r="E927" s="227"/>
      <c r="F927" s="227"/>
      <c r="G927" s="227"/>
      <c r="H927" s="227"/>
      <c r="I927" s="227"/>
      <c r="J927" s="227"/>
      <c r="K927" s="227"/>
      <c r="L927" s="227"/>
      <c r="M927" s="227"/>
      <c r="N927" s="227"/>
      <c r="O927" s="227"/>
      <c r="P927" s="227"/>
      <c r="Q927" s="227"/>
      <c r="R927" s="227"/>
      <c r="S927" s="227"/>
      <c r="T927" s="227"/>
      <c r="U927" s="227"/>
      <c r="V927" s="227"/>
      <c r="W927" s="227"/>
      <c r="X927" s="227"/>
      <c r="Y927" s="227"/>
      <c r="Z927" s="227"/>
      <c r="AA927" s="227"/>
      <c r="AB927" s="227"/>
      <c r="AC927" s="227"/>
      <c r="AD927" s="227"/>
    </row>
    <row r="928" spans="2:30" ht="15.75">
      <c r="B928" s="227"/>
      <c r="C928" s="227"/>
      <c r="D928" s="227"/>
      <c r="E928" s="227"/>
      <c r="F928" s="227"/>
      <c r="G928" s="227"/>
      <c r="H928" s="227"/>
      <c r="I928" s="227"/>
      <c r="J928" s="227"/>
      <c r="K928" s="227"/>
      <c r="L928" s="227"/>
      <c r="M928" s="227"/>
      <c r="N928" s="227"/>
      <c r="O928" s="227"/>
      <c r="P928" s="227"/>
      <c r="Q928" s="227"/>
      <c r="R928" s="227"/>
      <c r="S928" s="227"/>
      <c r="T928" s="227"/>
      <c r="U928" s="227"/>
      <c r="V928" s="227"/>
      <c r="W928" s="227"/>
      <c r="X928" s="227"/>
      <c r="Y928" s="227"/>
      <c r="Z928" s="227"/>
      <c r="AA928" s="227"/>
      <c r="AB928" s="227"/>
      <c r="AC928" s="227"/>
      <c r="AD928" s="227"/>
    </row>
    <row r="929" spans="2:30" ht="15.75">
      <c r="B929" s="227"/>
      <c r="C929" s="227"/>
      <c r="D929" s="227"/>
      <c r="E929" s="227"/>
      <c r="F929" s="227"/>
      <c r="G929" s="227"/>
      <c r="H929" s="227"/>
      <c r="I929" s="227"/>
      <c r="J929" s="227"/>
      <c r="K929" s="227"/>
      <c r="L929" s="227"/>
      <c r="M929" s="227"/>
      <c r="N929" s="227"/>
      <c r="O929" s="227"/>
      <c r="P929" s="227"/>
      <c r="Q929" s="227"/>
      <c r="R929" s="227"/>
      <c r="S929" s="227"/>
      <c r="T929" s="227"/>
      <c r="U929" s="227"/>
      <c r="V929" s="227"/>
      <c r="W929" s="227"/>
      <c r="X929" s="227"/>
      <c r="Y929" s="227"/>
      <c r="Z929" s="227"/>
      <c r="AA929" s="227"/>
      <c r="AB929" s="227"/>
      <c r="AC929" s="227"/>
      <c r="AD929" s="227"/>
    </row>
    <row r="930" spans="2:30" ht="15.75">
      <c r="B930" s="227"/>
      <c r="C930" s="227"/>
      <c r="D930" s="227"/>
      <c r="E930" s="227"/>
      <c r="F930" s="227"/>
      <c r="G930" s="227"/>
      <c r="H930" s="227"/>
      <c r="I930" s="227"/>
      <c r="J930" s="227"/>
      <c r="K930" s="227"/>
      <c r="L930" s="227"/>
      <c r="M930" s="227"/>
      <c r="N930" s="227"/>
      <c r="O930" s="227"/>
      <c r="P930" s="227"/>
      <c r="Q930" s="227"/>
      <c r="R930" s="227"/>
      <c r="S930" s="227"/>
      <c r="T930" s="227"/>
      <c r="U930" s="227"/>
      <c r="V930" s="227"/>
      <c r="W930" s="227"/>
      <c r="X930" s="227"/>
      <c r="Y930" s="227"/>
      <c r="Z930" s="227"/>
      <c r="AA930" s="227"/>
      <c r="AB930" s="227"/>
      <c r="AC930" s="227"/>
      <c r="AD930" s="227"/>
    </row>
    <row r="931" spans="2:30" ht="15.75">
      <c r="B931" s="227"/>
      <c r="C931" s="227"/>
      <c r="D931" s="227"/>
      <c r="E931" s="227"/>
      <c r="F931" s="227"/>
      <c r="G931" s="227"/>
      <c r="H931" s="227"/>
      <c r="I931" s="227"/>
      <c r="J931" s="227"/>
      <c r="K931" s="227"/>
      <c r="L931" s="227"/>
      <c r="M931" s="227"/>
      <c r="N931" s="227"/>
      <c r="O931" s="227"/>
      <c r="P931" s="227"/>
      <c r="Q931" s="227"/>
      <c r="R931" s="227"/>
      <c r="S931" s="227"/>
      <c r="T931" s="227"/>
      <c r="U931" s="227"/>
      <c r="V931" s="227"/>
      <c r="W931" s="227"/>
      <c r="X931" s="227"/>
      <c r="Y931" s="227"/>
      <c r="Z931" s="227"/>
      <c r="AA931" s="227"/>
      <c r="AB931" s="227"/>
      <c r="AC931" s="227"/>
      <c r="AD931" s="227"/>
    </row>
    <row r="932" spans="2:30" ht="15.75">
      <c r="B932" s="227"/>
      <c r="C932" s="227"/>
      <c r="D932" s="227"/>
      <c r="E932" s="227"/>
      <c r="F932" s="227"/>
      <c r="G932" s="227"/>
      <c r="H932" s="227"/>
      <c r="I932" s="227"/>
      <c r="J932" s="227"/>
      <c r="K932" s="227"/>
      <c r="L932" s="227"/>
      <c r="M932" s="227"/>
      <c r="N932" s="227"/>
      <c r="O932" s="227"/>
      <c r="P932" s="227"/>
      <c r="Q932" s="227"/>
      <c r="R932" s="227"/>
      <c r="S932" s="227"/>
      <c r="T932" s="227"/>
      <c r="U932" s="227"/>
      <c r="V932" s="227"/>
      <c r="W932" s="227"/>
      <c r="X932" s="227"/>
      <c r="Y932" s="227"/>
      <c r="Z932" s="227"/>
      <c r="AA932" s="227"/>
      <c r="AB932" s="227"/>
      <c r="AC932" s="227"/>
      <c r="AD932" s="227"/>
    </row>
    <row r="933" spans="2:30" ht="15.75">
      <c r="B933" s="227"/>
      <c r="C933" s="227"/>
      <c r="D933" s="227"/>
      <c r="E933" s="227"/>
      <c r="F933" s="227"/>
      <c r="G933" s="227"/>
      <c r="H933" s="227"/>
      <c r="I933" s="227"/>
      <c r="J933" s="227"/>
      <c r="K933" s="227"/>
      <c r="L933" s="227"/>
      <c r="M933" s="227"/>
      <c r="N933" s="227"/>
      <c r="O933" s="227"/>
      <c r="P933" s="227"/>
      <c r="Q933" s="227"/>
      <c r="R933" s="227"/>
      <c r="S933" s="227"/>
      <c r="T933" s="227"/>
      <c r="U933" s="227"/>
      <c r="V933" s="227"/>
      <c r="W933" s="227"/>
      <c r="X933" s="227"/>
      <c r="Y933" s="227"/>
      <c r="Z933" s="227"/>
      <c r="AA933" s="227"/>
      <c r="AB933" s="227"/>
      <c r="AC933" s="227"/>
      <c r="AD933" s="227"/>
    </row>
    <row r="934" spans="2:30" ht="15.75">
      <c r="B934" s="227"/>
      <c r="C934" s="227"/>
      <c r="D934" s="227"/>
      <c r="E934" s="227"/>
      <c r="F934" s="227"/>
      <c r="G934" s="227"/>
      <c r="H934" s="227"/>
      <c r="I934" s="227"/>
      <c r="J934" s="227"/>
      <c r="K934" s="227"/>
      <c r="L934" s="227"/>
      <c r="M934" s="227"/>
      <c r="N934" s="227"/>
      <c r="O934" s="227"/>
      <c r="P934" s="227"/>
      <c r="Q934" s="227"/>
      <c r="R934" s="227"/>
      <c r="S934" s="227"/>
      <c r="T934" s="227"/>
      <c r="U934" s="227"/>
      <c r="V934" s="227"/>
      <c r="W934" s="227"/>
      <c r="X934" s="227"/>
      <c r="Y934" s="227"/>
      <c r="Z934" s="227"/>
      <c r="AA934" s="227"/>
      <c r="AB934" s="227"/>
      <c r="AC934" s="227"/>
      <c r="AD934" s="227"/>
    </row>
    <row r="935" spans="2:30" ht="15.75">
      <c r="B935" s="227"/>
      <c r="C935" s="227"/>
      <c r="D935" s="227"/>
      <c r="E935" s="227"/>
      <c r="F935" s="227"/>
      <c r="G935" s="227"/>
      <c r="H935" s="227"/>
      <c r="I935" s="227"/>
      <c r="J935" s="227"/>
      <c r="K935" s="227"/>
      <c r="L935" s="227"/>
      <c r="M935" s="227"/>
      <c r="N935" s="227"/>
      <c r="O935" s="227"/>
      <c r="P935" s="227"/>
      <c r="Q935" s="227"/>
      <c r="R935" s="227"/>
      <c r="S935" s="227"/>
      <c r="T935" s="227"/>
      <c r="U935" s="227"/>
      <c r="V935" s="227"/>
      <c r="W935" s="227"/>
      <c r="X935" s="227"/>
      <c r="Y935" s="227"/>
      <c r="Z935" s="227"/>
      <c r="AA935" s="227"/>
      <c r="AB935" s="227"/>
      <c r="AC935" s="227"/>
      <c r="AD935" s="227"/>
    </row>
    <row r="936" spans="2:30" ht="15.75">
      <c r="B936" s="227"/>
      <c r="C936" s="227"/>
      <c r="D936" s="227"/>
      <c r="E936" s="227"/>
      <c r="F936" s="227"/>
      <c r="G936" s="227"/>
      <c r="H936" s="227"/>
      <c r="I936" s="227"/>
      <c r="J936" s="227"/>
      <c r="K936" s="227"/>
      <c r="L936" s="227"/>
      <c r="M936" s="227"/>
      <c r="N936" s="227"/>
      <c r="O936" s="227"/>
      <c r="P936" s="227"/>
      <c r="Q936" s="227"/>
      <c r="R936" s="227"/>
      <c r="S936" s="227"/>
      <c r="T936" s="227"/>
      <c r="U936" s="227"/>
      <c r="V936" s="227"/>
      <c r="W936" s="227"/>
      <c r="X936" s="227"/>
      <c r="Y936" s="227"/>
      <c r="Z936" s="227"/>
      <c r="AA936" s="227"/>
      <c r="AB936" s="227"/>
      <c r="AC936" s="227"/>
      <c r="AD936" s="227"/>
    </row>
    <row r="937" spans="2:30" ht="15.75">
      <c r="B937" s="227"/>
      <c r="C937" s="227"/>
      <c r="D937" s="227"/>
      <c r="E937" s="227"/>
      <c r="F937" s="227"/>
      <c r="G937" s="227"/>
      <c r="H937" s="227"/>
      <c r="I937" s="227"/>
      <c r="J937" s="227"/>
      <c r="K937" s="227"/>
      <c r="L937" s="227"/>
      <c r="M937" s="227"/>
      <c r="N937" s="227"/>
      <c r="O937" s="227"/>
      <c r="P937" s="227"/>
      <c r="Q937" s="227"/>
      <c r="R937" s="227"/>
      <c r="S937" s="227"/>
      <c r="T937" s="227"/>
      <c r="U937" s="227"/>
      <c r="V937" s="227"/>
      <c r="W937" s="227"/>
      <c r="X937" s="227"/>
      <c r="Y937" s="227"/>
      <c r="Z937" s="227"/>
      <c r="AA937" s="227"/>
      <c r="AB937" s="227"/>
      <c r="AC937" s="227"/>
      <c r="AD937" s="227"/>
    </row>
    <row r="938" spans="2:30" ht="15.75">
      <c r="B938" s="227"/>
      <c r="C938" s="227"/>
      <c r="D938" s="227"/>
      <c r="E938" s="227"/>
      <c r="F938" s="227"/>
      <c r="G938" s="227"/>
      <c r="H938" s="227"/>
      <c r="I938" s="227"/>
      <c r="J938" s="227"/>
      <c r="K938" s="227"/>
      <c r="L938" s="227"/>
      <c r="M938" s="227"/>
      <c r="N938" s="227"/>
      <c r="O938" s="227"/>
      <c r="P938" s="227"/>
      <c r="Q938" s="227"/>
      <c r="R938" s="227"/>
      <c r="S938" s="227"/>
      <c r="T938" s="227"/>
      <c r="U938" s="227"/>
      <c r="V938" s="227"/>
      <c r="W938" s="227"/>
      <c r="X938" s="227"/>
      <c r="Y938" s="227"/>
      <c r="Z938" s="227"/>
      <c r="AA938" s="227"/>
      <c r="AB938" s="227"/>
      <c r="AC938" s="227"/>
      <c r="AD938" s="227"/>
    </row>
    <row r="939" spans="2:30" ht="15.75">
      <c r="B939" s="227"/>
      <c r="C939" s="227"/>
      <c r="D939" s="227"/>
      <c r="E939" s="227"/>
      <c r="F939" s="227"/>
      <c r="G939" s="227"/>
      <c r="H939" s="227"/>
      <c r="I939" s="227"/>
      <c r="J939" s="227"/>
      <c r="K939" s="227"/>
      <c r="L939" s="227"/>
      <c r="M939" s="227"/>
      <c r="N939" s="227"/>
      <c r="O939" s="227"/>
      <c r="P939" s="227"/>
      <c r="Q939" s="227"/>
      <c r="R939" s="227"/>
      <c r="S939" s="227"/>
      <c r="T939" s="227"/>
      <c r="U939" s="227"/>
      <c r="V939" s="227"/>
      <c r="W939" s="227"/>
      <c r="X939" s="227"/>
      <c r="Y939" s="227"/>
      <c r="Z939" s="227"/>
      <c r="AA939" s="227"/>
      <c r="AB939" s="227"/>
      <c r="AC939" s="227"/>
      <c r="AD939" s="227"/>
    </row>
    <row r="940" spans="2:30" ht="15.75">
      <c r="B940" s="227"/>
      <c r="C940" s="227"/>
      <c r="D940" s="227"/>
      <c r="E940" s="227"/>
      <c r="F940" s="227"/>
      <c r="G940" s="227"/>
      <c r="H940" s="227"/>
      <c r="I940" s="227"/>
      <c r="J940" s="227"/>
      <c r="K940" s="227"/>
      <c r="L940" s="227"/>
      <c r="M940" s="227"/>
      <c r="N940" s="227"/>
      <c r="O940" s="227"/>
      <c r="P940" s="227"/>
      <c r="Q940" s="227"/>
      <c r="R940" s="227"/>
      <c r="S940" s="227"/>
      <c r="T940" s="227"/>
      <c r="U940" s="227"/>
      <c r="V940" s="227"/>
      <c r="W940" s="227"/>
      <c r="X940" s="227"/>
      <c r="Y940" s="227"/>
      <c r="Z940" s="227"/>
      <c r="AA940" s="227"/>
      <c r="AB940" s="227"/>
      <c r="AC940" s="227"/>
      <c r="AD940" s="227"/>
    </row>
    <row r="941" spans="2:30" ht="15.75">
      <c r="B941" s="227"/>
      <c r="C941" s="227"/>
      <c r="D941" s="227"/>
      <c r="E941" s="227"/>
      <c r="F941" s="227"/>
      <c r="G941" s="227"/>
      <c r="H941" s="227"/>
      <c r="I941" s="227"/>
      <c r="J941" s="227"/>
      <c r="K941" s="227"/>
      <c r="L941" s="227"/>
      <c r="M941" s="227"/>
      <c r="N941" s="227"/>
      <c r="O941" s="227"/>
      <c r="P941" s="227"/>
      <c r="Q941" s="227"/>
      <c r="R941" s="227"/>
      <c r="S941" s="227"/>
      <c r="T941" s="227"/>
      <c r="U941" s="227"/>
      <c r="V941" s="227"/>
      <c r="W941" s="227"/>
      <c r="X941" s="227"/>
      <c r="Y941" s="227"/>
      <c r="Z941" s="227"/>
      <c r="AA941" s="227"/>
      <c r="AB941" s="227"/>
      <c r="AC941" s="227"/>
      <c r="AD941" s="227"/>
    </row>
    <row r="942" spans="2:30" ht="15.75">
      <c r="B942" s="227"/>
      <c r="C942" s="227"/>
      <c r="D942" s="227"/>
      <c r="E942" s="227"/>
      <c r="F942" s="227"/>
      <c r="G942" s="227"/>
      <c r="H942" s="227"/>
      <c r="I942" s="227"/>
      <c r="J942" s="227"/>
      <c r="K942" s="227"/>
      <c r="L942" s="227"/>
      <c r="M942" s="227"/>
      <c r="N942" s="227"/>
      <c r="O942" s="227"/>
      <c r="P942" s="227"/>
      <c r="Q942" s="227"/>
      <c r="R942" s="227"/>
      <c r="S942" s="227"/>
      <c r="T942" s="227"/>
      <c r="U942" s="227"/>
      <c r="V942" s="227"/>
      <c r="W942" s="227"/>
      <c r="X942" s="227"/>
      <c r="Y942" s="227"/>
      <c r="Z942" s="227"/>
      <c r="AA942" s="227"/>
      <c r="AB942" s="227"/>
      <c r="AC942" s="227"/>
      <c r="AD942" s="227"/>
    </row>
    <row r="943" spans="2:30" ht="15.75">
      <c r="B943" s="227"/>
      <c r="C943" s="227"/>
      <c r="D943" s="227"/>
      <c r="E943" s="227"/>
      <c r="F943" s="227"/>
      <c r="G943" s="227"/>
      <c r="H943" s="227"/>
      <c r="I943" s="227"/>
      <c r="J943" s="227"/>
      <c r="K943" s="227"/>
      <c r="L943" s="227"/>
      <c r="M943" s="227"/>
      <c r="N943" s="227"/>
      <c r="O943" s="227"/>
      <c r="P943" s="227"/>
      <c r="Q943" s="227"/>
      <c r="R943" s="227"/>
      <c r="S943" s="227"/>
      <c r="T943" s="227"/>
      <c r="U943" s="227"/>
      <c r="V943" s="227"/>
      <c r="W943" s="227"/>
      <c r="X943" s="227"/>
      <c r="Y943" s="227"/>
      <c r="Z943" s="227"/>
      <c r="AA943" s="227"/>
      <c r="AB943" s="227"/>
      <c r="AC943" s="227"/>
      <c r="AD943" s="227"/>
    </row>
    <row r="944" spans="2:30" ht="15.75">
      <c r="B944" s="227"/>
      <c r="C944" s="227"/>
      <c r="D944" s="227"/>
      <c r="E944" s="227"/>
      <c r="F944" s="227"/>
      <c r="G944" s="227"/>
      <c r="H944" s="227"/>
      <c r="I944" s="227"/>
      <c r="J944" s="227"/>
      <c r="K944" s="227"/>
      <c r="L944" s="227"/>
      <c r="M944" s="227"/>
      <c r="N944" s="227"/>
      <c r="O944" s="227"/>
      <c r="P944" s="227"/>
      <c r="Q944" s="227"/>
      <c r="R944" s="227"/>
      <c r="S944" s="227"/>
      <c r="T944" s="227"/>
      <c r="U944" s="227"/>
      <c r="V944" s="227"/>
      <c r="W944" s="227"/>
      <c r="X944" s="227"/>
      <c r="Y944" s="227"/>
      <c r="Z944" s="227"/>
      <c r="AA944" s="227"/>
      <c r="AB944" s="227"/>
      <c r="AC944" s="227"/>
      <c r="AD944" s="227"/>
    </row>
    <row r="945" spans="2:30" ht="15.75">
      <c r="B945" s="227"/>
      <c r="C945" s="227"/>
      <c r="D945" s="227"/>
      <c r="E945" s="227"/>
      <c r="F945" s="227"/>
      <c r="G945" s="227"/>
      <c r="H945" s="227"/>
      <c r="I945" s="227"/>
      <c r="J945" s="227"/>
      <c r="K945" s="227"/>
      <c r="L945" s="227"/>
      <c r="M945" s="227"/>
      <c r="N945" s="227"/>
      <c r="O945" s="227"/>
      <c r="P945" s="227"/>
      <c r="Q945" s="227"/>
      <c r="R945" s="227"/>
      <c r="S945" s="227"/>
      <c r="T945" s="227"/>
      <c r="U945" s="227"/>
      <c r="V945" s="227"/>
      <c r="W945" s="227"/>
      <c r="X945" s="227"/>
      <c r="Y945" s="227"/>
      <c r="Z945" s="227"/>
      <c r="AA945" s="227"/>
      <c r="AB945" s="227"/>
      <c r="AC945" s="227"/>
      <c r="AD945" s="227"/>
    </row>
    <row r="946" spans="2:30" ht="15.75">
      <c r="B946" s="227"/>
      <c r="C946" s="227"/>
      <c r="D946" s="227"/>
      <c r="E946" s="227"/>
      <c r="F946" s="227"/>
      <c r="G946" s="227"/>
      <c r="H946" s="227"/>
      <c r="I946" s="227"/>
      <c r="J946" s="227"/>
      <c r="K946" s="227"/>
      <c r="L946" s="227"/>
      <c r="M946" s="227"/>
      <c r="N946" s="227"/>
      <c r="O946" s="227"/>
      <c r="P946" s="227"/>
      <c r="Q946" s="227"/>
      <c r="R946" s="227"/>
      <c r="S946" s="227"/>
      <c r="T946" s="227"/>
      <c r="U946" s="227"/>
      <c r="V946" s="227"/>
      <c r="W946" s="227"/>
      <c r="X946" s="227"/>
      <c r="Y946" s="227"/>
      <c r="Z946" s="227"/>
      <c r="AA946" s="227"/>
      <c r="AB946" s="227"/>
      <c r="AC946" s="227"/>
      <c r="AD946" s="227"/>
    </row>
    <row r="947" spans="2:30" ht="15.75">
      <c r="B947" s="227"/>
      <c r="C947" s="227"/>
      <c r="D947" s="227"/>
      <c r="E947" s="227"/>
      <c r="F947" s="227"/>
      <c r="G947" s="227"/>
      <c r="H947" s="227"/>
      <c r="I947" s="227"/>
      <c r="J947" s="227"/>
      <c r="K947" s="227"/>
      <c r="L947" s="227"/>
      <c r="M947" s="227"/>
      <c r="N947" s="227"/>
      <c r="O947" s="227"/>
      <c r="P947" s="227"/>
      <c r="Q947" s="227"/>
      <c r="R947" s="227"/>
      <c r="S947" s="227"/>
      <c r="T947" s="227"/>
      <c r="U947" s="227"/>
      <c r="V947" s="227"/>
      <c r="W947" s="227"/>
      <c r="X947" s="227"/>
      <c r="Y947" s="227"/>
      <c r="Z947" s="227"/>
      <c r="AA947" s="227"/>
      <c r="AB947" s="227"/>
      <c r="AC947" s="227"/>
      <c r="AD947" s="227"/>
    </row>
    <row r="948" spans="2:30" ht="15.75">
      <c r="B948" s="227"/>
      <c r="C948" s="227"/>
      <c r="D948" s="227"/>
      <c r="E948" s="227"/>
      <c r="F948" s="227"/>
      <c r="G948" s="227"/>
      <c r="H948" s="227"/>
      <c r="I948" s="227"/>
      <c r="J948" s="227"/>
      <c r="K948" s="227"/>
      <c r="L948" s="227"/>
      <c r="M948" s="227"/>
      <c r="N948" s="227"/>
      <c r="O948" s="227"/>
      <c r="P948" s="227"/>
      <c r="Q948" s="227"/>
      <c r="R948" s="227"/>
      <c r="S948" s="227"/>
      <c r="T948" s="227"/>
      <c r="U948" s="227"/>
      <c r="V948" s="227"/>
      <c r="W948" s="227"/>
      <c r="X948" s="227"/>
      <c r="Y948" s="227"/>
      <c r="Z948" s="227"/>
      <c r="AA948" s="227"/>
      <c r="AB948" s="227"/>
      <c r="AC948" s="227"/>
      <c r="AD948" s="227"/>
    </row>
    <row r="949" spans="2:30" ht="15.75">
      <c r="B949" s="227"/>
      <c r="C949" s="227"/>
      <c r="D949" s="227"/>
      <c r="E949" s="227"/>
      <c r="F949" s="227"/>
      <c r="G949" s="227"/>
      <c r="H949" s="227"/>
      <c r="I949" s="227"/>
      <c r="J949" s="227"/>
      <c r="K949" s="227"/>
      <c r="L949" s="227"/>
      <c r="M949" s="227"/>
      <c r="N949" s="227"/>
      <c r="O949" s="227"/>
      <c r="P949" s="227"/>
      <c r="Q949" s="227"/>
      <c r="R949" s="227"/>
      <c r="S949" s="227"/>
      <c r="T949" s="227"/>
      <c r="U949" s="227"/>
      <c r="V949" s="227"/>
      <c r="W949" s="227"/>
      <c r="X949" s="227"/>
      <c r="Y949" s="227"/>
      <c r="Z949" s="227"/>
      <c r="AA949" s="227"/>
      <c r="AB949" s="227"/>
      <c r="AC949" s="227"/>
      <c r="AD949" s="227"/>
    </row>
    <row r="950" spans="2:30" ht="15.75">
      <c r="B950" s="227"/>
      <c r="C950" s="227"/>
      <c r="D950" s="227"/>
      <c r="E950" s="227"/>
      <c r="F950" s="227"/>
      <c r="G950" s="227"/>
      <c r="H950" s="227"/>
      <c r="I950" s="227"/>
      <c r="J950" s="227"/>
      <c r="K950" s="227"/>
      <c r="L950" s="227"/>
      <c r="M950" s="227"/>
      <c r="N950" s="227"/>
      <c r="O950" s="227"/>
      <c r="P950" s="227"/>
      <c r="Q950" s="227"/>
      <c r="R950" s="227"/>
      <c r="S950" s="227"/>
      <c r="T950" s="227"/>
      <c r="U950" s="227"/>
      <c r="V950" s="227"/>
      <c r="W950" s="227"/>
      <c r="X950" s="227"/>
      <c r="Y950" s="227"/>
      <c r="Z950" s="227"/>
      <c r="AA950" s="227"/>
      <c r="AB950" s="227"/>
      <c r="AC950" s="227"/>
      <c r="AD950" s="227"/>
    </row>
    <row r="951" spans="2:30" ht="15.75">
      <c r="B951" s="227"/>
      <c r="C951" s="227"/>
      <c r="D951" s="227"/>
      <c r="E951" s="227"/>
      <c r="F951" s="227"/>
      <c r="G951" s="227"/>
      <c r="H951" s="227"/>
      <c r="I951" s="227"/>
      <c r="J951" s="227"/>
      <c r="K951" s="227"/>
      <c r="L951" s="227"/>
      <c r="M951" s="227"/>
      <c r="N951" s="227"/>
      <c r="O951" s="227"/>
      <c r="P951" s="227"/>
      <c r="Q951" s="227"/>
      <c r="R951" s="227"/>
      <c r="S951" s="227"/>
      <c r="T951" s="227"/>
      <c r="U951" s="227"/>
      <c r="V951" s="227"/>
      <c r="W951" s="227"/>
      <c r="X951" s="227"/>
      <c r="Y951" s="227"/>
      <c r="Z951" s="227"/>
      <c r="AA951" s="227"/>
      <c r="AB951" s="227"/>
      <c r="AC951" s="227"/>
      <c r="AD951" s="227"/>
    </row>
    <row r="952" spans="2:30" ht="15.75">
      <c r="B952" s="227"/>
      <c r="C952" s="227"/>
      <c r="D952" s="227"/>
      <c r="E952" s="227"/>
      <c r="F952" s="227"/>
      <c r="G952" s="227"/>
      <c r="H952" s="227"/>
      <c r="I952" s="227"/>
      <c r="J952" s="227"/>
      <c r="K952" s="227"/>
      <c r="L952" s="227"/>
      <c r="M952" s="227"/>
      <c r="N952" s="227"/>
      <c r="O952" s="227"/>
      <c r="P952" s="227"/>
      <c r="Q952" s="227"/>
      <c r="R952" s="227"/>
      <c r="S952" s="227"/>
      <c r="T952" s="227"/>
      <c r="U952" s="227"/>
      <c r="V952" s="227"/>
      <c r="W952" s="227"/>
      <c r="X952" s="227"/>
      <c r="Y952" s="227"/>
      <c r="Z952" s="227"/>
      <c r="AA952" s="227"/>
      <c r="AB952" s="227"/>
      <c r="AC952" s="227"/>
      <c r="AD952" s="227"/>
    </row>
    <row r="953" spans="2:30" ht="15.75">
      <c r="B953" s="227"/>
      <c r="C953" s="227"/>
      <c r="D953" s="227"/>
      <c r="E953" s="227"/>
      <c r="F953" s="227"/>
      <c r="G953" s="227"/>
      <c r="H953" s="227"/>
      <c r="I953" s="227"/>
      <c r="J953" s="227"/>
      <c r="K953" s="227"/>
      <c r="L953" s="227"/>
      <c r="M953" s="227"/>
      <c r="N953" s="227"/>
      <c r="O953" s="227"/>
      <c r="P953" s="227"/>
      <c r="Q953" s="227"/>
      <c r="R953" s="227"/>
      <c r="S953" s="227"/>
      <c r="T953" s="227"/>
      <c r="U953" s="227"/>
      <c r="V953" s="227"/>
      <c r="W953" s="227"/>
      <c r="X953" s="227"/>
      <c r="Y953" s="227"/>
      <c r="Z953" s="227"/>
      <c r="AA953" s="227"/>
      <c r="AB953" s="227"/>
      <c r="AC953" s="227"/>
      <c r="AD953" s="227"/>
    </row>
    <row r="954" spans="2:30" ht="15.75">
      <c r="B954" s="227"/>
      <c r="C954" s="227"/>
      <c r="D954" s="227"/>
      <c r="E954" s="227"/>
      <c r="F954" s="227"/>
      <c r="G954" s="227"/>
      <c r="H954" s="227"/>
      <c r="I954" s="227"/>
      <c r="J954" s="227"/>
      <c r="K954" s="227"/>
      <c r="L954" s="227"/>
      <c r="M954" s="227"/>
      <c r="N954" s="227"/>
      <c r="O954" s="227"/>
      <c r="P954" s="227"/>
      <c r="Q954" s="227"/>
      <c r="R954" s="227"/>
      <c r="S954" s="227"/>
      <c r="T954" s="227"/>
      <c r="U954" s="227"/>
      <c r="V954" s="227"/>
      <c r="W954" s="227"/>
      <c r="X954" s="227"/>
      <c r="Y954" s="227"/>
      <c r="Z954" s="227"/>
      <c r="AA954" s="227"/>
      <c r="AB954" s="227"/>
      <c r="AC954" s="227"/>
      <c r="AD954" s="227"/>
    </row>
    <row r="955" spans="2:30" ht="15.75">
      <c r="B955" s="227"/>
      <c r="C955" s="227"/>
      <c r="D955" s="227"/>
      <c r="E955" s="227"/>
      <c r="F955" s="227"/>
      <c r="G955" s="227"/>
      <c r="H955" s="227"/>
      <c r="I955" s="227"/>
      <c r="J955" s="227"/>
      <c r="K955" s="227"/>
      <c r="L955" s="227"/>
      <c r="M955" s="227"/>
      <c r="N955" s="227"/>
      <c r="O955" s="227"/>
      <c r="P955" s="227"/>
      <c r="Q955" s="227"/>
      <c r="R955" s="227"/>
      <c r="S955" s="227"/>
      <c r="T955" s="227"/>
      <c r="U955" s="227"/>
      <c r="V955" s="227"/>
      <c r="W955" s="227"/>
      <c r="X955" s="227"/>
      <c r="Y955" s="227"/>
      <c r="Z955" s="227"/>
      <c r="AA955" s="227"/>
      <c r="AB955" s="227"/>
      <c r="AC955" s="227"/>
      <c r="AD955" s="227"/>
    </row>
    <row r="956" spans="2:30" ht="15.75">
      <c r="B956" s="227"/>
      <c r="C956" s="227"/>
      <c r="D956" s="227"/>
      <c r="E956" s="227"/>
      <c r="F956" s="227"/>
      <c r="G956" s="227"/>
      <c r="H956" s="227"/>
      <c r="I956" s="227"/>
      <c r="J956" s="227"/>
      <c r="K956" s="227"/>
      <c r="L956" s="227"/>
      <c r="M956" s="227"/>
      <c r="N956" s="227"/>
      <c r="O956" s="227"/>
      <c r="P956" s="227"/>
      <c r="Q956" s="227"/>
      <c r="R956" s="227"/>
      <c r="S956" s="227"/>
      <c r="T956" s="227"/>
      <c r="U956" s="227"/>
      <c r="V956" s="227"/>
      <c r="W956" s="227"/>
      <c r="X956" s="227"/>
      <c r="Y956" s="227"/>
      <c r="Z956" s="227"/>
      <c r="AA956" s="227"/>
      <c r="AB956" s="227"/>
      <c r="AC956" s="227"/>
      <c r="AD956" s="227"/>
    </row>
    <row r="957" spans="2:30" ht="15.75">
      <c r="B957" s="227"/>
      <c r="C957" s="227"/>
      <c r="D957" s="227"/>
      <c r="E957" s="227"/>
      <c r="F957" s="227"/>
      <c r="G957" s="227"/>
      <c r="H957" s="227"/>
      <c r="I957" s="227"/>
      <c r="J957" s="227"/>
      <c r="K957" s="227"/>
      <c r="L957" s="227"/>
      <c r="M957" s="227"/>
      <c r="N957" s="227"/>
      <c r="O957" s="227"/>
      <c r="P957" s="227"/>
      <c r="Q957" s="227"/>
      <c r="R957" s="227"/>
      <c r="S957" s="227"/>
      <c r="T957" s="227"/>
      <c r="U957" s="227"/>
      <c r="V957" s="227"/>
      <c r="W957" s="227"/>
      <c r="X957" s="227"/>
      <c r="Y957" s="227"/>
      <c r="Z957" s="227"/>
      <c r="AA957" s="227"/>
      <c r="AB957" s="227"/>
      <c r="AC957" s="227"/>
      <c r="AD957" s="227"/>
    </row>
    <row r="958" spans="2:30" ht="15.75">
      <c r="B958" s="227"/>
      <c r="C958" s="227"/>
      <c r="D958" s="227"/>
      <c r="E958" s="227"/>
      <c r="F958" s="227"/>
      <c r="G958" s="227"/>
      <c r="H958" s="227"/>
      <c r="I958" s="227"/>
      <c r="J958" s="227"/>
      <c r="K958" s="227"/>
      <c r="L958" s="227"/>
      <c r="M958" s="227"/>
      <c r="N958" s="227"/>
      <c r="O958" s="227"/>
      <c r="P958" s="227"/>
      <c r="Q958" s="227"/>
      <c r="R958" s="227"/>
      <c r="S958" s="227"/>
      <c r="T958" s="227"/>
      <c r="U958" s="227"/>
      <c r="V958" s="227"/>
      <c r="W958" s="227"/>
      <c r="X958" s="227"/>
      <c r="Y958" s="227"/>
      <c r="Z958" s="227"/>
      <c r="AA958" s="227"/>
      <c r="AB958" s="227"/>
      <c r="AC958" s="227"/>
      <c r="AD958" s="227"/>
    </row>
    <row r="959" spans="2:30" ht="15.75">
      <c r="B959" s="227"/>
      <c r="C959" s="227"/>
      <c r="D959" s="227"/>
      <c r="E959" s="227"/>
      <c r="F959" s="227"/>
      <c r="G959" s="227"/>
      <c r="H959" s="227"/>
      <c r="I959" s="227"/>
      <c r="J959" s="227"/>
      <c r="K959" s="227"/>
      <c r="L959" s="227"/>
      <c r="M959" s="227"/>
      <c r="N959" s="227"/>
      <c r="O959" s="227"/>
      <c r="P959" s="227"/>
      <c r="Q959" s="227"/>
      <c r="R959" s="227"/>
      <c r="S959" s="227"/>
      <c r="T959" s="227"/>
      <c r="U959" s="227"/>
      <c r="V959" s="227"/>
      <c r="W959" s="227"/>
      <c r="X959" s="227"/>
      <c r="Y959" s="227"/>
      <c r="Z959" s="227"/>
      <c r="AA959" s="227"/>
      <c r="AB959" s="227"/>
      <c r="AC959" s="227"/>
      <c r="AD959" s="227"/>
    </row>
    <row r="960" spans="2:30" ht="15.75">
      <c r="B960" s="227"/>
      <c r="C960" s="227"/>
      <c r="D960" s="227"/>
      <c r="E960" s="227"/>
      <c r="F960" s="227"/>
      <c r="G960" s="227"/>
      <c r="H960" s="227"/>
      <c r="I960" s="227"/>
      <c r="J960" s="227"/>
      <c r="K960" s="227"/>
      <c r="L960" s="227"/>
      <c r="M960" s="227"/>
      <c r="N960" s="227"/>
      <c r="O960" s="227"/>
      <c r="P960" s="227"/>
      <c r="Q960" s="227"/>
      <c r="R960" s="227"/>
      <c r="S960" s="227"/>
      <c r="T960" s="227"/>
      <c r="U960" s="227"/>
      <c r="V960" s="227"/>
      <c r="W960" s="227"/>
      <c r="X960" s="227"/>
      <c r="Y960" s="227"/>
      <c r="Z960" s="227"/>
      <c r="AA960" s="227"/>
      <c r="AB960" s="227"/>
      <c r="AC960" s="227"/>
      <c r="AD960" s="227"/>
    </row>
    <row r="961" spans="2:30" ht="15.75">
      <c r="B961" s="227"/>
      <c r="C961" s="227"/>
      <c r="D961" s="227"/>
      <c r="E961" s="227"/>
      <c r="F961" s="227"/>
      <c r="G961" s="227"/>
      <c r="H961" s="227"/>
      <c r="I961" s="227"/>
      <c r="J961" s="227"/>
      <c r="K961" s="227"/>
      <c r="L961" s="227"/>
      <c r="M961" s="227"/>
      <c r="N961" s="227"/>
      <c r="O961" s="227"/>
      <c r="P961" s="227"/>
      <c r="Q961" s="227"/>
      <c r="R961" s="227"/>
      <c r="S961" s="227"/>
      <c r="T961" s="227"/>
      <c r="U961" s="227"/>
      <c r="V961" s="227"/>
      <c r="W961" s="227"/>
      <c r="X961" s="227"/>
      <c r="Y961" s="227"/>
      <c r="Z961" s="227"/>
      <c r="AA961" s="227"/>
      <c r="AB961" s="227"/>
      <c r="AC961" s="227"/>
      <c r="AD961" s="227"/>
    </row>
    <row r="962" spans="2:30" ht="15.75">
      <c r="B962" s="227"/>
      <c r="C962" s="227"/>
      <c r="D962" s="227"/>
      <c r="E962" s="227"/>
      <c r="F962" s="227"/>
      <c r="G962" s="227"/>
      <c r="H962" s="227"/>
      <c r="I962" s="227"/>
      <c r="J962" s="227"/>
      <c r="K962" s="227"/>
      <c r="L962" s="227"/>
      <c r="M962" s="227"/>
      <c r="N962" s="227"/>
      <c r="O962" s="227"/>
      <c r="P962" s="227"/>
      <c r="Q962" s="227"/>
      <c r="R962" s="227"/>
      <c r="S962" s="227"/>
      <c r="T962" s="227"/>
      <c r="U962" s="227"/>
      <c r="V962" s="227"/>
      <c r="W962" s="227"/>
      <c r="X962" s="227"/>
      <c r="Y962" s="227"/>
      <c r="Z962" s="227"/>
      <c r="AA962" s="227"/>
      <c r="AB962" s="227"/>
      <c r="AC962" s="227"/>
      <c r="AD962" s="227"/>
    </row>
    <row r="963" spans="2:30" ht="15.75">
      <c r="B963" s="227"/>
      <c r="C963" s="227"/>
      <c r="D963" s="227"/>
      <c r="E963" s="227"/>
      <c r="F963" s="227"/>
      <c r="G963" s="227"/>
      <c r="H963" s="227"/>
      <c r="I963" s="227"/>
      <c r="J963" s="227"/>
      <c r="K963" s="227"/>
      <c r="L963" s="227"/>
      <c r="M963" s="227"/>
      <c r="N963" s="227"/>
      <c r="O963" s="227"/>
      <c r="P963" s="227"/>
      <c r="Q963" s="227"/>
      <c r="R963" s="227"/>
      <c r="S963" s="227"/>
      <c r="T963" s="227"/>
      <c r="U963" s="227"/>
      <c r="V963" s="227"/>
      <c r="W963" s="227"/>
      <c r="X963" s="227"/>
      <c r="Y963" s="227"/>
      <c r="Z963" s="227"/>
      <c r="AA963" s="227"/>
      <c r="AB963" s="227"/>
      <c r="AC963" s="227"/>
      <c r="AD963" s="227"/>
    </row>
    <row r="964" spans="2:30" ht="15.75">
      <c r="B964" s="227"/>
      <c r="C964" s="227"/>
      <c r="D964" s="227"/>
      <c r="E964" s="227"/>
      <c r="F964" s="227"/>
      <c r="G964" s="227"/>
      <c r="H964" s="227"/>
      <c r="I964" s="227"/>
      <c r="J964" s="227"/>
      <c r="K964" s="227"/>
      <c r="L964" s="227"/>
      <c r="M964" s="227"/>
      <c r="N964" s="227"/>
      <c r="O964" s="227"/>
      <c r="P964" s="227"/>
      <c r="Q964" s="227"/>
      <c r="R964" s="227"/>
      <c r="S964" s="227"/>
      <c r="T964" s="227"/>
      <c r="U964" s="227"/>
      <c r="V964" s="227"/>
      <c r="W964" s="227"/>
      <c r="X964" s="227"/>
      <c r="Y964" s="227"/>
      <c r="Z964" s="227"/>
      <c r="AA964" s="227"/>
      <c r="AB964" s="227"/>
      <c r="AC964" s="227"/>
      <c r="AD964" s="227"/>
    </row>
    <row r="965" spans="2:30" ht="15.75">
      <c r="B965" s="227"/>
      <c r="C965" s="227"/>
      <c r="D965" s="227"/>
      <c r="E965" s="227"/>
      <c r="F965" s="227"/>
      <c r="G965" s="227"/>
      <c r="H965" s="227"/>
      <c r="I965" s="227"/>
      <c r="J965" s="227"/>
      <c r="K965" s="227"/>
      <c r="L965" s="227"/>
      <c r="M965" s="227"/>
      <c r="N965" s="227"/>
      <c r="O965" s="227"/>
      <c r="P965" s="227"/>
      <c r="Q965" s="227"/>
      <c r="R965" s="227"/>
      <c r="S965" s="227"/>
      <c r="T965" s="227"/>
      <c r="U965" s="227"/>
      <c r="V965" s="227"/>
      <c r="W965" s="227"/>
      <c r="X965" s="227"/>
      <c r="Y965" s="227"/>
      <c r="Z965" s="227"/>
      <c r="AA965" s="227"/>
      <c r="AB965" s="227"/>
      <c r="AC965" s="227"/>
      <c r="AD965" s="227"/>
    </row>
    <row r="966" spans="2:30" ht="15.75">
      <c r="B966" s="227"/>
      <c r="C966" s="227"/>
      <c r="D966" s="227"/>
      <c r="E966" s="227"/>
      <c r="F966" s="227"/>
      <c r="G966" s="227"/>
      <c r="H966" s="227"/>
      <c r="I966" s="227"/>
      <c r="J966" s="227"/>
      <c r="K966" s="227"/>
      <c r="L966" s="227"/>
      <c r="M966" s="227"/>
      <c r="N966" s="227"/>
      <c r="O966" s="227"/>
      <c r="P966" s="227"/>
      <c r="Q966" s="227"/>
      <c r="R966" s="227"/>
      <c r="S966" s="227"/>
      <c r="T966" s="227"/>
      <c r="U966" s="227"/>
      <c r="V966" s="227"/>
      <c r="W966" s="227"/>
      <c r="X966" s="227"/>
      <c r="Y966" s="227"/>
      <c r="Z966" s="227"/>
      <c r="AA966" s="227"/>
      <c r="AB966" s="227"/>
      <c r="AC966" s="227"/>
      <c r="AD966" s="227"/>
    </row>
    <row r="967" spans="2:30" ht="15.75">
      <c r="B967" s="227"/>
      <c r="C967" s="227"/>
      <c r="D967" s="227"/>
      <c r="E967" s="227"/>
      <c r="F967" s="227"/>
      <c r="G967" s="227"/>
      <c r="H967" s="227"/>
      <c r="I967" s="227"/>
      <c r="J967" s="227"/>
      <c r="K967" s="227"/>
      <c r="L967" s="227"/>
      <c r="M967" s="227"/>
      <c r="N967" s="227"/>
      <c r="O967" s="227"/>
      <c r="P967" s="227"/>
      <c r="Q967" s="227"/>
      <c r="R967" s="227"/>
      <c r="S967" s="227"/>
      <c r="T967" s="227"/>
      <c r="U967" s="227"/>
      <c r="V967" s="227"/>
      <c r="W967" s="227"/>
      <c r="X967" s="227"/>
      <c r="Y967" s="227"/>
      <c r="Z967" s="227"/>
      <c r="AA967" s="227"/>
      <c r="AB967" s="227"/>
      <c r="AC967" s="227"/>
      <c r="AD967" s="227"/>
    </row>
    <row r="968" spans="2:30" ht="15.75">
      <c r="B968" s="227"/>
      <c r="C968" s="227"/>
      <c r="D968" s="227"/>
      <c r="E968" s="227"/>
      <c r="F968" s="227"/>
      <c r="G968" s="227"/>
      <c r="H968" s="227"/>
      <c r="I968" s="227"/>
      <c r="J968" s="227"/>
      <c r="K968" s="227"/>
      <c r="L968" s="227"/>
      <c r="M968" s="227"/>
      <c r="N968" s="227"/>
      <c r="O968" s="227"/>
      <c r="P968" s="227"/>
      <c r="Q968" s="227"/>
      <c r="R968" s="227"/>
      <c r="S968" s="227"/>
      <c r="T968" s="227"/>
      <c r="U968" s="227"/>
      <c r="V968" s="227"/>
      <c r="W968" s="227"/>
      <c r="X968" s="227"/>
      <c r="Y968" s="227"/>
      <c r="Z968" s="227"/>
      <c r="AA968" s="227"/>
      <c r="AB968" s="227"/>
      <c r="AC968" s="227"/>
      <c r="AD968" s="227"/>
    </row>
    <row r="969" spans="2:30" ht="15.75">
      <c r="B969" s="227"/>
      <c r="C969" s="227"/>
      <c r="D969" s="227"/>
      <c r="E969" s="227"/>
      <c r="F969" s="227"/>
      <c r="G969" s="227"/>
      <c r="H969" s="227"/>
      <c r="I969" s="227"/>
      <c r="J969" s="227"/>
      <c r="K969" s="227"/>
      <c r="L969" s="227"/>
      <c r="M969" s="227"/>
      <c r="N969" s="227"/>
      <c r="O969" s="227"/>
      <c r="P969" s="227"/>
      <c r="Q969" s="227"/>
      <c r="R969" s="227"/>
      <c r="S969" s="227"/>
      <c r="T969" s="227"/>
      <c r="U969" s="227"/>
      <c r="V969" s="227"/>
      <c r="W969" s="227"/>
      <c r="X969" s="227"/>
      <c r="Y969" s="227"/>
      <c r="Z969" s="227"/>
      <c r="AA969" s="227"/>
      <c r="AB969" s="227"/>
      <c r="AC969" s="227"/>
      <c r="AD969" s="227"/>
    </row>
    <row r="970" spans="2:30" ht="15.75">
      <c r="B970" s="227"/>
      <c r="C970" s="227"/>
      <c r="D970" s="227"/>
      <c r="E970" s="227"/>
      <c r="F970" s="227"/>
      <c r="G970" s="227"/>
      <c r="H970" s="227"/>
      <c r="I970" s="227"/>
      <c r="J970" s="227"/>
      <c r="K970" s="227"/>
      <c r="L970" s="227"/>
      <c r="M970" s="227"/>
      <c r="N970" s="227"/>
      <c r="O970" s="227"/>
      <c r="P970" s="227"/>
      <c r="Q970" s="227"/>
      <c r="R970" s="227"/>
      <c r="S970" s="227"/>
      <c r="T970" s="227"/>
      <c r="U970" s="227"/>
      <c r="V970" s="227"/>
      <c r="W970" s="227"/>
      <c r="X970" s="227"/>
      <c r="Y970" s="227"/>
      <c r="Z970" s="227"/>
      <c r="AA970" s="227"/>
      <c r="AB970" s="227"/>
      <c r="AC970" s="227"/>
      <c r="AD970" s="227"/>
    </row>
    <row r="971" spans="2:30" ht="15.75">
      <c r="B971" s="227"/>
      <c r="C971" s="227"/>
      <c r="D971" s="227"/>
      <c r="E971" s="227"/>
      <c r="F971" s="227"/>
      <c r="G971" s="227"/>
      <c r="H971" s="227"/>
      <c r="I971" s="227"/>
      <c r="J971" s="227"/>
      <c r="K971" s="227"/>
      <c r="L971" s="227"/>
      <c r="M971" s="227"/>
      <c r="N971" s="227"/>
      <c r="O971" s="227"/>
      <c r="P971" s="227"/>
      <c r="Q971" s="227"/>
      <c r="R971" s="227"/>
      <c r="S971" s="227"/>
      <c r="T971" s="227"/>
      <c r="U971" s="227"/>
      <c r="V971" s="227"/>
      <c r="W971" s="227"/>
      <c r="X971" s="227"/>
      <c r="Y971" s="227"/>
      <c r="Z971" s="227"/>
      <c r="AA971" s="227"/>
      <c r="AB971" s="227"/>
      <c r="AC971" s="227"/>
      <c r="AD971" s="227"/>
    </row>
    <row r="972" spans="2:30" ht="15.75">
      <c r="B972" s="227"/>
      <c r="C972" s="227"/>
      <c r="D972" s="227"/>
      <c r="E972" s="227"/>
      <c r="F972" s="227"/>
      <c r="G972" s="227"/>
      <c r="H972" s="227"/>
      <c r="I972" s="227"/>
      <c r="J972" s="227"/>
      <c r="K972" s="227"/>
      <c r="L972" s="227"/>
      <c r="M972" s="227"/>
      <c r="N972" s="227"/>
      <c r="O972" s="227"/>
      <c r="P972" s="227"/>
      <c r="Q972" s="227"/>
      <c r="R972" s="227"/>
      <c r="S972" s="227"/>
      <c r="T972" s="227"/>
      <c r="U972" s="227"/>
      <c r="V972" s="227"/>
      <c r="W972" s="227"/>
      <c r="X972" s="227"/>
      <c r="Y972" s="227"/>
      <c r="Z972" s="227"/>
      <c r="AA972" s="227"/>
      <c r="AB972" s="227"/>
      <c r="AC972" s="227"/>
      <c r="AD972" s="227"/>
    </row>
    <row r="973" spans="2:30" ht="15.75">
      <c r="B973" s="227"/>
      <c r="C973" s="227"/>
      <c r="D973" s="227"/>
      <c r="E973" s="227"/>
      <c r="F973" s="227"/>
      <c r="G973" s="227"/>
      <c r="H973" s="227"/>
      <c r="I973" s="227"/>
      <c r="J973" s="227"/>
      <c r="K973" s="227"/>
      <c r="L973" s="227"/>
      <c r="M973" s="227"/>
      <c r="N973" s="227"/>
      <c r="O973" s="227"/>
      <c r="P973" s="227"/>
      <c r="Q973" s="227"/>
      <c r="R973" s="227"/>
      <c r="S973" s="227"/>
      <c r="T973" s="227"/>
      <c r="U973" s="227"/>
      <c r="V973" s="227"/>
      <c r="W973" s="227"/>
      <c r="X973" s="227"/>
      <c r="Y973" s="227"/>
      <c r="Z973" s="227"/>
      <c r="AA973" s="227"/>
      <c r="AB973" s="227"/>
      <c r="AC973" s="227"/>
      <c r="AD973" s="227"/>
    </row>
    <row r="974" spans="2:30" ht="15.75">
      <c r="B974" s="227"/>
      <c r="C974" s="227"/>
      <c r="D974" s="227"/>
      <c r="E974" s="227"/>
      <c r="F974" s="227"/>
      <c r="G974" s="227"/>
      <c r="H974" s="227"/>
      <c r="I974" s="227"/>
      <c r="J974" s="227"/>
      <c r="K974" s="227"/>
      <c r="L974" s="227"/>
      <c r="M974" s="227"/>
      <c r="N974" s="227"/>
      <c r="O974" s="227"/>
      <c r="P974" s="227"/>
      <c r="Q974" s="227"/>
      <c r="R974" s="227"/>
      <c r="S974" s="227"/>
      <c r="T974" s="227"/>
      <c r="U974" s="227"/>
      <c r="V974" s="227"/>
      <c r="W974" s="227"/>
      <c r="X974" s="227"/>
      <c r="Y974" s="227"/>
      <c r="Z974" s="227"/>
      <c r="AA974" s="227"/>
      <c r="AB974" s="227"/>
      <c r="AC974" s="227"/>
      <c r="AD974" s="227"/>
    </row>
    <row r="975" spans="2:30" ht="15.75">
      <c r="B975" s="227"/>
      <c r="C975" s="227"/>
      <c r="D975" s="227"/>
      <c r="E975" s="227"/>
      <c r="F975" s="227"/>
      <c r="G975" s="227"/>
      <c r="H975" s="227"/>
      <c r="I975" s="227"/>
      <c r="J975" s="227"/>
      <c r="K975" s="227"/>
      <c r="L975" s="227"/>
      <c r="M975" s="227"/>
      <c r="N975" s="227"/>
      <c r="O975" s="227"/>
      <c r="P975" s="227"/>
      <c r="Q975" s="227"/>
      <c r="R975" s="227"/>
      <c r="S975" s="227"/>
      <c r="T975" s="227"/>
      <c r="U975" s="227"/>
      <c r="V975" s="227"/>
      <c r="W975" s="227"/>
      <c r="X975" s="227"/>
      <c r="Y975" s="227"/>
      <c r="Z975" s="227"/>
      <c r="AA975" s="227"/>
      <c r="AB975" s="227"/>
      <c r="AC975" s="227"/>
      <c r="AD975" s="227"/>
    </row>
    <row r="976" spans="2:30" ht="15.75">
      <c r="B976" s="227"/>
      <c r="C976" s="227"/>
      <c r="D976" s="227"/>
      <c r="E976" s="227"/>
      <c r="F976" s="227"/>
      <c r="G976" s="227"/>
      <c r="H976" s="227"/>
      <c r="I976" s="227"/>
      <c r="J976" s="227"/>
      <c r="K976" s="227"/>
      <c r="L976" s="227"/>
      <c r="M976" s="227"/>
      <c r="N976" s="227"/>
      <c r="O976" s="227"/>
      <c r="P976" s="227"/>
      <c r="Q976" s="227"/>
      <c r="R976" s="227"/>
      <c r="S976" s="227"/>
      <c r="T976" s="227"/>
      <c r="U976" s="227"/>
      <c r="V976" s="227"/>
      <c r="W976" s="227"/>
      <c r="X976" s="227"/>
      <c r="Y976" s="227"/>
      <c r="Z976" s="227"/>
      <c r="AA976" s="227"/>
      <c r="AB976" s="227"/>
      <c r="AC976" s="227"/>
      <c r="AD976" s="227"/>
    </row>
    <row r="977" spans="2:30" ht="15.75">
      <c r="B977" s="227"/>
      <c r="C977" s="227"/>
      <c r="D977" s="227"/>
      <c r="E977" s="227"/>
      <c r="F977" s="227"/>
      <c r="G977" s="227"/>
      <c r="H977" s="227"/>
      <c r="I977" s="227"/>
      <c r="J977" s="227"/>
      <c r="K977" s="227"/>
      <c r="L977" s="227"/>
      <c r="M977" s="227"/>
      <c r="N977" s="227"/>
      <c r="O977" s="227"/>
      <c r="P977" s="227"/>
      <c r="Q977" s="227"/>
      <c r="R977" s="227"/>
      <c r="S977" s="227"/>
      <c r="T977" s="227"/>
      <c r="U977" s="227"/>
      <c r="V977" s="227"/>
      <c r="W977" s="227"/>
      <c r="X977" s="227"/>
      <c r="Y977" s="227"/>
      <c r="Z977" s="227"/>
      <c r="AA977" s="227"/>
      <c r="AB977" s="227"/>
      <c r="AC977" s="227"/>
      <c r="AD977" s="227"/>
    </row>
    <row r="978" spans="2:30" ht="15.75">
      <c r="B978" s="227"/>
      <c r="C978" s="227"/>
      <c r="D978" s="227"/>
      <c r="E978" s="227"/>
      <c r="F978" s="227"/>
      <c r="G978" s="227"/>
      <c r="H978" s="227"/>
      <c r="I978" s="227"/>
      <c r="J978" s="227"/>
      <c r="K978" s="227"/>
      <c r="L978" s="227"/>
      <c r="M978" s="227"/>
      <c r="N978" s="227"/>
      <c r="O978" s="227"/>
      <c r="P978" s="227"/>
      <c r="Q978" s="227"/>
      <c r="R978" s="227"/>
      <c r="S978" s="227"/>
      <c r="T978" s="227"/>
      <c r="U978" s="227"/>
      <c r="V978" s="227"/>
      <c r="W978" s="227"/>
      <c r="X978" s="227"/>
      <c r="Y978" s="227"/>
      <c r="Z978" s="227"/>
      <c r="AA978" s="227"/>
      <c r="AB978" s="227"/>
      <c r="AC978" s="227"/>
      <c r="AD978" s="227"/>
    </row>
    <row r="979" spans="2:30" ht="15.75">
      <c r="B979" s="227"/>
      <c r="C979" s="227"/>
      <c r="D979" s="227"/>
      <c r="E979" s="227"/>
      <c r="F979" s="227"/>
      <c r="G979" s="227"/>
      <c r="H979" s="227"/>
      <c r="I979" s="227"/>
      <c r="J979" s="227"/>
      <c r="K979" s="227"/>
      <c r="L979" s="227"/>
      <c r="M979" s="227"/>
      <c r="N979" s="227"/>
      <c r="O979" s="227"/>
      <c r="P979" s="227"/>
      <c r="Q979" s="227"/>
      <c r="R979" s="227"/>
      <c r="S979" s="227"/>
      <c r="T979" s="227"/>
      <c r="U979" s="227"/>
      <c r="V979" s="227"/>
      <c r="W979" s="227"/>
      <c r="X979" s="227"/>
      <c r="Y979" s="227"/>
      <c r="Z979" s="227"/>
      <c r="AA979" s="227"/>
      <c r="AB979" s="227"/>
      <c r="AC979" s="227"/>
      <c r="AD979" s="227"/>
    </row>
    <row r="980" spans="2:30" ht="15.75">
      <c r="B980" s="227"/>
      <c r="C980" s="227"/>
      <c r="D980" s="227"/>
      <c r="E980" s="227"/>
      <c r="F980" s="227"/>
      <c r="G980" s="227"/>
      <c r="H980" s="227"/>
      <c r="I980" s="227"/>
      <c r="J980" s="227"/>
      <c r="K980" s="227"/>
      <c r="L980" s="227"/>
      <c r="M980" s="227"/>
      <c r="N980" s="227"/>
      <c r="O980" s="227"/>
      <c r="P980" s="227"/>
      <c r="Q980" s="227"/>
      <c r="R980" s="227"/>
      <c r="S980" s="227"/>
      <c r="T980" s="227"/>
      <c r="U980" s="227"/>
      <c r="V980" s="227"/>
      <c r="W980" s="227"/>
      <c r="X980" s="227"/>
      <c r="Y980" s="227"/>
      <c r="Z980" s="227"/>
      <c r="AA980" s="227"/>
      <c r="AB980" s="227"/>
      <c r="AC980" s="227"/>
      <c r="AD980" s="227"/>
    </row>
    <row r="981" spans="2:30" ht="15.75">
      <c r="B981" s="227"/>
      <c r="C981" s="227"/>
      <c r="D981" s="227"/>
      <c r="E981" s="227"/>
      <c r="F981" s="227"/>
      <c r="G981" s="227"/>
      <c r="H981" s="227"/>
      <c r="I981" s="227"/>
      <c r="J981" s="227"/>
      <c r="K981" s="227"/>
      <c r="L981" s="227"/>
      <c r="M981" s="227"/>
      <c r="N981" s="227"/>
      <c r="O981" s="227"/>
      <c r="P981" s="227"/>
      <c r="Q981" s="227"/>
      <c r="R981" s="227"/>
      <c r="S981" s="227"/>
      <c r="T981" s="227"/>
      <c r="U981" s="227"/>
      <c r="V981" s="227"/>
      <c r="W981" s="227"/>
      <c r="X981" s="227"/>
      <c r="Y981" s="227"/>
      <c r="Z981" s="227"/>
      <c r="AA981" s="227"/>
      <c r="AB981" s="227"/>
      <c r="AC981" s="227"/>
      <c r="AD981" s="227"/>
    </row>
    <row r="982" spans="2:30" ht="15.75">
      <c r="B982" s="227"/>
      <c r="C982" s="227"/>
      <c r="D982" s="227"/>
      <c r="E982" s="227"/>
      <c r="F982" s="227"/>
      <c r="G982" s="227"/>
      <c r="H982" s="227"/>
      <c r="I982" s="227"/>
      <c r="J982" s="227"/>
      <c r="K982" s="227"/>
      <c r="L982" s="227"/>
      <c r="M982" s="227"/>
      <c r="N982" s="227"/>
      <c r="O982" s="227"/>
      <c r="P982" s="227"/>
      <c r="Q982" s="227"/>
      <c r="R982" s="227"/>
      <c r="S982" s="227"/>
      <c r="T982" s="227"/>
      <c r="U982" s="227"/>
      <c r="V982" s="227"/>
      <c r="W982" s="227"/>
      <c r="X982" s="227"/>
      <c r="Y982" s="227"/>
      <c r="Z982" s="227"/>
      <c r="AA982" s="227"/>
      <c r="AB982" s="227"/>
      <c r="AC982" s="227"/>
      <c r="AD982" s="227"/>
    </row>
    <row r="983" spans="2:30" ht="15.75">
      <c r="B983" s="227"/>
      <c r="C983" s="227"/>
      <c r="D983" s="227"/>
      <c r="E983" s="227"/>
      <c r="F983" s="227"/>
      <c r="G983" s="227"/>
      <c r="H983" s="227"/>
      <c r="I983" s="227"/>
      <c r="J983" s="227"/>
      <c r="K983" s="227"/>
      <c r="L983" s="227"/>
      <c r="M983" s="227"/>
      <c r="N983" s="227"/>
      <c r="O983" s="227"/>
      <c r="P983" s="227"/>
      <c r="Q983" s="227"/>
      <c r="R983" s="227"/>
      <c r="S983" s="227"/>
      <c r="T983" s="227"/>
      <c r="U983" s="227"/>
      <c r="V983" s="227"/>
      <c r="W983" s="227"/>
      <c r="X983" s="227"/>
      <c r="Y983" s="227"/>
      <c r="Z983" s="227"/>
      <c r="AA983" s="227"/>
      <c r="AB983" s="227"/>
      <c r="AC983" s="227"/>
      <c r="AD983" s="227"/>
    </row>
    <row r="984" spans="2:30" ht="15.75">
      <c r="B984" s="227"/>
      <c r="C984" s="227"/>
      <c r="D984" s="227"/>
      <c r="E984" s="227"/>
      <c r="F984" s="227"/>
      <c r="G984" s="227"/>
      <c r="H984" s="227"/>
      <c r="I984" s="227"/>
      <c r="J984" s="227"/>
      <c r="K984" s="227"/>
      <c r="L984" s="227"/>
      <c r="M984" s="227"/>
      <c r="N984" s="227"/>
      <c r="O984" s="227"/>
      <c r="P984" s="227"/>
      <c r="Q984" s="227"/>
      <c r="R984" s="227"/>
      <c r="S984" s="227"/>
      <c r="T984" s="227"/>
      <c r="U984" s="227"/>
      <c r="V984" s="227"/>
      <c r="W984" s="227"/>
      <c r="X984" s="227"/>
      <c r="Y984" s="227"/>
      <c r="Z984" s="227"/>
      <c r="AA984" s="227"/>
      <c r="AB984" s="227"/>
      <c r="AC984" s="227"/>
      <c r="AD984" s="227"/>
    </row>
    <row r="985" spans="2:30" ht="15.75">
      <c r="B985" s="227"/>
      <c r="C985" s="227"/>
      <c r="D985" s="227"/>
      <c r="E985" s="227"/>
      <c r="F985" s="227"/>
      <c r="G985" s="227"/>
      <c r="H985" s="227"/>
      <c r="I985" s="227"/>
      <c r="J985" s="227"/>
      <c r="K985" s="227"/>
      <c r="L985" s="227"/>
      <c r="M985" s="227"/>
      <c r="N985" s="227"/>
      <c r="O985" s="227"/>
      <c r="P985" s="227"/>
      <c r="Q985" s="227"/>
      <c r="R985" s="227"/>
      <c r="S985" s="227"/>
      <c r="T985" s="227"/>
      <c r="U985" s="227"/>
      <c r="V985" s="227"/>
      <c r="W985" s="227"/>
      <c r="X985" s="227"/>
      <c r="Y985" s="227"/>
      <c r="Z985" s="227"/>
      <c r="AA985" s="227"/>
      <c r="AB985" s="227"/>
      <c r="AC985" s="227"/>
      <c r="AD985" s="227"/>
    </row>
    <row r="986" spans="2:30" ht="15.75">
      <c r="B986" s="227"/>
      <c r="C986" s="227"/>
      <c r="D986" s="227"/>
      <c r="E986" s="227"/>
      <c r="F986" s="227"/>
      <c r="G986" s="227"/>
      <c r="H986" s="227"/>
      <c r="I986" s="227"/>
      <c r="J986" s="227"/>
      <c r="K986" s="227"/>
      <c r="L986" s="227"/>
      <c r="M986" s="227"/>
      <c r="N986" s="227"/>
      <c r="O986" s="227"/>
      <c r="P986" s="227"/>
      <c r="Q986" s="227"/>
      <c r="R986" s="227"/>
      <c r="S986" s="227"/>
      <c r="T986" s="227"/>
      <c r="U986" s="227"/>
      <c r="V986" s="227"/>
      <c r="W986" s="227"/>
      <c r="X986" s="227"/>
      <c r="Y986" s="227"/>
      <c r="Z986" s="227"/>
      <c r="AA986" s="227"/>
      <c r="AB986" s="227"/>
      <c r="AC986" s="227"/>
      <c r="AD986" s="227"/>
    </row>
    <row r="987" spans="2:30" ht="15.75">
      <c r="B987" s="227"/>
      <c r="C987" s="227"/>
      <c r="D987" s="227"/>
      <c r="E987" s="227"/>
      <c r="F987" s="227"/>
      <c r="G987" s="227"/>
      <c r="H987" s="227"/>
      <c r="I987" s="227"/>
      <c r="J987" s="227"/>
      <c r="K987" s="227"/>
      <c r="L987" s="227"/>
      <c r="M987" s="227"/>
      <c r="N987" s="227"/>
      <c r="O987" s="227"/>
      <c r="P987" s="227"/>
      <c r="Q987" s="227"/>
      <c r="R987" s="227"/>
      <c r="S987" s="227"/>
      <c r="T987" s="227"/>
      <c r="U987" s="227"/>
      <c r="V987" s="227"/>
      <c r="W987" s="227"/>
      <c r="X987" s="227"/>
      <c r="Y987" s="227"/>
      <c r="Z987" s="227"/>
      <c r="AA987" s="227"/>
      <c r="AB987" s="227"/>
      <c r="AC987" s="227"/>
      <c r="AD987" s="227"/>
    </row>
    <row r="988" spans="2:30" ht="15.75">
      <c r="B988" s="227"/>
      <c r="C988" s="227"/>
      <c r="D988" s="227"/>
      <c r="E988" s="227"/>
      <c r="F988" s="227"/>
      <c r="G988" s="227"/>
      <c r="H988" s="227"/>
      <c r="I988" s="227"/>
      <c r="J988" s="227"/>
      <c r="K988" s="227"/>
      <c r="L988" s="227"/>
      <c r="M988" s="227"/>
      <c r="N988" s="227"/>
      <c r="O988" s="227"/>
      <c r="P988" s="227"/>
      <c r="Q988" s="227"/>
      <c r="R988" s="227"/>
      <c r="S988" s="227"/>
      <c r="T988" s="227"/>
      <c r="U988" s="227"/>
      <c r="V988" s="227"/>
      <c r="W988" s="227"/>
      <c r="X988" s="227"/>
      <c r="Y988" s="227"/>
      <c r="Z988" s="227"/>
      <c r="AA988" s="227"/>
      <c r="AB988" s="227"/>
      <c r="AC988" s="227"/>
      <c r="AD988" s="227"/>
    </row>
    <row r="989" spans="2:30" ht="15.75">
      <c r="B989" s="227"/>
      <c r="C989" s="227"/>
      <c r="D989" s="227"/>
      <c r="E989" s="227"/>
      <c r="F989" s="227"/>
      <c r="G989" s="227"/>
      <c r="H989" s="227"/>
      <c r="I989" s="227"/>
      <c r="J989" s="227"/>
      <c r="K989" s="227"/>
      <c r="L989" s="227"/>
      <c r="M989" s="227"/>
      <c r="N989" s="227"/>
      <c r="O989" s="227"/>
      <c r="P989" s="227"/>
      <c r="Q989" s="227"/>
      <c r="R989" s="227"/>
      <c r="S989" s="227"/>
      <c r="T989" s="227"/>
      <c r="U989" s="227"/>
      <c r="V989" s="227"/>
      <c r="W989" s="227"/>
      <c r="X989" s="227"/>
      <c r="Y989" s="227"/>
      <c r="Z989" s="227"/>
      <c r="AA989" s="227"/>
      <c r="AB989" s="227"/>
      <c r="AC989" s="227"/>
      <c r="AD989" s="227"/>
    </row>
    <row r="990" spans="2:30" ht="15.75">
      <c r="B990" s="227"/>
      <c r="C990" s="227"/>
      <c r="D990" s="227"/>
      <c r="E990" s="227"/>
      <c r="F990" s="227"/>
      <c r="G990" s="227"/>
      <c r="H990" s="227"/>
      <c r="I990" s="227"/>
      <c r="J990" s="227"/>
      <c r="K990" s="227"/>
      <c r="L990" s="227"/>
      <c r="M990" s="227"/>
      <c r="N990" s="227"/>
      <c r="O990" s="227"/>
      <c r="P990" s="227"/>
      <c r="Q990" s="227"/>
      <c r="R990" s="227"/>
      <c r="S990" s="227"/>
      <c r="T990" s="227"/>
      <c r="U990" s="227"/>
      <c r="V990" s="227"/>
      <c r="W990" s="227"/>
      <c r="X990" s="227"/>
      <c r="Y990" s="227"/>
      <c r="Z990" s="227"/>
      <c r="AA990" s="227"/>
      <c r="AB990" s="227"/>
      <c r="AC990" s="227"/>
      <c r="AD990" s="227"/>
    </row>
    <row r="991" spans="2:30" ht="15.75">
      <c r="B991" s="227"/>
      <c r="C991" s="227"/>
      <c r="D991" s="227"/>
      <c r="E991" s="227"/>
      <c r="F991" s="227"/>
      <c r="G991" s="227"/>
      <c r="H991" s="227"/>
      <c r="I991" s="227"/>
      <c r="J991" s="227"/>
      <c r="K991" s="227"/>
      <c r="L991" s="227"/>
      <c r="M991" s="227"/>
      <c r="N991" s="227"/>
      <c r="O991" s="227"/>
      <c r="P991" s="227"/>
      <c r="Q991" s="227"/>
      <c r="R991" s="227"/>
      <c r="S991" s="227"/>
      <c r="T991" s="227"/>
      <c r="U991" s="227"/>
      <c r="V991" s="227"/>
      <c r="W991" s="227"/>
      <c r="X991" s="227"/>
      <c r="Y991" s="227"/>
      <c r="Z991" s="227"/>
      <c r="AA991" s="227"/>
      <c r="AB991" s="227"/>
      <c r="AC991" s="227"/>
      <c r="AD991" s="22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M1013"/>
  <sheetViews>
    <sheetView workbookViewId="0">
      <pane ySplit="1" topLeftCell="A2" activePane="bottomLeft" state="frozen"/>
      <selection pane="bottomLeft" activeCell="B3" sqref="B3"/>
    </sheetView>
  </sheetViews>
  <sheetFormatPr defaultColWidth="11.125" defaultRowHeight="15" customHeight="1"/>
  <cols>
    <col min="4" max="4" width="6.625" customWidth="1"/>
    <col min="6" max="6" width="7.875" customWidth="1"/>
    <col min="7" max="7" width="7.125" customWidth="1"/>
    <col min="8" max="8" width="6.875" customWidth="1"/>
    <col min="9" max="9" width="8.5" customWidth="1"/>
    <col min="10" max="11" width="8.125" customWidth="1"/>
    <col min="12" max="12" width="20.375" customWidth="1"/>
  </cols>
  <sheetData>
    <row r="1" spans="1:13">
      <c r="A1" s="83" t="s">
        <v>0</v>
      </c>
      <c r="B1" s="3" t="s">
        <v>2</v>
      </c>
      <c r="C1" s="4" t="s">
        <v>3</v>
      </c>
      <c r="D1" s="2" t="s">
        <v>1151</v>
      </c>
      <c r="E1" s="5" t="s">
        <v>1152</v>
      </c>
      <c r="F1" s="2" t="s">
        <v>1153</v>
      </c>
      <c r="G1" s="2" t="s">
        <v>1154</v>
      </c>
      <c r="H1" s="2" t="s">
        <v>1155</v>
      </c>
      <c r="I1" s="2" t="s">
        <v>1156</v>
      </c>
      <c r="J1" s="2" t="s">
        <v>1157</v>
      </c>
      <c r="K1" s="2" t="s">
        <v>1158</v>
      </c>
      <c r="L1" s="242" t="s">
        <v>15</v>
      </c>
      <c r="M1" s="243" t="s">
        <v>1159</v>
      </c>
    </row>
    <row r="2" spans="1:13">
      <c r="A2" s="19" t="s">
        <v>1160</v>
      </c>
      <c r="B2" s="244">
        <v>45058</v>
      </c>
      <c r="C2" s="13" t="s">
        <v>17</v>
      </c>
      <c r="D2" s="14">
        <v>2.4</v>
      </c>
      <c r="E2" s="14">
        <v>28.76</v>
      </c>
      <c r="F2" s="14">
        <v>33.369999999999997</v>
      </c>
      <c r="G2" s="14">
        <v>6.57</v>
      </c>
      <c r="H2" s="14">
        <v>8.1199999999999992</v>
      </c>
      <c r="I2" s="14" t="s">
        <v>17</v>
      </c>
      <c r="J2" s="14" t="s">
        <v>17</v>
      </c>
      <c r="K2" s="14" t="s">
        <v>17</v>
      </c>
      <c r="L2" s="281" t="s">
        <v>1161</v>
      </c>
      <c r="M2" s="220" t="s">
        <v>20</v>
      </c>
    </row>
    <row r="3" spans="1:13">
      <c r="A3" s="19" t="s">
        <v>1162</v>
      </c>
      <c r="B3" s="244">
        <v>45058</v>
      </c>
      <c r="C3" s="13">
        <v>0.38472222222222224</v>
      </c>
      <c r="D3" s="14">
        <v>21.65</v>
      </c>
      <c r="E3" s="14">
        <v>28.75</v>
      </c>
      <c r="F3" s="14">
        <v>33.159999999999997</v>
      </c>
      <c r="G3" s="14">
        <v>6.58</v>
      </c>
      <c r="H3" s="14">
        <v>8.18</v>
      </c>
      <c r="I3" s="14">
        <v>12.25</v>
      </c>
      <c r="J3" s="14">
        <v>13</v>
      </c>
      <c r="K3" s="14">
        <v>13</v>
      </c>
      <c r="L3" s="254"/>
      <c r="M3" s="220" t="s">
        <v>20</v>
      </c>
    </row>
    <row r="4" spans="1:13">
      <c r="A4" s="245" t="s">
        <v>1163</v>
      </c>
      <c r="B4" s="244">
        <v>45064</v>
      </c>
      <c r="C4" s="246">
        <v>0.32361111111111113</v>
      </c>
      <c r="D4" s="247">
        <v>0.6</v>
      </c>
      <c r="E4" s="247">
        <v>28.58</v>
      </c>
      <c r="F4" s="247">
        <v>38.08</v>
      </c>
      <c r="G4" s="247">
        <v>6.27</v>
      </c>
      <c r="H4" s="247">
        <v>8.1199999999999992</v>
      </c>
      <c r="I4" s="14" t="s">
        <v>17</v>
      </c>
      <c r="J4" s="14" t="s">
        <v>17</v>
      </c>
      <c r="K4" s="14" t="s">
        <v>17</v>
      </c>
      <c r="L4" s="220"/>
      <c r="M4" s="220" t="s">
        <v>20</v>
      </c>
    </row>
    <row r="5" spans="1:13">
      <c r="A5" s="245" t="s">
        <v>1164</v>
      </c>
      <c r="B5" s="244">
        <v>45064</v>
      </c>
      <c r="C5" s="246">
        <v>0.32361111111111113</v>
      </c>
      <c r="D5" s="247">
        <v>18.5</v>
      </c>
      <c r="E5" s="247">
        <v>28.06</v>
      </c>
      <c r="F5" s="247">
        <v>37.159999999999997</v>
      </c>
      <c r="G5" s="247">
        <v>8.1199999999999992</v>
      </c>
      <c r="H5" s="247">
        <v>8.24</v>
      </c>
      <c r="I5" s="247">
        <v>20</v>
      </c>
      <c r="J5" s="247">
        <v>20</v>
      </c>
      <c r="K5" s="247">
        <v>20.25</v>
      </c>
      <c r="L5" s="220"/>
      <c r="M5" s="220" t="s">
        <v>20</v>
      </c>
    </row>
    <row r="6" spans="1:13">
      <c r="A6" s="245" t="s">
        <v>1165</v>
      </c>
      <c r="B6" s="244">
        <v>45064</v>
      </c>
      <c r="C6" s="246">
        <v>0.39513888888888887</v>
      </c>
      <c r="D6" s="247">
        <v>0.5</v>
      </c>
      <c r="E6" s="247">
        <v>29.14</v>
      </c>
      <c r="F6" s="247">
        <v>37.29</v>
      </c>
      <c r="G6" s="247">
        <v>6.24</v>
      </c>
      <c r="H6" s="247">
        <v>8.02</v>
      </c>
      <c r="I6" s="14" t="s">
        <v>17</v>
      </c>
      <c r="J6" s="14" t="s">
        <v>17</v>
      </c>
      <c r="K6" s="14" t="s">
        <v>17</v>
      </c>
      <c r="L6" s="220"/>
      <c r="M6" s="220" t="s">
        <v>20</v>
      </c>
    </row>
    <row r="7" spans="1:13">
      <c r="A7" s="245" t="s">
        <v>1166</v>
      </c>
      <c r="B7" s="244">
        <v>45064</v>
      </c>
      <c r="C7" s="246">
        <v>0.39513888888888887</v>
      </c>
      <c r="D7" s="247">
        <v>3.7</v>
      </c>
      <c r="E7" s="247">
        <v>29.17</v>
      </c>
      <c r="F7" s="247">
        <v>37.46</v>
      </c>
      <c r="G7" s="247">
        <v>6.13</v>
      </c>
      <c r="H7" s="247">
        <v>8.15</v>
      </c>
      <c r="I7" s="247">
        <v>3.7</v>
      </c>
      <c r="J7" s="247">
        <v>3.7</v>
      </c>
      <c r="K7" s="247">
        <v>3.7</v>
      </c>
      <c r="L7" s="220"/>
      <c r="M7" s="220" t="s">
        <v>20</v>
      </c>
    </row>
    <row r="8" spans="1:13">
      <c r="A8" s="245" t="s">
        <v>1167</v>
      </c>
      <c r="B8" s="244">
        <v>45064</v>
      </c>
      <c r="C8" s="246">
        <v>0.42916666666666664</v>
      </c>
      <c r="D8" s="247">
        <v>0.75</v>
      </c>
      <c r="E8" s="247">
        <v>29.39</v>
      </c>
      <c r="F8" s="247">
        <v>36.99</v>
      </c>
      <c r="G8" s="247">
        <v>6.15</v>
      </c>
      <c r="H8" s="247">
        <v>8.11</v>
      </c>
      <c r="I8" s="14" t="s">
        <v>17</v>
      </c>
      <c r="J8" s="14" t="s">
        <v>17</v>
      </c>
      <c r="K8" s="14" t="s">
        <v>17</v>
      </c>
      <c r="L8" s="220"/>
      <c r="M8" s="220" t="s">
        <v>20</v>
      </c>
    </row>
    <row r="9" spans="1:13">
      <c r="A9" s="245" t="s">
        <v>1168</v>
      </c>
      <c r="B9" s="244">
        <v>45064</v>
      </c>
      <c r="C9" s="246">
        <v>0.42916666666666664</v>
      </c>
      <c r="D9" s="247">
        <v>10.02</v>
      </c>
      <c r="E9" s="247">
        <v>29.2</v>
      </c>
      <c r="F9" s="247">
        <v>37.17</v>
      </c>
      <c r="G9" s="247">
        <v>6.1</v>
      </c>
      <c r="H9" s="247">
        <v>8.1300000000000008</v>
      </c>
      <c r="I9" s="247">
        <v>9.25</v>
      </c>
      <c r="J9" s="247">
        <v>9.25</v>
      </c>
      <c r="K9" s="247">
        <v>9.5</v>
      </c>
      <c r="L9" s="220"/>
      <c r="M9" s="220" t="s">
        <v>20</v>
      </c>
    </row>
    <row r="10" spans="1:13">
      <c r="A10" s="245" t="s">
        <v>1169</v>
      </c>
      <c r="B10" s="244">
        <v>45065</v>
      </c>
      <c r="C10" s="246">
        <v>0.35486111111111113</v>
      </c>
      <c r="D10" s="247">
        <v>0.66</v>
      </c>
      <c r="E10" s="247">
        <v>29.9</v>
      </c>
      <c r="F10" s="247">
        <v>37.5</v>
      </c>
      <c r="G10" s="247">
        <v>5.68</v>
      </c>
      <c r="H10" s="247">
        <v>8.15</v>
      </c>
      <c r="I10" s="14" t="s">
        <v>17</v>
      </c>
      <c r="J10" s="14" t="s">
        <v>17</v>
      </c>
      <c r="K10" s="14" t="s">
        <v>17</v>
      </c>
      <c r="L10" s="220"/>
      <c r="M10" s="220" t="s">
        <v>20</v>
      </c>
    </row>
    <row r="11" spans="1:13">
      <c r="A11" s="245" t="s">
        <v>1170</v>
      </c>
      <c r="B11" s="244">
        <v>45065</v>
      </c>
      <c r="C11" s="246">
        <v>0.35486111111111113</v>
      </c>
      <c r="D11" s="247">
        <v>6.14</v>
      </c>
      <c r="E11" s="247">
        <v>29.12</v>
      </c>
      <c r="F11" s="247">
        <v>37.520000000000003</v>
      </c>
      <c r="G11" s="247">
        <v>5.69</v>
      </c>
      <c r="H11" s="247">
        <v>8.18</v>
      </c>
      <c r="I11" s="247">
        <v>5</v>
      </c>
      <c r="J11" s="247">
        <v>5</v>
      </c>
      <c r="K11" s="247">
        <v>5</v>
      </c>
      <c r="L11" s="220"/>
      <c r="M11" s="220" t="s">
        <v>20</v>
      </c>
    </row>
    <row r="12" spans="1:13">
      <c r="A12" s="245" t="s">
        <v>1171</v>
      </c>
      <c r="B12" s="244">
        <v>45065</v>
      </c>
      <c r="C12" s="246">
        <v>0.40138888888888891</v>
      </c>
      <c r="D12" s="247">
        <v>0.62</v>
      </c>
      <c r="E12" s="247">
        <v>29.29</v>
      </c>
      <c r="F12" s="247">
        <v>37.520000000000003</v>
      </c>
      <c r="G12" s="247">
        <v>6.13</v>
      </c>
      <c r="H12" s="247">
        <v>8.1999999999999993</v>
      </c>
      <c r="I12" s="14" t="s">
        <v>17</v>
      </c>
      <c r="J12" s="14" t="s">
        <v>17</v>
      </c>
      <c r="K12" s="14" t="s">
        <v>17</v>
      </c>
      <c r="L12" s="220"/>
      <c r="M12" s="220" t="s">
        <v>20</v>
      </c>
    </row>
    <row r="13" spans="1:13">
      <c r="A13" s="245" t="s">
        <v>1172</v>
      </c>
      <c r="B13" s="244">
        <v>45065</v>
      </c>
      <c r="C13" s="246">
        <v>0.40138888888888891</v>
      </c>
      <c r="D13" s="247">
        <v>6.2</v>
      </c>
      <c r="E13" s="247">
        <v>29.39</v>
      </c>
      <c r="F13" s="247">
        <v>37.29</v>
      </c>
      <c r="G13" s="247">
        <v>6.27</v>
      </c>
      <c r="H13" s="247">
        <v>8.23</v>
      </c>
      <c r="I13" s="247">
        <v>5.5</v>
      </c>
      <c r="J13" s="247">
        <v>5.75</v>
      </c>
      <c r="K13" s="247">
        <v>5.75</v>
      </c>
      <c r="L13" s="220"/>
      <c r="M13" s="220" t="s">
        <v>20</v>
      </c>
    </row>
    <row r="14" spans="1:13">
      <c r="A14" s="58" t="s">
        <v>1173</v>
      </c>
      <c r="B14" s="217">
        <v>45068</v>
      </c>
      <c r="C14" s="218">
        <v>0.3527777777777778</v>
      </c>
      <c r="D14" s="221">
        <v>0.84</v>
      </c>
      <c r="E14" s="58">
        <v>28.01</v>
      </c>
      <c r="F14" s="221">
        <v>34.78</v>
      </c>
      <c r="G14" s="221">
        <v>5.42</v>
      </c>
      <c r="H14" s="221">
        <v>8.01</v>
      </c>
      <c r="I14" s="14" t="s">
        <v>17</v>
      </c>
      <c r="J14" s="14" t="s">
        <v>17</v>
      </c>
      <c r="K14" s="14" t="s">
        <v>17</v>
      </c>
      <c r="L14" s="220"/>
      <c r="M14" s="220" t="s">
        <v>20</v>
      </c>
    </row>
    <row r="15" spans="1:13">
      <c r="A15" s="58" t="s">
        <v>1174</v>
      </c>
      <c r="B15" s="217">
        <v>45068</v>
      </c>
      <c r="C15" s="218">
        <v>0.3527777777777778</v>
      </c>
      <c r="D15" s="221">
        <v>16.899999999999999</v>
      </c>
      <c r="E15" s="58">
        <v>29.05</v>
      </c>
      <c r="F15" s="221">
        <v>31.05</v>
      </c>
      <c r="G15" s="221">
        <v>85.8</v>
      </c>
      <c r="H15" s="221">
        <v>8.26</v>
      </c>
      <c r="I15" s="221">
        <v>3</v>
      </c>
      <c r="J15" s="221">
        <v>2.75</v>
      </c>
      <c r="K15" s="221">
        <v>2.5</v>
      </c>
      <c r="L15" s="220"/>
      <c r="M15" s="220" t="s">
        <v>20</v>
      </c>
    </row>
    <row r="16" spans="1:13">
      <c r="A16" s="58" t="s">
        <v>1175</v>
      </c>
      <c r="B16" s="217">
        <v>45068</v>
      </c>
      <c r="C16" s="218">
        <v>0.38472222222222224</v>
      </c>
      <c r="D16" s="221">
        <v>0.7</v>
      </c>
      <c r="E16" s="58">
        <v>28.54</v>
      </c>
      <c r="F16" s="221">
        <v>36.06</v>
      </c>
      <c r="G16" s="221">
        <v>5.28</v>
      </c>
      <c r="H16" s="221">
        <v>8.17</v>
      </c>
      <c r="I16" s="14" t="s">
        <v>17</v>
      </c>
      <c r="J16" s="14" t="s">
        <v>17</v>
      </c>
      <c r="K16" s="14" t="s">
        <v>17</v>
      </c>
      <c r="L16" s="220"/>
      <c r="M16" s="220" t="s">
        <v>20</v>
      </c>
    </row>
    <row r="17" spans="1:13">
      <c r="A17" s="58" t="s">
        <v>1176</v>
      </c>
      <c r="B17" s="217">
        <v>45068</v>
      </c>
      <c r="C17" s="218">
        <v>0.38472222222222224</v>
      </c>
      <c r="D17" s="221">
        <v>16.899999999999999</v>
      </c>
      <c r="E17" s="58">
        <v>29.05</v>
      </c>
      <c r="F17" s="221">
        <v>31.05</v>
      </c>
      <c r="G17" s="221">
        <v>85.8</v>
      </c>
      <c r="H17" s="221">
        <v>8.26</v>
      </c>
      <c r="I17" s="221">
        <v>30</v>
      </c>
      <c r="J17" s="221">
        <v>2.75</v>
      </c>
      <c r="K17" s="221">
        <v>2.25</v>
      </c>
      <c r="L17" s="220"/>
      <c r="M17" s="220" t="s">
        <v>20</v>
      </c>
    </row>
    <row r="18" spans="1:13">
      <c r="A18" s="58" t="s">
        <v>1177</v>
      </c>
      <c r="B18" s="12">
        <v>45070</v>
      </c>
      <c r="C18" s="55">
        <v>0.31944444444444442</v>
      </c>
      <c r="D18" s="221">
        <v>0.52</v>
      </c>
      <c r="E18" s="58">
        <v>28.09</v>
      </c>
      <c r="F18" s="221">
        <v>37.14</v>
      </c>
      <c r="G18" s="221">
        <v>5.71</v>
      </c>
      <c r="H18" s="221">
        <v>8.06</v>
      </c>
      <c r="I18" s="14" t="s">
        <v>17</v>
      </c>
      <c r="J18" s="14" t="s">
        <v>17</v>
      </c>
      <c r="K18" s="14" t="s">
        <v>17</v>
      </c>
      <c r="L18" s="220"/>
      <c r="M18" s="220" t="s">
        <v>20</v>
      </c>
    </row>
    <row r="19" spans="1:13">
      <c r="A19" s="58" t="s">
        <v>1178</v>
      </c>
      <c r="B19" s="12">
        <v>45070</v>
      </c>
      <c r="C19" s="55">
        <v>0.31944444444444442</v>
      </c>
      <c r="D19" s="221">
        <v>26.5</v>
      </c>
      <c r="E19" s="58">
        <v>28.15</v>
      </c>
      <c r="F19" s="221">
        <v>37.17</v>
      </c>
      <c r="G19" s="221">
        <v>5.73</v>
      </c>
      <c r="H19" s="221">
        <v>8.34</v>
      </c>
      <c r="I19" s="221">
        <v>9.25</v>
      </c>
      <c r="J19" s="221">
        <v>9.25</v>
      </c>
      <c r="K19" s="221">
        <v>9.5</v>
      </c>
      <c r="L19" s="220"/>
      <c r="M19" s="220" t="s">
        <v>20</v>
      </c>
    </row>
    <row r="20" spans="1:13">
      <c r="A20" s="58" t="s">
        <v>1179</v>
      </c>
      <c r="B20" s="12">
        <v>45070</v>
      </c>
      <c r="C20" s="13">
        <v>0.35833333333333334</v>
      </c>
      <c r="D20" s="221">
        <v>0.64</v>
      </c>
      <c r="E20" s="58">
        <v>28.27</v>
      </c>
      <c r="F20" s="221">
        <v>37.18</v>
      </c>
      <c r="G20" s="221">
        <v>5.77</v>
      </c>
      <c r="H20" s="221">
        <v>8.26</v>
      </c>
      <c r="I20" s="14" t="s">
        <v>17</v>
      </c>
      <c r="J20" s="14" t="s">
        <v>17</v>
      </c>
      <c r="K20" s="14" t="s">
        <v>17</v>
      </c>
      <c r="L20" s="220"/>
      <c r="M20" s="220" t="s">
        <v>20</v>
      </c>
    </row>
    <row r="21" spans="1:13">
      <c r="A21" s="58" t="s">
        <v>1180</v>
      </c>
      <c r="B21" s="12">
        <v>45070</v>
      </c>
      <c r="C21" s="13">
        <v>0.35833333333333334</v>
      </c>
      <c r="D21" s="221">
        <v>26.5</v>
      </c>
      <c r="E21" s="58">
        <v>28.15</v>
      </c>
      <c r="F21" s="221">
        <v>37.21</v>
      </c>
      <c r="G21" s="221">
        <v>5.77</v>
      </c>
      <c r="H21" s="221">
        <v>8.34</v>
      </c>
      <c r="I21" s="221">
        <v>15.25</v>
      </c>
      <c r="J21" s="221">
        <v>15.25</v>
      </c>
      <c r="K21" s="221">
        <v>15.5</v>
      </c>
      <c r="L21" s="220"/>
      <c r="M21" s="220" t="s">
        <v>20</v>
      </c>
    </row>
    <row r="22" spans="1:13">
      <c r="A22" s="58" t="s">
        <v>1181</v>
      </c>
      <c r="B22" s="12">
        <v>45070</v>
      </c>
      <c r="C22" s="13">
        <v>0.39027777777777778</v>
      </c>
      <c r="D22" s="221">
        <v>0.49</v>
      </c>
      <c r="E22" s="58">
        <v>28.67</v>
      </c>
      <c r="F22" s="221">
        <v>37.229999999999997</v>
      </c>
      <c r="G22" s="221">
        <v>5.9</v>
      </c>
      <c r="H22" s="221">
        <v>8.27</v>
      </c>
      <c r="I22" s="14" t="s">
        <v>17</v>
      </c>
      <c r="J22" s="14" t="s">
        <v>17</v>
      </c>
      <c r="K22" s="14" t="s">
        <v>17</v>
      </c>
      <c r="L22" s="220"/>
      <c r="M22" s="220" t="s">
        <v>20</v>
      </c>
    </row>
    <row r="23" spans="1:13">
      <c r="A23" s="58" t="s">
        <v>1182</v>
      </c>
      <c r="B23" s="12">
        <v>45070</v>
      </c>
      <c r="C23" s="13">
        <v>0.39027777777777778</v>
      </c>
      <c r="D23" s="221">
        <v>9.5399999999999991</v>
      </c>
      <c r="E23" s="58">
        <v>28.59</v>
      </c>
      <c r="F23" s="221">
        <v>37.229999999999997</v>
      </c>
      <c r="G23" s="221">
        <v>5.9</v>
      </c>
      <c r="H23" s="221">
        <v>8.34</v>
      </c>
      <c r="I23" s="221">
        <v>14</v>
      </c>
      <c r="J23" s="221">
        <v>14.5</v>
      </c>
      <c r="K23" s="221">
        <v>14.75</v>
      </c>
      <c r="L23" s="220"/>
      <c r="M23" s="220" t="s">
        <v>20</v>
      </c>
    </row>
    <row r="24" spans="1:13">
      <c r="A24" s="58" t="s">
        <v>1183</v>
      </c>
      <c r="B24" s="12">
        <v>45070</v>
      </c>
      <c r="C24" s="13">
        <v>0.41666666666666669</v>
      </c>
      <c r="D24" s="221">
        <v>0.55000000000000004</v>
      </c>
      <c r="E24" s="58">
        <v>28.43</v>
      </c>
      <c r="F24" s="221">
        <v>37.18</v>
      </c>
      <c r="G24" s="221">
        <v>5.73</v>
      </c>
      <c r="H24" s="221">
        <v>8.26</v>
      </c>
      <c r="I24" s="14" t="s">
        <v>17</v>
      </c>
      <c r="J24" s="14" t="s">
        <v>17</v>
      </c>
      <c r="K24" s="14" t="s">
        <v>17</v>
      </c>
      <c r="L24" s="220"/>
      <c r="M24" s="220" t="s">
        <v>20</v>
      </c>
    </row>
    <row r="25" spans="1:13">
      <c r="A25" s="58" t="s">
        <v>1184</v>
      </c>
      <c r="B25" s="12">
        <v>45070</v>
      </c>
      <c r="C25" s="13">
        <v>0.41666666666666669</v>
      </c>
      <c r="D25" s="221">
        <v>17.399999999999999</v>
      </c>
      <c r="E25" s="58">
        <v>28.29</v>
      </c>
      <c r="F25" s="221">
        <v>37.340000000000003</v>
      </c>
      <c r="G25" s="221">
        <v>5.75</v>
      </c>
      <c r="H25" s="221">
        <v>8.34</v>
      </c>
      <c r="I25" s="221">
        <v>12</v>
      </c>
      <c r="J25" s="221">
        <v>12</v>
      </c>
      <c r="K25" s="221">
        <v>12</v>
      </c>
      <c r="L25" s="220"/>
      <c r="M25" s="220" t="s">
        <v>20</v>
      </c>
    </row>
    <row r="26" spans="1:13">
      <c r="A26" s="58" t="s">
        <v>1185</v>
      </c>
      <c r="B26" s="12">
        <v>45070</v>
      </c>
      <c r="C26" s="13">
        <v>0.44930555555555557</v>
      </c>
      <c r="D26" s="221">
        <v>0.5</v>
      </c>
      <c r="E26" s="58">
        <v>29.7</v>
      </c>
      <c r="F26" s="221">
        <v>37.06</v>
      </c>
      <c r="G26" s="221">
        <v>6</v>
      </c>
      <c r="H26" s="221">
        <v>8.2899999999999991</v>
      </c>
      <c r="I26" s="14" t="s">
        <v>17</v>
      </c>
      <c r="J26" s="14" t="s">
        <v>17</v>
      </c>
      <c r="K26" s="14" t="s">
        <v>17</v>
      </c>
      <c r="L26" s="220"/>
      <c r="M26" s="220" t="s">
        <v>20</v>
      </c>
    </row>
    <row r="27" spans="1:13">
      <c r="A27" s="58" t="s">
        <v>1186</v>
      </c>
      <c r="B27" s="12">
        <v>45070</v>
      </c>
      <c r="C27" s="13">
        <v>0.44930555555555557</v>
      </c>
      <c r="D27" s="221">
        <v>3.67</v>
      </c>
      <c r="E27" s="58">
        <v>29.2</v>
      </c>
      <c r="F27" s="221">
        <v>37.04</v>
      </c>
      <c r="G27" s="221">
        <v>0.15</v>
      </c>
      <c r="H27" s="221">
        <v>8.34</v>
      </c>
      <c r="I27" s="221">
        <v>5</v>
      </c>
      <c r="J27" s="221">
        <v>5</v>
      </c>
      <c r="K27" s="221">
        <v>5</v>
      </c>
      <c r="L27" s="220"/>
      <c r="M27" s="220" t="s">
        <v>20</v>
      </c>
    </row>
    <row r="28" spans="1:13">
      <c r="A28" s="58" t="s">
        <v>1187</v>
      </c>
      <c r="B28" s="12">
        <v>45070</v>
      </c>
      <c r="C28" s="22">
        <v>0.49166666666666664</v>
      </c>
      <c r="D28" s="221">
        <v>0.5</v>
      </c>
      <c r="E28" s="58">
        <v>28.95</v>
      </c>
      <c r="F28" s="221">
        <v>37.14</v>
      </c>
      <c r="G28" s="221">
        <v>5.9</v>
      </c>
      <c r="H28" s="221">
        <v>8.2799999999999994</v>
      </c>
      <c r="I28" s="14" t="s">
        <v>17</v>
      </c>
      <c r="J28" s="14" t="s">
        <v>17</v>
      </c>
      <c r="K28" s="14" t="s">
        <v>17</v>
      </c>
      <c r="L28" s="220"/>
      <c r="M28" s="220" t="s">
        <v>20</v>
      </c>
    </row>
    <row r="29" spans="1:13">
      <c r="A29" s="58" t="s">
        <v>1188</v>
      </c>
      <c r="B29" s="12">
        <v>45070</v>
      </c>
      <c r="C29" s="22">
        <v>0.49166666666666664</v>
      </c>
      <c r="D29" s="221">
        <v>9.4600000000000009</v>
      </c>
      <c r="E29" s="58">
        <v>28.47</v>
      </c>
      <c r="F29" s="221">
        <v>37.01</v>
      </c>
      <c r="G29" s="221">
        <v>6.04</v>
      </c>
      <c r="H29" s="221">
        <v>8.33</v>
      </c>
      <c r="I29" s="221">
        <v>10</v>
      </c>
      <c r="J29" s="221">
        <v>10</v>
      </c>
      <c r="K29" s="221">
        <v>10</v>
      </c>
      <c r="L29" s="220"/>
      <c r="M29" s="220" t="s">
        <v>20</v>
      </c>
    </row>
    <row r="30" spans="1:13">
      <c r="A30" s="58" t="s">
        <v>1189</v>
      </c>
      <c r="B30" s="12">
        <v>45070</v>
      </c>
      <c r="C30" s="22">
        <v>0.5180555555555556</v>
      </c>
      <c r="D30" s="221">
        <v>0.55000000000000004</v>
      </c>
      <c r="E30" s="58">
        <v>28.89</v>
      </c>
      <c r="F30" s="221">
        <v>36.96</v>
      </c>
      <c r="G30" s="221">
        <v>5.94</v>
      </c>
      <c r="H30" s="221">
        <v>8.27</v>
      </c>
      <c r="I30" s="14" t="s">
        <v>17</v>
      </c>
      <c r="J30" s="14" t="s">
        <v>17</v>
      </c>
      <c r="K30" s="14" t="s">
        <v>17</v>
      </c>
      <c r="L30" s="220"/>
      <c r="M30" s="220" t="s">
        <v>20</v>
      </c>
    </row>
    <row r="31" spans="1:13">
      <c r="A31" s="58" t="s">
        <v>1190</v>
      </c>
      <c r="B31" s="12">
        <v>45070</v>
      </c>
      <c r="C31" s="22">
        <v>0.5180555555555556</v>
      </c>
      <c r="D31" s="221">
        <v>6.23</v>
      </c>
      <c r="E31" s="58">
        <v>28.51</v>
      </c>
      <c r="F31" s="221">
        <v>37.06</v>
      </c>
      <c r="G31" s="221">
        <v>6.34</v>
      </c>
      <c r="H31" s="221">
        <v>8.35</v>
      </c>
      <c r="I31" s="221">
        <v>7.25</v>
      </c>
      <c r="J31" s="221">
        <v>7.25</v>
      </c>
      <c r="K31" s="221">
        <v>7.25</v>
      </c>
      <c r="L31" s="220"/>
      <c r="M31" s="220" t="s">
        <v>20</v>
      </c>
    </row>
    <row r="32" spans="1:13">
      <c r="A32" s="58" t="s">
        <v>1191</v>
      </c>
      <c r="B32" s="12">
        <v>45070</v>
      </c>
      <c r="C32" s="22">
        <v>0.55833333333333335</v>
      </c>
      <c r="D32" s="221">
        <v>0.47</v>
      </c>
      <c r="E32" s="58">
        <v>29.2</v>
      </c>
      <c r="F32" s="221">
        <v>37.049999999999997</v>
      </c>
      <c r="G32" s="221">
        <v>6.4</v>
      </c>
      <c r="H32" s="221">
        <v>8.1999999999999993</v>
      </c>
      <c r="I32" s="14" t="s">
        <v>17</v>
      </c>
      <c r="J32" s="14" t="s">
        <v>17</v>
      </c>
      <c r="K32" s="14" t="s">
        <v>17</v>
      </c>
      <c r="L32" s="220"/>
      <c r="M32" s="220" t="s">
        <v>20</v>
      </c>
    </row>
    <row r="33" spans="1:13">
      <c r="A33" s="58" t="s">
        <v>1192</v>
      </c>
      <c r="B33" s="12">
        <v>45070</v>
      </c>
      <c r="C33" s="22">
        <v>0.55833333333333335</v>
      </c>
      <c r="D33" s="221">
        <v>28.71</v>
      </c>
      <c r="E33" s="58">
        <v>17.43</v>
      </c>
      <c r="F33" s="221">
        <v>37.03</v>
      </c>
      <c r="G33" s="221">
        <v>16.34</v>
      </c>
      <c r="H33" s="221">
        <v>17.350000000000001</v>
      </c>
      <c r="I33" s="221">
        <v>8.25</v>
      </c>
      <c r="J33" s="221">
        <v>8.75</v>
      </c>
      <c r="K33" s="221">
        <v>8.75</v>
      </c>
      <c r="L33" s="220"/>
      <c r="M33" s="220" t="s">
        <v>20</v>
      </c>
    </row>
    <row r="34" spans="1:13">
      <c r="A34" s="58" t="s">
        <v>1193</v>
      </c>
      <c r="B34" s="12">
        <v>45071</v>
      </c>
      <c r="C34" s="22">
        <v>0.57916666666666672</v>
      </c>
      <c r="D34" s="221">
        <v>0.49</v>
      </c>
      <c r="E34" s="58">
        <v>29.02</v>
      </c>
      <c r="F34" s="221">
        <v>36.93</v>
      </c>
      <c r="G34" s="221">
        <v>6.1</v>
      </c>
      <c r="H34" s="221">
        <v>8.2100000000000009</v>
      </c>
      <c r="I34" s="14" t="s">
        <v>17</v>
      </c>
      <c r="J34" s="14" t="s">
        <v>17</v>
      </c>
      <c r="K34" s="14" t="s">
        <v>17</v>
      </c>
      <c r="L34" s="220"/>
      <c r="M34" s="220" t="s">
        <v>20</v>
      </c>
    </row>
    <row r="35" spans="1:13">
      <c r="A35" s="58" t="s">
        <v>1194</v>
      </c>
      <c r="B35" s="12">
        <v>45071</v>
      </c>
      <c r="C35" s="22">
        <v>0.57916666666666672</v>
      </c>
      <c r="D35" s="221">
        <v>2.82</v>
      </c>
      <c r="E35" s="58">
        <v>28.89</v>
      </c>
      <c r="F35" s="221">
        <v>37.25</v>
      </c>
      <c r="G35" s="221">
        <v>6.11</v>
      </c>
      <c r="H35" s="221">
        <v>8.35</v>
      </c>
      <c r="I35" s="221">
        <v>6</v>
      </c>
      <c r="J35" s="221">
        <v>6</v>
      </c>
      <c r="K35" s="221">
        <v>6</v>
      </c>
      <c r="L35" s="220"/>
      <c r="M35" s="220" t="s">
        <v>20</v>
      </c>
    </row>
    <row r="36" spans="1:13">
      <c r="A36" s="58" t="s">
        <v>1195</v>
      </c>
      <c r="B36" s="12">
        <v>45071</v>
      </c>
      <c r="C36" s="22">
        <v>0.36319444444444443</v>
      </c>
      <c r="D36" s="221">
        <v>0.6</v>
      </c>
      <c r="E36" s="58">
        <v>29.19</v>
      </c>
      <c r="F36" s="221">
        <v>37.19</v>
      </c>
      <c r="G36" s="221">
        <v>4.97</v>
      </c>
      <c r="H36" s="221">
        <v>8.43</v>
      </c>
      <c r="I36" s="14" t="s">
        <v>17</v>
      </c>
      <c r="J36" s="14" t="s">
        <v>17</v>
      </c>
      <c r="K36" s="14" t="s">
        <v>17</v>
      </c>
      <c r="L36" s="220"/>
      <c r="M36" s="220" t="s">
        <v>20</v>
      </c>
    </row>
    <row r="37" spans="1:13">
      <c r="A37" s="58" t="s">
        <v>1196</v>
      </c>
      <c r="B37" s="12">
        <v>45071</v>
      </c>
      <c r="C37" s="22">
        <v>0.36319444444444443</v>
      </c>
      <c r="D37" s="221">
        <v>5.25</v>
      </c>
      <c r="E37" s="58">
        <v>29.22</v>
      </c>
      <c r="F37" s="221">
        <v>37.22</v>
      </c>
      <c r="G37" s="221">
        <v>5.47</v>
      </c>
      <c r="H37" s="221">
        <v>8.3800000000000008</v>
      </c>
      <c r="I37" s="221">
        <v>6</v>
      </c>
      <c r="J37" s="221">
        <v>6</v>
      </c>
      <c r="K37" s="221">
        <v>6</v>
      </c>
      <c r="L37" s="220"/>
      <c r="M37" s="220" t="s">
        <v>20</v>
      </c>
    </row>
    <row r="38" spans="1:13">
      <c r="A38" s="58" t="s">
        <v>1197</v>
      </c>
      <c r="B38" s="12">
        <v>45071</v>
      </c>
      <c r="C38" s="22">
        <v>0.40208333333333335</v>
      </c>
      <c r="D38" s="221">
        <v>0.55000000000000004</v>
      </c>
      <c r="E38" s="58">
        <v>29.38</v>
      </c>
      <c r="F38" s="221">
        <v>37</v>
      </c>
      <c r="G38" s="221">
        <v>5.85</v>
      </c>
      <c r="H38" s="221">
        <v>8.4</v>
      </c>
      <c r="I38" s="14" t="s">
        <v>17</v>
      </c>
      <c r="J38" s="14" t="s">
        <v>17</v>
      </c>
      <c r="K38" s="14" t="s">
        <v>17</v>
      </c>
      <c r="L38" s="220"/>
      <c r="M38" s="220" t="s">
        <v>20</v>
      </c>
    </row>
    <row r="39" spans="1:13">
      <c r="A39" s="58" t="s">
        <v>1198</v>
      </c>
      <c r="B39" s="12">
        <v>45071</v>
      </c>
      <c r="C39" s="22">
        <v>0.40208333333333335</v>
      </c>
      <c r="D39" s="221">
        <v>3.58</v>
      </c>
      <c r="E39" s="58">
        <v>29.4</v>
      </c>
      <c r="F39" s="221">
        <v>36.96</v>
      </c>
      <c r="G39" s="221">
        <v>5.95</v>
      </c>
      <c r="H39" s="221">
        <v>8.4</v>
      </c>
      <c r="I39" s="221">
        <v>3.5</v>
      </c>
      <c r="J39" s="221">
        <v>3.5</v>
      </c>
      <c r="K39" s="221">
        <v>3.5</v>
      </c>
      <c r="L39" s="220"/>
      <c r="M39" s="220" t="s">
        <v>20</v>
      </c>
    </row>
    <row r="40" spans="1:13">
      <c r="A40" s="58" t="s">
        <v>1199</v>
      </c>
      <c r="B40" s="12">
        <v>45071</v>
      </c>
      <c r="C40" s="22">
        <v>0.42638888888888887</v>
      </c>
      <c r="D40" s="221">
        <v>0.7</v>
      </c>
      <c r="E40" s="58">
        <v>29.2</v>
      </c>
      <c r="F40" s="221">
        <v>37.15</v>
      </c>
      <c r="G40" s="221">
        <v>5.63</v>
      </c>
      <c r="H40" s="221">
        <v>8.48</v>
      </c>
      <c r="I40" s="14" t="s">
        <v>17</v>
      </c>
      <c r="J40" s="14" t="s">
        <v>17</v>
      </c>
      <c r="K40" s="14" t="s">
        <v>17</v>
      </c>
      <c r="L40" s="220"/>
      <c r="M40" s="220" t="s">
        <v>20</v>
      </c>
    </row>
    <row r="41" spans="1:13">
      <c r="A41" s="58" t="s">
        <v>1200</v>
      </c>
      <c r="B41" s="12">
        <v>45071</v>
      </c>
      <c r="C41" s="22">
        <v>0.42638888888888887</v>
      </c>
      <c r="D41" s="221">
        <v>9.3800000000000008</v>
      </c>
      <c r="E41" s="58">
        <v>29.02</v>
      </c>
      <c r="F41" s="221">
        <v>36.9</v>
      </c>
      <c r="G41" s="221">
        <v>5.78</v>
      </c>
      <c r="H41" s="221">
        <v>8.39</v>
      </c>
      <c r="I41" s="221">
        <v>9.5</v>
      </c>
      <c r="J41" s="221">
        <v>9.5</v>
      </c>
      <c r="K41" s="221">
        <v>9.5</v>
      </c>
      <c r="L41" s="220"/>
      <c r="M41" s="220" t="s">
        <v>20</v>
      </c>
    </row>
    <row r="42" spans="1:13">
      <c r="B42" s="73"/>
      <c r="C42" s="248"/>
      <c r="D42" s="228"/>
      <c r="F42" s="228"/>
      <c r="G42" s="228"/>
      <c r="H42" s="228"/>
      <c r="I42" s="228"/>
      <c r="J42" s="228"/>
      <c r="K42" s="228"/>
    </row>
    <row r="43" spans="1:13">
      <c r="B43" s="73"/>
      <c r="C43" s="248"/>
      <c r="D43" s="228"/>
      <c r="F43" s="228"/>
      <c r="G43" s="228"/>
      <c r="H43" s="228"/>
      <c r="I43" s="228"/>
      <c r="J43" s="228"/>
      <c r="K43" s="228"/>
    </row>
    <row r="44" spans="1:13">
      <c r="B44" s="73"/>
      <c r="C44" s="248"/>
      <c r="D44" s="228"/>
      <c r="F44" s="228"/>
      <c r="G44" s="228"/>
      <c r="H44" s="228"/>
      <c r="I44" s="228"/>
      <c r="J44" s="228"/>
      <c r="K44" s="228"/>
    </row>
    <row r="45" spans="1:13">
      <c r="B45" s="73"/>
      <c r="C45" s="248"/>
      <c r="D45" s="228"/>
      <c r="F45" s="228"/>
      <c r="G45" s="228"/>
      <c r="H45" s="228"/>
      <c r="I45" s="228"/>
      <c r="J45" s="228"/>
      <c r="K45" s="228"/>
    </row>
    <row r="46" spans="1:13">
      <c r="B46" s="73"/>
      <c r="C46" s="248"/>
      <c r="D46" s="228"/>
      <c r="F46" s="228"/>
      <c r="G46" s="228"/>
      <c r="H46" s="228"/>
      <c r="I46" s="228"/>
      <c r="J46" s="228"/>
      <c r="K46" s="228"/>
    </row>
    <row r="47" spans="1:13">
      <c r="B47" s="73"/>
      <c r="C47" s="248"/>
      <c r="D47" s="228"/>
      <c r="F47" s="228"/>
      <c r="G47" s="228"/>
      <c r="H47" s="228"/>
      <c r="I47" s="228"/>
      <c r="J47" s="228"/>
      <c r="K47" s="228"/>
    </row>
    <row r="48" spans="1:13">
      <c r="B48" s="73"/>
      <c r="C48" s="248"/>
      <c r="D48" s="228"/>
      <c r="F48" s="228"/>
      <c r="G48" s="228"/>
      <c r="H48" s="228"/>
      <c r="I48" s="228"/>
      <c r="J48" s="228"/>
      <c r="K48" s="228"/>
    </row>
    <row r="49" spans="2:11">
      <c r="B49" s="73"/>
      <c r="C49" s="248"/>
      <c r="D49" s="228"/>
      <c r="F49" s="228"/>
      <c r="G49" s="228"/>
      <c r="H49" s="228"/>
      <c r="I49" s="228"/>
      <c r="J49" s="228"/>
      <c r="K49" s="228"/>
    </row>
    <row r="50" spans="2:11">
      <c r="B50" s="73"/>
      <c r="C50" s="248"/>
      <c r="D50" s="228"/>
      <c r="F50" s="228"/>
      <c r="G50" s="228"/>
      <c r="H50" s="228"/>
      <c r="I50" s="228"/>
      <c r="J50" s="228"/>
      <c r="K50" s="228"/>
    </row>
    <row r="51" spans="2:11">
      <c r="B51" s="73"/>
      <c r="C51" s="248"/>
      <c r="D51" s="228"/>
      <c r="F51" s="228"/>
      <c r="G51" s="228"/>
      <c r="H51" s="228"/>
      <c r="I51" s="228"/>
      <c r="J51" s="228"/>
      <c r="K51" s="228"/>
    </row>
    <row r="52" spans="2:11">
      <c r="B52" s="73"/>
      <c r="C52" s="248"/>
      <c r="D52" s="228"/>
      <c r="F52" s="228"/>
      <c r="G52" s="228"/>
      <c r="H52" s="228"/>
      <c r="I52" s="228"/>
      <c r="J52" s="228"/>
      <c r="K52" s="228"/>
    </row>
    <row r="53" spans="2:11">
      <c r="B53" s="73"/>
      <c r="C53" s="248"/>
      <c r="D53" s="228"/>
      <c r="F53" s="228"/>
      <c r="G53" s="228"/>
      <c r="H53" s="228"/>
      <c r="I53" s="228"/>
      <c r="J53" s="228"/>
      <c r="K53" s="228"/>
    </row>
    <row r="54" spans="2:11">
      <c r="B54" s="73"/>
      <c r="C54" s="248"/>
      <c r="D54" s="228"/>
      <c r="F54" s="228"/>
      <c r="G54" s="228"/>
      <c r="H54" s="228"/>
      <c r="I54" s="228"/>
      <c r="J54" s="228"/>
      <c r="K54" s="228"/>
    </row>
    <row r="55" spans="2:11">
      <c r="B55" s="73"/>
      <c r="C55" s="248"/>
      <c r="D55" s="228"/>
      <c r="F55" s="228"/>
      <c r="G55" s="228"/>
      <c r="H55" s="228"/>
      <c r="I55" s="228"/>
      <c r="J55" s="228"/>
      <c r="K55" s="228"/>
    </row>
    <row r="56" spans="2:11">
      <c r="B56" s="73"/>
      <c r="C56" s="248"/>
      <c r="D56" s="228"/>
      <c r="F56" s="228"/>
      <c r="G56" s="228"/>
      <c r="H56" s="228"/>
      <c r="I56" s="228"/>
      <c r="J56" s="228"/>
      <c r="K56" s="228"/>
    </row>
    <row r="57" spans="2:11">
      <c r="B57" s="73"/>
      <c r="C57" s="248"/>
      <c r="D57" s="228"/>
      <c r="F57" s="228"/>
      <c r="G57" s="228"/>
      <c r="H57" s="228"/>
      <c r="I57" s="228"/>
      <c r="J57" s="228"/>
      <c r="K57" s="228"/>
    </row>
    <row r="58" spans="2:11">
      <c r="B58" s="73"/>
      <c r="C58" s="248"/>
      <c r="D58" s="228"/>
      <c r="F58" s="228"/>
      <c r="G58" s="228"/>
      <c r="H58" s="228"/>
      <c r="I58" s="228"/>
      <c r="J58" s="228"/>
      <c r="K58" s="228"/>
    </row>
    <row r="59" spans="2:11">
      <c r="B59" s="73"/>
      <c r="C59" s="248"/>
      <c r="D59" s="228"/>
      <c r="F59" s="228"/>
      <c r="G59" s="228"/>
      <c r="H59" s="228"/>
      <c r="I59" s="228"/>
      <c r="J59" s="228"/>
      <c r="K59" s="228"/>
    </row>
    <row r="60" spans="2:11">
      <c r="B60" s="73"/>
      <c r="C60" s="248"/>
      <c r="D60" s="228"/>
      <c r="F60" s="228"/>
      <c r="G60" s="228"/>
      <c r="H60" s="228"/>
      <c r="I60" s="228"/>
      <c r="J60" s="228"/>
      <c r="K60" s="228"/>
    </row>
    <row r="61" spans="2:11">
      <c r="B61" s="73"/>
      <c r="C61" s="248"/>
      <c r="D61" s="228"/>
      <c r="F61" s="228"/>
      <c r="G61" s="228"/>
      <c r="H61" s="228"/>
      <c r="I61" s="228"/>
      <c r="J61" s="228"/>
      <c r="K61" s="228"/>
    </row>
    <row r="62" spans="2:11">
      <c r="B62" s="73"/>
      <c r="C62" s="248"/>
      <c r="D62" s="228"/>
      <c r="F62" s="228"/>
      <c r="G62" s="228"/>
      <c r="H62" s="228"/>
      <c r="I62" s="228"/>
      <c r="J62" s="228"/>
      <c r="K62" s="228"/>
    </row>
    <row r="63" spans="2:11">
      <c r="B63" s="73"/>
      <c r="C63" s="248"/>
      <c r="D63" s="228"/>
      <c r="F63" s="228"/>
      <c r="G63" s="228"/>
      <c r="H63" s="228"/>
      <c r="I63" s="228"/>
      <c r="J63" s="228"/>
      <c r="K63" s="228"/>
    </row>
    <row r="64" spans="2:11">
      <c r="B64" s="73"/>
      <c r="C64" s="248"/>
      <c r="D64" s="228"/>
      <c r="F64" s="228"/>
      <c r="G64" s="228"/>
      <c r="H64" s="228"/>
      <c r="I64" s="228"/>
      <c r="J64" s="228"/>
      <c r="K64" s="228"/>
    </row>
    <row r="65" spans="2:11">
      <c r="B65" s="73"/>
      <c r="C65" s="248"/>
      <c r="D65" s="228"/>
      <c r="F65" s="228"/>
      <c r="G65" s="228"/>
      <c r="H65" s="228"/>
      <c r="I65" s="228"/>
      <c r="J65" s="228"/>
      <c r="K65" s="228"/>
    </row>
    <row r="66" spans="2:11">
      <c r="B66" s="73"/>
      <c r="C66" s="248"/>
      <c r="D66" s="228"/>
      <c r="F66" s="228"/>
      <c r="G66" s="228"/>
      <c r="H66" s="228"/>
      <c r="I66" s="228"/>
      <c r="J66" s="228"/>
      <c r="K66" s="228"/>
    </row>
    <row r="67" spans="2:11">
      <c r="B67" s="73"/>
      <c r="C67" s="248"/>
      <c r="D67" s="228"/>
      <c r="F67" s="228"/>
      <c r="G67" s="228"/>
      <c r="H67" s="228"/>
      <c r="I67" s="228"/>
      <c r="J67" s="228"/>
      <c r="K67" s="228"/>
    </row>
    <row r="68" spans="2:11">
      <c r="B68" s="73"/>
      <c r="C68" s="248"/>
      <c r="D68" s="228"/>
      <c r="F68" s="228"/>
      <c r="G68" s="228"/>
      <c r="H68" s="228"/>
      <c r="I68" s="228"/>
      <c r="J68" s="228"/>
      <c r="K68" s="228"/>
    </row>
    <row r="69" spans="2:11">
      <c r="B69" s="73"/>
      <c r="C69" s="248"/>
      <c r="D69" s="228"/>
      <c r="F69" s="228"/>
      <c r="G69" s="228"/>
      <c r="H69" s="228"/>
      <c r="I69" s="228"/>
      <c r="J69" s="228"/>
      <c r="K69" s="228"/>
    </row>
    <row r="70" spans="2:11">
      <c r="B70" s="73"/>
      <c r="C70" s="248"/>
      <c r="D70" s="228"/>
      <c r="F70" s="228"/>
      <c r="G70" s="228"/>
      <c r="H70" s="228"/>
      <c r="I70" s="228"/>
      <c r="J70" s="228"/>
      <c r="K70" s="228"/>
    </row>
    <row r="71" spans="2:11">
      <c r="B71" s="73"/>
      <c r="C71" s="248"/>
      <c r="D71" s="228"/>
      <c r="F71" s="228"/>
      <c r="G71" s="228"/>
      <c r="H71" s="228"/>
      <c r="I71" s="228"/>
      <c r="J71" s="228"/>
      <c r="K71" s="228"/>
    </row>
    <row r="72" spans="2:11">
      <c r="B72" s="73"/>
      <c r="C72" s="248"/>
      <c r="D72" s="228"/>
      <c r="F72" s="228"/>
      <c r="G72" s="228"/>
      <c r="H72" s="228"/>
      <c r="I72" s="228"/>
      <c r="J72" s="228"/>
      <c r="K72" s="228"/>
    </row>
    <row r="73" spans="2:11">
      <c r="B73" s="73"/>
      <c r="C73" s="248"/>
      <c r="D73" s="228"/>
      <c r="F73" s="228"/>
      <c r="G73" s="228"/>
      <c r="H73" s="228"/>
      <c r="I73" s="228"/>
      <c r="J73" s="228"/>
      <c r="K73" s="228"/>
    </row>
    <row r="74" spans="2:11">
      <c r="B74" s="73"/>
      <c r="C74" s="248"/>
      <c r="D74" s="228"/>
      <c r="F74" s="228"/>
      <c r="G74" s="228"/>
      <c r="H74" s="228"/>
      <c r="I74" s="228"/>
      <c r="J74" s="228"/>
      <c r="K74" s="228"/>
    </row>
    <row r="75" spans="2:11">
      <c r="B75" s="73"/>
      <c r="C75" s="248"/>
      <c r="D75" s="228"/>
      <c r="F75" s="228"/>
      <c r="G75" s="228"/>
      <c r="H75" s="228"/>
      <c r="I75" s="228"/>
      <c r="J75" s="228"/>
      <c r="K75" s="228"/>
    </row>
    <row r="76" spans="2:11">
      <c r="B76" s="73"/>
      <c r="C76" s="248"/>
      <c r="D76" s="228"/>
      <c r="F76" s="228"/>
      <c r="G76" s="228"/>
      <c r="H76" s="228"/>
      <c r="I76" s="228"/>
      <c r="J76" s="228"/>
      <c r="K76" s="228"/>
    </row>
    <row r="77" spans="2:11">
      <c r="B77" s="73"/>
      <c r="C77" s="248"/>
      <c r="D77" s="228"/>
      <c r="F77" s="228"/>
      <c r="G77" s="228"/>
      <c r="H77" s="228"/>
      <c r="I77" s="228"/>
      <c r="J77" s="228"/>
      <c r="K77" s="228"/>
    </row>
    <row r="78" spans="2:11">
      <c r="B78" s="73"/>
      <c r="C78" s="248"/>
      <c r="D78" s="228"/>
      <c r="F78" s="228"/>
      <c r="G78" s="228"/>
      <c r="H78" s="228"/>
      <c r="I78" s="228"/>
      <c r="J78" s="228"/>
      <c r="K78" s="228"/>
    </row>
    <row r="79" spans="2:11">
      <c r="B79" s="73"/>
      <c r="C79" s="248"/>
      <c r="D79" s="228"/>
      <c r="F79" s="228"/>
      <c r="G79" s="228"/>
      <c r="H79" s="228"/>
      <c r="I79" s="228"/>
      <c r="J79" s="228"/>
      <c r="K79" s="228"/>
    </row>
    <row r="80" spans="2:11">
      <c r="B80" s="73"/>
      <c r="C80" s="248"/>
      <c r="D80" s="228"/>
      <c r="F80" s="228"/>
      <c r="G80" s="228"/>
      <c r="H80" s="228"/>
      <c r="I80" s="228"/>
      <c r="J80" s="228"/>
      <c r="K80" s="228"/>
    </row>
    <row r="81" spans="2:11">
      <c r="B81" s="73"/>
      <c r="C81" s="248"/>
      <c r="D81" s="228"/>
      <c r="F81" s="228"/>
      <c r="G81" s="228"/>
      <c r="H81" s="228"/>
      <c r="I81" s="228"/>
      <c r="J81" s="228"/>
      <c r="K81" s="228"/>
    </row>
    <row r="82" spans="2:11">
      <c r="B82" s="73"/>
      <c r="C82" s="248"/>
      <c r="D82" s="228"/>
      <c r="F82" s="228"/>
      <c r="G82" s="228"/>
      <c r="H82" s="228"/>
      <c r="I82" s="228"/>
      <c r="J82" s="228"/>
      <c r="K82" s="228"/>
    </row>
    <row r="83" spans="2:11">
      <c r="B83" s="73"/>
      <c r="C83" s="248"/>
      <c r="D83" s="228"/>
      <c r="F83" s="228"/>
      <c r="G83" s="228"/>
      <c r="H83" s="228"/>
      <c r="I83" s="228"/>
      <c r="J83" s="228"/>
      <c r="K83" s="228"/>
    </row>
    <row r="84" spans="2:11">
      <c r="B84" s="73"/>
      <c r="C84" s="248"/>
      <c r="D84" s="228"/>
      <c r="F84" s="228"/>
      <c r="G84" s="228"/>
      <c r="H84" s="228"/>
      <c r="I84" s="228"/>
      <c r="J84" s="228"/>
      <c r="K84" s="228"/>
    </row>
    <row r="85" spans="2:11">
      <c r="B85" s="73"/>
      <c r="C85" s="248"/>
      <c r="D85" s="228"/>
      <c r="F85" s="228"/>
      <c r="G85" s="228"/>
      <c r="H85" s="228"/>
      <c r="I85" s="228"/>
      <c r="J85" s="228"/>
      <c r="K85" s="228"/>
    </row>
    <row r="86" spans="2:11">
      <c r="B86" s="73"/>
      <c r="C86" s="248"/>
      <c r="D86" s="228"/>
      <c r="F86" s="228"/>
      <c r="G86" s="228"/>
      <c r="H86" s="228"/>
      <c r="I86" s="228"/>
      <c r="J86" s="228"/>
      <c r="K86" s="228"/>
    </row>
    <row r="87" spans="2:11">
      <c r="B87" s="73"/>
      <c r="C87" s="248"/>
      <c r="D87" s="228"/>
      <c r="F87" s="228"/>
      <c r="G87" s="228"/>
      <c r="H87" s="228"/>
      <c r="I87" s="228"/>
      <c r="J87" s="228"/>
      <c r="K87" s="228"/>
    </row>
    <row r="88" spans="2:11">
      <c r="B88" s="73"/>
      <c r="C88" s="248"/>
      <c r="D88" s="228"/>
      <c r="F88" s="228"/>
      <c r="G88" s="228"/>
      <c r="H88" s="228"/>
      <c r="I88" s="228"/>
      <c r="J88" s="228"/>
      <c r="K88" s="228"/>
    </row>
    <row r="89" spans="2:11">
      <c r="B89" s="73"/>
      <c r="C89" s="248"/>
      <c r="D89" s="228"/>
      <c r="F89" s="228"/>
      <c r="G89" s="228"/>
      <c r="H89" s="228"/>
      <c r="I89" s="228"/>
      <c r="J89" s="228"/>
      <c r="K89" s="228"/>
    </row>
    <row r="90" spans="2:11">
      <c r="B90" s="73"/>
      <c r="C90" s="248"/>
      <c r="D90" s="228"/>
      <c r="F90" s="228"/>
      <c r="G90" s="228"/>
      <c r="H90" s="228"/>
      <c r="I90" s="228"/>
      <c r="J90" s="228"/>
      <c r="K90" s="228"/>
    </row>
    <row r="91" spans="2:11">
      <c r="B91" s="73"/>
      <c r="C91" s="248"/>
      <c r="D91" s="228"/>
      <c r="F91" s="228"/>
      <c r="G91" s="228"/>
      <c r="H91" s="228"/>
      <c r="I91" s="228"/>
      <c r="J91" s="228"/>
      <c r="K91" s="228"/>
    </row>
    <row r="92" spans="2:11">
      <c r="B92" s="73"/>
      <c r="C92" s="248"/>
      <c r="D92" s="228"/>
      <c r="F92" s="228"/>
      <c r="G92" s="228"/>
      <c r="H92" s="228"/>
      <c r="I92" s="228"/>
      <c r="J92" s="228"/>
      <c r="K92" s="228"/>
    </row>
    <row r="93" spans="2:11">
      <c r="B93" s="73"/>
      <c r="C93" s="248"/>
      <c r="D93" s="228"/>
      <c r="F93" s="228"/>
      <c r="G93" s="228"/>
      <c r="H93" s="228"/>
      <c r="I93" s="228"/>
      <c r="J93" s="228"/>
      <c r="K93" s="228"/>
    </row>
    <row r="94" spans="2:11">
      <c r="B94" s="73"/>
      <c r="C94" s="248"/>
      <c r="D94" s="228"/>
      <c r="F94" s="228"/>
      <c r="G94" s="228"/>
      <c r="H94" s="228"/>
      <c r="I94" s="228"/>
      <c r="J94" s="228"/>
      <c r="K94" s="228"/>
    </row>
    <row r="95" spans="2:11">
      <c r="B95" s="73"/>
      <c r="C95" s="248"/>
      <c r="D95" s="228"/>
      <c r="F95" s="228"/>
      <c r="G95" s="228"/>
      <c r="H95" s="228"/>
      <c r="I95" s="228"/>
      <c r="J95" s="228"/>
      <c r="K95" s="228"/>
    </row>
    <row r="96" spans="2:11">
      <c r="B96" s="73"/>
      <c r="C96" s="248"/>
      <c r="D96" s="228"/>
      <c r="F96" s="228"/>
      <c r="G96" s="228"/>
      <c r="H96" s="228"/>
      <c r="I96" s="228"/>
      <c r="J96" s="228"/>
      <c r="K96" s="228"/>
    </row>
    <row r="97" spans="2:11">
      <c r="B97" s="73"/>
      <c r="C97" s="248"/>
      <c r="D97" s="228"/>
      <c r="F97" s="228"/>
      <c r="G97" s="228"/>
      <c r="H97" s="228"/>
      <c r="I97" s="228"/>
      <c r="J97" s="228"/>
      <c r="K97" s="228"/>
    </row>
    <row r="98" spans="2:11">
      <c r="B98" s="73"/>
      <c r="C98" s="248"/>
      <c r="D98" s="228"/>
      <c r="F98" s="228"/>
      <c r="G98" s="228"/>
      <c r="H98" s="228"/>
      <c r="I98" s="228"/>
      <c r="J98" s="228"/>
      <c r="K98" s="228"/>
    </row>
    <row r="99" spans="2:11">
      <c r="B99" s="73"/>
      <c r="C99" s="248"/>
      <c r="D99" s="228"/>
      <c r="F99" s="228"/>
      <c r="G99" s="228"/>
      <c r="H99" s="228"/>
      <c r="I99" s="228"/>
      <c r="J99" s="228"/>
      <c r="K99" s="228"/>
    </row>
    <row r="100" spans="2:11">
      <c r="B100" s="73"/>
      <c r="C100" s="248"/>
      <c r="D100" s="228"/>
      <c r="F100" s="228"/>
      <c r="G100" s="228"/>
      <c r="H100" s="228"/>
      <c r="I100" s="228"/>
      <c r="J100" s="228"/>
      <c r="K100" s="228"/>
    </row>
    <row r="101" spans="2:11">
      <c r="B101" s="73"/>
      <c r="C101" s="248"/>
      <c r="D101" s="228"/>
      <c r="F101" s="228"/>
      <c r="G101" s="228"/>
      <c r="H101" s="228"/>
      <c r="I101" s="228"/>
      <c r="J101" s="228"/>
      <c r="K101" s="228"/>
    </row>
    <row r="102" spans="2:11">
      <c r="B102" s="73"/>
      <c r="C102" s="248"/>
      <c r="D102" s="228"/>
      <c r="F102" s="228"/>
      <c r="G102" s="228"/>
      <c r="H102" s="228"/>
      <c r="I102" s="228"/>
      <c r="J102" s="228"/>
      <c r="K102" s="228"/>
    </row>
    <row r="103" spans="2:11">
      <c r="B103" s="73"/>
      <c r="C103" s="248"/>
      <c r="D103" s="228"/>
      <c r="F103" s="228"/>
      <c r="G103" s="228"/>
      <c r="H103" s="228"/>
      <c r="I103" s="228"/>
      <c r="J103" s="228"/>
      <c r="K103" s="228"/>
    </row>
    <row r="104" spans="2:11">
      <c r="B104" s="73"/>
      <c r="C104" s="248"/>
      <c r="D104" s="228"/>
      <c r="F104" s="228"/>
      <c r="G104" s="228"/>
      <c r="H104" s="228"/>
      <c r="I104" s="228"/>
      <c r="J104" s="228"/>
      <c r="K104" s="228"/>
    </row>
    <row r="105" spans="2:11">
      <c r="B105" s="73"/>
      <c r="C105" s="248"/>
      <c r="D105" s="228"/>
      <c r="F105" s="228"/>
      <c r="G105" s="228"/>
      <c r="H105" s="228"/>
      <c r="I105" s="228"/>
      <c r="J105" s="228"/>
      <c r="K105" s="228"/>
    </row>
    <row r="106" spans="2:11">
      <c r="B106" s="73"/>
      <c r="C106" s="248"/>
      <c r="D106" s="228"/>
      <c r="F106" s="228"/>
      <c r="G106" s="228"/>
      <c r="H106" s="228"/>
      <c r="I106" s="228"/>
      <c r="J106" s="228"/>
      <c r="K106" s="228"/>
    </row>
    <row r="107" spans="2:11">
      <c r="B107" s="73"/>
      <c r="C107" s="248"/>
      <c r="D107" s="228"/>
      <c r="F107" s="228"/>
      <c r="G107" s="228"/>
      <c r="H107" s="228"/>
      <c r="I107" s="228"/>
      <c r="J107" s="228"/>
      <c r="K107" s="228"/>
    </row>
    <row r="108" spans="2:11">
      <c r="B108" s="73"/>
      <c r="C108" s="248"/>
      <c r="D108" s="228"/>
      <c r="F108" s="228"/>
      <c r="G108" s="228"/>
      <c r="H108" s="228"/>
      <c r="I108" s="228"/>
      <c r="J108" s="228"/>
      <c r="K108" s="228"/>
    </row>
    <row r="109" spans="2:11">
      <c r="B109" s="73"/>
      <c r="C109" s="248"/>
      <c r="D109" s="228"/>
      <c r="F109" s="228"/>
      <c r="G109" s="228"/>
      <c r="H109" s="228"/>
      <c r="I109" s="228"/>
      <c r="J109" s="228"/>
      <c r="K109" s="228"/>
    </row>
    <row r="110" spans="2:11">
      <c r="B110" s="73"/>
      <c r="C110" s="248"/>
      <c r="D110" s="228"/>
      <c r="F110" s="228"/>
      <c r="G110" s="228"/>
      <c r="H110" s="228"/>
      <c r="I110" s="228"/>
      <c r="J110" s="228"/>
      <c r="K110" s="228"/>
    </row>
    <row r="111" spans="2:11">
      <c r="B111" s="73"/>
      <c r="C111" s="248"/>
      <c r="D111" s="228"/>
      <c r="F111" s="228"/>
      <c r="G111" s="228"/>
      <c r="H111" s="228"/>
      <c r="I111" s="228"/>
      <c r="J111" s="228"/>
      <c r="K111" s="228"/>
    </row>
    <row r="112" spans="2:11">
      <c r="B112" s="73"/>
      <c r="C112" s="248"/>
      <c r="D112" s="228"/>
      <c r="F112" s="228"/>
      <c r="G112" s="228"/>
      <c r="H112" s="228"/>
      <c r="I112" s="228"/>
      <c r="J112" s="228"/>
      <c r="K112" s="228"/>
    </row>
    <row r="113" spans="2:11">
      <c r="B113" s="73"/>
      <c r="C113" s="248"/>
      <c r="D113" s="228"/>
      <c r="F113" s="228"/>
      <c r="G113" s="228"/>
      <c r="H113" s="228"/>
      <c r="I113" s="228"/>
      <c r="J113" s="228"/>
      <c r="K113" s="228"/>
    </row>
    <row r="114" spans="2:11">
      <c r="B114" s="73"/>
      <c r="C114" s="248"/>
      <c r="D114" s="228"/>
      <c r="F114" s="228"/>
      <c r="G114" s="228"/>
      <c r="H114" s="228"/>
      <c r="I114" s="228"/>
      <c r="J114" s="228"/>
      <c r="K114" s="228"/>
    </row>
    <row r="115" spans="2:11">
      <c r="B115" s="73"/>
      <c r="C115" s="248"/>
      <c r="D115" s="228"/>
      <c r="F115" s="228"/>
      <c r="G115" s="228"/>
      <c r="H115" s="228"/>
      <c r="I115" s="228"/>
      <c r="J115" s="228"/>
      <c r="K115" s="228"/>
    </row>
    <row r="116" spans="2:11">
      <c r="B116" s="73"/>
      <c r="C116" s="248"/>
      <c r="D116" s="228"/>
      <c r="F116" s="228"/>
      <c r="G116" s="228"/>
      <c r="H116" s="228"/>
      <c r="I116" s="228"/>
      <c r="J116" s="228"/>
      <c r="K116" s="228"/>
    </row>
    <row r="117" spans="2:11">
      <c r="B117" s="73"/>
      <c r="C117" s="248"/>
      <c r="D117" s="228"/>
      <c r="F117" s="228"/>
      <c r="G117" s="228"/>
      <c r="H117" s="228"/>
      <c r="I117" s="228"/>
      <c r="J117" s="228"/>
      <c r="K117" s="228"/>
    </row>
    <row r="118" spans="2:11">
      <c r="B118" s="73"/>
      <c r="C118" s="248"/>
      <c r="D118" s="228"/>
      <c r="F118" s="228"/>
      <c r="G118" s="228"/>
      <c r="H118" s="228"/>
      <c r="I118" s="228"/>
      <c r="J118" s="228"/>
      <c r="K118" s="228"/>
    </row>
    <row r="119" spans="2:11">
      <c r="B119" s="73"/>
      <c r="C119" s="248"/>
      <c r="D119" s="228"/>
      <c r="F119" s="228"/>
      <c r="G119" s="228"/>
      <c r="H119" s="228"/>
      <c r="I119" s="228"/>
      <c r="J119" s="228"/>
      <c r="K119" s="228"/>
    </row>
    <row r="120" spans="2:11">
      <c r="B120" s="73"/>
      <c r="C120" s="248"/>
      <c r="D120" s="228"/>
      <c r="F120" s="228"/>
      <c r="G120" s="228"/>
      <c r="H120" s="228"/>
      <c r="I120" s="228"/>
      <c r="J120" s="228"/>
      <c r="K120" s="228"/>
    </row>
    <row r="121" spans="2:11">
      <c r="B121" s="73"/>
      <c r="C121" s="248"/>
      <c r="D121" s="228"/>
      <c r="F121" s="228"/>
      <c r="G121" s="228"/>
      <c r="H121" s="228"/>
      <c r="I121" s="228"/>
      <c r="J121" s="228"/>
      <c r="K121" s="228"/>
    </row>
    <row r="122" spans="2:11">
      <c r="B122" s="73"/>
      <c r="C122" s="248"/>
      <c r="D122" s="228"/>
      <c r="F122" s="228"/>
      <c r="G122" s="228"/>
      <c r="H122" s="228"/>
      <c r="I122" s="228"/>
      <c r="J122" s="228"/>
      <c r="K122" s="228"/>
    </row>
    <row r="123" spans="2:11">
      <c r="B123" s="73"/>
      <c r="C123" s="248"/>
      <c r="D123" s="228"/>
      <c r="F123" s="228"/>
      <c r="G123" s="228"/>
      <c r="H123" s="228"/>
      <c r="I123" s="228"/>
      <c r="J123" s="228"/>
      <c r="K123" s="228"/>
    </row>
    <row r="124" spans="2:11">
      <c r="B124" s="73"/>
      <c r="C124" s="248"/>
      <c r="D124" s="228"/>
      <c r="F124" s="228"/>
      <c r="G124" s="228"/>
      <c r="H124" s="228"/>
      <c r="I124" s="228"/>
      <c r="J124" s="228"/>
      <c r="K124" s="228"/>
    </row>
    <row r="125" spans="2:11">
      <c r="B125" s="73"/>
      <c r="C125" s="248"/>
      <c r="D125" s="228"/>
      <c r="F125" s="228"/>
      <c r="G125" s="228"/>
      <c r="H125" s="228"/>
      <c r="I125" s="228"/>
      <c r="J125" s="228"/>
      <c r="K125" s="228"/>
    </row>
    <row r="126" spans="2:11">
      <c r="B126" s="73"/>
      <c r="C126" s="248"/>
      <c r="D126" s="228"/>
      <c r="F126" s="228"/>
      <c r="G126" s="228"/>
      <c r="H126" s="228"/>
      <c r="I126" s="228"/>
      <c r="J126" s="228"/>
      <c r="K126" s="228"/>
    </row>
    <row r="127" spans="2:11">
      <c r="B127" s="73"/>
      <c r="C127" s="248"/>
      <c r="D127" s="228"/>
      <c r="F127" s="228"/>
      <c r="G127" s="228"/>
      <c r="H127" s="228"/>
      <c r="I127" s="228"/>
      <c r="J127" s="228"/>
      <c r="K127" s="228"/>
    </row>
    <row r="128" spans="2:11">
      <c r="B128" s="73"/>
      <c r="C128" s="248"/>
      <c r="D128" s="228"/>
      <c r="F128" s="228"/>
      <c r="G128" s="228"/>
      <c r="H128" s="228"/>
      <c r="I128" s="228"/>
      <c r="J128" s="228"/>
      <c r="K128" s="228"/>
    </row>
    <row r="129" spans="2:11">
      <c r="B129" s="73"/>
      <c r="C129" s="248"/>
      <c r="D129" s="228"/>
      <c r="F129" s="228"/>
      <c r="G129" s="228"/>
      <c r="H129" s="228"/>
      <c r="I129" s="228"/>
      <c r="J129" s="228"/>
      <c r="K129" s="228"/>
    </row>
    <row r="130" spans="2:11">
      <c r="B130" s="73"/>
      <c r="C130" s="248"/>
      <c r="D130" s="228"/>
      <c r="F130" s="228"/>
      <c r="G130" s="228"/>
      <c r="H130" s="228"/>
      <c r="I130" s="228"/>
      <c r="J130" s="228"/>
      <c r="K130" s="228"/>
    </row>
    <row r="131" spans="2:11">
      <c r="B131" s="73"/>
      <c r="C131" s="248"/>
      <c r="D131" s="228"/>
      <c r="F131" s="228"/>
      <c r="G131" s="228"/>
      <c r="H131" s="228"/>
      <c r="I131" s="228"/>
      <c r="J131" s="228"/>
      <c r="K131" s="228"/>
    </row>
    <row r="132" spans="2:11">
      <c r="B132" s="73"/>
      <c r="C132" s="248"/>
      <c r="D132" s="228"/>
      <c r="F132" s="228"/>
      <c r="G132" s="228"/>
      <c r="H132" s="228"/>
      <c r="I132" s="228"/>
      <c r="J132" s="228"/>
      <c r="K132" s="228"/>
    </row>
    <row r="133" spans="2:11">
      <c r="B133" s="73"/>
      <c r="C133" s="248"/>
      <c r="D133" s="228"/>
      <c r="F133" s="228"/>
      <c r="G133" s="228"/>
      <c r="H133" s="228"/>
      <c r="I133" s="228"/>
      <c r="J133" s="228"/>
      <c r="K133" s="228"/>
    </row>
    <row r="134" spans="2:11">
      <c r="B134" s="73"/>
      <c r="C134" s="248"/>
      <c r="D134" s="228"/>
      <c r="F134" s="228"/>
      <c r="G134" s="228"/>
      <c r="H134" s="228"/>
      <c r="I134" s="228"/>
      <c r="J134" s="228"/>
      <c r="K134" s="228"/>
    </row>
    <row r="135" spans="2:11">
      <c r="B135" s="73"/>
      <c r="C135" s="248"/>
      <c r="D135" s="228"/>
      <c r="F135" s="228"/>
      <c r="G135" s="228"/>
      <c r="H135" s="228"/>
      <c r="I135" s="228"/>
      <c r="J135" s="228"/>
      <c r="K135" s="228"/>
    </row>
    <row r="136" spans="2:11">
      <c r="B136" s="73"/>
      <c r="C136" s="248"/>
      <c r="D136" s="228"/>
      <c r="F136" s="228"/>
      <c r="G136" s="228"/>
      <c r="H136" s="228"/>
      <c r="I136" s="228"/>
      <c r="J136" s="228"/>
      <c r="K136" s="228"/>
    </row>
    <row r="137" spans="2:11">
      <c r="B137" s="73"/>
      <c r="C137" s="248"/>
      <c r="D137" s="228"/>
      <c r="F137" s="228"/>
      <c r="G137" s="228"/>
      <c r="H137" s="228"/>
      <c r="I137" s="228"/>
      <c r="J137" s="228"/>
      <c r="K137" s="228"/>
    </row>
    <row r="138" spans="2:11">
      <c r="B138" s="73"/>
      <c r="C138" s="248"/>
      <c r="D138" s="228"/>
      <c r="F138" s="228"/>
      <c r="G138" s="228"/>
      <c r="H138" s="228"/>
      <c r="I138" s="228"/>
      <c r="J138" s="228"/>
      <c r="K138" s="228"/>
    </row>
    <row r="139" spans="2:11">
      <c r="B139" s="73"/>
      <c r="C139" s="248"/>
      <c r="D139" s="228"/>
      <c r="F139" s="228"/>
      <c r="G139" s="228"/>
      <c r="H139" s="228"/>
      <c r="I139" s="228"/>
      <c r="J139" s="228"/>
      <c r="K139" s="228"/>
    </row>
    <row r="140" spans="2:11">
      <c r="B140" s="73"/>
      <c r="C140" s="248"/>
      <c r="D140" s="228"/>
      <c r="F140" s="228"/>
      <c r="G140" s="228"/>
      <c r="H140" s="228"/>
      <c r="I140" s="228"/>
      <c r="J140" s="228"/>
      <c r="K140" s="228"/>
    </row>
    <row r="141" spans="2:11">
      <c r="B141" s="73"/>
      <c r="C141" s="248"/>
      <c r="D141" s="228"/>
      <c r="F141" s="228"/>
      <c r="G141" s="228"/>
      <c r="H141" s="228"/>
      <c r="I141" s="228"/>
      <c r="J141" s="228"/>
      <c r="K141" s="228"/>
    </row>
    <row r="142" spans="2:11">
      <c r="B142" s="73"/>
      <c r="C142" s="248"/>
      <c r="D142" s="228"/>
      <c r="F142" s="228"/>
      <c r="G142" s="228"/>
      <c r="H142" s="228"/>
      <c r="I142" s="228"/>
      <c r="J142" s="228"/>
      <c r="K142" s="228"/>
    </row>
    <row r="143" spans="2:11">
      <c r="B143" s="73"/>
      <c r="C143" s="248"/>
      <c r="D143" s="228"/>
      <c r="F143" s="228"/>
      <c r="G143" s="228"/>
      <c r="H143" s="228"/>
      <c r="I143" s="228"/>
      <c r="J143" s="228"/>
      <c r="K143" s="228"/>
    </row>
    <row r="144" spans="2:11">
      <c r="B144" s="73"/>
      <c r="C144" s="248"/>
      <c r="D144" s="228"/>
      <c r="F144" s="228"/>
      <c r="G144" s="228"/>
      <c r="H144" s="228"/>
      <c r="I144" s="228"/>
      <c r="J144" s="228"/>
      <c r="K144" s="228"/>
    </row>
    <row r="145" spans="2:11">
      <c r="B145" s="73"/>
      <c r="C145" s="248"/>
      <c r="D145" s="228"/>
      <c r="F145" s="228"/>
      <c r="G145" s="228"/>
      <c r="H145" s="228"/>
      <c r="I145" s="228"/>
      <c r="J145" s="228"/>
      <c r="K145" s="228"/>
    </row>
    <row r="146" spans="2:11">
      <c r="B146" s="73"/>
      <c r="C146" s="248"/>
      <c r="D146" s="228"/>
      <c r="F146" s="228"/>
      <c r="G146" s="228"/>
      <c r="H146" s="228"/>
      <c r="I146" s="228"/>
      <c r="J146" s="228"/>
      <c r="K146" s="228"/>
    </row>
    <row r="147" spans="2:11">
      <c r="B147" s="73"/>
      <c r="C147" s="248"/>
      <c r="D147" s="228"/>
      <c r="F147" s="228"/>
      <c r="G147" s="228"/>
      <c r="H147" s="228"/>
      <c r="I147" s="228"/>
      <c r="J147" s="228"/>
      <c r="K147" s="228"/>
    </row>
    <row r="148" spans="2:11">
      <c r="B148" s="73"/>
      <c r="C148" s="248"/>
      <c r="D148" s="228"/>
      <c r="F148" s="228"/>
      <c r="G148" s="228"/>
      <c r="H148" s="228"/>
      <c r="I148" s="228"/>
      <c r="J148" s="228"/>
      <c r="K148" s="228"/>
    </row>
    <row r="149" spans="2:11">
      <c r="B149" s="73"/>
      <c r="C149" s="248"/>
      <c r="D149" s="228"/>
      <c r="F149" s="228"/>
      <c r="G149" s="228"/>
      <c r="H149" s="228"/>
      <c r="I149" s="228"/>
      <c r="J149" s="228"/>
      <c r="K149" s="228"/>
    </row>
    <row r="150" spans="2:11">
      <c r="B150" s="73"/>
      <c r="C150" s="248"/>
      <c r="D150" s="228"/>
      <c r="F150" s="228"/>
      <c r="G150" s="228"/>
      <c r="H150" s="228"/>
      <c r="I150" s="228"/>
      <c r="J150" s="228"/>
      <c r="K150" s="228"/>
    </row>
    <row r="151" spans="2:11">
      <c r="B151" s="73"/>
      <c r="C151" s="248"/>
      <c r="D151" s="228"/>
      <c r="F151" s="228"/>
      <c r="G151" s="228"/>
      <c r="H151" s="228"/>
      <c r="I151" s="228"/>
      <c r="J151" s="228"/>
      <c r="K151" s="228"/>
    </row>
    <row r="152" spans="2:11">
      <c r="B152" s="73"/>
      <c r="C152" s="248"/>
      <c r="D152" s="228"/>
      <c r="F152" s="228"/>
      <c r="G152" s="228"/>
      <c r="H152" s="228"/>
      <c r="I152" s="228"/>
      <c r="J152" s="228"/>
      <c r="K152" s="228"/>
    </row>
    <row r="153" spans="2:11">
      <c r="B153" s="73"/>
      <c r="C153" s="248"/>
      <c r="D153" s="228"/>
      <c r="F153" s="228"/>
      <c r="G153" s="228"/>
      <c r="H153" s="228"/>
      <c r="I153" s="228"/>
      <c r="J153" s="228"/>
      <c r="K153" s="228"/>
    </row>
    <row r="154" spans="2:11">
      <c r="B154" s="73"/>
      <c r="C154" s="248"/>
      <c r="D154" s="228"/>
      <c r="F154" s="228"/>
      <c r="G154" s="228"/>
      <c r="H154" s="228"/>
      <c r="I154" s="228"/>
      <c r="J154" s="228"/>
      <c r="K154" s="228"/>
    </row>
    <row r="155" spans="2:11">
      <c r="B155" s="73"/>
      <c r="C155" s="248"/>
      <c r="D155" s="228"/>
      <c r="F155" s="228"/>
      <c r="G155" s="228"/>
      <c r="H155" s="228"/>
      <c r="I155" s="228"/>
      <c r="J155" s="228"/>
      <c r="K155" s="228"/>
    </row>
    <row r="156" spans="2:11">
      <c r="B156" s="73"/>
      <c r="C156" s="248"/>
      <c r="D156" s="228"/>
      <c r="F156" s="228"/>
      <c r="G156" s="228"/>
      <c r="H156" s="228"/>
      <c r="I156" s="228"/>
      <c r="J156" s="228"/>
      <c r="K156" s="228"/>
    </row>
    <row r="157" spans="2:11">
      <c r="B157" s="73"/>
      <c r="C157" s="248"/>
      <c r="D157" s="228"/>
      <c r="F157" s="228"/>
      <c r="G157" s="228"/>
      <c r="H157" s="228"/>
      <c r="I157" s="228"/>
      <c r="J157" s="228"/>
      <c r="K157" s="228"/>
    </row>
    <row r="158" spans="2:11">
      <c r="B158" s="73"/>
      <c r="C158" s="248"/>
      <c r="D158" s="228"/>
      <c r="F158" s="228"/>
      <c r="G158" s="228"/>
      <c r="H158" s="228"/>
      <c r="I158" s="228"/>
      <c r="J158" s="228"/>
      <c r="K158" s="228"/>
    </row>
    <row r="159" spans="2:11">
      <c r="B159" s="73"/>
      <c r="C159" s="248"/>
      <c r="D159" s="228"/>
      <c r="F159" s="228"/>
      <c r="G159" s="228"/>
      <c r="H159" s="228"/>
      <c r="I159" s="228"/>
      <c r="J159" s="228"/>
      <c r="K159" s="228"/>
    </row>
    <row r="160" spans="2:11">
      <c r="B160" s="73"/>
      <c r="C160" s="248"/>
      <c r="D160" s="228"/>
      <c r="F160" s="228"/>
      <c r="G160" s="228"/>
      <c r="H160" s="228"/>
      <c r="I160" s="228"/>
      <c r="J160" s="228"/>
      <c r="K160" s="228"/>
    </row>
    <row r="161" spans="2:11">
      <c r="B161" s="73"/>
      <c r="C161" s="248"/>
      <c r="D161" s="228"/>
      <c r="F161" s="228"/>
      <c r="G161" s="228"/>
      <c r="H161" s="228"/>
      <c r="I161" s="228"/>
      <c r="J161" s="228"/>
      <c r="K161" s="228"/>
    </row>
    <row r="162" spans="2:11">
      <c r="B162" s="73"/>
      <c r="C162" s="248"/>
      <c r="D162" s="228"/>
      <c r="F162" s="228"/>
      <c r="G162" s="228"/>
      <c r="H162" s="228"/>
      <c r="I162" s="228"/>
      <c r="J162" s="228"/>
      <c r="K162" s="228"/>
    </row>
    <row r="163" spans="2:11">
      <c r="B163" s="73"/>
      <c r="C163" s="248"/>
      <c r="D163" s="228"/>
      <c r="F163" s="228"/>
      <c r="G163" s="228"/>
      <c r="H163" s="228"/>
      <c r="I163" s="228"/>
      <c r="J163" s="228"/>
      <c r="K163" s="228"/>
    </row>
    <row r="164" spans="2:11">
      <c r="B164" s="73"/>
      <c r="C164" s="248"/>
      <c r="D164" s="228"/>
      <c r="F164" s="228"/>
      <c r="G164" s="228"/>
      <c r="H164" s="228"/>
      <c r="I164" s="228"/>
      <c r="J164" s="228"/>
      <c r="K164" s="228"/>
    </row>
    <row r="165" spans="2:11">
      <c r="B165" s="73"/>
      <c r="C165" s="248"/>
      <c r="D165" s="228"/>
      <c r="F165" s="228"/>
      <c r="G165" s="228"/>
      <c r="H165" s="228"/>
      <c r="I165" s="228"/>
      <c r="J165" s="228"/>
      <c r="K165" s="228"/>
    </row>
    <row r="166" spans="2:11">
      <c r="B166" s="73"/>
      <c r="C166" s="248"/>
      <c r="D166" s="228"/>
      <c r="F166" s="228"/>
      <c r="G166" s="228"/>
      <c r="H166" s="228"/>
      <c r="I166" s="228"/>
      <c r="J166" s="228"/>
      <c r="K166" s="228"/>
    </row>
    <row r="167" spans="2:11">
      <c r="B167" s="73"/>
      <c r="C167" s="248"/>
      <c r="D167" s="228"/>
      <c r="F167" s="228"/>
      <c r="G167" s="228"/>
      <c r="H167" s="228"/>
      <c r="I167" s="228"/>
      <c r="J167" s="228"/>
      <c r="K167" s="228"/>
    </row>
    <row r="168" spans="2:11">
      <c r="B168" s="73"/>
      <c r="C168" s="248"/>
      <c r="D168" s="228"/>
      <c r="F168" s="228"/>
      <c r="G168" s="228"/>
      <c r="H168" s="228"/>
      <c r="I168" s="228"/>
      <c r="J168" s="228"/>
      <c r="K168" s="228"/>
    </row>
    <row r="169" spans="2:11">
      <c r="B169" s="73"/>
      <c r="C169" s="248"/>
      <c r="D169" s="228"/>
      <c r="F169" s="228"/>
      <c r="G169" s="228"/>
      <c r="H169" s="228"/>
      <c r="I169" s="228"/>
      <c r="J169" s="228"/>
      <c r="K169" s="228"/>
    </row>
    <row r="170" spans="2:11">
      <c r="B170" s="73"/>
      <c r="C170" s="248"/>
      <c r="D170" s="228"/>
      <c r="F170" s="228"/>
      <c r="G170" s="228"/>
      <c r="H170" s="228"/>
      <c r="I170" s="228"/>
      <c r="J170" s="228"/>
      <c r="K170" s="228"/>
    </row>
    <row r="171" spans="2:11">
      <c r="B171" s="73"/>
      <c r="C171" s="248"/>
      <c r="D171" s="228"/>
      <c r="F171" s="228"/>
      <c r="G171" s="228"/>
      <c r="H171" s="228"/>
      <c r="I171" s="228"/>
      <c r="J171" s="228"/>
      <c r="K171" s="228"/>
    </row>
    <row r="172" spans="2:11">
      <c r="B172" s="73"/>
      <c r="C172" s="248"/>
      <c r="D172" s="228"/>
      <c r="F172" s="228"/>
      <c r="G172" s="228"/>
      <c r="H172" s="228"/>
      <c r="I172" s="228"/>
      <c r="J172" s="228"/>
      <c r="K172" s="228"/>
    </row>
    <row r="173" spans="2:11">
      <c r="B173" s="73"/>
      <c r="C173" s="248"/>
      <c r="D173" s="228"/>
      <c r="F173" s="228"/>
      <c r="G173" s="228"/>
      <c r="H173" s="228"/>
      <c r="I173" s="228"/>
      <c r="J173" s="228"/>
      <c r="K173" s="228"/>
    </row>
    <row r="174" spans="2:11">
      <c r="B174" s="73"/>
      <c r="C174" s="248"/>
      <c r="D174" s="228"/>
      <c r="F174" s="228"/>
      <c r="G174" s="228"/>
      <c r="H174" s="228"/>
      <c r="I174" s="228"/>
      <c r="J174" s="228"/>
      <c r="K174" s="228"/>
    </row>
    <row r="175" spans="2:11">
      <c r="B175" s="73"/>
      <c r="C175" s="248"/>
      <c r="D175" s="228"/>
      <c r="F175" s="228"/>
      <c r="G175" s="228"/>
      <c r="H175" s="228"/>
      <c r="I175" s="228"/>
      <c r="J175" s="228"/>
      <c r="K175" s="228"/>
    </row>
    <row r="176" spans="2:11">
      <c r="B176" s="73"/>
      <c r="C176" s="248"/>
      <c r="D176" s="228"/>
      <c r="F176" s="228"/>
      <c r="G176" s="228"/>
      <c r="H176" s="228"/>
      <c r="I176" s="228"/>
      <c r="J176" s="228"/>
      <c r="K176" s="228"/>
    </row>
    <row r="177" spans="2:11">
      <c r="B177" s="73"/>
      <c r="C177" s="248"/>
      <c r="D177" s="228"/>
      <c r="F177" s="228"/>
      <c r="G177" s="228"/>
      <c r="H177" s="228"/>
      <c r="I177" s="228"/>
      <c r="J177" s="228"/>
      <c r="K177" s="228"/>
    </row>
    <row r="178" spans="2:11">
      <c r="B178" s="73"/>
      <c r="C178" s="248"/>
      <c r="D178" s="228"/>
      <c r="F178" s="228"/>
      <c r="G178" s="228"/>
      <c r="H178" s="228"/>
      <c r="I178" s="228"/>
      <c r="J178" s="228"/>
      <c r="K178" s="228"/>
    </row>
    <row r="179" spans="2:11">
      <c r="B179" s="73"/>
      <c r="C179" s="248"/>
      <c r="D179" s="228"/>
      <c r="F179" s="228"/>
      <c r="G179" s="228"/>
      <c r="H179" s="228"/>
      <c r="I179" s="228"/>
      <c r="J179" s="228"/>
      <c r="K179" s="228"/>
    </row>
    <row r="180" spans="2:11">
      <c r="B180" s="73"/>
      <c r="C180" s="248"/>
      <c r="D180" s="228"/>
      <c r="F180" s="228"/>
      <c r="G180" s="228"/>
      <c r="H180" s="228"/>
      <c r="I180" s="228"/>
      <c r="J180" s="228"/>
      <c r="K180" s="228"/>
    </row>
    <row r="181" spans="2:11">
      <c r="B181" s="73"/>
      <c r="C181" s="248"/>
      <c r="D181" s="228"/>
      <c r="F181" s="228"/>
      <c r="G181" s="228"/>
      <c r="H181" s="228"/>
      <c r="I181" s="228"/>
      <c r="J181" s="228"/>
      <c r="K181" s="228"/>
    </row>
    <row r="182" spans="2:11">
      <c r="B182" s="73"/>
      <c r="C182" s="248"/>
      <c r="D182" s="228"/>
      <c r="F182" s="228"/>
      <c r="G182" s="228"/>
      <c r="H182" s="228"/>
      <c r="I182" s="228"/>
      <c r="J182" s="228"/>
      <c r="K182" s="228"/>
    </row>
    <row r="183" spans="2:11">
      <c r="B183" s="73"/>
      <c r="C183" s="248"/>
      <c r="D183" s="228"/>
      <c r="F183" s="228"/>
      <c r="G183" s="228"/>
      <c r="H183" s="228"/>
      <c r="I183" s="228"/>
      <c r="J183" s="228"/>
      <c r="K183" s="228"/>
    </row>
    <row r="184" spans="2:11">
      <c r="B184" s="73"/>
      <c r="C184" s="248"/>
      <c r="D184" s="228"/>
      <c r="F184" s="228"/>
      <c r="G184" s="228"/>
      <c r="H184" s="228"/>
      <c r="I184" s="228"/>
      <c r="J184" s="228"/>
      <c r="K184" s="228"/>
    </row>
    <row r="185" spans="2:11">
      <c r="B185" s="73"/>
      <c r="C185" s="248"/>
      <c r="D185" s="228"/>
      <c r="F185" s="228"/>
      <c r="G185" s="228"/>
      <c r="H185" s="228"/>
      <c r="I185" s="228"/>
      <c r="J185" s="228"/>
      <c r="K185" s="228"/>
    </row>
    <row r="186" spans="2:11">
      <c r="B186" s="73"/>
      <c r="C186" s="248"/>
      <c r="D186" s="228"/>
      <c r="F186" s="228"/>
      <c r="G186" s="228"/>
      <c r="H186" s="228"/>
      <c r="I186" s="228"/>
      <c r="J186" s="228"/>
      <c r="K186" s="228"/>
    </row>
    <row r="187" spans="2:11">
      <c r="B187" s="73"/>
      <c r="C187" s="248"/>
      <c r="D187" s="228"/>
      <c r="F187" s="228"/>
      <c r="G187" s="228"/>
      <c r="H187" s="228"/>
      <c r="I187" s="228"/>
      <c r="J187" s="228"/>
      <c r="K187" s="228"/>
    </row>
    <row r="188" spans="2:11">
      <c r="B188" s="73"/>
      <c r="C188" s="248"/>
      <c r="D188" s="228"/>
      <c r="F188" s="228"/>
      <c r="G188" s="228"/>
      <c r="H188" s="228"/>
      <c r="I188" s="228"/>
      <c r="J188" s="228"/>
      <c r="K188" s="228"/>
    </row>
    <row r="189" spans="2:11">
      <c r="B189" s="73"/>
      <c r="C189" s="248"/>
      <c r="D189" s="228"/>
      <c r="F189" s="228"/>
      <c r="G189" s="228"/>
      <c r="H189" s="228"/>
      <c r="I189" s="228"/>
      <c r="J189" s="228"/>
      <c r="K189" s="228"/>
    </row>
    <row r="190" spans="2:11">
      <c r="B190" s="73"/>
      <c r="C190" s="248"/>
      <c r="D190" s="228"/>
      <c r="F190" s="228"/>
      <c r="G190" s="228"/>
      <c r="H190" s="228"/>
      <c r="I190" s="228"/>
      <c r="J190" s="228"/>
      <c r="K190" s="228"/>
    </row>
    <row r="191" spans="2:11">
      <c r="B191" s="73"/>
      <c r="C191" s="248"/>
      <c r="D191" s="228"/>
      <c r="F191" s="228"/>
      <c r="G191" s="228"/>
      <c r="H191" s="228"/>
      <c r="I191" s="228"/>
      <c r="J191" s="228"/>
      <c r="K191" s="228"/>
    </row>
    <row r="192" spans="2:11">
      <c r="B192" s="73"/>
      <c r="C192" s="248"/>
      <c r="D192" s="228"/>
      <c r="F192" s="228"/>
      <c r="G192" s="228"/>
      <c r="H192" s="228"/>
      <c r="I192" s="228"/>
      <c r="J192" s="228"/>
      <c r="K192" s="228"/>
    </row>
    <row r="193" spans="2:11">
      <c r="B193" s="73"/>
      <c r="C193" s="248"/>
      <c r="D193" s="228"/>
      <c r="F193" s="228"/>
      <c r="G193" s="228"/>
      <c r="H193" s="228"/>
      <c r="I193" s="228"/>
      <c r="J193" s="228"/>
      <c r="K193" s="228"/>
    </row>
    <row r="194" spans="2:11">
      <c r="B194" s="73"/>
      <c r="C194" s="248"/>
      <c r="D194" s="228"/>
      <c r="F194" s="228"/>
      <c r="G194" s="228"/>
      <c r="H194" s="228"/>
      <c r="I194" s="228"/>
      <c r="J194" s="228"/>
      <c r="K194" s="228"/>
    </row>
    <row r="195" spans="2:11">
      <c r="B195" s="73"/>
      <c r="C195" s="248"/>
      <c r="D195" s="228"/>
      <c r="F195" s="228"/>
      <c r="G195" s="228"/>
      <c r="H195" s="228"/>
      <c r="I195" s="228"/>
      <c r="J195" s="228"/>
      <c r="K195" s="228"/>
    </row>
    <row r="196" spans="2:11">
      <c r="B196" s="73"/>
      <c r="C196" s="248"/>
      <c r="D196" s="228"/>
      <c r="F196" s="228"/>
      <c r="G196" s="228"/>
      <c r="H196" s="228"/>
      <c r="I196" s="228"/>
      <c r="J196" s="228"/>
      <c r="K196" s="228"/>
    </row>
    <row r="197" spans="2:11">
      <c r="B197" s="73"/>
      <c r="C197" s="248"/>
      <c r="D197" s="228"/>
      <c r="F197" s="228"/>
      <c r="G197" s="228"/>
      <c r="H197" s="228"/>
      <c r="I197" s="228"/>
      <c r="J197" s="228"/>
      <c r="K197" s="228"/>
    </row>
    <row r="198" spans="2:11">
      <c r="B198" s="73"/>
      <c r="C198" s="248"/>
      <c r="D198" s="228"/>
      <c r="F198" s="228"/>
      <c r="G198" s="228"/>
      <c r="H198" s="228"/>
      <c r="I198" s="228"/>
      <c r="J198" s="228"/>
      <c r="K198" s="228"/>
    </row>
    <row r="199" spans="2:11">
      <c r="B199" s="73"/>
      <c r="C199" s="248"/>
      <c r="D199" s="228"/>
      <c r="F199" s="228"/>
      <c r="G199" s="228"/>
      <c r="H199" s="228"/>
      <c r="I199" s="228"/>
      <c r="J199" s="228"/>
      <c r="K199" s="228"/>
    </row>
    <row r="200" spans="2:11">
      <c r="B200" s="73"/>
      <c r="C200" s="248"/>
      <c r="D200" s="228"/>
      <c r="F200" s="228"/>
      <c r="G200" s="228"/>
      <c r="H200" s="228"/>
      <c r="I200" s="228"/>
      <c r="J200" s="228"/>
      <c r="K200" s="228"/>
    </row>
    <row r="201" spans="2:11">
      <c r="B201" s="73"/>
      <c r="C201" s="248"/>
      <c r="D201" s="228"/>
      <c r="F201" s="228"/>
      <c r="G201" s="228"/>
      <c r="H201" s="228"/>
      <c r="I201" s="228"/>
      <c r="J201" s="228"/>
      <c r="K201" s="228"/>
    </row>
    <row r="202" spans="2:11">
      <c r="B202" s="73"/>
      <c r="C202" s="248"/>
      <c r="D202" s="228"/>
      <c r="F202" s="228"/>
      <c r="G202" s="228"/>
      <c r="H202" s="228"/>
      <c r="I202" s="228"/>
      <c r="J202" s="228"/>
      <c r="K202" s="228"/>
    </row>
    <row r="203" spans="2:11">
      <c r="B203" s="73"/>
      <c r="C203" s="248"/>
      <c r="D203" s="228"/>
      <c r="F203" s="228"/>
      <c r="G203" s="228"/>
      <c r="H203" s="228"/>
      <c r="I203" s="228"/>
      <c r="J203" s="228"/>
      <c r="K203" s="228"/>
    </row>
    <row r="204" spans="2:11">
      <c r="B204" s="73"/>
      <c r="C204" s="248"/>
      <c r="D204" s="228"/>
      <c r="F204" s="228"/>
      <c r="G204" s="228"/>
      <c r="H204" s="228"/>
      <c r="I204" s="228"/>
      <c r="J204" s="228"/>
      <c r="K204" s="228"/>
    </row>
    <row r="205" spans="2:11">
      <c r="B205" s="73"/>
      <c r="C205" s="248"/>
      <c r="D205" s="228"/>
      <c r="F205" s="228"/>
      <c r="G205" s="228"/>
      <c r="H205" s="228"/>
      <c r="I205" s="228"/>
      <c r="J205" s="228"/>
      <c r="K205" s="228"/>
    </row>
    <row r="206" spans="2:11">
      <c r="B206" s="73"/>
      <c r="C206" s="248"/>
      <c r="D206" s="228"/>
      <c r="F206" s="228"/>
      <c r="G206" s="228"/>
      <c r="H206" s="228"/>
      <c r="I206" s="228"/>
      <c r="J206" s="228"/>
      <c r="K206" s="228"/>
    </row>
    <row r="207" spans="2:11">
      <c r="B207" s="73"/>
      <c r="C207" s="248"/>
      <c r="D207" s="228"/>
      <c r="F207" s="228"/>
      <c r="G207" s="228"/>
      <c r="H207" s="228"/>
      <c r="I207" s="228"/>
      <c r="J207" s="228"/>
      <c r="K207" s="228"/>
    </row>
    <row r="208" spans="2:11">
      <c r="B208" s="73"/>
      <c r="C208" s="248"/>
      <c r="D208" s="228"/>
      <c r="F208" s="228"/>
      <c r="G208" s="228"/>
      <c r="H208" s="228"/>
      <c r="I208" s="228"/>
      <c r="J208" s="228"/>
      <c r="K208" s="228"/>
    </row>
    <row r="209" spans="2:11">
      <c r="B209" s="73"/>
      <c r="C209" s="248"/>
      <c r="D209" s="228"/>
      <c r="F209" s="228"/>
      <c r="G209" s="228"/>
      <c r="H209" s="228"/>
      <c r="I209" s="228"/>
      <c r="J209" s="228"/>
      <c r="K209" s="228"/>
    </row>
    <row r="210" spans="2:11">
      <c r="B210" s="73"/>
      <c r="C210" s="248"/>
      <c r="D210" s="228"/>
      <c r="F210" s="228"/>
      <c r="G210" s="228"/>
      <c r="H210" s="228"/>
      <c r="I210" s="228"/>
      <c r="J210" s="228"/>
      <c r="K210" s="228"/>
    </row>
    <row r="211" spans="2:11">
      <c r="B211" s="73"/>
      <c r="C211" s="248"/>
      <c r="D211" s="228"/>
      <c r="F211" s="228"/>
      <c r="G211" s="228"/>
      <c r="H211" s="228"/>
      <c r="I211" s="228"/>
      <c r="J211" s="228"/>
      <c r="K211" s="228"/>
    </row>
    <row r="212" spans="2:11">
      <c r="B212" s="73"/>
      <c r="C212" s="248"/>
      <c r="D212" s="228"/>
      <c r="F212" s="228"/>
      <c r="G212" s="228"/>
      <c r="H212" s="228"/>
      <c r="I212" s="228"/>
      <c r="J212" s="228"/>
      <c r="K212" s="228"/>
    </row>
    <row r="213" spans="2:11">
      <c r="B213" s="73"/>
      <c r="C213" s="248"/>
      <c r="D213" s="228"/>
      <c r="F213" s="228"/>
      <c r="G213" s="228"/>
      <c r="H213" s="228"/>
      <c r="I213" s="228"/>
      <c r="J213" s="228"/>
      <c r="K213" s="228"/>
    </row>
    <row r="214" spans="2:11">
      <c r="B214" s="73"/>
      <c r="C214" s="248"/>
      <c r="D214" s="228"/>
      <c r="F214" s="228"/>
      <c r="G214" s="228"/>
      <c r="H214" s="228"/>
      <c r="I214" s="228"/>
      <c r="J214" s="228"/>
      <c r="K214" s="228"/>
    </row>
    <row r="215" spans="2:11">
      <c r="B215" s="73"/>
      <c r="C215" s="248"/>
      <c r="D215" s="228"/>
      <c r="F215" s="228"/>
      <c r="G215" s="228"/>
      <c r="H215" s="228"/>
      <c r="I215" s="228"/>
      <c r="J215" s="228"/>
      <c r="K215" s="228"/>
    </row>
    <row r="216" spans="2:11">
      <c r="B216" s="73"/>
      <c r="C216" s="248"/>
      <c r="D216" s="228"/>
      <c r="F216" s="228"/>
      <c r="G216" s="228"/>
      <c r="H216" s="228"/>
      <c r="I216" s="228"/>
      <c r="J216" s="228"/>
      <c r="K216" s="228"/>
    </row>
    <row r="217" spans="2:11">
      <c r="B217" s="73"/>
      <c r="C217" s="248"/>
      <c r="D217" s="228"/>
      <c r="F217" s="228"/>
      <c r="G217" s="228"/>
      <c r="H217" s="228"/>
      <c r="I217" s="228"/>
      <c r="J217" s="228"/>
      <c r="K217" s="228"/>
    </row>
    <row r="218" spans="2:11">
      <c r="B218" s="73"/>
      <c r="C218" s="248"/>
      <c r="D218" s="228"/>
      <c r="F218" s="228"/>
      <c r="G218" s="228"/>
      <c r="H218" s="228"/>
      <c r="I218" s="228"/>
      <c r="J218" s="228"/>
      <c r="K218" s="228"/>
    </row>
    <row r="219" spans="2:11">
      <c r="B219" s="73"/>
      <c r="C219" s="248"/>
      <c r="D219" s="228"/>
      <c r="F219" s="228"/>
      <c r="G219" s="228"/>
      <c r="H219" s="228"/>
      <c r="I219" s="228"/>
      <c r="J219" s="228"/>
      <c r="K219" s="228"/>
    </row>
    <row r="220" spans="2:11">
      <c r="B220" s="73"/>
      <c r="C220" s="248"/>
      <c r="D220" s="228"/>
      <c r="F220" s="228"/>
      <c r="G220" s="228"/>
      <c r="H220" s="228"/>
      <c r="I220" s="228"/>
      <c r="J220" s="228"/>
      <c r="K220" s="228"/>
    </row>
    <row r="221" spans="2:11">
      <c r="B221" s="73"/>
      <c r="C221" s="248"/>
      <c r="D221" s="228"/>
      <c r="F221" s="228"/>
      <c r="G221" s="228"/>
      <c r="H221" s="228"/>
      <c r="I221" s="228"/>
      <c r="J221" s="228"/>
      <c r="K221" s="228"/>
    </row>
    <row r="222" spans="2:11">
      <c r="B222" s="73"/>
      <c r="C222" s="248"/>
      <c r="D222" s="228"/>
      <c r="F222" s="228"/>
      <c r="G222" s="228"/>
      <c r="H222" s="228"/>
      <c r="I222" s="228"/>
      <c r="J222" s="228"/>
      <c r="K222" s="228"/>
    </row>
    <row r="223" spans="2:11">
      <c r="B223" s="73"/>
      <c r="C223" s="248"/>
      <c r="D223" s="228"/>
      <c r="F223" s="228"/>
      <c r="G223" s="228"/>
      <c r="H223" s="228"/>
      <c r="I223" s="228"/>
      <c r="J223" s="228"/>
      <c r="K223" s="228"/>
    </row>
    <row r="224" spans="2:11">
      <c r="B224" s="73"/>
      <c r="C224" s="248"/>
      <c r="D224" s="228"/>
      <c r="F224" s="228"/>
      <c r="G224" s="228"/>
      <c r="H224" s="228"/>
      <c r="I224" s="228"/>
      <c r="J224" s="228"/>
      <c r="K224" s="228"/>
    </row>
    <row r="225" spans="2:11">
      <c r="B225" s="73"/>
      <c r="C225" s="248"/>
      <c r="D225" s="228"/>
      <c r="F225" s="228"/>
      <c r="G225" s="228"/>
      <c r="H225" s="228"/>
      <c r="I225" s="228"/>
      <c r="J225" s="228"/>
      <c r="K225" s="228"/>
    </row>
    <row r="226" spans="2:11">
      <c r="B226" s="73"/>
      <c r="C226" s="248"/>
      <c r="D226" s="228"/>
      <c r="F226" s="228"/>
      <c r="G226" s="228"/>
      <c r="H226" s="228"/>
      <c r="I226" s="228"/>
      <c r="J226" s="228"/>
      <c r="K226" s="228"/>
    </row>
    <row r="227" spans="2:11">
      <c r="B227" s="73"/>
      <c r="C227" s="248"/>
      <c r="D227" s="228"/>
      <c r="F227" s="228"/>
      <c r="G227" s="228"/>
      <c r="H227" s="228"/>
      <c r="I227" s="228"/>
      <c r="J227" s="228"/>
      <c r="K227" s="228"/>
    </row>
    <row r="228" spans="2:11">
      <c r="B228" s="73"/>
      <c r="C228" s="248"/>
      <c r="D228" s="228"/>
      <c r="F228" s="228"/>
      <c r="G228" s="228"/>
      <c r="H228" s="228"/>
      <c r="I228" s="228"/>
      <c r="J228" s="228"/>
      <c r="K228" s="228"/>
    </row>
    <row r="229" spans="2:11">
      <c r="B229" s="73"/>
      <c r="C229" s="248"/>
      <c r="D229" s="228"/>
      <c r="F229" s="228"/>
      <c r="G229" s="228"/>
      <c r="H229" s="228"/>
      <c r="I229" s="228"/>
      <c r="J229" s="228"/>
      <c r="K229" s="228"/>
    </row>
    <row r="230" spans="2:11">
      <c r="B230" s="73"/>
      <c r="C230" s="248"/>
      <c r="D230" s="228"/>
      <c r="F230" s="228"/>
      <c r="G230" s="228"/>
      <c r="H230" s="228"/>
      <c r="I230" s="228"/>
      <c r="J230" s="228"/>
      <c r="K230" s="228"/>
    </row>
    <row r="231" spans="2:11">
      <c r="B231" s="73"/>
      <c r="C231" s="248"/>
      <c r="D231" s="228"/>
      <c r="F231" s="228"/>
      <c r="G231" s="228"/>
      <c r="H231" s="228"/>
      <c r="I231" s="228"/>
      <c r="J231" s="228"/>
      <c r="K231" s="228"/>
    </row>
    <row r="232" spans="2:11">
      <c r="B232" s="73"/>
      <c r="C232" s="248"/>
      <c r="D232" s="228"/>
      <c r="F232" s="228"/>
      <c r="G232" s="228"/>
      <c r="H232" s="228"/>
      <c r="I232" s="228"/>
      <c r="J232" s="228"/>
      <c r="K232" s="228"/>
    </row>
    <row r="233" spans="2:11">
      <c r="B233" s="73"/>
      <c r="C233" s="248"/>
      <c r="D233" s="228"/>
      <c r="F233" s="228"/>
      <c r="G233" s="228"/>
      <c r="H233" s="228"/>
      <c r="I233" s="228"/>
      <c r="J233" s="228"/>
      <c r="K233" s="228"/>
    </row>
    <row r="234" spans="2:11">
      <c r="B234" s="73"/>
      <c r="C234" s="248"/>
      <c r="D234" s="228"/>
      <c r="F234" s="228"/>
      <c r="G234" s="228"/>
      <c r="H234" s="228"/>
      <c r="I234" s="228"/>
      <c r="J234" s="228"/>
      <c r="K234" s="228"/>
    </row>
    <row r="235" spans="2:11">
      <c r="B235" s="73"/>
      <c r="C235" s="248"/>
      <c r="D235" s="228"/>
      <c r="F235" s="228"/>
      <c r="G235" s="228"/>
      <c r="H235" s="228"/>
      <c r="I235" s="228"/>
      <c r="J235" s="228"/>
      <c r="K235" s="228"/>
    </row>
    <row r="236" spans="2:11">
      <c r="B236" s="73"/>
      <c r="C236" s="248"/>
      <c r="D236" s="228"/>
      <c r="F236" s="228"/>
      <c r="G236" s="228"/>
      <c r="H236" s="228"/>
      <c r="I236" s="228"/>
      <c r="J236" s="228"/>
      <c r="K236" s="228"/>
    </row>
    <row r="237" spans="2:11">
      <c r="B237" s="73"/>
      <c r="C237" s="248"/>
      <c r="D237" s="228"/>
      <c r="F237" s="228"/>
      <c r="G237" s="228"/>
      <c r="H237" s="228"/>
      <c r="I237" s="228"/>
      <c r="J237" s="228"/>
      <c r="K237" s="228"/>
    </row>
    <row r="238" spans="2:11">
      <c r="B238" s="73"/>
      <c r="C238" s="248"/>
      <c r="D238" s="228"/>
      <c r="F238" s="228"/>
      <c r="G238" s="228"/>
      <c r="H238" s="228"/>
      <c r="I238" s="228"/>
      <c r="J238" s="228"/>
      <c r="K238" s="228"/>
    </row>
    <row r="239" spans="2:11">
      <c r="B239" s="73"/>
      <c r="C239" s="248"/>
      <c r="D239" s="228"/>
      <c r="F239" s="228"/>
      <c r="G239" s="228"/>
      <c r="H239" s="228"/>
      <c r="I239" s="228"/>
      <c r="J239" s="228"/>
      <c r="K239" s="228"/>
    </row>
    <row r="240" spans="2:11">
      <c r="B240" s="73"/>
      <c r="C240" s="248"/>
      <c r="D240" s="228"/>
      <c r="F240" s="228"/>
      <c r="G240" s="228"/>
      <c r="H240" s="228"/>
      <c r="I240" s="228"/>
      <c r="J240" s="228"/>
      <c r="K240" s="228"/>
    </row>
    <row r="241" spans="2:11">
      <c r="B241" s="73"/>
      <c r="C241" s="248"/>
      <c r="D241" s="228"/>
      <c r="F241" s="228"/>
      <c r="G241" s="228"/>
      <c r="H241" s="228"/>
      <c r="I241" s="228"/>
      <c r="J241" s="228"/>
      <c r="K241" s="228"/>
    </row>
    <row r="242" spans="2:11">
      <c r="B242" s="73"/>
      <c r="C242" s="248"/>
      <c r="D242" s="228"/>
      <c r="F242" s="228"/>
      <c r="G242" s="228"/>
      <c r="H242" s="228"/>
      <c r="I242" s="228"/>
      <c r="J242" s="228"/>
      <c r="K242" s="228"/>
    </row>
    <row r="243" spans="2:11">
      <c r="B243" s="73"/>
      <c r="C243" s="248"/>
      <c r="D243" s="228"/>
      <c r="F243" s="228"/>
      <c r="G243" s="228"/>
      <c r="H243" s="228"/>
      <c r="I243" s="228"/>
      <c r="J243" s="228"/>
      <c r="K243" s="228"/>
    </row>
    <row r="244" spans="2:11">
      <c r="B244" s="73"/>
      <c r="C244" s="248"/>
      <c r="D244" s="228"/>
      <c r="F244" s="228"/>
      <c r="G244" s="228"/>
      <c r="H244" s="228"/>
      <c r="I244" s="228"/>
      <c r="J244" s="228"/>
      <c r="K244" s="228"/>
    </row>
    <row r="245" spans="2:11">
      <c r="B245" s="73"/>
      <c r="C245" s="248"/>
      <c r="D245" s="228"/>
      <c r="F245" s="228"/>
      <c r="G245" s="228"/>
      <c r="H245" s="228"/>
      <c r="I245" s="228"/>
      <c r="J245" s="228"/>
      <c r="K245" s="228"/>
    </row>
    <row r="246" spans="2:11">
      <c r="B246" s="73"/>
      <c r="C246" s="248"/>
      <c r="D246" s="228"/>
      <c r="F246" s="228"/>
      <c r="G246" s="228"/>
      <c r="H246" s="228"/>
      <c r="I246" s="228"/>
      <c r="J246" s="228"/>
      <c r="K246" s="228"/>
    </row>
    <row r="247" spans="2:11">
      <c r="B247" s="73"/>
      <c r="C247" s="248"/>
      <c r="D247" s="228"/>
      <c r="F247" s="228"/>
      <c r="G247" s="228"/>
      <c r="H247" s="228"/>
      <c r="I247" s="228"/>
      <c r="J247" s="228"/>
      <c r="K247" s="228"/>
    </row>
    <row r="248" spans="2:11">
      <c r="B248" s="73"/>
      <c r="C248" s="248"/>
      <c r="D248" s="228"/>
      <c r="F248" s="228"/>
      <c r="G248" s="228"/>
      <c r="H248" s="228"/>
      <c r="I248" s="228"/>
      <c r="J248" s="228"/>
      <c r="K248" s="228"/>
    </row>
    <row r="249" spans="2:11">
      <c r="B249" s="73"/>
      <c r="C249" s="248"/>
      <c r="D249" s="228"/>
      <c r="F249" s="228"/>
      <c r="G249" s="228"/>
      <c r="H249" s="228"/>
      <c r="I249" s="228"/>
      <c r="J249" s="228"/>
      <c r="K249" s="228"/>
    </row>
    <row r="250" spans="2:11">
      <c r="B250" s="73"/>
      <c r="C250" s="248"/>
      <c r="D250" s="228"/>
      <c r="F250" s="228"/>
      <c r="G250" s="228"/>
      <c r="H250" s="228"/>
      <c r="I250" s="228"/>
      <c r="J250" s="228"/>
      <c r="K250" s="228"/>
    </row>
    <row r="251" spans="2:11">
      <c r="B251" s="73"/>
      <c r="C251" s="248"/>
      <c r="D251" s="228"/>
      <c r="F251" s="228"/>
      <c r="G251" s="228"/>
      <c r="H251" s="228"/>
      <c r="I251" s="228"/>
      <c r="J251" s="228"/>
      <c r="K251" s="228"/>
    </row>
    <row r="252" spans="2:11">
      <c r="B252" s="73"/>
      <c r="C252" s="248"/>
      <c r="D252" s="228"/>
      <c r="F252" s="228"/>
      <c r="G252" s="228"/>
      <c r="H252" s="228"/>
      <c r="I252" s="228"/>
      <c r="J252" s="228"/>
      <c r="K252" s="228"/>
    </row>
    <row r="253" spans="2:11">
      <c r="B253" s="73"/>
      <c r="C253" s="248"/>
      <c r="D253" s="228"/>
      <c r="F253" s="228"/>
      <c r="G253" s="228"/>
      <c r="H253" s="228"/>
      <c r="I253" s="228"/>
      <c r="J253" s="228"/>
      <c r="K253" s="228"/>
    </row>
    <row r="254" spans="2:11">
      <c r="B254" s="73"/>
      <c r="C254" s="248"/>
      <c r="D254" s="228"/>
      <c r="F254" s="228"/>
      <c r="G254" s="228"/>
      <c r="H254" s="228"/>
      <c r="I254" s="228"/>
      <c r="J254" s="228"/>
      <c r="K254" s="228"/>
    </row>
    <row r="255" spans="2:11">
      <c r="B255" s="73"/>
      <c r="C255" s="248"/>
      <c r="D255" s="228"/>
      <c r="F255" s="228"/>
      <c r="G255" s="228"/>
      <c r="H255" s="228"/>
      <c r="I255" s="228"/>
      <c r="J255" s="228"/>
      <c r="K255" s="228"/>
    </row>
    <row r="256" spans="2:11">
      <c r="B256" s="73"/>
      <c r="C256" s="248"/>
      <c r="D256" s="228"/>
      <c r="F256" s="228"/>
      <c r="G256" s="228"/>
      <c r="H256" s="228"/>
      <c r="I256" s="228"/>
      <c r="J256" s="228"/>
      <c r="K256" s="228"/>
    </row>
    <row r="257" spans="2:11">
      <c r="B257" s="73"/>
      <c r="C257" s="248"/>
      <c r="D257" s="228"/>
      <c r="F257" s="228"/>
      <c r="G257" s="228"/>
      <c r="H257" s="228"/>
      <c r="I257" s="228"/>
      <c r="J257" s="228"/>
      <c r="K257" s="228"/>
    </row>
    <row r="258" spans="2:11">
      <c r="B258" s="73"/>
      <c r="C258" s="248"/>
      <c r="D258" s="228"/>
      <c r="F258" s="228"/>
      <c r="G258" s="228"/>
      <c r="H258" s="228"/>
      <c r="I258" s="228"/>
      <c r="J258" s="228"/>
      <c r="K258" s="228"/>
    </row>
    <row r="259" spans="2:11">
      <c r="B259" s="73"/>
      <c r="C259" s="248"/>
      <c r="D259" s="228"/>
      <c r="F259" s="228"/>
      <c r="G259" s="228"/>
      <c r="H259" s="228"/>
      <c r="I259" s="228"/>
      <c r="J259" s="228"/>
      <c r="K259" s="228"/>
    </row>
    <row r="260" spans="2:11">
      <c r="B260" s="73"/>
      <c r="C260" s="248"/>
      <c r="D260" s="228"/>
      <c r="F260" s="228"/>
      <c r="G260" s="228"/>
      <c r="H260" s="228"/>
      <c r="I260" s="228"/>
      <c r="J260" s="228"/>
      <c r="K260" s="228"/>
    </row>
    <row r="261" spans="2:11">
      <c r="B261" s="73"/>
      <c r="C261" s="248"/>
      <c r="D261" s="228"/>
      <c r="F261" s="228"/>
      <c r="G261" s="228"/>
      <c r="H261" s="228"/>
      <c r="I261" s="228"/>
      <c r="J261" s="228"/>
      <c r="K261" s="228"/>
    </row>
    <row r="262" spans="2:11">
      <c r="B262" s="73"/>
      <c r="C262" s="248"/>
      <c r="D262" s="228"/>
      <c r="F262" s="228"/>
      <c r="G262" s="228"/>
      <c r="H262" s="228"/>
      <c r="I262" s="228"/>
      <c r="J262" s="228"/>
      <c r="K262" s="228"/>
    </row>
    <row r="263" spans="2:11">
      <c r="B263" s="73"/>
      <c r="C263" s="248"/>
      <c r="D263" s="228"/>
      <c r="F263" s="228"/>
      <c r="G263" s="228"/>
      <c r="H263" s="228"/>
      <c r="I263" s="228"/>
      <c r="J263" s="228"/>
      <c r="K263" s="228"/>
    </row>
    <row r="264" spans="2:11">
      <c r="B264" s="73"/>
      <c r="C264" s="248"/>
      <c r="D264" s="228"/>
      <c r="F264" s="228"/>
      <c r="G264" s="228"/>
      <c r="H264" s="228"/>
      <c r="I264" s="228"/>
      <c r="J264" s="228"/>
      <c r="K264" s="228"/>
    </row>
    <row r="265" spans="2:11">
      <c r="B265" s="73"/>
      <c r="C265" s="248"/>
      <c r="D265" s="228"/>
      <c r="F265" s="228"/>
      <c r="G265" s="228"/>
      <c r="H265" s="228"/>
      <c r="I265" s="228"/>
      <c r="J265" s="228"/>
      <c r="K265" s="228"/>
    </row>
    <row r="266" spans="2:11">
      <c r="B266" s="73"/>
      <c r="C266" s="248"/>
      <c r="D266" s="228"/>
      <c r="F266" s="228"/>
      <c r="G266" s="228"/>
      <c r="H266" s="228"/>
      <c r="I266" s="228"/>
      <c r="J266" s="228"/>
      <c r="K266" s="228"/>
    </row>
    <row r="267" spans="2:11">
      <c r="B267" s="73"/>
      <c r="C267" s="248"/>
      <c r="D267" s="228"/>
      <c r="F267" s="228"/>
      <c r="G267" s="228"/>
      <c r="H267" s="228"/>
      <c r="I267" s="228"/>
      <c r="J267" s="228"/>
      <c r="K267" s="228"/>
    </row>
    <row r="268" spans="2:11">
      <c r="B268" s="73"/>
      <c r="C268" s="248"/>
      <c r="D268" s="228"/>
      <c r="F268" s="228"/>
      <c r="G268" s="228"/>
      <c r="H268" s="228"/>
      <c r="I268" s="228"/>
      <c r="J268" s="228"/>
      <c r="K268" s="228"/>
    </row>
    <row r="269" spans="2:11">
      <c r="B269" s="73"/>
      <c r="C269" s="248"/>
      <c r="D269" s="228"/>
      <c r="F269" s="228"/>
      <c r="G269" s="228"/>
      <c r="H269" s="228"/>
      <c r="I269" s="228"/>
      <c r="J269" s="228"/>
      <c r="K269" s="228"/>
    </row>
    <row r="270" spans="2:11">
      <c r="B270" s="73"/>
      <c r="C270" s="248"/>
      <c r="D270" s="228"/>
      <c r="F270" s="228"/>
      <c r="G270" s="228"/>
      <c r="H270" s="228"/>
      <c r="I270" s="228"/>
      <c r="J270" s="228"/>
      <c r="K270" s="228"/>
    </row>
    <row r="271" spans="2:11">
      <c r="B271" s="73"/>
      <c r="C271" s="248"/>
      <c r="D271" s="228"/>
      <c r="F271" s="228"/>
      <c r="G271" s="228"/>
      <c r="H271" s="228"/>
      <c r="I271" s="228"/>
      <c r="J271" s="228"/>
      <c r="K271" s="228"/>
    </row>
    <row r="272" spans="2:11">
      <c r="B272" s="73"/>
      <c r="C272" s="248"/>
      <c r="D272" s="228"/>
      <c r="F272" s="228"/>
      <c r="G272" s="228"/>
      <c r="H272" s="228"/>
      <c r="I272" s="228"/>
      <c r="J272" s="228"/>
      <c r="K272" s="228"/>
    </row>
    <row r="273" spans="2:11">
      <c r="B273" s="73"/>
      <c r="C273" s="248"/>
      <c r="D273" s="228"/>
      <c r="F273" s="228"/>
      <c r="G273" s="228"/>
      <c r="H273" s="228"/>
      <c r="I273" s="228"/>
      <c r="J273" s="228"/>
      <c r="K273" s="228"/>
    </row>
    <row r="274" spans="2:11">
      <c r="B274" s="73"/>
      <c r="C274" s="248"/>
      <c r="D274" s="228"/>
      <c r="F274" s="228"/>
      <c r="G274" s="228"/>
      <c r="H274" s="228"/>
      <c r="I274" s="228"/>
      <c r="J274" s="228"/>
      <c r="K274" s="228"/>
    </row>
    <row r="275" spans="2:11">
      <c r="B275" s="73"/>
      <c r="C275" s="248"/>
      <c r="D275" s="228"/>
      <c r="F275" s="228"/>
      <c r="G275" s="228"/>
      <c r="H275" s="228"/>
      <c r="I275" s="228"/>
      <c r="J275" s="228"/>
      <c r="K275" s="228"/>
    </row>
    <row r="276" spans="2:11">
      <c r="B276" s="73"/>
      <c r="C276" s="248"/>
      <c r="D276" s="228"/>
      <c r="F276" s="228"/>
      <c r="G276" s="228"/>
      <c r="H276" s="228"/>
      <c r="I276" s="228"/>
      <c r="J276" s="228"/>
      <c r="K276" s="228"/>
    </row>
    <row r="277" spans="2:11">
      <c r="B277" s="73"/>
      <c r="C277" s="248"/>
      <c r="D277" s="228"/>
      <c r="F277" s="228"/>
      <c r="G277" s="228"/>
      <c r="H277" s="228"/>
      <c r="I277" s="228"/>
      <c r="J277" s="228"/>
      <c r="K277" s="228"/>
    </row>
    <row r="278" spans="2:11">
      <c r="B278" s="73"/>
      <c r="C278" s="248"/>
      <c r="D278" s="228"/>
      <c r="F278" s="228"/>
      <c r="G278" s="228"/>
      <c r="H278" s="228"/>
      <c r="I278" s="228"/>
      <c r="J278" s="228"/>
      <c r="K278" s="228"/>
    </row>
    <row r="279" spans="2:11">
      <c r="B279" s="73"/>
      <c r="C279" s="248"/>
      <c r="D279" s="228"/>
      <c r="F279" s="228"/>
      <c r="G279" s="228"/>
      <c r="H279" s="228"/>
      <c r="I279" s="228"/>
      <c r="J279" s="228"/>
      <c r="K279" s="228"/>
    </row>
    <row r="280" spans="2:11">
      <c r="B280" s="73"/>
      <c r="C280" s="248"/>
      <c r="D280" s="228"/>
      <c r="F280" s="228"/>
      <c r="G280" s="228"/>
      <c r="H280" s="228"/>
      <c r="I280" s="228"/>
      <c r="J280" s="228"/>
      <c r="K280" s="228"/>
    </row>
    <row r="281" spans="2:11">
      <c r="B281" s="73"/>
      <c r="C281" s="248"/>
      <c r="D281" s="228"/>
      <c r="F281" s="228"/>
      <c r="G281" s="228"/>
      <c r="H281" s="228"/>
      <c r="I281" s="228"/>
      <c r="J281" s="228"/>
      <c r="K281" s="228"/>
    </row>
    <row r="282" spans="2:11">
      <c r="B282" s="73"/>
      <c r="C282" s="248"/>
      <c r="D282" s="228"/>
      <c r="F282" s="228"/>
      <c r="G282" s="228"/>
      <c r="H282" s="228"/>
      <c r="I282" s="228"/>
      <c r="J282" s="228"/>
      <c r="K282" s="228"/>
    </row>
    <row r="283" spans="2:11">
      <c r="B283" s="73"/>
      <c r="C283" s="248"/>
      <c r="D283" s="228"/>
      <c r="F283" s="228"/>
      <c r="G283" s="228"/>
      <c r="H283" s="228"/>
      <c r="I283" s="228"/>
      <c r="J283" s="228"/>
      <c r="K283" s="228"/>
    </row>
    <row r="284" spans="2:11">
      <c r="B284" s="73"/>
      <c r="C284" s="248"/>
      <c r="D284" s="228"/>
      <c r="F284" s="228"/>
      <c r="G284" s="228"/>
      <c r="H284" s="228"/>
      <c r="I284" s="228"/>
      <c r="J284" s="228"/>
      <c r="K284" s="228"/>
    </row>
    <row r="285" spans="2:11">
      <c r="B285" s="73"/>
      <c r="C285" s="248"/>
      <c r="D285" s="228"/>
      <c r="F285" s="228"/>
      <c r="G285" s="228"/>
      <c r="H285" s="228"/>
      <c r="I285" s="228"/>
      <c r="J285" s="228"/>
      <c r="K285" s="228"/>
    </row>
    <row r="286" spans="2:11">
      <c r="B286" s="73"/>
      <c r="C286" s="248"/>
      <c r="D286" s="228"/>
      <c r="F286" s="228"/>
      <c r="G286" s="228"/>
      <c r="H286" s="228"/>
      <c r="I286" s="228"/>
      <c r="J286" s="228"/>
      <c r="K286" s="228"/>
    </row>
    <row r="287" spans="2:11">
      <c r="B287" s="73"/>
      <c r="C287" s="248"/>
      <c r="D287" s="228"/>
      <c r="F287" s="228"/>
      <c r="G287" s="228"/>
      <c r="H287" s="228"/>
      <c r="I287" s="228"/>
      <c r="J287" s="228"/>
      <c r="K287" s="228"/>
    </row>
    <row r="288" spans="2:11">
      <c r="B288" s="73"/>
      <c r="C288" s="248"/>
      <c r="D288" s="228"/>
      <c r="F288" s="228"/>
      <c r="G288" s="228"/>
      <c r="H288" s="228"/>
      <c r="I288" s="228"/>
      <c r="J288" s="228"/>
      <c r="K288" s="228"/>
    </row>
    <row r="289" spans="2:11">
      <c r="B289" s="73"/>
      <c r="C289" s="248"/>
      <c r="D289" s="228"/>
      <c r="F289" s="228"/>
      <c r="G289" s="228"/>
      <c r="H289" s="228"/>
      <c r="I289" s="228"/>
      <c r="J289" s="228"/>
      <c r="K289" s="228"/>
    </row>
    <row r="290" spans="2:11">
      <c r="B290" s="73"/>
      <c r="C290" s="248"/>
      <c r="D290" s="228"/>
      <c r="F290" s="228"/>
      <c r="G290" s="228"/>
      <c r="H290" s="228"/>
      <c r="I290" s="228"/>
      <c r="J290" s="228"/>
      <c r="K290" s="228"/>
    </row>
    <row r="291" spans="2:11">
      <c r="B291" s="73"/>
      <c r="C291" s="248"/>
      <c r="D291" s="228"/>
      <c r="F291" s="228"/>
      <c r="G291" s="228"/>
      <c r="H291" s="228"/>
      <c r="I291" s="228"/>
      <c r="J291" s="228"/>
      <c r="K291" s="228"/>
    </row>
    <row r="292" spans="2:11">
      <c r="B292" s="73"/>
      <c r="C292" s="248"/>
      <c r="D292" s="228"/>
      <c r="F292" s="228"/>
      <c r="G292" s="228"/>
      <c r="H292" s="228"/>
      <c r="I292" s="228"/>
      <c r="J292" s="228"/>
      <c r="K292" s="228"/>
    </row>
    <row r="293" spans="2:11">
      <c r="B293" s="73"/>
      <c r="C293" s="248"/>
      <c r="D293" s="228"/>
      <c r="F293" s="228"/>
      <c r="G293" s="228"/>
      <c r="H293" s="228"/>
      <c r="I293" s="228"/>
      <c r="J293" s="228"/>
      <c r="K293" s="228"/>
    </row>
    <row r="294" spans="2:11">
      <c r="B294" s="73"/>
      <c r="C294" s="248"/>
      <c r="D294" s="228"/>
      <c r="F294" s="228"/>
      <c r="G294" s="228"/>
      <c r="H294" s="228"/>
      <c r="I294" s="228"/>
      <c r="J294" s="228"/>
      <c r="K294" s="228"/>
    </row>
    <row r="295" spans="2:11">
      <c r="B295" s="73"/>
      <c r="C295" s="248"/>
      <c r="D295" s="228"/>
      <c r="F295" s="228"/>
      <c r="G295" s="228"/>
      <c r="H295" s="228"/>
      <c r="I295" s="228"/>
      <c r="J295" s="228"/>
      <c r="K295" s="228"/>
    </row>
    <row r="296" spans="2:11">
      <c r="B296" s="73"/>
      <c r="C296" s="248"/>
      <c r="D296" s="228"/>
      <c r="F296" s="228"/>
      <c r="G296" s="228"/>
      <c r="H296" s="228"/>
      <c r="I296" s="228"/>
      <c r="J296" s="228"/>
      <c r="K296" s="228"/>
    </row>
    <row r="297" spans="2:11">
      <c r="B297" s="73"/>
      <c r="C297" s="248"/>
      <c r="D297" s="228"/>
      <c r="F297" s="228"/>
      <c r="G297" s="228"/>
      <c r="H297" s="228"/>
      <c r="I297" s="228"/>
      <c r="J297" s="228"/>
      <c r="K297" s="228"/>
    </row>
    <row r="298" spans="2:11">
      <c r="B298" s="73"/>
      <c r="C298" s="248"/>
      <c r="D298" s="228"/>
      <c r="F298" s="228"/>
      <c r="G298" s="228"/>
      <c r="H298" s="228"/>
      <c r="I298" s="228"/>
      <c r="J298" s="228"/>
      <c r="K298" s="228"/>
    </row>
    <row r="299" spans="2:11">
      <c r="B299" s="73"/>
      <c r="C299" s="248"/>
      <c r="D299" s="228"/>
      <c r="F299" s="228"/>
      <c r="G299" s="228"/>
      <c r="H299" s="228"/>
      <c r="I299" s="228"/>
      <c r="J299" s="228"/>
      <c r="K299" s="228"/>
    </row>
    <row r="300" spans="2:11">
      <c r="B300" s="73"/>
      <c r="C300" s="248"/>
      <c r="D300" s="228"/>
      <c r="F300" s="228"/>
      <c r="G300" s="228"/>
      <c r="H300" s="228"/>
      <c r="I300" s="228"/>
      <c r="J300" s="228"/>
      <c r="K300" s="228"/>
    </row>
    <row r="301" spans="2:11">
      <c r="B301" s="73"/>
      <c r="C301" s="248"/>
      <c r="D301" s="228"/>
      <c r="F301" s="228"/>
      <c r="G301" s="228"/>
      <c r="H301" s="228"/>
      <c r="I301" s="228"/>
      <c r="J301" s="228"/>
      <c r="K301" s="228"/>
    </row>
    <row r="302" spans="2:11">
      <c r="B302" s="73"/>
      <c r="C302" s="248"/>
      <c r="D302" s="228"/>
      <c r="F302" s="228"/>
      <c r="G302" s="228"/>
      <c r="H302" s="228"/>
      <c r="I302" s="228"/>
      <c r="J302" s="228"/>
      <c r="K302" s="228"/>
    </row>
    <row r="303" spans="2:11">
      <c r="B303" s="73"/>
      <c r="C303" s="248"/>
      <c r="D303" s="228"/>
      <c r="F303" s="228"/>
      <c r="G303" s="228"/>
      <c r="H303" s="228"/>
      <c r="I303" s="228"/>
      <c r="J303" s="228"/>
      <c r="K303" s="228"/>
    </row>
    <row r="304" spans="2:11">
      <c r="B304" s="73"/>
      <c r="C304" s="248"/>
      <c r="D304" s="228"/>
      <c r="F304" s="228"/>
      <c r="G304" s="228"/>
      <c r="H304" s="228"/>
      <c r="I304" s="228"/>
      <c r="J304" s="228"/>
      <c r="K304" s="228"/>
    </row>
    <row r="305" spans="2:11">
      <c r="B305" s="73"/>
      <c r="C305" s="248"/>
      <c r="D305" s="228"/>
      <c r="F305" s="228"/>
      <c r="G305" s="228"/>
      <c r="H305" s="228"/>
      <c r="I305" s="228"/>
      <c r="J305" s="228"/>
      <c r="K305" s="228"/>
    </row>
    <row r="306" spans="2:11">
      <c r="B306" s="73"/>
      <c r="C306" s="248"/>
      <c r="D306" s="228"/>
      <c r="F306" s="228"/>
      <c r="G306" s="228"/>
      <c r="H306" s="228"/>
      <c r="I306" s="228"/>
      <c r="J306" s="228"/>
      <c r="K306" s="228"/>
    </row>
    <row r="307" spans="2:11">
      <c r="B307" s="73"/>
      <c r="C307" s="248"/>
      <c r="D307" s="228"/>
      <c r="F307" s="228"/>
      <c r="G307" s="228"/>
      <c r="H307" s="228"/>
      <c r="I307" s="228"/>
      <c r="J307" s="228"/>
      <c r="K307" s="228"/>
    </row>
    <row r="308" spans="2:11">
      <c r="B308" s="73"/>
      <c r="C308" s="248"/>
      <c r="D308" s="228"/>
      <c r="F308" s="228"/>
      <c r="G308" s="228"/>
      <c r="H308" s="228"/>
      <c r="I308" s="228"/>
      <c r="J308" s="228"/>
      <c r="K308" s="228"/>
    </row>
    <row r="309" spans="2:11">
      <c r="B309" s="73"/>
      <c r="C309" s="248"/>
      <c r="D309" s="228"/>
      <c r="F309" s="228"/>
      <c r="G309" s="228"/>
      <c r="H309" s="228"/>
      <c r="I309" s="228"/>
      <c r="J309" s="228"/>
      <c r="K309" s="228"/>
    </row>
    <row r="310" spans="2:11">
      <c r="B310" s="73"/>
      <c r="C310" s="248"/>
      <c r="D310" s="228"/>
      <c r="F310" s="228"/>
      <c r="G310" s="228"/>
      <c r="H310" s="228"/>
      <c r="I310" s="228"/>
      <c r="J310" s="228"/>
      <c r="K310" s="228"/>
    </row>
    <row r="311" spans="2:11">
      <c r="B311" s="73"/>
      <c r="C311" s="248"/>
      <c r="D311" s="228"/>
      <c r="F311" s="228"/>
      <c r="G311" s="228"/>
      <c r="H311" s="228"/>
      <c r="I311" s="228"/>
      <c r="J311" s="228"/>
      <c r="K311" s="228"/>
    </row>
    <row r="312" spans="2:11">
      <c r="B312" s="73"/>
      <c r="C312" s="248"/>
      <c r="D312" s="228"/>
      <c r="F312" s="228"/>
      <c r="G312" s="228"/>
      <c r="H312" s="228"/>
      <c r="I312" s="228"/>
      <c r="J312" s="228"/>
      <c r="K312" s="228"/>
    </row>
    <row r="313" spans="2:11">
      <c r="B313" s="73"/>
      <c r="C313" s="248"/>
      <c r="D313" s="228"/>
      <c r="F313" s="228"/>
      <c r="G313" s="228"/>
      <c r="H313" s="228"/>
      <c r="I313" s="228"/>
      <c r="J313" s="228"/>
      <c r="K313" s="228"/>
    </row>
    <row r="314" spans="2:11">
      <c r="B314" s="73"/>
      <c r="C314" s="248"/>
      <c r="D314" s="228"/>
      <c r="F314" s="228"/>
      <c r="G314" s="228"/>
      <c r="H314" s="228"/>
      <c r="I314" s="228"/>
      <c r="J314" s="228"/>
      <c r="K314" s="228"/>
    </row>
    <row r="315" spans="2:11">
      <c r="B315" s="73"/>
      <c r="C315" s="248"/>
      <c r="D315" s="228"/>
      <c r="F315" s="228"/>
      <c r="G315" s="228"/>
      <c r="H315" s="228"/>
      <c r="I315" s="228"/>
      <c r="J315" s="228"/>
      <c r="K315" s="228"/>
    </row>
    <row r="316" spans="2:11">
      <c r="B316" s="73"/>
      <c r="C316" s="248"/>
      <c r="D316" s="228"/>
      <c r="F316" s="228"/>
      <c r="G316" s="228"/>
      <c r="H316" s="228"/>
      <c r="I316" s="228"/>
      <c r="J316" s="228"/>
      <c r="K316" s="228"/>
    </row>
    <row r="317" spans="2:11">
      <c r="B317" s="73"/>
      <c r="C317" s="248"/>
      <c r="D317" s="228"/>
      <c r="F317" s="228"/>
      <c r="G317" s="228"/>
      <c r="H317" s="228"/>
      <c r="I317" s="228"/>
      <c r="J317" s="228"/>
      <c r="K317" s="228"/>
    </row>
    <row r="318" spans="2:11">
      <c r="B318" s="73"/>
      <c r="C318" s="248"/>
      <c r="D318" s="228"/>
      <c r="F318" s="228"/>
      <c r="G318" s="228"/>
      <c r="H318" s="228"/>
      <c r="I318" s="228"/>
      <c r="J318" s="228"/>
      <c r="K318" s="228"/>
    </row>
    <row r="319" spans="2:11">
      <c r="B319" s="73"/>
      <c r="C319" s="248"/>
      <c r="D319" s="228"/>
      <c r="F319" s="228"/>
      <c r="G319" s="228"/>
      <c r="H319" s="228"/>
      <c r="I319" s="228"/>
      <c r="J319" s="228"/>
      <c r="K319" s="228"/>
    </row>
    <row r="320" spans="2:11">
      <c r="B320" s="73"/>
      <c r="C320" s="248"/>
      <c r="D320" s="228"/>
      <c r="F320" s="228"/>
      <c r="G320" s="228"/>
      <c r="H320" s="228"/>
      <c r="I320" s="228"/>
      <c r="J320" s="228"/>
      <c r="K320" s="228"/>
    </row>
    <row r="321" spans="2:11">
      <c r="B321" s="73"/>
      <c r="C321" s="248"/>
      <c r="D321" s="228"/>
      <c r="F321" s="228"/>
      <c r="G321" s="228"/>
      <c r="H321" s="228"/>
      <c r="I321" s="228"/>
      <c r="J321" s="228"/>
      <c r="K321" s="228"/>
    </row>
    <row r="322" spans="2:11">
      <c r="B322" s="73"/>
      <c r="C322" s="248"/>
      <c r="D322" s="228"/>
      <c r="F322" s="228"/>
      <c r="G322" s="228"/>
      <c r="H322" s="228"/>
      <c r="I322" s="228"/>
      <c r="J322" s="228"/>
      <c r="K322" s="228"/>
    </row>
    <row r="323" spans="2:11">
      <c r="B323" s="73"/>
      <c r="C323" s="248"/>
      <c r="D323" s="228"/>
      <c r="F323" s="228"/>
      <c r="G323" s="228"/>
      <c r="H323" s="228"/>
      <c r="I323" s="228"/>
      <c r="J323" s="228"/>
      <c r="K323" s="228"/>
    </row>
    <row r="324" spans="2:11">
      <c r="B324" s="73"/>
      <c r="C324" s="248"/>
      <c r="D324" s="228"/>
      <c r="F324" s="228"/>
      <c r="G324" s="228"/>
      <c r="H324" s="228"/>
      <c r="I324" s="228"/>
      <c r="J324" s="228"/>
      <c r="K324" s="228"/>
    </row>
    <row r="325" spans="2:11">
      <c r="B325" s="73"/>
      <c r="C325" s="248"/>
      <c r="D325" s="228"/>
      <c r="F325" s="228"/>
      <c r="G325" s="228"/>
      <c r="H325" s="228"/>
      <c r="I325" s="228"/>
      <c r="J325" s="228"/>
      <c r="K325" s="228"/>
    </row>
    <row r="326" spans="2:11">
      <c r="B326" s="73"/>
      <c r="C326" s="248"/>
      <c r="D326" s="228"/>
      <c r="F326" s="228"/>
      <c r="G326" s="228"/>
      <c r="H326" s="228"/>
      <c r="I326" s="228"/>
      <c r="J326" s="228"/>
      <c r="K326" s="228"/>
    </row>
    <row r="327" spans="2:11">
      <c r="B327" s="73"/>
      <c r="C327" s="248"/>
      <c r="D327" s="228"/>
      <c r="F327" s="228"/>
      <c r="G327" s="228"/>
      <c r="H327" s="228"/>
      <c r="I327" s="228"/>
      <c r="J327" s="228"/>
      <c r="K327" s="228"/>
    </row>
    <row r="328" spans="2:11">
      <c r="B328" s="73"/>
      <c r="C328" s="248"/>
      <c r="D328" s="228"/>
      <c r="F328" s="228"/>
      <c r="G328" s="228"/>
      <c r="H328" s="228"/>
      <c r="I328" s="228"/>
      <c r="J328" s="228"/>
      <c r="K328" s="228"/>
    </row>
    <row r="329" spans="2:11">
      <c r="B329" s="73"/>
      <c r="C329" s="248"/>
      <c r="D329" s="228"/>
      <c r="F329" s="228"/>
      <c r="G329" s="228"/>
      <c r="H329" s="228"/>
      <c r="I329" s="228"/>
      <c r="J329" s="228"/>
      <c r="K329" s="228"/>
    </row>
    <row r="330" spans="2:11">
      <c r="B330" s="73"/>
      <c r="C330" s="248"/>
      <c r="D330" s="228"/>
      <c r="F330" s="228"/>
      <c r="G330" s="228"/>
      <c r="H330" s="228"/>
      <c r="I330" s="228"/>
      <c r="J330" s="228"/>
      <c r="K330" s="228"/>
    </row>
    <row r="331" spans="2:11">
      <c r="B331" s="73"/>
      <c r="C331" s="248"/>
      <c r="D331" s="228"/>
      <c r="F331" s="228"/>
      <c r="G331" s="228"/>
      <c r="H331" s="228"/>
      <c r="I331" s="228"/>
      <c r="J331" s="228"/>
      <c r="K331" s="228"/>
    </row>
    <row r="332" spans="2:11">
      <c r="B332" s="73"/>
      <c r="C332" s="248"/>
      <c r="D332" s="228"/>
      <c r="F332" s="228"/>
      <c r="G332" s="228"/>
      <c r="H332" s="228"/>
      <c r="I332" s="228"/>
      <c r="J332" s="228"/>
      <c r="K332" s="228"/>
    </row>
    <row r="333" spans="2:11">
      <c r="B333" s="73"/>
      <c r="C333" s="248"/>
      <c r="D333" s="228"/>
      <c r="F333" s="228"/>
      <c r="G333" s="228"/>
      <c r="H333" s="228"/>
      <c r="I333" s="228"/>
      <c r="J333" s="228"/>
      <c r="K333" s="228"/>
    </row>
    <row r="334" spans="2:11">
      <c r="B334" s="73"/>
      <c r="C334" s="248"/>
      <c r="D334" s="228"/>
      <c r="F334" s="228"/>
      <c r="G334" s="228"/>
      <c r="H334" s="228"/>
      <c r="I334" s="228"/>
      <c r="J334" s="228"/>
      <c r="K334" s="228"/>
    </row>
    <row r="335" spans="2:11">
      <c r="B335" s="73"/>
      <c r="C335" s="248"/>
      <c r="D335" s="228"/>
      <c r="F335" s="228"/>
      <c r="G335" s="228"/>
      <c r="H335" s="228"/>
      <c r="I335" s="228"/>
      <c r="J335" s="228"/>
      <c r="K335" s="228"/>
    </row>
    <row r="336" spans="2:11">
      <c r="B336" s="73"/>
      <c r="C336" s="248"/>
      <c r="D336" s="228"/>
      <c r="F336" s="228"/>
      <c r="G336" s="228"/>
      <c r="H336" s="228"/>
      <c r="I336" s="228"/>
      <c r="J336" s="228"/>
      <c r="K336" s="228"/>
    </row>
    <row r="337" spans="2:11">
      <c r="B337" s="73"/>
      <c r="C337" s="248"/>
      <c r="D337" s="228"/>
      <c r="F337" s="228"/>
      <c r="G337" s="228"/>
      <c r="H337" s="228"/>
      <c r="I337" s="228"/>
      <c r="J337" s="228"/>
      <c r="K337" s="228"/>
    </row>
    <row r="338" spans="2:11">
      <c r="B338" s="73"/>
      <c r="C338" s="248"/>
      <c r="D338" s="228"/>
      <c r="F338" s="228"/>
      <c r="G338" s="228"/>
      <c r="H338" s="228"/>
      <c r="I338" s="228"/>
      <c r="J338" s="228"/>
      <c r="K338" s="228"/>
    </row>
    <row r="339" spans="2:11">
      <c r="B339" s="73"/>
      <c r="C339" s="248"/>
      <c r="D339" s="228"/>
      <c r="F339" s="228"/>
      <c r="G339" s="228"/>
      <c r="H339" s="228"/>
      <c r="I339" s="228"/>
      <c r="J339" s="228"/>
      <c r="K339" s="228"/>
    </row>
    <row r="340" spans="2:11">
      <c r="B340" s="73"/>
      <c r="C340" s="248"/>
      <c r="D340" s="228"/>
      <c r="F340" s="228"/>
      <c r="G340" s="228"/>
      <c r="H340" s="228"/>
      <c r="I340" s="228"/>
      <c r="J340" s="228"/>
      <c r="K340" s="228"/>
    </row>
    <row r="341" spans="2:11">
      <c r="B341" s="73"/>
      <c r="C341" s="248"/>
      <c r="D341" s="228"/>
      <c r="F341" s="228"/>
      <c r="G341" s="228"/>
      <c r="H341" s="228"/>
      <c r="I341" s="228"/>
      <c r="J341" s="228"/>
      <c r="K341" s="228"/>
    </row>
    <row r="342" spans="2:11">
      <c r="B342" s="73"/>
      <c r="C342" s="248"/>
      <c r="D342" s="228"/>
      <c r="F342" s="228"/>
      <c r="G342" s="228"/>
      <c r="H342" s="228"/>
      <c r="I342" s="228"/>
      <c r="J342" s="228"/>
      <c r="K342" s="228"/>
    </row>
    <row r="343" spans="2:11">
      <c r="B343" s="73"/>
      <c r="C343" s="248"/>
      <c r="D343" s="228"/>
      <c r="F343" s="228"/>
      <c r="G343" s="228"/>
      <c r="H343" s="228"/>
      <c r="I343" s="228"/>
      <c r="J343" s="228"/>
      <c r="K343" s="228"/>
    </row>
    <row r="344" spans="2:11">
      <c r="B344" s="73"/>
      <c r="C344" s="248"/>
      <c r="D344" s="228"/>
      <c r="F344" s="228"/>
      <c r="G344" s="228"/>
      <c r="H344" s="228"/>
      <c r="I344" s="228"/>
      <c r="J344" s="228"/>
      <c r="K344" s="228"/>
    </row>
    <row r="345" spans="2:11">
      <c r="B345" s="73"/>
      <c r="C345" s="248"/>
      <c r="D345" s="228"/>
      <c r="F345" s="228"/>
      <c r="G345" s="228"/>
      <c r="H345" s="228"/>
      <c r="I345" s="228"/>
      <c r="J345" s="228"/>
      <c r="K345" s="228"/>
    </row>
    <row r="346" spans="2:11">
      <c r="B346" s="73"/>
      <c r="C346" s="248"/>
      <c r="D346" s="228"/>
      <c r="F346" s="228"/>
      <c r="G346" s="228"/>
      <c r="H346" s="228"/>
      <c r="I346" s="228"/>
      <c r="J346" s="228"/>
      <c r="K346" s="228"/>
    </row>
    <row r="347" spans="2:11">
      <c r="B347" s="73"/>
      <c r="C347" s="248"/>
      <c r="D347" s="228"/>
      <c r="F347" s="228"/>
      <c r="G347" s="228"/>
      <c r="H347" s="228"/>
      <c r="I347" s="228"/>
      <c r="J347" s="228"/>
      <c r="K347" s="228"/>
    </row>
    <row r="348" spans="2:11">
      <c r="B348" s="73"/>
      <c r="C348" s="248"/>
      <c r="D348" s="228"/>
      <c r="F348" s="228"/>
      <c r="G348" s="228"/>
      <c r="H348" s="228"/>
      <c r="I348" s="228"/>
      <c r="J348" s="228"/>
      <c r="K348" s="228"/>
    </row>
    <row r="349" spans="2:11">
      <c r="B349" s="73"/>
      <c r="C349" s="248"/>
      <c r="D349" s="228"/>
      <c r="F349" s="228"/>
      <c r="G349" s="228"/>
      <c r="H349" s="228"/>
      <c r="I349" s="228"/>
      <c r="J349" s="228"/>
      <c r="K349" s="228"/>
    </row>
    <row r="350" spans="2:11">
      <c r="B350" s="73"/>
      <c r="C350" s="248"/>
      <c r="D350" s="228"/>
      <c r="F350" s="228"/>
      <c r="G350" s="228"/>
      <c r="H350" s="228"/>
      <c r="I350" s="228"/>
      <c r="J350" s="228"/>
      <c r="K350" s="228"/>
    </row>
    <row r="351" spans="2:11">
      <c r="B351" s="73"/>
      <c r="C351" s="248"/>
      <c r="D351" s="228"/>
      <c r="F351" s="228"/>
      <c r="G351" s="228"/>
      <c r="H351" s="228"/>
      <c r="I351" s="228"/>
      <c r="J351" s="228"/>
      <c r="K351" s="228"/>
    </row>
    <row r="352" spans="2:11">
      <c r="B352" s="73"/>
      <c r="C352" s="248"/>
      <c r="D352" s="228"/>
      <c r="F352" s="228"/>
      <c r="G352" s="228"/>
      <c r="H352" s="228"/>
      <c r="I352" s="228"/>
      <c r="J352" s="228"/>
      <c r="K352" s="228"/>
    </row>
    <row r="353" spans="2:11">
      <c r="B353" s="73"/>
      <c r="C353" s="248"/>
      <c r="D353" s="228"/>
      <c r="F353" s="228"/>
      <c r="G353" s="228"/>
      <c r="H353" s="228"/>
      <c r="I353" s="228"/>
      <c r="J353" s="228"/>
      <c r="K353" s="228"/>
    </row>
    <row r="354" spans="2:11">
      <c r="B354" s="73"/>
      <c r="C354" s="248"/>
      <c r="D354" s="228"/>
      <c r="F354" s="228"/>
      <c r="G354" s="228"/>
      <c r="H354" s="228"/>
      <c r="I354" s="228"/>
      <c r="J354" s="228"/>
      <c r="K354" s="228"/>
    </row>
    <row r="355" spans="2:11">
      <c r="B355" s="73"/>
      <c r="C355" s="248"/>
      <c r="D355" s="228"/>
      <c r="F355" s="228"/>
      <c r="G355" s="228"/>
      <c r="H355" s="228"/>
      <c r="I355" s="228"/>
      <c r="J355" s="228"/>
      <c r="K355" s="228"/>
    </row>
    <row r="356" spans="2:11">
      <c r="B356" s="73"/>
      <c r="C356" s="248"/>
      <c r="D356" s="228"/>
      <c r="F356" s="228"/>
      <c r="G356" s="228"/>
      <c r="H356" s="228"/>
      <c r="I356" s="228"/>
      <c r="J356" s="228"/>
      <c r="K356" s="228"/>
    </row>
    <row r="357" spans="2:11">
      <c r="B357" s="73"/>
      <c r="C357" s="248"/>
      <c r="D357" s="228"/>
      <c r="F357" s="228"/>
      <c r="G357" s="228"/>
      <c r="H357" s="228"/>
      <c r="I357" s="228"/>
      <c r="J357" s="228"/>
      <c r="K357" s="228"/>
    </row>
    <row r="358" spans="2:11">
      <c r="B358" s="73"/>
      <c r="C358" s="248"/>
      <c r="D358" s="228"/>
      <c r="F358" s="228"/>
      <c r="G358" s="228"/>
      <c r="H358" s="228"/>
      <c r="I358" s="228"/>
      <c r="J358" s="228"/>
      <c r="K358" s="228"/>
    </row>
    <row r="359" spans="2:11">
      <c r="B359" s="73"/>
      <c r="C359" s="248"/>
      <c r="D359" s="228"/>
      <c r="F359" s="228"/>
      <c r="G359" s="228"/>
      <c r="H359" s="228"/>
      <c r="I359" s="228"/>
      <c r="J359" s="228"/>
      <c r="K359" s="228"/>
    </row>
    <row r="360" spans="2:11">
      <c r="B360" s="73"/>
      <c r="C360" s="248"/>
      <c r="D360" s="228"/>
      <c r="F360" s="228"/>
      <c r="G360" s="228"/>
      <c r="H360" s="228"/>
      <c r="I360" s="228"/>
      <c r="J360" s="228"/>
      <c r="K360" s="228"/>
    </row>
    <row r="361" spans="2:11">
      <c r="B361" s="73"/>
      <c r="C361" s="248"/>
      <c r="D361" s="228"/>
      <c r="F361" s="228"/>
      <c r="G361" s="228"/>
      <c r="H361" s="228"/>
      <c r="I361" s="228"/>
      <c r="J361" s="228"/>
      <c r="K361" s="228"/>
    </row>
    <row r="362" spans="2:11">
      <c r="B362" s="73"/>
      <c r="C362" s="248"/>
      <c r="D362" s="228"/>
      <c r="F362" s="228"/>
      <c r="G362" s="228"/>
      <c r="H362" s="228"/>
      <c r="I362" s="228"/>
      <c r="J362" s="228"/>
      <c r="K362" s="228"/>
    </row>
    <row r="363" spans="2:11">
      <c r="B363" s="73"/>
      <c r="C363" s="248"/>
      <c r="D363" s="228"/>
      <c r="F363" s="228"/>
      <c r="G363" s="228"/>
      <c r="H363" s="228"/>
      <c r="I363" s="228"/>
      <c r="J363" s="228"/>
      <c r="K363" s="228"/>
    </row>
    <row r="364" spans="2:11">
      <c r="B364" s="73"/>
      <c r="C364" s="248"/>
      <c r="D364" s="228"/>
      <c r="F364" s="228"/>
      <c r="G364" s="228"/>
      <c r="H364" s="228"/>
      <c r="I364" s="228"/>
      <c r="J364" s="228"/>
      <c r="K364" s="228"/>
    </row>
    <row r="365" spans="2:11">
      <c r="B365" s="73"/>
      <c r="C365" s="248"/>
      <c r="D365" s="228"/>
      <c r="F365" s="228"/>
      <c r="G365" s="228"/>
      <c r="H365" s="228"/>
      <c r="I365" s="228"/>
      <c r="J365" s="228"/>
      <c r="K365" s="228"/>
    </row>
    <row r="366" spans="2:11">
      <c r="B366" s="73"/>
      <c r="C366" s="248"/>
      <c r="D366" s="228"/>
      <c r="F366" s="228"/>
      <c r="G366" s="228"/>
      <c r="H366" s="228"/>
      <c r="I366" s="228"/>
      <c r="J366" s="228"/>
      <c r="K366" s="228"/>
    </row>
    <row r="367" spans="2:11">
      <c r="B367" s="73"/>
      <c r="C367" s="248"/>
      <c r="D367" s="228"/>
      <c r="F367" s="228"/>
      <c r="G367" s="228"/>
      <c r="H367" s="228"/>
      <c r="I367" s="228"/>
      <c r="J367" s="228"/>
      <c r="K367" s="228"/>
    </row>
    <row r="368" spans="2:11">
      <c r="B368" s="73"/>
      <c r="C368" s="248"/>
      <c r="D368" s="228"/>
      <c r="F368" s="228"/>
      <c r="G368" s="228"/>
      <c r="H368" s="228"/>
      <c r="I368" s="228"/>
      <c r="J368" s="228"/>
      <c r="K368" s="228"/>
    </row>
    <row r="369" spans="2:11">
      <c r="B369" s="73"/>
      <c r="C369" s="248"/>
      <c r="D369" s="228"/>
      <c r="F369" s="228"/>
      <c r="G369" s="228"/>
      <c r="H369" s="228"/>
      <c r="I369" s="228"/>
      <c r="J369" s="228"/>
      <c r="K369" s="228"/>
    </row>
    <row r="370" spans="2:11">
      <c r="B370" s="73"/>
      <c r="C370" s="248"/>
      <c r="D370" s="228"/>
      <c r="F370" s="228"/>
      <c r="G370" s="228"/>
      <c r="H370" s="228"/>
      <c r="I370" s="228"/>
      <c r="J370" s="228"/>
      <c r="K370" s="228"/>
    </row>
    <row r="371" spans="2:11">
      <c r="B371" s="73"/>
      <c r="C371" s="248"/>
      <c r="D371" s="228"/>
      <c r="F371" s="228"/>
      <c r="G371" s="228"/>
      <c r="H371" s="228"/>
      <c r="I371" s="228"/>
      <c r="J371" s="228"/>
      <c r="K371" s="228"/>
    </row>
    <row r="372" spans="2:11">
      <c r="B372" s="73"/>
      <c r="C372" s="248"/>
      <c r="D372" s="228"/>
      <c r="F372" s="228"/>
      <c r="G372" s="228"/>
      <c r="H372" s="228"/>
      <c r="I372" s="228"/>
      <c r="J372" s="228"/>
      <c r="K372" s="228"/>
    </row>
    <row r="373" spans="2:11">
      <c r="B373" s="73"/>
      <c r="C373" s="248"/>
      <c r="D373" s="228"/>
      <c r="F373" s="228"/>
      <c r="G373" s="228"/>
      <c r="H373" s="228"/>
      <c r="I373" s="228"/>
      <c r="J373" s="228"/>
      <c r="K373" s="228"/>
    </row>
    <row r="374" spans="2:11">
      <c r="B374" s="73"/>
      <c r="C374" s="248"/>
      <c r="D374" s="228"/>
      <c r="F374" s="228"/>
      <c r="G374" s="228"/>
      <c r="H374" s="228"/>
      <c r="I374" s="228"/>
      <c r="J374" s="228"/>
      <c r="K374" s="228"/>
    </row>
    <row r="375" spans="2:11">
      <c r="B375" s="73"/>
      <c r="C375" s="248"/>
      <c r="D375" s="228"/>
      <c r="F375" s="228"/>
      <c r="G375" s="228"/>
      <c r="H375" s="228"/>
      <c r="I375" s="228"/>
      <c r="J375" s="228"/>
      <c r="K375" s="228"/>
    </row>
    <row r="376" spans="2:11">
      <c r="B376" s="73"/>
      <c r="C376" s="248"/>
      <c r="D376" s="228"/>
      <c r="F376" s="228"/>
      <c r="G376" s="228"/>
      <c r="H376" s="228"/>
      <c r="I376" s="228"/>
      <c r="J376" s="228"/>
      <c r="K376" s="228"/>
    </row>
    <row r="377" spans="2:11">
      <c r="B377" s="73"/>
      <c r="C377" s="248"/>
      <c r="D377" s="228"/>
      <c r="F377" s="228"/>
      <c r="G377" s="228"/>
      <c r="H377" s="228"/>
      <c r="I377" s="228"/>
      <c r="J377" s="228"/>
      <c r="K377" s="228"/>
    </row>
    <row r="378" spans="2:11">
      <c r="B378" s="73"/>
      <c r="C378" s="248"/>
      <c r="D378" s="228"/>
      <c r="F378" s="228"/>
      <c r="G378" s="228"/>
      <c r="H378" s="228"/>
      <c r="I378" s="228"/>
      <c r="J378" s="228"/>
      <c r="K378" s="228"/>
    </row>
    <row r="379" spans="2:11">
      <c r="B379" s="73"/>
      <c r="C379" s="248"/>
      <c r="D379" s="228"/>
      <c r="F379" s="228"/>
      <c r="G379" s="228"/>
      <c r="H379" s="228"/>
      <c r="I379" s="228"/>
      <c r="J379" s="228"/>
      <c r="K379" s="228"/>
    </row>
    <row r="380" spans="2:11">
      <c r="B380" s="73"/>
      <c r="C380" s="248"/>
      <c r="D380" s="228"/>
      <c r="F380" s="228"/>
      <c r="G380" s="228"/>
      <c r="H380" s="228"/>
      <c r="I380" s="228"/>
      <c r="J380" s="228"/>
      <c r="K380" s="228"/>
    </row>
    <row r="381" spans="2:11">
      <c r="B381" s="73"/>
      <c r="C381" s="248"/>
      <c r="D381" s="228"/>
      <c r="F381" s="228"/>
      <c r="G381" s="228"/>
      <c r="H381" s="228"/>
      <c r="I381" s="228"/>
      <c r="J381" s="228"/>
      <c r="K381" s="228"/>
    </row>
    <row r="382" spans="2:11">
      <c r="B382" s="73"/>
      <c r="C382" s="248"/>
      <c r="D382" s="228"/>
      <c r="F382" s="228"/>
      <c r="G382" s="228"/>
      <c r="H382" s="228"/>
      <c r="I382" s="228"/>
      <c r="J382" s="228"/>
      <c r="K382" s="228"/>
    </row>
    <row r="383" spans="2:11">
      <c r="B383" s="73"/>
      <c r="C383" s="248"/>
      <c r="D383" s="228"/>
      <c r="F383" s="228"/>
      <c r="G383" s="228"/>
      <c r="H383" s="228"/>
      <c r="I383" s="228"/>
      <c r="J383" s="228"/>
      <c r="K383" s="228"/>
    </row>
    <row r="384" spans="2:11">
      <c r="B384" s="73"/>
      <c r="C384" s="248"/>
      <c r="D384" s="228"/>
      <c r="F384" s="228"/>
      <c r="G384" s="228"/>
      <c r="H384" s="228"/>
      <c r="I384" s="228"/>
      <c r="J384" s="228"/>
      <c r="K384" s="228"/>
    </row>
    <row r="385" spans="2:11">
      <c r="B385" s="73"/>
      <c r="C385" s="248"/>
      <c r="D385" s="228"/>
      <c r="F385" s="228"/>
      <c r="G385" s="228"/>
      <c r="H385" s="228"/>
      <c r="I385" s="228"/>
      <c r="J385" s="228"/>
      <c r="K385" s="228"/>
    </row>
    <row r="386" spans="2:11">
      <c r="B386" s="73"/>
      <c r="C386" s="248"/>
      <c r="D386" s="228"/>
      <c r="F386" s="228"/>
      <c r="G386" s="228"/>
      <c r="H386" s="228"/>
      <c r="I386" s="228"/>
      <c r="J386" s="228"/>
      <c r="K386" s="228"/>
    </row>
    <row r="387" spans="2:11">
      <c r="B387" s="73"/>
      <c r="C387" s="248"/>
      <c r="D387" s="228"/>
      <c r="F387" s="228"/>
      <c r="G387" s="228"/>
      <c r="H387" s="228"/>
      <c r="I387" s="228"/>
      <c r="J387" s="228"/>
      <c r="K387" s="228"/>
    </row>
    <row r="388" spans="2:11">
      <c r="B388" s="73"/>
      <c r="C388" s="248"/>
      <c r="D388" s="228"/>
      <c r="F388" s="228"/>
      <c r="G388" s="228"/>
      <c r="H388" s="228"/>
      <c r="I388" s="228"/>
      <c r="J388" s="228"/>
      <c r="K388" s="228"/>
    </row>
    <row r="389" spans="2:11">
      <c r="B389" s="73"/>
      <c r="C389" s="248"/>
      <c r="D389" s="228"/>
      <c r="F389" s="228"/>
      <c r="G389" s="228"/>
      <c r="H389" s="228"/>
      <c r="I389" s="228"/>
      <c r="J389" s="228"/>
      <c r="K389" s="228"/>
    </row>
    <row r="390" spans="2:11">
      <c r="B390" s="73"/>
      <c r="C390" s="248"/>
      <c r="D390" s="228"/>
      <c r="F390" s="228"/>
      <c r="G390" s="228"/>
      <c r="H390" s="228"/>
      <c r="I390" s="228"/>
      <c r="J390" s="228"/>
      <c r="K390" s="228"/>
    </row>
    <row r="391" spans="2:11">
      <c r="B391" s="73"/>
      <c r="C391" s="248"/>
      <c r="D391" s="228"/>
      <c r="F391" s="228"/>
      <c r="G391" s="228"/>
      <c r="H391" s="228"/>
      <c r="I391" s="228"/>
      <c r="J391" s="228"/>
      <c r="K391" s="228"/>
    </row>
    <row r="392" spans="2:11">
      <c r="B392" s="73"/>
      <c r="C392" s="248"/>
      <c r="D392" s="228"/>
      <c r="F392" s="228"/>
      <c r="G392" s="228"/>
      <c r="H392" s="228"/>
      <c r="I392" s="228"/>
      <c r="J392" s="228"/>
      <c r="K392" s="228"/>
    </row>
    <row r="393" spans="2:11">
      <c r="B393" s="73"/>
      <c r="C393" s="248"/>
      <c r="D393" s="228"/>
      <c r="F393" s="228"/>
      <c r="G393" s="228"/>
      <c r="H393" s="228"/>
      <c r="I393" s="228"/>
      <c r="J393" s="228"/>
      <c r="K393" s="228"/>
    </row>
    <row r="394" spans="2:11">
      <c r="B394" s="73"/>
      <c r="C394" s="248"/>
      <c r="D394" s="228"/>
      <c r="F394" s="228"/>
      <c r="G394" s="228"/>
      <c r="H394" s="228"/>
      <c r="I394" s="228"/>
      <c r="J394" s="228"/>
      <c r="K394" s="228"/>
    </row>
    <row r="395" spans="2:11">
      <c r="B395" s="73"/>
      <c r="C395" s="248"/>
      <c r="D395" s="228"/>
      <c r="F395" s="228"/>
      <c r="G395" s="228"/>
      <c r="H395" s="228"/>
      <c r="I395" s="228"/>
      <c r="J395" s="228"/>
      <c r="K395" s="228"/>
    </row>
    <row r="396" spans="2:11">
      <c r="B396" s="73"/>
      <c r="C396" s="248"/>
      <c r="D396" s="228"/>
      <c r="F396" s="228"/>
      <c r="G396" s="228"/>
      <c r="H396" s="228"/>
      <c r="I396" s="228"/>
      <c r="J396" s="228"/>
      <c r="K396" s="228"/>
    </row>
    <row r="397" spans="2:11">
      <c r="B397" s="73"/>
      <c r="C397" s="248"/>
      <c r="D397" s="228"/>
      <c r="F397" s="228"/>
      <c r="G397" s="228"/>
      <c r="H397" s="228"/>
      <c r="I397" s="228"/>
      <c r="J397" s="228"/>
      <c r="K397" s="228"/>
    </row>
    <row r="398" spans="2:11">
      <c r="B398" s="73"/>
      <c r="C398" s="248"/>
      <c r="D398" s="228"/>
      <c r="F398" s="228"/>
      <c r="G398" s="228"/>
      <c r="H398" s="228"/>
      <c r="I398" s="228"/>
      <c r="J398" s="228"/>
      <c r="K398" s="228"/>
    </row>
    <row r="399" spans="2:11">
      <c r="B399" s="73"/>
      <c r="C399" s="248"/>
      <c r="D399" s="228"/>
      <c r="F399" s="228"/>
      <c r="G399" s="228"/>
      <c r="H399" s="228"/>
      <c r="I399" s="228"/>
      <c r="J399" s="228"/>
      <c r="K399" s="228"/>
    </row>
    <row r="400" spans="2:11">
      <c r="B400" s="73"/>
      <c r="C400" s="248"/>
      <c r="D400" s="228"/>
      <c r="F400" s="228"/>
      <c r="G400" s="228"/>
      <c r="H400" s="228"/>
      <c r="I400" s="228"/>
      <c r="J400" s="228"/>
      <c r="K400" s="228"/>
    </row>
    <row r="401" spans="2:11">
      <c r="B401" s="73"/>
      <c r="C401" s="248"/>
      <c r="D401" s="228"/>
      <c r="F401" s="228"/>
      <c r="G401" s="228"/>
      <c r="H401" s="228"/>
      <c r="I401" s="228"/>
      <c r="J401" s="228"/>
      <c r="K401" s="228"/>
    </row>
    <row r="402" spans="2:11">
      <c r="B402" s="73"/>
      <c r="C402" s="248"/>
      <c r="D402" s="228"/>
      <c r="F402" s="228"/>
      <c r="G402" s="228"/>
      <c r="H402" s="228"/>
      <c r="I402" s="228"/>
      <c r="J402" s="228"/>
      <c r="K402" s="228"/>
    </row>
    <row r="403" spans="2:11">
      <c r="B403" s="73"/>
      <c r="C403" s="248"/>
      <c r="D403" s="228"/>
      <c r="F403" s="228"/>
      <c r="G403" s="228"/>
      <c r="H403" s="228"/>
      <c r="I403" s="228"/>
      <c r="J403" s="228"/>
      <c r="K403" s="228"/>
    </row>
    <row r="404" spans="2:11">
      <c r="B404" s="73"/>
      <c r="C404" s="248"/>
      <c r="D404" s="228"/>
      <c r="F404" s="228"/>
      <c r="G404" s="228"/>
      <c r="H404" s="228"/>
      <c r="I404" s="228"/>
      <c r="J404" s="228"/>
      <c r="K404" s="228"/>
    </row>
    <row r="405" spans="2:11">
      <c r="B405" s="73"/>
      <c r="C405" s="248"/>
      <c r="D405" s="228"/>
      <c r="F405" s="228"/>
      <c r="G405" s="228"/>
      <c r="H405" s="228"/>
      <c r="I405" s="228"/>
      <c r="J405" s="228"/>
      <c r="K405" s="228"/>
    </row>
    <row r="406" spans="2:11">
      <c r="B406" s="73"/>
      <c r="C406" s="248"/>
      <c r="D406" s="228"/>
      <c r="F406" s="228"/>
      <c r="G406" s="228"/>
      <c r="H406" s="228"/>
      <c r="I406" s="228"/>
      <c r="J406" s="228"/>
      <c r="K406" s="228"/>
    </row>
    <row r="407" spans="2:11">
      <c r="B407" s="73"/>
      <c r="C407" s="248"/>
      <c r="D407" s="228"/>
      <c r="F407" s="228"/>
      <c r="G407" s="228"/>
      <c r="H407" s="228"/>
      <c r="I407" s="228"/>
      <c r="J407" s="228"/>
      <c r="K407" s="228"/>
    </row>
    <row r="408" spans="2:11">
      <c r="B408" s="73"/>
      <c r="C408" s="248"/>
      <c r="D408" s="228"/>
      <c r="F408" s="228"/>
      <c r="G408" s="228"/>
      <c r="H408" s="228"/>
      <c r="I408" s="228"/>
      <c r="J408" s="228"/>
      <c r="K408" s="228"/>
    </row>
    <row r="409" spans="2:11">
      <c r="B409" s="73"/>
      <c r="C409" s="248"/>
      <c r="D409" s="228"/>
      <c r="F409" s="228"/>
      <c r="G409" s="228"/>
      <c r="H409" s="228"/>
      <c r="I409" s="228"/>
      <c r="J409" s="228"/>
      <c r="K409" s="228"/>
    </row>
    <row r="410" spans="2:11">
      <c r="B410" s="73"/>
      <c r="C410" s="248"/>
      <c r="D410" s="228"/>
      <c r="F410" s="228"/>
      <c r="G410" s="228"/>
      <c r="H410" s="228"/>
      <c r="I410" s="228"/>
      <c r="J410" s="228"/>
      <c r="K410" s="228"/>
    </row>
    <row r="411" spans="2:11">
      <c r="B411" s="73"/>
      <c r="C411" s="248"/>
      <c r="D411" s="228"/>
      <c r="F411" s="228"/>
      <c r="G411" s="228"/>
      <c r="H411" s="228"/>
      <c r="I411" s="228"/>
      <c r="J411" s="228"/>
      <c r="K411" s="228"/>
    </row>
    <row r="412" spans="2:11">
      <c r="B412" s="73"/>
      <c r="C412" s="248"/>
      <c r="D412" s="228"/>
      <c r="F412" s="228"/>
      <c r="G412" s="228"/>
      <c r="H412" s="228"/>
      <c r="I412" s="228"/>
      <c r="J412" s="228"/>
      <c r="K412" s="228"/>
    </row>
    <row r="413" spans="2:11">
      <c r="B413" s="73"/>
      <c r="C413" s="248"/>
      <c r="D413" s="228"/>
      <c r="F413" s="228"/>
      <c r="G413" s="228"/>
      <c r="H413" s="228"/>
      <c r="I413" s="228"/>
      <c r="J413" s="228"/>
      <c r="K413" s="228"/>
    </row>
    <row r="414" spans="2:11">
      <c r="B414" s="73"/>
      <c r="C414" s="248"/>
      <c r="D414" s="228"/>
      <c r="F414" s="228"/>
      <c r="G414" s="228"/>
      <c r="H414" s="228"/>
      <c r="I414" s="228"/>
      <c r="J414" s="228"/>
      <c r="K414" s="228"/>
    </row>
    <row r="415" spans="2:11">
      <c r="B415" s="73"/>
      <c r="C415" s="248"/>
      <c r="D415" s="228"/>
      <c r="F415" s="228"/>
      <c r="G415" s="228"/>
      <c r="H415" s="228"/>
      <c r="I415" s="228"/>
      <c r="J415" s="228"/>
      <c r="K415" s="228"/>
    </row>
    <row r="416" spans="2:11">
      <c r="B416" s="73"/>
      <c r="C416" s="248"/>
      <c r="D416" s="228"/>
      <c r="F416" s="228"/>
      <c r="G416" s="228"/>
      <c r="H416" s="228"/>
      <c r="I416" s="228"/>
      <c r="J416" s="228"/>
      <c r="K416" s="228"/>
    </row>
    <row r="417" spans="2:11">
      <c r="B417" s="73"/>
      <c r="C417" s="248"/>
      <c r="D417" s="228"/>
      <c r="F417" s="228"/>
      <c r="G417" s="228"/>
      <c r="H417" s="228"/>
      <c r="I417" s="228"/>
      <c r="J417" s="228"/>
      <c r="K417" s="228"/>
    </row>
    <row r="418" spans="2:11">
      <c r="B418" s="73"/>
      <c r="C418" s="248"/>
      <c r="D418" s="228"/>
      <c r="F418" s="228"/>
      <c r="G418" s="228"/>
      <c r="H418" s="228"/>
      <c r="I418" s="228"/>
      <c r="J418" s="228"/>
      <c r="K418" s="228"/>
    </row>
    <row r="419" spans="2:11">
      <c r="B419" s="73"/>
      <c r="C419" s="248"/>
      <c r="D419" s="228"/>
      <c r="F419" s="228"/>
      <c r="G419" s="228"/>
      <c r="H419" s="228"/>
      <c r="I419" s="228"/>
      <c r="J419" s="228"/>
      <c r="K419" s="228"/>
    </row>
    <row r="420" spans="2:11">
      <c r="B420" s="73"/>
      <c r="C420" s="248"/>
      <c r="D420" s="228"/>
      <c r="F420" s="228"/>
      <c r="G420" s="228"/>
      <c r="H420" s="228"/>
      <c r="I420" s="228"/>
      <c r="J420" s="228"/>
      <c r="K420" s="228"/>
    </row>
    <row r="421" spans="2:11">
      <c r="B421" s="73"/>
      <c r="C421" s="248"/>
      <c r="D421" s="228"/>
      <c r="F421" s="228"/>
      <c r="G421" s="228"/>
      <c r="H421" s="228"/>
      <c r="I421" s="228"/>
      <c r="J421" s="228"/>
      <c r="K421" s="228"/>
    </row>
    <row r="422" spans="2:11">
      <c r="B422" s="73"/>
      <c r="C422" s="248"/>
      <c r="D422" s="228"/>
      <c r="F422" s="228"/>
      <c r="G422" s="228"/>
      <c r="H422" s="228"/>
      <c r="I422" s="228"/>
      <c r="J422" s="228"/>
      <c r="K422" s="228"/>
    </row>
    <row r="423" spans="2:11">
      <c r="B423" s="73"/>
      <c r="C423" s="248"/>
      <c r="D423" s="228"/>
      <c r="F423" s="228"/>
      <c r="G423" s="228"/>
      <c r="H423" s="228"/>
      <c r="I423" s="228"/>
      <c r="J423" s="228"/>
      <c r="K423" s="228"/>
    </row>
    <row r="424" spans="2:11">
      <c r="B424" s="73"/>
      <c r="C424" s="248"/>
      <c r="D424" s="228"/>
      <c r="F424" s="228"/>
      <c r="G424" s="228"/>
      <c r="H424" s="228"/>
      <c r="I424" s="228"/>
      <c r="J424" s="228"/>
      <c r="K424" s="228"/>
    </row>
    <row r="425" spans="2:11">
      <c r="B425" s="73"/>
      <c r="C425" s="248"/>
      <c r="D425" s="228"/>
      <c r="F425" s="228"/>
      <c r="G425" s="228"/>
      <c r="H425" s="228"/>
      <c r="I425" s="228"/>
      <c r="J425" s="228"/>
      <c r="K425" s="228"/>
    </row>
    <row r="426" spans="2:11">
      <c r="B426" s="73"/>
      <c r="C426" s="248"/>
      <c r="D426" s="228"/>
      <c r="F426" s="228"/>
      <c r="G426" s="228"/>
      <c r="H426" s="228"/>
      <c r="I426" s="228"/>
      <c r="J426" s="228"/>
      <c r="K426" s="228"/>
    </row>
    <row r="427" spans="2:11">
      <c r="B427" s="73"/>
      <c r="C427" s="248"/>
      <c r="D427" s="228"/>
      <c r="F427" s="228"/>
      <c r="G427" s="228"/>
      <c r="H427" s="228"/>
      <c r="I427" s="228"/>
      <c r="J427" s="228"/>
      <c r="K427" s="228"/>
    </row>
    <row r="428" spans="2:11">
      <c r="B428" s="73"/>
      <c r="C428" s="248"/>
      <c r="D428" s="228"/>
      <c r="F428" s="228"/>
      <c r="G428" s="228"/>
      <c r="H428" s="228"/>
      <c r="I428" s="228"/>
      <c r="J428" s="228"/>
      <c r="K428" s="228"/>
    </row>
    <row r="429" spans="2:11">
      <c r="B429" s="73"/>
      <c r="C429" s="248"/>
      <c r="D429" s="228"/>
      <c r="F429" s="228"/>
      <c r="G429" s="228"/>
      <c r="H429" s="228"/>
      <c r="I429" s="228"/>
      <c r="J429" s="228"/>
      <c r="K429" s="228"/>
    </row>
    <row r="430" spans="2:11">
      <c r="B430" s="73"/>
      <c r="C430" s="248"/>
      <c r="D430" s="228"/>
      <c r="F430" s="228"/>
      <c r="G430" s="228"/>
      <c r="H430" s="228"/>
      <c r="I430" s="228"/>
      <c r="J430" s="228"/>
      <c r="K430" s="228"/>
    </row>
    <row r="431" spans="2:11">
      <c r="B431" s="73"/>
      <c r="C431" s="248"/>
      <c r="D431" s="228"/>
      <c r="F431" s="228"/>
      <c r="G431" s="228"/>
      <c r="H431" s="228"/>
      <c r="I431" s="228"/>
      <c r="J431" s="228"/>
      <c r="K431" s="228"/>
    </row>
    <row r="432" spans="2:11">
      <c r="B432" s="73"/>
      <c r="C432" s="248"/>
      <c r="D432" s="228"/>
      <c r="F432" s="228"/>
      <c r="G432" s="228"/>
      <c r="H432" s="228"/>
      <c r="I432" s="228"/>
      <c r="J432" s="228"/>
      <c r="K432" s="228"/>
    </row>
    <row r="433" spans="2:11">
      <c r="B433" s="73"/>
      <c r="C433" s="248"/>
      <c r="D433" s="228"/>
      <c r="F433" s="228"/>
      <c r="G433" s="228"/>
      <c r="H433" s="228"/>
      <c r="I433" s="228"/>
      <c r="J433" s="228"/>
      <c r="K433" s="228"/>
    </row>
    <row r="434" spans="2:11">
      <c r="B434" s="73"/>
      <c r="C434" s="248"/>
      <c r="D434" s="228"/>
      <c r="F434" s="228"/>
      <c r="G434" s="228"/>
      <c r="H434" s="228"/>
      <c r="I434" s="228"/>
      <c r="J434" s="228"/>
      <c r="K434" s="228"/>
    </row>
    <row r="435" spans="2:11">
      <c r="B435" s="73"/>
      <c r="C435" s="248"/>
      <c r="D435" s="228"/>
      <c r="F435" s="228"/>
      <c r="G435" s="228"/>
      <c r="H435" s="228"/>
      <c r="I435" s="228"/>
      <c r="J435" s="228"/>
      <c r="K435" s="228"/>
    </row>
    <row r="436" spans="2:11">
      <c r="B436" s="73"/>
      <c r="C436" s="248"/>
      <c r="D436" s="228"/>
      <c r="F436" s="228"/>
      <c r="G436" s="228"/>
      <c r="H436" s="228"/>
      <c r="I436" s="228"/>
      <c r="J436" s="228"/>
      <c r="K436" s="228"/>
    </row>
    <row r="437" spans="2:11">
      <c r="B437" s="73"/>
      <c r="C437" s="248"/>
      <c r="D437" s="228"/>
      <c r="F437" s="228"/>
      <c r="G437" s="228"/>
      <c r="H437" s="228"/>
      <c r="I437" s="228"/>
      <c r="J437" s="228"/>
      <c r="K437" s="228"/>
    </row>
    <row r="438" spans="2:11">
      <c r="B438" s="73"/>
      <c r="C438" s="248"/>
      <c r="D438" s="228"/>
      <c r="F438" s="228"/>
      <c r="G438" s="228"/>
      <c r="H438" s="228"/>
      <c r="I438" s="228"/>
      <c r="J438" s="228"/>
      <c r="K438" s="228"/>
    </row>
    <row r="439" spans="2:11">
      <c r="B439" s="73"/>
      <c r="C439" s="248"/>
      <c r="D439" s="228"/>
      <c r="F439" s="228"/>
      <c r="G439" s="228"/>
      <c r="H439" s="228"/>
      <c r="I439" s="228"/>
      <c r="J439" s="228"/>
      <c r="K439" s="228"/>
    </row>
    <row r="440" spans="2:11">
      <c r="B440" s="73"/>
      <c r="C440" s="248"/>
      <c r="D440" s="228"/>
      <c r="F440" s="228"/>
      <c r="G440" s="228"/>
      <c r="H440" s="228"/>
      <c r="I440" s="228"/>
      <c r="J440" s="228"/>
      <c r="K440" s="228"/>
    </row>
    <row r="441" spans="2:11">
      <c r="B441" s="73"/>
      <c r="C441" s="248"/>
      <c r="D441" s="228"/>
      <c r="F441" s="228"/>
      <c r="G441" s="228"/>
      <c r="H441" s="228"/>
      <c r="I441" s="228"/>
      <c r="J441" s="228"/>
      <c r="K441" s="228"/>
    </row>
    <row r="442" spans="2:11">
      <c r="B442" s="73"/>
      <c r="C442" s="248"/>
      <c r="D442" s="228"/>
      <c r="F442" s="228"/>
      <c r="G442" s="228"/>
      <c r="H442" s="228"/>
      <c r="I442" s="228"/>
      <c r="J442" s="228"/>
      <c r="K442" s="228"/>
    </row>
    <row r="443" spans="2:11">
      <c r="B443" s="73"/>
      <c r="C443" s="248"/>
      <c r="D443" s="228"/>
      <c r="F443" s="228"/>
      <c r="G443" s="228"/>
      <c r="H443" s="228"/>
      <c r="I443" s="228"/>
      <c r="J443" s="228"/>
      <c r="K443" s="228"/>
    </row>
    <row r="444" spans="2:11">
      <c r="B444" s="73"/>
      <c r="C444" s="248"/>
      <c r="D444" s="228"/>
      <c r="F444" s="228"/>
      <c r="G444" s="228"/>
      <c r="H444" s="228"/>
      <c r="I444" s="228"/>
      <c r="J444" s="228"/>
      <c r="K444" s="228"/>
    </row>
    <row r="445" spans="2:11">
      <c r="B445" s="73"/>
      <c r="C445" s="248"/>
      <c r="D445" s="228"/>
      <c r="F445" s="228"/>
      <c r="G445" s="228"/>
      <c r="H445" s="228"/>
      <c r="I445" s="228"/>
      <c r="J445" s="228"/>
      <c r="K445" s="228"/>
    </row>
    <row r="446" spans="2:11">
      <c r="B446" s="73"/>
      <c r="C446" s="248"/>
      <c r="D446" s="228"/>
      <c r="F446" s="228"/>
      <c r="G446" s="228"/>
      <c r="H446" s="228"/>
      <c r="I446" s="228"/>
      <c r="J446" s="228"/>
      <c r="K446" s="228"/>
    </row>
    <row r="447" spans="2:11">
      <c r="B447" s="73"/>
      <c r="C447" s="248"/>
      <c r="D447" s="228"/>
      <c r="F447" s="228"/>
      <c r="G447" s="228"/>
      <c r="H447" s="228"/>
      <c r="I447" s="228"/>
      <c r="J447" s="228"/>
      <c r="K447" s="228"/>
    </row>
    <row r="448" spans="2:11">
      <c r="B448" s="73"/>
      <c r="C448" s="248"/>
      <c r="D448" s="228"/>
      <c r="F448" s="228"/>
      <c r="G448" s="228"/>
      <c r="H448" s="228"/>
      <c r="I448" s="228"/>
      <c r="J448" s="228"/>
      <c r="K448" s="228"/>
    </row>
    <row r="449" spans="2:11">
      <c r="B449" s="73"/>
      <c r="C449" s="248"/>
      <c r="D449" s="228"/>
      <c r="F449" s="228"/>
      <c r="G449" s="228"/>
      <c r="H449" s="228"/>
      <c r="I449" s="228"/>
      <c r="J449" s="228"/>
      <c r="K449" s="228"/>
    </row>
    <row r="450" spans="2:11">
      <c r="B450" s="73"/>
      <c r="C450" s="248"/>
      <c r="D450" s="228"/>
      <c r="F450" s="228"/>
      <c r="G450" s="228"/>
      <c r="H450" s="228"/>
      <c r="I450" s="228"/>
      <c r="J450" s="228"/>
      <c r="K450" s="228"/>
    </row>
    <row r="451" spans="2:11">
      <c r="B451" s="73"/>
      <c r="C451" s="248"/>
      <c r="D451" s="228"/>
      <c r="F451" s="228"/>
      <c r="G451" s="228"/>
      <c r="H451" s="228"/>
      <c r="I451" s="228"/>
      <c r="J451" s="228"/>
      <c r="K451" s="228"/>
    </row>
    <row r="452" spans="2:11">
      <c r="B452" s="73"/>
      <c r="C452" s="248"/>
      <c r="D452" s="228"/>
      <c r="F452" s="228"/>
      <c r="G452" s="228"/>
      <c r="H452" s="228"/>
      <c r="I452" s="228"/>
      <c r="J452" s="228"/>
      <c r="K452" s="228"/>
    </row>
    <row r="453" spans="2:11">
      <c r="B453" s="73"/>
      <c r="C453" s="248"/>
      <c r="D453" s="228"/>
      <c r="F453" s="228"/>
      <c r="G453" s="228"/>
      <c r="H453" s="228"/>
      <c r="I453" s="228"/>
      <c r="J453" s="228"/>
      <c r="K453" s="228"/>
    </row>
    <row r="454" spans="2:11">
      <c r="B454" s="73"/>
      <c r="C454" s="248"/>
      <c r="D454" s="228"/>
      <c r="F454" s="228"/>
      <c r="G454" s="228"/>
      <c r="H454" s="228"/>
      <c r="I454" s="228"/>
      <c r="J454" s="228"/>
      <c r="K454" s="228"/>
    </row>
    <row r="455" spans="2:11">
      <c r="B455" s="73"/>
      <c r="C455" s="248"/>
      <c r="D455" s="228"/>
      <c r="F455" s="228"/>
      <c r="G455" s="228"/>
      <c r="H455" s="228"/>
      <c r="I455" s="228"/>
      <c r="J455" s="228"/>
      <c r="K455" s="228"/>
    </row>
    <row r="456" spans="2:11">
      <c r="B456" s="73"/>
      <c r="C456" s="248"/>
      <c r="D456" s="228"/>
      <c r="F456" s="228"/>
      <c r="G456" s="228"/>
      <c r="H456" s="228"/>
      <c r="I456" s="228"/>
      <c r="J456" s="228"/>
      <c r="K456" s="228"/>
    </row>
    <row r="457" spans="2:11">
      <c r="B457" s="73"/>
      <c r="C457" s="248"/>
      <c r="D457" s="228"/>
      <c r="F457" s="228"/>
      <c r="G457" s="228"/>
      <c r="H457" s="228"/>
      <c r="I457" s="228"/>
      <c r="J457" s="228"/>
      <c r="K457" s="228"/>
    </row>
    <row r="458" spans="2:11">
      <c r="B458" s="73"/>
      <c r="C458" s="248"/>
      <c r="D458" s="228"/>
      <c r="F458" s="228"/>
      <c r="G458" s="228"/>
      <c r="H458" s="228"/>
      <c r="I458" s="228"/>
      <c r="J458" s="228"/>
      <c r="K458" s="228"/>
    </row>
    <row r="459" spans="2:11">
      <c r="B459" s="73"/>
      <c r="C459" s="248"/>
      <c r="D459" s="228"/>
      <c r="F459" s="228"/>
      <c r="G459" s="228"/>
      <c r="H459" s="228"/>
      <c r="I459" s="228"/>
      <c r="J459" s="228"/>
      <c r="K459" s="228"/>
    </row>
    <row r="460" spans="2:11">
      <c r="B460" s="73"/>
      <c r="C460" s="248"/>
      <c r="D460" s="228"/>
      <c r="F460" s="228"/>
      <c r="G460" s="228"/>
      <c r="H460" s="228"/>
      <c r="I460" s="228"/>
      <c r="J460" s="228"/>
      <c r="K460" s="228"/>
    </row>
    <row r="461" spans="2:11">
      <c r="B461" s="73"/>
      <c r="C461" s="248"/>
      <c r="D461" s="228"/>
      <c r="F461" s="228"/>
      <c r="G461" s="228"/>
      <c r="H461" s="228"/>
      <c r="I461" s="228"/>
      <c r="J461" s="228"/>
      <c r="K461" s="228"/>
    </row>
    <row r="462" spans="2:11">
      <c r="B462" s="73"/>
      <c r="C462" s="248"/>
      <c r="D462" s="228"/>
      <c r="F462" s="228"/>
      <c r="G462" s="228"/>
      <c r="H462" s="228"/>
      <c r="I462" s="228"/>
      <c r="J462" s="228"/>
      <c r="K462" s="228"/>
    </row>
    <row r="463" spans="2:11">
      <c r="B463" s="73"/>
      <c r="C463" s="248"/>
      <c r="D463" s="228"/>
      <c r="F463" s="228"/>
      <c r="G463" s="228"/>
      <c r="H463" s="228"/>
      <c r="I463" s="228"/>
      <c r="J463" s="228"/>
      <c r="K463" s="228"/>
    </row>
    <row r="464" spans="2:11">
      <c r="B464" s="73"/>
      <c r="C464" s="248"/>
      <c r="D464" s="228"/>
      <c r="F464" s="228"/>
      <c r="G464" s="228"/>
      <c r="H464" s="228"/>
      <c r="I464" s="228"/>
      <c r="J464" s="228"/>
      <c r="K464" s="228"/>
    </row>
    <row r="465" spans="2:11">
      <c r="B465" s="73"/>
      <c r="C465" s="248"/>
      <c r="D465" s="228"/>
      <c r="F465" s="228"/>
      <c r="G465" s="228"/>
      <c r="H465" s="228"/>
      <c r="I465" s="228"/>
      <c r="J465" s="228"/>
      <c r="K465" s="228"/>
    </row>
    <row r="466" spans="2:11">
      <c r="B466" s="73"/>
      <c r="C466" s="248"/>
      <c r="D466" s="228"/>
      <c r="F466" s="228"/>
      <c r="G466" s="228"/>
      <c r="H466" s="228"/>
      <c r="I466" s="228"/>
      <c r="J466" s="228"/>
      <c r="K466" s="228"/>
    </row>
    <row r="467" spans="2:11">
      <c r="B467" s="73"/>
      <c r="C467" s="248"/>
      <c r="D467" s="228"/>
      <c r="F467" s="228"/>
      <c r="G467" s="228"/>
      <c r="H467" s="228"/>
      <c r="I467" s="228"/>
      <c r="J467" s="228"/>
      <c r="K467" s="228"/>
    </row>
    <row r="468" spans="2:11">
      <c r="B468" s="73"/>
      <c r="C468" s="248"/>
      <c r="D468" s="228"/>
      <c r="F468" s="228"/>
      <c r="G468" s="228"/>
      <c r="H468" s="228"/>
      <c r="I468" s="228"/>
      <c r="J468" s="228"/>
      <c r="K468" s="228"/>
    </row>
    <row r="469" spans="2:11">
      <c r="B469" s="73"/>
      <c r="C469" s="248"/>
      <c r="D469" s="228"/>
      <c r="F469" s="228"/>
      <c r="G469" s="228"/>
      <c r="H469" s="228"/>
      <c r="I469" s="228"/>
      <c r="J469" s="228"/>
      <c r="K469" s="228"/>
    </row>
    <row r="470" spans="2:11">
      <c r="B470" s="73"/>
      <c r="C470" s="248"/>
      <c r="D470" s="228"/>
      <c r="F470" s="228"/>
      <c r="G470" s="228"/>
      <c r="H470" s="228"/>
      <c r="I470" s="228"/>
      <c r="J470" s="228"/>
      <c r="K470" s="228"/>
    </row>
    <row r="471" spans="2:11">
      <c r="B471" s="73"/>
      <c r="C471" s="248"/>
      <c r="D471" s="228"/>
      <c r="F471" s="228"/>
      <c r="G471" s="228"/>
      <c r="H471" s="228"/>
      <c r="I471" s="228"/>
      <c r="J471" s="228"/>
      <c r="K471" s="228"/>
    </row>
    <row r="472" spans="2:11">
      <c r="B472" s="73"/>
      <c r="C472" s="248"/>
      <c r="D472" s="228"/>
      <c r="F472" s="228"/>
      <c r="G472" s="228"/>
      <c r="H472" s="228"/>
      <c r="I472" s="228"/>
      <c r="J472" s="228"/>
      <c r="K472" s="228"/>
    </row>
    <row r="473" spans="2:11">
      <c r="B473" s="73"/>
      <c r="C473" s="248"/>
      <c r="D473" s="228"/>
      <c r="F473" s="228"/>
      <c r="G473" s="228"/>
      <c r="H473" s="228"/>
      <c r="I473" s="228"/>
      <c r="J473" s="228"/>
      <c r="K473" s="228"/>
    </row>
    <row r="474" spans="2:11">
      <c r="B474" s="73"/>
      <c r="C474" s="248"/>
      <c r="D474" s="228"/>
      <c r="F474" s="228"/>
      <c r="G474" s="228"/>
      <c r="H474" s="228"/>
      <c r="I474" s="228"/>
      <c r="J474" s="228"/>
      <c r="K474" s="228"/>
    </row>
    <row r="475" spans="2:11">
      <c r="B475" s="73"/>
      <c r="C475" s="248"/>
      <c r="D475" s="228"/>
      <c r="F475" s="228"/>
      <c r="G475" s="228"/>
      <c r="H475" s="228"/>
      <c r="I475" s="228"/>
      <c r="J475" s="228"/>
      <c r="K475" s="228"/>
    </row>
    <row r="476" spans="2:11">
      <c r="B476" s="73"/>
      <c r="C476" s="248"/>
      <c r="D476" s="228"/>
      <c r="F476" s="228"/>
      <c r="G476" s="228"/>
      <c r="H476" s="228"/>
      <c r="I476" s="228"/>
      <c r="J476" s="228"/>
      <c r="K476" s="228"/>
    </row>
    <row r="477" spans="2:11">
      <c r="B477" s="73"/>
      <c r="C477" s="248"/>
      <c r="D477" s="228"/>
      <c r="F477" s="228"/>
      <c r="G477" s="228"/>
      <c r="H477" s="228"/>
      <c r="I477" s="228"/>
      <c r="J477" s="228"/>
      <c r="K477" s="228"/>
    </row>
    <row r="478" spans="2:11">
      <c r="B478" s="73"/>
      <c r="C478" s="248"/>
      <c r="D478" s="228"/>
      <c r="F478" s="228"/>
      <c r="G478" s="228"/>
      <c r="H478" s="228"/>
      <c r="I478" s="228"/>
      <c r="J478" s="228"/>
      <c r="K478" s="228"/>
    </row>
    <row r="479" spans="2:11">
      <c r="B479" s="73"/>
      <c r="C479" s="248"/>
      <c r="D479" s="228"/>
      <c r="F479" s="228"/>
      <c r="G479" s="228"/>
      <c r="H479" s="228"/>
      <c r="I479" s="228"/>
      <c r="J479" s="228"/>
      <c r="K479" s="228"/>
    </row>
    <row r="480" spans="2:11">
      <c r="B480" s="73"/>
      <c r="C480" s="248"/>
      <c r="D480" s="228"/>
      <c r="F480" s="228"/>
      <c r="G480" s="228"/>
      <c r="H480" s="228"/>
      <c r="I480" s="228"/>
      <c r="J480" s="228"/>
      <c r="K480" s="228"/>
    </row>
    <row r="481" spans="2:11">
      <c r="B481" s="73"/>
      <c r="C481" s="248"/>
      <c r="D481" s="228"/>
      <c r="F481" s="228"/>
      <c r="G481" s="228"/>
      <c r="H481" s="228"/>
      <c r="I481" s="228"/>
      <c r="J481" s="228"/>
      <c r="K481" s="228"/>
    </row>
    <row r="482" spans="2:11">
      <c r="B482" s="73"/>
      <c r="C482" s="248"/>
      <c r="D482" s="228"/>
      <c r="F482" s="228"/>
      <c r="G482" s="228"/>
      <c r="H482" s="228"/>
      <c r="I482" s="228"/>
      <c r="J482" s="228"/>
      <c r="K482" s="228"/>
    </row>
    <row r="483" spans="2:11">
      <c r="B483" s="73"/>
      <c r="C483" s="248"/>
      <c r="D483" s="228"/>
      <c r="F483" s="228"/>
      <c r="G483" s="228"/>
      <c r="H483" s="228"/>
      <c r="I483" s="228"/>
      <c r="J483" s="228"/>
      <c r="K483" s="228"/>
    </row>
    <row r="484" spans="2:11">
      <c r="B484" s="73"/>
      <c r="C484" s="248"/>
      <c r="D484" s="228"/>
      <c r="F484" s="228"/>
      <c r="G484" s="228"/>
      <c r="H484" s="228"/>
      <c r="I484" s="228"/>
      <c r="J484" s="228"/>
      <c r="K484" s="228"/>
    </row>
    <row r="485" spans="2:11">
      <c r="B485" s="73"/>
      <c r="C485" s="248"/>
      <c r="D485" s="228"/>
      <c r="F485" s="228"/>
      <c r="G485" s="228"/>
      <c r="H485" s="228"/>
      <c r="I485" s="228"/>
      <c r="J485" s="228"/>
      <c r="K485" s="228"/>
    </row>
    <row r="486" spans="2:11">
      <c r="B486" s="73"/>
      <c r="C486" s="248"/>
      <c r="D486" s="228"/>
      <c r="F486" s="228"/>
      <c r="G486" s="228"/>
      <c r="H486" s="228"/>
      <c r="I486" s="228"/>
      <c r="J486" s="228"/>
      <c r="K486" s="228"/>
    </row>
    <row r="487" spans="2:11">
      <c r="B487" s="73"/>
      <c r="C487" s="248"/>
      <c r="D487" s="228"/>
      <c r="F487" s="228"/>
      <c r="G487" s="228"/>
      <c r="H487" s="228"/>
      <c r="I487" s="228"/>
      <c r="J487" s="228"/>
      <c r="K487" s="228"/>
    </row>
    <row r="488" spans="2:11">
      <c r="B488" s="73"/>
      <c r="C488" s="248"/>
      <c r="D488" s="228"/>
      <c r="F488" s="228"/>
      <c r="G488" s="228"/>
      <c r="H488" s="228"/>
      <c r="I488" s="228"/>
      <c r="J488" s="228"/>
      <c r="K488" s="228"/>
    </row>
    <row r="489" spans="2:11">
      <c r="B489" s="73"/>
      <c r="C489" s="248"/>
      <c r="D489" s="228"/>
      <c r="F489" s="228"/>
      <c r="G489" s="228"/>
      <c r="H489" s="228"/>
      <c r="I489" s="228"/>
      <c r="J489" s="228"/>
      <c r="K489" s="228"/>
    </row>
    <row r="490" spans="2:11">
      <c r="B490" s="73"/>
      <c r="C490" s="248"/>
      <c r="D490" s="228"/>
      <c r="F490" s="228"/>
      <c r="G490" s="228"/>
      <c r="H490" s="228"/>
      <c r="I490" s="228"/>
      <c r="J490" s="228"/>
      <c r="K490" s="228"/>
    </row>
    <row r="491" spans="2:11">
      <c r="B491" s="73"/>
      <c r="C491" s="248"/>
      <c r="D491" s="228"/>
      <c r="F491" s="228"/>
      <c r="G491" s="228"/>
      <c r="H491" s="228"/>
      <c r="I491" s="228"/>
      <c r="J491" s="228"/>
      <c r="K491" s="228"/>
    </row>
    <row r="492" spans="2:11">
      <c r="B492" s="73"/>
      <c r="C492" s="248"/>
      <c r="D492" s="228"/>
      <c r="F492" s="228"/>
      <c r="G492" s="228"/>
      <c r="H492" s="228"/>
      <c r="I492" s="228"/>
      <c r="J492" s="228"/>
      <c r="K492" s="228"/>
    </row>
    <row r="493" spans="2:11">
      <c r="B493" s="73"/>
      <c r="C493" s="248"/>
      <c r="D493" s="228"/>
      <c r="F493" s="228"/>
      <c r="G493" s="228"/>
      <c r="H493" s="228"/>
      <c r="I493" s="228"/>
      <c r="J493" s="228"/>
      <c r="K493" s="228"/>
    </row>
    <row r="494" spans="2:11">
      <c r="B494" s="73"/>
      <c r="C494" s="248"/>
      <c r="D494" s="228"/>
      <c r="F494" s="228"/>
      <c r="G494" s="228"/>
      <c r="H494" s="228"/>
      <c r="I494" s="228"/>
      <c r="J494" s="228"/>
      <c r="K494" s="228"/>
    </row>
    <row r="495" spans="2:11">
      <c r="B495" s="73"/>
      <c r="C495" s="248"/>
      <c r="D495" s="228"/>
      <c r="F495" s="228"/>
      <c r="G495" s="228"/>
      <c r="H495" s="228"/>
      <c r="I495" s="228"/>
      <c r="J495" s="228"/>
      <c r="K495" s="228"/>
    </row>
    <row r="496" spans="2:11">
      <c r="B496" s="73"/>
      <c r="C496" s="248"/>
      <c r="D496" s="228"/>
      <c r="F496" s="228"/>
      <c r="G496" s="228"/>
      <c r="H496" s="228"/>
      <c r="I496" s="228"/>
      <c r="J496" s="228"/>
      <c r="K496" s="228"/>
    </row>
    <row r="497" spans="2:11">
      <c r="B497" s="73"/>
      <c r="C497" s="248"/>
      <c r="D497" s="228"/>
      <c r="F497" s="228"/>
      <c r="G497" s="228"/>
      <c r="H497" s="228"/>
      <c r="I497" s="228"/>
      <c r="J497" s="228"/>
      <c r="K497" s="228"/>
    </row>
    <row r="498" spans="2:11">
      <c r="B498" s="73"/>
      <c r="C498" s="248"/>
      <c r="D498" s="228"/>
      <c r="F498" s="228"/>
      <c r="G498" s="228"/>
      <c r="H498" s="228"/>
      <c r="I498" s="228"/>
      <c r="J498" s="228"/>
      <c r="K498" s="228"/>
    </row>
    <row r="499" spans="2:11">
      <c r="B499" s="73"/>
      <c r="C499" s="248"/>
      <c r="D499" s="228"/>
      <c r="F499" s="228"/>
      <c r="G499" s="228"/>
      <c r="H499" s="228"/>
      <c r="I499" s="228"/>
      <c r="J499" s="228"/>
      <c r="K499" s="228"/>
    </row>
    <row r="500" spans="2:11">
      <c r="B500" s="73"/>
      <c r="C500" s="248"/>
      <c r="D500" s="228"/>
      <c r="F500" s="228"/>
      <c r="G500" s="228"/>
      <c r="H500" s="228"/>
      <c r="I500" s="228"/>
      <c r="J500" s="228"/>
      <c r="K500" s="228"/>
    </row>
    <row r="501" spans="2:11">
      <c r="B501" s="73"/>
      <c r="C501" s="248"/>
      <c r="D501" s="228"/>
      <c r="F501" s="228"/>
      <c r="G501" s="228"/>
      <c r="H501" s="228"/>
      <c r="I501" s="228"/>
      <c r="J501" s="228"/>
      <c r="K501" s="228"/>
    </row>
    <row r="502" spans="2:11">
      <c r="B502" s="73"/>
      <c r="C502" s="248"/>
      <c r="D502" s="228"/>
      <c r="F502" s="228"/>
      <c r="G502" s="228"/>
      <c r="H502" s="228"/>
      <c r="I502" s="228"/>
      <c r="J502" s="228"/>
      <c r="K502" s="228"/>
    </row>
    <row r="503" spans="2:11">
      <c r="B503" s="73"/>
      <c r="C503" s="248"/>
      <c r="D503" s="228"/>
      <c r="F503" s="228"/>
      <c r="G503" s="228"/>
      <c r="H503" s="228"/>
      <c r="I503" s="228"/>
      <c r="J503" s="228"/>
      <c r="K503" s="228"/>
    </row>
    <row r="504" spans="2:11">
      <c r="B504" s="73"/>
      <c r="C504" s="248"/>
      <c r="D504" s="228"/>
      <c r="F504" s="228"/>
      <c r="G504" s="228"/>
      <c r="H504" s="228"/>
      <c r="I504" s="228"/>
      <c r="J504" s="228"/>
      <c r="K504" s="228"/>
    </row>
    <row r="505" spans="2:11">
      <c r="B505" s="73"/>
      <c r="C505" s="248"/>
      <c r="D505" s="228"/>
      <c r="F505" s="228"/>
      <c r="G505" s="228"/>
      <c r="H505" s="228"/>
      <c r="I505" s="228"/>
      <c r="J505" s="228"/>
      <c r="K505" s="228"/>
    </row>
    <row r="506" spans="2:11">
      <c r="B506" s="73"/>
      <c r="C506" s="248"/>
      <c r="D506" s="228"/>
      <c r="F506" s="228"/>
      <c r="G506" s="228"/>
      <c r="H506" s="228"/>
      <c r="I506" s="228"/>
      <c r="J506" s="228"/>
      <c r="K506" s="228"/>
    </row>
    <row r="507" spans="2:11">
      <c r="B507" s="73"/>
      <c r="C507" s="248"/>
      <c r="D507" s="228"/>
      <c r="F507" s="228"/>
      <c r="G507" s="228"/>
      <c r="H507" s="228"/>
      <c r="I507" s="228"/>
      <c r="J507" s="228"/>
      <c r="K507" s="228"/>
    </row>
    <row r="508" spans="2:11">
      <c r="B508" s="73"/>
      <c r="C508" s="248"/>
      <c r="D508" s="228"/>
      <c r="F508" s="228"/>
      <c r="G508" s="228"/>
      <c r="H508" s="228"/>
      <c r="I508" s="228"/>
      <c r="J508" s="228"/>
      <c r="K508" s="228"/>
    </row>
    <row r="509" spans="2:11">
      <c r="B509" s="73"/>
      <c r="C509" s="248"/>
      <c r="D509" s="228"/>
      <c r="F509" s="228"/>
      <c r="G509" s="228"/>
      <c r="H509" s="228"/>
      <c r="I509" s="228"/>
      <c r="J509" s="228"/>
      <c r="K509" s="228"/>
    </row>
    <row r="510" spans="2:11">
      <c r="B510" s="73"/>
      <c r="C510" s="248"/>
      <c r="D510" s="228"/>
      <c r="F510" s="228"/>
      <c r="G510" s="228"/>
      <c r="H510" s="228"/>
      <c r="I510" s="228"/>
      <c r="J510" s="228"/>
      <c r="K510" s="228"/>
    </row>
    <row r="511" spans="2:11">
      <c r="B511" s="73"/>
      <c r="C511" s="248"/>
      <c r="D511" s="228"/>
      <c r="F511" s="228"/>
      <c r="G511" s="228"/>
      <c r="H511" s="228"/>
      <c r="I511" s="228"/>
      <c r="J511" s="228"/>
      <c r="K511" s="228"/>
    </row>
    <row r="512" spans="2:11">
      <c r="B512" s="73"/>
      <c r="C512" s="248"/>
      <c r="D512" s="228"/>
      <c r="F512" s="228"/>
      <c r="G512" s="228"/>
      <c r="H512" s="228"/>
      <c r="I512" s="228"/>
      <c r="J512" s="228"/>
      <c r="K512" s="228"/>
    </row>
    <row r="513" spans="2:11">
      <c r="B513" s="73"/>
      <c r="C513" s="248"/>
      <c r="D513" s="228"/>
      <c r="F513" s="228"/>
      <c r="G513" s="228"/>
      <c r="H513" s="228"/>
      <c r="I513" s="228"/>
      <c r="J513" s="228"/>
      <c r="K513" s="228"/>
    </row>
    <row r="514" spans="2:11">
      <c r="B514" s="73"/>
      <c r="C514" s="248"/>
      <c r="D514" s="228"/>
      <c r="F514" s="228"/>
      <c r="G514" s="228"/>
      <c r="H514" s="228"/>
      <c r="I514" s="228"/>
      <c r="J514" s="228"/>
      <c r="K514" s="228"/>
    </row>
    <row r="515" spans="2:11">
      <c r="B515" s="73"/>
      <c r="C515" s="248"/>
      <c r="D515" s="228"/>
      <c r="F515" s="228"/>
      <c r="G515" s="228"/>
      <c r="H515" s="228"/>
      <c r="I515" s="228"/>
      <c r="J515" s="228"/>
      <c r="K515" s="228"/>
    </row>
    <row r="516" spans="2:11">
      <c r="B516" s="73"/>
      <c r="C516" s="248"/>
      <c r="D516" s="228"/>
      <c r="F516" s="228"/>
      <c r="G516" s="228"/>
      <c r="H516" s="228"/>
      <c r="I516" s="228"/>
      <c r="J516" s="228"/>
      <c r="K516" s="228"/>
    </row>
    <row r="517" spans="2:11">
      <c r="B517" s="73"/>
      <c r="C517" s="248"/>
      <c r="D517" s="228"/>
      <c r="F517" s="228"/>
      <c r="G517" s="228"/>
      <c r="H517" s="228"/>
      <c r="I517" s="228"/>
      <c r="J517" s="228"/>
      <c r="K517" s="228"/>
    </row>
    <row r="518" spans="2:11">
      <c r="B518" s="73"/>
      <c r="C518" s="248"/>
      <c r="D518" s="228"/>
      <c r="F518" s="228"/>
      <c r="G518" s="228"/>
      <c r="H518" s="228"/>
      <c r="I518" s="228"/>
      <c r="J518" s="228"/>
      <c r="K518" s="228"/>
    </row>
    <row r="519" spans="2:11">
      <c r="B519" s="73"/>
      <c r="C519" s="248"/>
      <c r="D519" s="228"/>
      <c r="F519" s="228"/>
      <c r="G519" s="228"/>
      <c r="H519" s="228"/>
      <c r="I519" s="228"/>
      <c r="J519" s="228"/>
      <c r="K519" s="228"/>
    </row>
    <row r="520" spans="2:11">
      <c r="B520" s="73"/>
      <c r="C520" s="248"/>
      <c r="D520" s="228"/>
      <c r="F520" s="228"/>
      <c r="G520" s="228"/>
      <c r="H520" s="228"/>
      <c r="I520" s="228"/>
      <c r="J520" s="228"/>
      <c r="K520" s="228"/>
    </row>
    <row r="521" spans="2:11">
      <c r="B521" s="73"/>
      <c r="C521" s="248"/>
      <c r="D521" s="228"/>
      <c r="F521" s="228"/>
      <c r="G521" s="228"/>
      <c r="H521" s="228"/>
      <c r="I521" s="228"/>
      <c r="J521" s="228"/>
      <c r="K521" s="228"/>
    </row>
    <row r="522" spans="2:11">
      <c r="B522" s="73"/>
      <c r="C522" s="248"/>
      <c r="D522" s="228"/>
      <c r="F522" s="228"/>
      <c r="G522" s="228"/>
      <c r="H522" s="228"/>
      <c r="I522" s="228"/>
      <c r="J522" s="228"/>
      <c r="K522" s="228"/>
    </row>
    <row r="523" spans="2:11">
      <c r="B523" s="73"/>
      <c r="C523" s="248"/>
      <c r="D523" s="228"/>
      <c r="F523" s="228"/>
      <c r="G523" s="228"/>
      <c r="H523" s="228"/>
      <c r="I523" s="228"/>
      <c r="J523" s="228"/>
      <c r="K523" s="228"/>
    </row>
    <row r="524" spans="2:11">
      <c r="B524" s="73"/>
      <c r="C524" s="248"/>
      <c r="D524" s="228"/>
      <c r="F524" s="228"/>
      <c r="G524" s="228"/>
      <c r="H524" s="228"/>
      <c r="I524" s="228"/>
      <c r="J524" s="228"/>
      <c r="K524" s="228"/>
    </row>
    <row r="525" spans="2:11">
      <c r="B525" s="73"/>
      <c r="C525" s="248"/>
      <c r="D525" s="228"/>
      <c r="F525" s="228"/>
      <c r="G525" s="228"/>
      <c r="H525" s="228"/>
      <c r="I525" s="228"/>
      <c r="J525" s="228"/>
      <c r="K525" s="228"/>
    </row>
    <row r="526" spans="2:11">
      <c r="B526" s="73"/>
      <c r="C526" s="248"/>
      <c r="D526" s="228"/>
      <c r="F526" s="228"/>
      <c r="G526" s="228"/>
      <c r="H526" s="228"/>
      <c r="I526" s="228"/>
      <c r="J526" s="228"/>
      <c r="K526" s="228"/>
    </row>
    <row r="527" spans="2:11">
      <c r="B527" s="73"/>
      <c r="C527" s="248"/>
      <c r="D527" s="228"/>
      <c r="F527" s="228"/>
      <c r="G527" s="228"/>
      <c r="H527" s="228"/>
      <c r="I527" s="228"/>
      <c r="J527" s="228"/>
      <c r="K527" s="228"/>
    </row>
    <row r="528" spans="2:11">
      <c r="B528" s="73"/>
      <c r="C528" s="248"/>
      <c r="D528" s="228"/>
      <c r="F528" s="228"/>
      <c r="G528" s="228"/>
      <c r="H528" s="228"/>
      <c r="I528" s="228"/>
      <c r="J528" s="228"/>
      <c r="K528" s="228"/>
    </row>
    <row r="529" spans="2:11">
      <c r="B529" s="73"/>
      <c r="C529" s="248"/>
      <c r="D529" s="228"/>
      <c r="F529" s="228"/>
      <c r="G529" s="228"/>
      <c r="H529" s="228"/>
      <c r="I529" s="228"/>
      <c r="J529" s="228"/>
      <c r="K529" s="228"/>
    </row>
    <row r="530" spans="2:11">
      <c r="B530" s="73"/>
      <c r="C530" s="248"/>
      <c r="D530" s="228"/>
      <c r="F530" s="228"/>
      <c r="G530" s="228"/>
      <c r="H530" s="228"/>
      <c r="I530" s="228"/>
      <c r="J530" s="228"/>
      <c r="K530" s="228"/>
    </row>
    <row r="531" spans="2:11">
      <c r="B531" s="73"/>
      <c r="C531" s="248"/>
      <c r="D531" s="228"/>
      <c r="F531" s="228"/>
      <c r="G531" s="228"/>
      <c r="H531" s="228"/>
      <c r="I531" s="228"/>
      <c r="J531" s="228"/>
      <c r="K531" s="228"/>
    </row>
    <row r="532" spans="2:11">
      <c r="B532" s="73"/>
      <c r="C532" s="248"/>
      <c r="D532" s="228"/>
      <c r="F532" s="228"/>
      <c r="G532" s="228"/>
      <c r="H532" s="228"/>
      <c r="I532" s="228"/>
      <c r="J532" s="228"/>
      <c r="K532" s="228"/>
    </row>
    <row r="533" spans="2:11">
      <c r="B533" s="73"/>
      <c r="C533" s="248"/>
      <c r="D533" s="228"/>
      <c r="F533" s="228"/>
      <c r="G533" s="228"/>
      <c r="H533" s="228"/>
      <c r="I533" s="228"/>
      <c r="J533" s="228"/>
      <c r="K533" s="228"/>
    </row>
    <row r="534" spans="2:11">
      <c r="B534" s="73"/>
      <c r="C534" s="248"/>
      <c r="D534" s="228"/>
      <c r="F534" s="228"/>
      <c r="G534" s="228"/>
      <c r="H534" s="228"/>
      <c r="I534" s="228"/>
      <c r="J534" s="228"/>
      <c r="K534" s="228"/>
    </row>
    <row r="535" spans="2:11">
      <c r="B535" s="73"/>
      <c r="C535" s="248"/>
      <c r="D535" s="228"/>
      <c r="F535" s="228"/>
      <c r="G535" s="228"/>
      <c r="H535" s="228"/>
      <c r="I535" s="228"/>
      <c r="J535" s="228"/>
      <c r="K535" s="228"/>
    </row>
    <row r="536" spans="2:11">
      <c r="B536" s="73"/>
      <c r="C536" s="248"/>
      <c r="D536" s="228"/>
      <c r="F536" s="228"/>
      <c r="G536" s="228"/>
      <c r="H536" s="228"/>
      <c r="I536" s="228"/>
      <c r="J536" s="228"/>
      <c r="K536" s="228"/>
    </row>
    <row r="537" spans="2:11">
      <c r="B537" s="73"/>
      <c r="C537" s="248"/>
      <c r="D537" s="228"/>
      <c r="F537" s="228"/>
      <c r="G537" s="228"/>
      <c r="H537" s="228"/>
      <c r="I537" s="228"/>
      <c r="J537" s="228"/>
      <c r="K537" s="228"/>
    </row>
    <row r="538" spans="2:11">
      <c r="B538" s="73"/>
      <c r="C538" s="248"/>
      <c r="D538" s="228"/>
      <c r="F538" s="228"/>
      <c r="G538" s="228"/>
      <c r="H538" s="228"/>
      <c r="I538" s="228"/>
      <c r="J538" s="228"/>
      <c r="K538" s="228"/>
    </row>
    <row r="539" spans="2:11">
      <c r="B539" s="73"/>
      <c r="C539" s="248"/>
      <c r="D539" s="228"/>
      <c r="F539" s="228"/>
      <c r="G539" s="228"/>
      <c r="H539" s="228"/>
      <c r="I539" s="228"/>
      <c r="J539" s="228"/>
      <c r="K539" s="228"/>
    </row>
    <row r="540" spans="2:11">
      <c r="B540" s="73"/>
      <c r="C540" s="248"/>
      <c r="D540" s="228"/>
      <c r="F540" s="228"/>
      <c r="G540" s="228"/>
      <c r="H540" s="228"/>
      <c r="I540" s="228"/>
      <c r="J540" s="228"/>
      <c r="K540" s="228"/>
    </row>
    <row r="541" spans="2:11">
      <c r="B541" s="73"/>
      <c r="C541" s="248"/>
      <c r="D541" s="228"/>
      <c r="F541" s="228"/>
      <c r="G541" s="228"/>
      <c r="H541" s="228"/>
      <c r="I541" s="228"/>
      <c r="J541" s="228"/>
      <c r="K541" s="228"/>
    </row>
    <row r="542" spans="2:11">
      <c r="B542" s="73"/>
      <c r="C542" s="248"/>
      <c r="D542" s="228"/>
      <c r="F542" s="228"/>
      <c r="G542" s="228"/>
      <c r="H542" s="228"/>
      <c r="I542" s="228"/>
      <c r="J542" s="228"/>
      <c r="K542" s="228"/>
    </row>
    <row r="543" spans="2:11">
      <c r="B543" s="73"/>
      <c r="C543" s="248"/>
      <c r="D543" s="228"/>
      <c r="F543" s="228"/>
      <c r="G543" s="228"/>
      <c r="H543" s="228"/>
      <c r="I543" s="228"/>
      <c r="J543" s="228"/>
      <c r="K543" s="228"/>
    </row>
    <row r="544" spans="2:11">
      <c r="B544" s="73"/>
      <c r="C544" s="248"/>
      <c r="D544" s="228"/>
      <c r="F544" s="228"/>
      <c r="G544" s="228"/>
      <c r="H544" s="228"/>
      <c r="I544" s="228"/>
      <c r="J544" s="228"/>
      <c r="K544" s="228"/>
    </row>
    <row r="545" spans="2:11">
      <c r="B545" s="73"/>
      <c r="C545" s="248"/>
      <c r="D545" s="228"/>
      <c r="F545" s="228"/>
      <c r="G545" s="228"/>
      <c r="H545" s="228"/>
      <c r="I545" s="228"/>
      <c r="J545" s="228"/>
      <c r="K545" s="228"/>
    </row>
    <row r="546" spans="2:11">
      <c r="B546" s="73"/>
      <c r="C546" s="248"/>
      <c r="D546" s="228"/>
      <c r="F546" s="228"/>
      <c r="G546" s="228"/>
      <c r="H546" s="228"/>
      <c r="I546" s="228"/>
      <c r="J546" s="228"/>
      <c r="K546" s="228"/>
    </row>
    <row r="547" spans="2:11">
      <c r="B547" s="73"/>
      <c r="C547" s="248"/>
      <c r="D547" s="228"/>
      <c r="F547" s="228"/>
      <c r="G547" s="228"/>
      <c r="H547" s="228"/>
      <c r="I547" s="228"/>
      <c r="J547" s="228"/>
      <c r="K547" s="228"/>
    </row>
    <row r="548" spans="2:11">
      <c r="B548" s="73"/>
      <c r="C548" s="248"/>
      <c r="D548" s="228"/>
      <c r="F548" s="228"/>
      <c r="G548" s="228"/>
      <c r="H548" s="228"/>
      <c r="I548" s="228"/>
      <c r="J548" s="228"/>
      <c r="K548" s="228"/>
    </row>
    <row r="549" spans="2:11">
      <c r="B549" s="73"/>
      <c r="C549" s="248"/>
      <c r="D549" s="228"/>
      <c r="F549" s="228"/>
      <c r="G549" s="228"/>
      <c r="H549" s="228"/>
      <c r="I549" s="228"/>
      <c r="J549" s="228"/>
      <c r="K549" s="228"/>
    </row>
    <row r="550" spans="2:11">
      <c r="B550" s="73"/>
      <c r="C550" s="248"/>
      <c r="D550" s="228"/>
      <c r="F550" s="228"/>
      <c r="G550" s="228"/>
      <c r="H550" s="228"/>
      <c r="I550" s="228"/>
      <c r="J550" s="228"/>
      <c r="K550" s="228"/>
    </row>
    <row r="551" spans="2:11">
      <c r="B551" s="73"/>
      <c r="C551" s="248"/>
      <c r="D551" s="228"/>
      <c r="F551" s="228"/>
      <c r="G551" s="228"/>
      <c r="H551" s="228"/>
      <c r="I551" s="228"/>
      <c r="J551" s="228"/>
      <c r="K551" s="228"/>
    </row>
    <row r="552" spans="2:11">
      <c r="B552" s="73"/>
      <c r="C552" s="248"/>
      <c r="D552" s="228"/>
      <c r="F552" s="228"/>
      <c r="G552" s="228"/>
      <c r="H552" s="228"/>
      <c r="I552" s="228"/>
      <c r="J552" s="228"/>
      <c r="K552" s="228"/>
    </row>
    <row r="553" spans="2:11">
      <c r="B553" s="73"/>
      <c r="C553" s="248"/>
      <c r="D553" s="228"/>
      <c r="F553" s="228"/>
      <c r="G553" s="228"/>
      <c r="H553" s="228"/>
      <c r="I553" s="228"/>
      <c r="J553" s="228"/>
      <c r="K553" s="228"/>
    </row>
    <row r="554" spans="2:11">
      <c r="B554" s="73"/>
      <c r="C554" s="248"/>
      <c r="D554" s="228"/>
      <c r="F554" s="228"/>
      <c r="G554" s="228"/>
      <c r="H554" s="228"/>
      <c r="I554" s="228"/>
      <c r="J554" s="228"/>
      <c r="K554" s="228"/>
    </row>
    <row r="555" spans="2:11">
      <c r="B555" s="73"/>
      <c r="C555" s="248"/>
      <c r="D555" s="228"/>
      <c r="F555" s="228"/>
      <c r="G555" s="228"/>
      <c r="H555" s="228"/>
      <c r="I555" s="228"/>
      <c r="J555" s="228"/>
      <c r="K555" s="228"/>
    </row>
    <row r="556" spans="2:11">
      <c r="B556" s="73"/>
      <c r="C556" s="248"/>
      <c r="D556" s="228"/>
      <c r="F556" s="228"/>
      <c r="G556" s="228"/>
      <c r="H556" s="228"/>
      <c r="I556" s="228"/>
      <c r="J556" s="228"/>
      <c r="K556" s="228"/>
    </row>
    <row r="557" spans="2:11">
      <c r="B557" s="73"/>
      <c r="C557" s="248"/>
      <c r="D557" s="228"/>
      <c r="F557" s="228"/>
      <c r="G557" s="228"/>
      <c r="H557" s="228"/>
      <c r="I557" s="228"/>
      <c r="J557" s="228"/>
      <c r="K557" s="228"/>
    </row>
    <row r="558" spans="2:11">
      <c r="B558" s="73"/>
      <c r="C558" s="248"/>
      <c r="D558" s="228"/>
      <c r="F558" s="228"/>
      <c r="G558" s="228"/>
      <c r="H558" s="228"/>
      <c r="I558" s="228"/>
      <c r="J558" s="228"/>
      <c r="K558" s="228"/>
    </row>
    <row r="559" spans="2:11">
      <c r="B559" s="73"/>
      <c r="C559" s="248"/>
      <c r="D559" s="228"/>
      <c r="F559" s="228"/>
      <c r="G559" s="228"/>
      <c r="H559" s="228"/>
      <c r="I559" s="228"/>
      <c r="J559" s="228"/>
      <c r="K559" s="228"/>
    </row>
    <row r="560" spans="2:11">
      <c r="B560" s="73"/>
      <c r="C560" s="248"/>
      <c r="D560" s="228"/>
      <c r="F560" s="228"/>
      <c r="G560" s="228"/>
      <c r="H560" s="228"/>
      <c r="I560" s="228"/>
      <c r="J560" s="228"/>
      <c r="K560" s="228"/>
    </row>
    <row r="561" spans="2:11">
      <c r="B561" s="73"/>
      <c r="C561" s="248"/>
      <c r="D561" s="228"/>
      <c r="F561" s="228"/>
      <c r="G561" s="228"/>
      <c r="H561" s="228"/>
      <c r="I561" s="228"/>
      <c r="J561" s="228"/>
      <c r="K561" s="228"/>
    </row>
    <row r="562" spans="2:11">
      <c r="B562" s="73"/>
      <c r="C562" s="248"/>
      <c r="D562" s="228"/>
      <c r="F562" s="228"/>
      <c r="G562" s="228"/>
      <c r="H562" s="228"/>
      <c r="I562" s="228"/>
      <c r="J562" s="228"/>
      <c r="K562" s="228"/>
    </row>
    <row r="563" spans="2:11">
      <c r="B563" s="73"/>
      <c r="C563" s="248"/>
      <c r="D563" s="228"/>
      <c r="F563" s="228"/>
      <c r="G563" s="228"/>
      <c r="H563" s="228"/>
      <c r="I563" s="228"/>
      <c r="J563" s="228"/>
      <c r="K563" s="228"/>
    </row>
    <row r="564" spans="2:11">
      <c r="B564" s="73"/>
      <c r="C564" s="248"/>
      <c r="D564" s="228"/>
      <c r="F564" s="228"/>
      <c r="G564" s="228"/>
      <c r="H564" s="228"/>
      <c r="I564" s="228"/>
      <c r="J564" s="228"/>
      <c r="K564" s="228"/>
    </row>
    <row r="565" spans="2:11">
      <c r="B565" s="73"/>
      <c r="C565" s="248"/>
      <c r="D565" s="228"/>
      <c r="F565" s="228"/>
      <c r="G565" s="228"/>
      <c r="H565" s="228"/>
      <c r="I565" s="228"/>
      <c r="J565" s="228"/>
      <c r="K565" s="228"/>
    </row>
    <row r="566" spans="2:11">
      <c r="B566" s="73"/>
      <c r="C566" s="248"/>
      <c r="D566" s="228"/>
      <c r="F566" s="228"/>
      <c r="G566" s="228"/>
      <c r="H566" s="228"/>
      <c r="I566" s="228"/>
      <c r="J566" s="228"/>
      <c r="K566" s="228"/>
    </row>
    <row r="567" spans="2:11">
      <c r="B567" s="73"/>
      <c r="C567" s="248"/>
      <c r="D567" s="228"/>
      <c r="F567" s="228"/>
      <c r="G567" s="228"/>
      <c r="H567" s="228"/>
      <c r="I567" s="228"/>
      <c r="J567" s="228"/>
      <c r="K567" s="228"/>
    </row>
    <row r="568" spans="2:11">
      <c r="B568" s="73"/>
      <c r="C568" s="248"/>
      <c r="D568" s="228"/>
      <c r="F568" s="228"/>
      <c r="G568" s="228"/>
      <c r="H568" s="228"/>
      <c r="I568" s="228"/>
      <c r="J568" s="228"/>
      <c r="K568" s="228"/>
    </row>
    <row r="569" spans="2:11">
      <c r="B569" s="73"/>
      <c r="C569" s="248"/>
      <c r="D569" s="228"/>
      <c r="F569" s="228"/>
      <c r="G569" s="228"/>
      <c r="H569" s="228"/>
      <c r="I569" s="228"/>
      <c r="J569" s="228"/>
      <c r="K569" s="228"/>
    </row>
    <row r="570" spans="2:11">
      <c r="B570" s="73"/>
      <c r="C570" s="248"/>
      <c r="D570" s="228"/>
      <c r="F570" s="228"/>
      <c r="G570" s="228"/>
      <c r="H570" s="228"/>
      <c r="I570" s="228"/>
      <c r="J570" s="228"/>
      <c r="K570" s="228"/>
    </row>
    <row r="571" spans="2:11">
      <c r="B571" s="73"/>
      <c r="C571" s="248"/>
      <c r="D571" s="228"/>
      <c r="F571" s="228"/>
      <c r="G571" s="228"/>
      <c r="H571" s="228"/>
      <c r="I571" s="228"/>
      <c r="J571" s="228"/>
      <c r="K571" s="228"/>
    </row>
    <row r="572" spans="2:11">
      <c r="B572" s="73"/>
      <c r="C572" s="248"/>
      <c r="D572" s="228"/>
      <c r="F572" s="228"/>
      <c r="G572" s="228"/>
      <c r="H572" s="228"/>
      <c r="I572" s="228"/>
      <c r="J572" s="228"/>
      <c r="K572" s="228"/>
    </row>
    <row r="573" spans="2:11">
      <c r="B573" s="73"/>
      <c r="C573" s="248"/>
      <c r="D573" s="228"/>
      <c r="F573" s="228"/>
      <c r="G573" s="228"/>
      <c r="H573" s="228"/>
      <c r="I573" s="228"/>
      <c r="J573" s="228"/>
      <c r="K573" s="228"/>
    </row>
    <row r="574" spans="2:11">
      <c r="B574" s="73"/>
      <c r="C574" s="248"/>
      <c r="D574" s="228"/>
      <c r="F574" s="228"/>
      <c r="G574" s="228"/>
      <c r="H574" s="228"/>
      <c r="I574" s="228"/>
      <c r="J574" s="228"/>
      <c r="K574" s="228"/>
    </row>
    <row r="575" spans="2:11">
      <c r="B575" s="73"/>
      <c r="C575" s="248"/>
      <c r="D575" s="228"/>
      <c r="F575" s="228"/>
      <c r="G575" s="228"/>
      <c r="H575" s="228"/>
      <c r="I575" s="228"/>
      <c r="J575" s="228"/>
      <c r="K575" s="228"/>
    </row>
    <row r="576" spans="2:11">
      <c r="B576" s="73"/>
      <c r="C576" s="248"/>
      <c r="D576" s="228"/>
      <c r="F576" s="228"/>
      <c r="G576" s="228"/>
      <c r="H576" s="228"/>
      <c r="I576" s="228"/>
      <c r="J576" s="228"/>
      <c r="K576" s="228"/>
    </row>
    <row r="577" spans="2:11">
      <c r="B577" s="73"/>
      <c r="C577" s="248"/>
      <c r="D577" s="228"/>
      <c r="F577" s="228"/>
      <c r="G577" s="228"/>
      <c r="H577" s="228"/>
      <c r="I577" s="228"/>
      <c r="J577" s="228"/>
      <c r="K577" s="228"/>
    </row>
    <row r="578" spans="2:11">
      <c r="B578" s="73"/>
      <c r="C578" s="248"/>
      <c r="D578" s="228"/>
      <c r="F578" s="228"/>
      <c r="G578" s="228"/>
      <c r="H578" s="228"/>
      <c r="I578" s="228"/>
      <c r="J578" s="228"/>
      <c r="K578" s="228"/>
    </row>
    <row r="579" spans="2:11">
      <c r="B579" s="73"/>
      <c r="C579" s="248"/>
      <c r="D579" s="228"/>
      <c r="F579" s="228"/>
      <c r="G579" s="228"/>
      <c r="H579" s="228"/>
      <c r="I579" s="228"/>
      <c r="J579" s="228"/>
      <c r="K579" s="228"/>
    </row>
    <row r="580" spans="2:11">
      <c r="B580" s="73"/>
      <c r="C580" s="248"/>
      <c r="D580" s="228"/>
      <c r="F580" s="228"/>
      <c r="G580" s="228"/>
      <c r="H580" s="228"/>
      <c r="I580" s="228"/>
      <c r="J580" s="228"/>
      <c r="K580" s="228"/>
    </row>
    <row r="581" spans="2:11">
      <c r="B581" s="73"/>
      <c r="C581" s="248"/>
      <c r="D581" s="228"/>
      <c r="F581" s="228"/>
      <c r="G581" s="228"/>
      <c r="H581" s="228"/>
      <c r="I581" s="228"/>
      <c r="J581" s="228"/>
      <c r="K581" s="228"/>
    </row>
    <row r="582" spans="2:11">
      <c r="B582" s="73"/>
      <c r="C582" s="248"/>
      <c r="D582" s="228"/>
      <c r="F582" s="228"/>
      <c r="G582" s="228"/>
      <c r="H582" s="228"/>
      <c r="I582" s="228"/>
      <c r="J582" s="228"/>
      <c r="K582" s="228"/>
    </row>
    <row r="583" spans="2:11">
      <c r="B583" s="73"/>
      <c r="C583" s="248"/>
      <c r="D583" s="228"/>
      <c r="F583" s="228"/>
      <c r="G583" s="228"/>
      <c r="H583" s="228"/>
      <c r="I583" s="228"/>
      <c r="J583" s="228"/>
      <c r="K583" s="228"/>
    </row>
    <row r="584" spans="2:11">
      <c r="B584" s="73"/>
      <c r="C584" s="248"/>
      <c r="D584" s="228"/>
      <c r="F584" s="228"/>
      <c r="G584" s="228"/>
      <c r="H584" s="228"/>
      <c r="I584" s="228"/>
      <c r="J584" s="228"/>
      <c r="K584" s="228"/>
    </row>
    <row r="585" spans="2:11">
      <c r="B585" s="73"/>
      <c r="C585" s="248"/>
      <c r="D585" s="228"/>
      <c r="F585" s="228"/>
      <c r="G585" s="228"/>
      <c r="H585" s="228"/>
      <c r="I585" s="228"/>
      <c r="J585" s="228"/>
      <c r="K585" s="228"/>
    </row>
    <row r="586" spans="2:11">
      <c r="B586" s="73"/>
      <c r="C586" s="248"/>
      <c r="D586" s="228"/>
      <c r="F586" s="228"/>
      <c r="G586" s="228"/>
      <c r="H586" s="228"/>
      <c r="I586" s="228"/>
      <c r="J586" s="228"/>
      <c r="K586" s="228"/>
    </row>
    <row r="587" spans="2:11">
      <c r="B587" s="73"/>
      <c r="C587" s="248"/>
      <c r="D587" s="228"/>
      <c r="F587" s="228"/>
      <c r="G587" s="228"/>
      <c r="H587" s="228"/>
      <c r="I587" s="228"/>
      <c r="J587" s="228"/>
      <c r="K587" s="228"/>
    </row>
    <row r="588" spans="2:11">
      <c r="B588" s="73"/>
      <c r="C588" s="248"/>
      <c r="D588" s="228"/>
      <c r="F588" s="228"/>
      <c r="G588" s="228"/>
      <c r="H588" s="228"/>
      <c r="I588" s="228"/>
      <c r="J588" s="228"/>
      <c r="K588" s="228"/>
    </row>
    <row r="589" spans="2:11">
      <c r="B589" s="73"/>
      <c r="C589" s="248"/>
      <c r="D589" s="228"/>
      <c r="F589" s="228"/>
      <c r="G589" s="228"/>
      <c r="H589" s="228"/>
      <c r="I589" s="228"/>
      <c r="J589" s="228"/>
      <c r="K589" s="228"/>
    </row>
    <row r="590" spans="2:11">
      <c r="B590" s="73"/>
      <c r="C590" s="248"/>
      <c r="D590" s="228"/>
      <c r="F590" s="228"/>
      <c r="G590" s="228"/>
      <c r="H590" s="228"/>
      <c r="I590" s="228"/>
      <c r="J590" s="228"/>
      <c r="K590" s="228"/>
    </row>
    <row r="591" spans="2:11">
      <c r="B591" s="73"/>
      <c r="C591" s="248"/>
      <c r="D591" s="228"/>
      <c r="F591" s="228"/>
      <c r="G591" s="228"/>
      <c r="H591" s="228"/>
      <c r="I591" s="228"/>
      <c r="J591" s="228"/>
      <c r="K591" s="228"/>
    </row>
    <row r="592" spans="2:11">
      <c r="B592" s="73"/>
      <c r="C592" s="248"/>
      <c r="D592" s="228"/>
      <c r="F592" s="228"/>
      <c r="G592" s="228"/>
      <c r="H592" s="228"/>
      <c r="I592" s="228"/>
      <c r="J592" s="228"/>
      <c r="K592" s="228"/>
    </row>
    <row r="593" spans="2:11">
      <c r="B593" s="73"/>
      <c r="C593" s="248"/>
      <c r="D593" s="228"/>
      <c r="F593" s="228"/>
      <c r="G593" s="228"/>
      <c r="H593" s="228"/>
      <c r="I593" s="228"/>
      <c r="J593" s="228"/>
      <c r="K593" s="228"/>
    </row>
    <row r="594" spans="2:11">
      <c r="B594" s="73"/>
      <c r="C594" s="248"/>
      <c r="D594" s="228"/>
      <c r="F594" s="228"/>
      <c r="G594" s="228"/>
      <c r="H594" s="228"/>
      <c r="I594" s="228"/>
      <c r="J594" s="228"/>
      <c r="K594" s="228"/>
    </row>
    <row r="595" spans="2:11">
      <c r="B595" s="73"/>
      <c r="C595" s="248"/>
      <c r="D595" s="228"/>
      <c r="F595" s="228"/>
      <c r="G595" s="228"/>
      <c r="H595" s="228"/>
      <c r="I595" s="228"/>
      <c r="J595" s="228"/>
      <c r="K595" s="228"/>
    </row>
    <row r="596" spans="2:11">
      <c r="B596" s="73"/>
      <c r="C596" s="248"/>
      <c r="D596" s="228"/>
      <c r="F596" s="228"/>
      <c r="G596" s="228"/>
      <c r="H596" s="228"/>
      <c r="I596" s="228"/>
      <c r="J596" s="228"/>
      <c r="K596" s="228"/>
    </row>
    <row r="597" spans="2:11">
      <c r="B597" s="73"/>
      <c r="C597" s="248"/>
      <c r="D597" s="228"/>
      <c r="F597" s="228"/>
      <c r="G597" s="228"/>
      <c r="H597" s="228"/>
      <c r="I597" s="228"/>
      <c r="J597" s="228"/>
      <c r="K597" s="228"/>
    </row>
    <row r="598" spans="2:11">
      <c r="B598" s="73"/>
      <c r="C598" s="248"/>
      <c r="D598" s="228"/>
      <c r="F598" s="228"/>
      <c r="G598" s="228"/>
      <c r="H598" s="228"/>
      <c r="I598" s="228"/>
      <c r="J598" s="228"/>
      <c r="K598" s="228"/>
    </row>
    <row r="599" spans="2:11">
      <c r="B599" s="73"/>
      <c r="C599" s="248"/>
      <c r="D599" s="228"/>
      <c r="F599" s="228"/>
      <c r="G599" s="228"/>
      <c r="H599" s="228"/>
      <c r="I599" s="228"/>
      <c r="J599" s="228"/>
      <c r="K599" s="228"/>
    </row>
    <row r="600" spans="2:11">
      <c r="B600" s="73"/>
      <c r="C600" s="248"/>
      <c r="D600" s="228"/>
      <c r="F600" s="228"/>
      <c r="G600" s="228"/>
      <c r="H600" s="228"/>
      <c r="I600" s="228"/>
      <c r="J600" s="228"/>
      <c r="K600" s="228"/>
    </row>
    <row r="601" spans="2:11">
      <c r="B601" s="73"/>
      <c r="C601" s="248"/>
      <c r="D601" s="228"/>
      <c r="F601" s="228"/>
      <c r="G601" s="228"/>
      <c r="H601" s="228"/>
      <c r="I601" s="228"/>
      <c r="J601" s="228"/>
      <c r="K601" s="228"/>
    </row>
    <row r="602" spans="2:11">
      <c r="B602" s="73"/>
      <c r="C602" s="248"/>
      <c r="D602" s="228"/>
      <c r="F602" s="228"/>
      <c r="G602" s="228"/>
      <c r="H602" s="228"/>
      <c r="I602" s="228"/>
      <c r="J602" s="228"/>
      <c r="K602" s="228"/>
    </row>
    <row r="603" spans="2:11">
      <c r="B603" s="73"/>
      <c r="C603" s="248"/>
      <c r="D603" s="228"/>
      <c r="F603" s="228"/>
      <c r="G603" s="228"/>
      <c r="H603" s="228"/>
      <c r="I603" s="228"/>
      <c r="J603" s="228"/>
      <c r="K603" s="228"/>
    </row>
    <row r="604" spans="2:11">
      <c r="B604" s="73"/>
      <c r="C604" s="248"/>
      <c r="D604" s="228"/>
      <c r="F604" s="228"/>
      <c r="G604" s="228"/>
      <c r="H604" s="228"/>
      <c r="I604" s="228"/>
      <c r="J604" s="228"/>
      <c r="K604" s="228"/>
    </row>
    <row r="605" spans="2:11">
      <c r="B605" s="73"/>
      <c r="C605" s="248"/>
      <c r="D605" s="228"/>
      <c r="F605" s="228"/>
      <c r="G605" s="228"/>
      <c r="H605" s="228"/>
      <c r="I605" s="228"/>
      <c r="J605" s="228"/>
      <c r="K605" s="228"/>
    </row>
    <row r="606" spans="2:11">
      <c r="B606" s="73"/>
      <c r="C606" s="248"/>
      <c r="D606" s="228"/>
      <c r="F606" s="228"/>
      <c r="G606" s="228"/>
      <c r="H606" s="228"/>
      <c r="I606" s="228"/>
      <c r="J606" s="228"/>
      <c r="K606" s="228"/>
    </row>
    <row r="607" spans="2:11">
      <c r="B607" s="73"/>
      <c r="C607" s="248"/>
      <c r="D607" s="228"/>
      <c r="F607" s="228"/>
      <c r="G607" s="228"/>
      <c r="H607" s="228"/>
      <c r="I607" s="228"/>
      <c r="J607" s="228"/>
      <c r="K607" s="228"/>
    </row>
    <row r="608" spans="2:11">
      <c r="B608" s="73"/>
      <c r="C608" s="248"/>
      <c r="D608" s="228"/>
      <c r="F608" s="228"/>
      <c r="G608" s="228"/>
      <c r="H608" s="228"/>
      <c r="I608" s="228"/>
      <c r="J608" s="228"/>
      <c r="K608" s="228"/>
    </row>
    <row r="609" spans="2:11">
      <c r="B609" s="73"/>
      <c r="C609" s="248"/>
      <c r="D609" s="228"/>
      <c r="F609" s="228"/>
      <c r="G609" s="228"/>
      <c r="H609" s="228"/>
      <c r="I609" s="228"/>
      <c r="J609" s="228"/>
      <c r="K609" s="228"/>
    </row>
    <row r="610" spans="2:11">
      <c r="B610" s="73"/>
      <c r="C610" s="248"/>
      <c r="D610" s="228"/>
      <c r="F610" s="228"/>
      <c r="G610" s="228"/>
      <c r="H610" s="228"/>
      <c r="I610" s="228"/>
      <c r="J610" s="228"/>
      <c r="K610" s="228"/>
    </row>
    <row r="611" spans="2:11">
      <c r="B611" s="73"/>
      <c r="C611" s="248"/>
      <c r="D611" s="228"/>
      <c r="F611" s="228"/>
      <c r="G611" s="228"/>
      <c r="H611" s="228"/>
      <c r="I611" s="228"/>
      <c r="J611" s="228"/>
      <c r="K611" s="228"/>
    </row>
    <row r="612" spans="2:11">
      <c r="B612" s="73"/>
      <c r="C612" s="248"/>
      <c r="D612" s="228"/>
      <c r="F612" s="228"/>
      <c r="G612" s="228"/>
      <c r="H612" s="228"/>
      <c r="I612" s="228"/>
      <c r="J612" s="228"/>
      <c r="K612" s="228"/>
    </row>
    <row r="613" spans="2:11">
      <c r="B613" s="73"/>
      <c r="C613" s="248"/>
      <c r="D613" s="228"/>
      <c r="F613" s="228"/>
      <c r="G613" s="228"/>
      <c r="H613" s="228"/>
      <c r="I613" s="228"/>
      <c r="J613" s="228"/>
      <c r="K613" s="228"/>
    </row>
    <row r="614" spans="2:11">
      <c r="B614" s="73"/>
      <c r="C614" s="248"/>
      <c r="D614" s="228"/>
      <c r="F614" s="228"/>
      <c r="G614" s="228"/>
      <c r="H614" s="228"/>
      <c r="I614" s="228"/>
      <c r="J614" s="228"/>
      <c r="K614" s="228"/>
    </row>
    <row r="615" spans="2:11">
      <c r="B615" s="73"/>
      <c r="C615" s="248"/>
      <c r="D615" s="228"/>
      <c r="F615" s="228"/>
      <c r="G615" s="228"/>
      <c r="H615" s="228"/>
      <c r="I615" s="228"/>
      <c r="J615" s="228"/>
      <c r="K615" s="228"/>
    </row>
    <row r="616" spans="2:11">
      <c r="B616" s="73"/>
      <c r="C616" s="248"/>
      <c r="D616" s="228"/>
      <c r="F616" s="228"/>
      <c r="G616" s="228"/>
      <c r="H616" s="228"/>
      <c r="I616" s="228"/>
      <c r="J616" s="228"/>
      <c r="K616" s="228"/>
    </row>
    <row r="617" spans="2:11">
      <c r="B617" s="73"/>
      <c r="C617" s="248"/>
      <c r="D617" s="228"/>
      <c r="F617" s="228"/>
      <c r="G617" s="228"/>
      <c r="H617" s="228"/>
      <c r="I617" s="228"/>
      <c r="J617" s="228"/>
      <c r="K617" s="228"/>
    </row>
    <row r="618" spans="2:11">
      <c r="B618" s="73"/>
      <c r="C618" s="248"/>
      <c r="D618" s="228"/>
      <c r="F618" s="228"/>
      <c r="G618" s="228"/>
      <c r="H618" s="228"/>
      <c r="I618" s="228"/>
      <c r="J618" s="228"/>
      <c r="K618" s="228"/>
    </row>
    <row r="619" spans="2:11">
      <c r="B619" s="73"/>
      <c r="C619" s="248"/>
      <c r="D619" s="228"/>
      <c r="F619" s="228"/>
      <c r="G619" s="228"/>
      <c r="H619" s="228"/>
      <c r="I619" s="228"/>
      <c r="J619" s="228"/>
      <c r="K619" s="228"/>
    </row>
    <row r="620" spans="2:11">
      <c r="B620" s="73"/>
      <c r="C620" s="248"/>
      <c r="D620" s="228"/>
      <c r="F620" s="228"/>
      <c r="G620" s="228"/>
      <c r="H620" s="228"/>
      <c r="I620" s="228"/>
      <c r="J620" s="228"/>
      <c r="K620" s="228"/>
    </row>
    <row r="621" spans="2:11">
      <c r="B621" s="73"/>
      <c r="C621" s="248"/>
      <c r="D621" s="228"/>
      <c r="F621" s="228"/>
      <c r="G621" s="228"/>
      <c r="H621" s="228"/>
      <c r="I621" s="228"/>
      <c r="J621" s="228"/>
      <c r="K621" s="228"/>
    </row>
    <row r="622" spans="2:11">
      <c r="B622" s="73"/>
      <c r="C622" s="248"/>
      <c r="D622" s="228"/>
      <c r="F622" s="228"/>
      <c r="G622" s="228"/>
      <c r="H622" s="228"/>
      <c r="I622" s="228"/>
      <c r="J622" s="228"/>
      <c r="K622" s="228"/>
    </row>
    <row r="623" spans="2:11">
      <c r="B623" s="73"/>
      <c r="C623" s="248"/>
      <c r="D623" s="228"/>
      <c r="F623" s="228"/>
      <c r="G623" s="228"/>
      <c r="H623" s="228"/>
      <c r="I623" s="228"/>
      <c r="J623" s="228"/>
      <c r="K623" s="228"/>
    </row>
    <row r="624" spans="2:11">
      <c r="B624" s="73"/>
      <c r="C624" s="248"/>
      <c r="D624" s="228"/>
      <c r="F624" s="228"/>
      <c r="G624" s="228"/>
      <c r="H624" s="228"/>
      <c r="I624" s="228"/>
      <c r="J624" s="228"/>
      <c r="K624" s="228"/>
    </row>
    <row r="625" spans="2:11">
      <c r="B625" s="73"/>
      <c r="C625" s="248"/>
      <c r="D625" s="228"/>
      <c r="F625" s="228"/>
      <c r="G625" s="228"/>
      <c r="H625" s="228"/>
      <c r="I625" s="228"/>
      <c r="J625" s="228"/>
      <c r="K625" s="228"/>
    </row>
    <row r="626" spans="2:11">
      <c r="B626" s="73"/>
      <c r="C626" s="248"/>
      <c r="D626" s="228"/>
      <c r="F626" s="228"/>
      <c r="G626" s="228"/>
      <c r="H626" s="228"/>
      <c r="I626" s="228"/>
      <c r="J626" s="228"/>
      <c r="K626" s="228"/>
    </row>
    <row r="627" spans="2:11">
      <c r="B627" s="73"/>
      <c r="C627" s="248"/>
      <c r="D627" s="228"/>
      <c r="F627" s="228"/>
      <c r="G627" s="228"/>
      <c r="H627" s="228"/>
      <c r="I627" s="228"/>
      <c r="J627" s="228"/>
      <c r="K627" s="228"/>
    </row>
    <row r="628" spans="2:11">
      <c r="B628" s="73"/>
      <c r="C628" s="248"/>
      <c r="D628" s="228"/>
      <c r="F628" s="228"/>
      <c r="G628" s="228"/>
      <c r="H628" s="228"/>
      <c r="I628" s="228"/>
      <c r="J628" s="228"/>
      <c r="K628" s="228"/>
    </row>
    <row r="629" spans="2:11">
      <c r="B629" s="73"/>
      <c r="C629" s="248"/>
      <c r="D629" s="228"/>
      <c r="F629" s="228"/>
      <c r="G629" s="228"/>
      <c r="H629" s="228"/>
      <c r="I629" s="228"/>
      <c r="J629" s="228"/>
      <c r="K629" s="228"/>
    </row>
    <row r="630" spans="2:11">
      <c r="B630" s="73"/>
      <c r="C630" s="248"/>
      <c r="D630" s="228"/>
      <c r="F630" s="228"/>
      <c r="G630" s="228"/>
      <c r="H630" s="228"/>
      <c r="I630" s="228"/>
      <c r="J630" s="228"/>
      <c r="K630" s="228"/>
    </row>
    <row r="631" spans="2:11">
      <c r="B631" s="73"/>
      <c r="C631" s="248"/>
      <c r="D631" s="228"/>
      <c r="F631" s="228"/>
      <c r="G631" s="228"/>
      <c r="H631" s="228"/>
      <c r="I631" s="228"/>
      <c r="J631" s="228"/>
      <c r="K631" s="228"/>
    </row>
    <row r="632" spans="2:11">
      <c r="B632" s="73"/>
      <c r="C632" s="248"/>
      <c r="D632" s="228"/>
      <c r="F632" s="228"/>
      <c r="G632" s="228"/>
      <c r="H632" s="228"/>
      <c r="I632" s="228"/>
      <c r="J632" s="228"/>
      <c r="K632" s="228"/>
    </row>
    <row r="633" spans="2:11">
      <c r="B633" s="73"/>
      <c r="C633" s="248"/>
      <c r="D633" s="228"/>
      <c r="F633" s="228"/>
      <c r="G633" s="228"/>
      <c r="H633" s="228"/>
      <c r="I633" s="228"/>
      <c r="J633" s="228"/>
      <c r="K633" s="228"/>
    </row>
    <row r="634" spans="2:11">
      <c r="B634" s="73"/>
      <c r="C634" s="248"/>
      <c r="D634" s="228"/>
      <c r="F634" s="228"/>
      <c r="G634" s="228"/>
      <c r="H634" s="228"/>
      <c r="I634" s="228"/>
      <c r="J634" s="228"/>
      <c r="K634" s="228"/>
    </row>
    <row r="635" spans="2:11">
      <c r="B635" s="73"/>
      <c r="C635" s="248"/>
      <c r="D635" s="228"/>
      <c r="F635" s="228"/>
      <c r="G635" s="228"/>
      <c r="H635" s="228"/>
      <c r="I635" s="228"/>
      <c r="J635" s="228"/>
      <c r="K635" s="228"/>
    </row>
    <row r="636" spans="2:11">
      <c r="B636" s="73"/>
      <c r="C636" s="248"/>
      <c r="D636" s="228"/>
      <c r="F636" s="228"/>
      <c r="G636" s="228"/>
      <c r="H636" s="228"/>
      <c r="I636" s="228"/>
      <c r="J636" s="228"/>
      <c r="K636" s="228"/>
    </row>
    <row r="637" spans="2:11">
      <c r="B637" s="73"/>
      <c r="C637" s="248"/>
      <c r="D637" s="228"/>
      <c r="F637" s="228"/>
      <c r="G637" s="228"/>
      <c r="H637" s="228"/>
      <c r="I637" s="228"/>
      <c r="J637" s="228"/>
      <c r="K637" s="228"/>
    </row>
    <row r="638" spans="2:11">
      <c r="B638" s="73"/>
      <c r="C638" s="248"/>
      <c r="D638" s="228"/>
      <c r="F638" s="228"/>
      <c r="G638" s="228"/>
      <c r="H638" s="228"/>
      <c r="I638" s="228"/>
      <c r="J638" s="228"/>
      <c r="K638" s="228"/>
    </row>
    <row r="639" spans="2:11">
      <c r="B639" s="73"/>
      <c r="C639" s="248"/>
      <c r="D639" s="228"/>
      <c r="F639" s="228"/>
      <c r="G639" s="228"/>
      <c r="H639" s="228"/>
      <c r="I639" s="228"/>
      <c r="J639" s="228"/>
      <c r="K639" s="228"/>
    </row>
    <row r="640" spans="2:11">
      <c r="B640" s="73"/>
      <c r="C640" s="248"/>
      <c r="D640" s="228"/>
      <c r="F640" s="228"/>
      <c r="G640" s="228"/>
      <c r="H640" s="228"/>
      <c r="I640" s="228"/>
      <c r="J640" s="228"/>
      <c r="K640" s="228"/>
    </row>
    <row r="641" spans="2:11">
      <c r="B641" s="73"/>
      <c r="C641" s="248"/>
      <c r="D641" s="228"/>
      <c r="F641" s="228"/>
      <c r="G641" s="228"/>
      <c r="H641" s="228"/>
      <c r="I641" s="228"/>
      <c r="J641" s="228"/>
      <c r="K641" s="228"/>
    </row>
    <row r="642" spans="2:11">
      <c r="B642" s="73"/>
      <c r="C642" s="248"/>
      <c r="D642" s="228"/>
      <c r="F642" s="228"/>
      <c r="G642" s="228"/>
      <c r="H642" s="228"/>
      <c r="I642" s="228"/>
      <c r="J642" s="228"/>
      <c r="K642" s="228"/>
    </row>
    <row r="643" spans="2:11">
      <c r="B643" s="73"/>
      <c r="C643" s="248"/>
      <c r="D643" s="228"/>
      <c r="F643" s="228"/>
      <c r="G643" s="228"/>
      <c r="H643" s="228"/>
      <c r="I643" s="228"/>
      <c r="J643" s="228"/>
      <c r="K643" s="228"/>
    </row>
    <row r="644" spans="2:11">
      <c r="B644" s="73"/>
      <c r="C644" s="248"/>
      <c r="D644" s="228"/>
      <c r="F644" s="228"/>
      <c r="G644" s="228"/>
      <c r="H644" s="228"/>
      <c r="I644" s="228"/>
      <c r="J644" s="228"/>
      <c r="K644" s="228"/>
    </row>
    <row r="645" spans="2:11">
      <c r="B645" s="73"/>
      <c r="C645" s="248"/>
      <c r="D645" s="228"/>
      <c r="F645" s="228"/>
      <c r="G645" s="228"/>
      <c r="H645" s="228"/>
      <c r="I645" s="228"/>
      <c r="J645" s="228"/>
      <c r="K645" s="228"/>
    </row>
    <row r="646" spans="2:11">
      <c r="B646" s="73"/>
      <c r="C646" s="248"/>
      <c r="D646" s="228"/>
      <c r="F646" s="228"/>
      <c r="G646" s="228"/>
      <c r="H646" s="228"/>
      <c r="I646" s="228"/>
      <c r="J646" s="228"/>
      <c r="K646" s="228"/>
    </row>
    <row r="647" spans="2:11">
      <c r="B647" s="73"/>
      <c r="C647" s="248"/>
      <c r="D647" s="228"/>
      <c r="F647" s="228"/>
      <c r="G647" s="228"/>
      <c r="H647" s="228"/>
      <c r="I647" s="228"/>
      <c r="J647" s="228"/>
      <c r="K647" s="228"/>
    </row>
    <row r="648" spans="2:11">
      <c r="B648" s="73"/>
      <c r="C648" s="248"/>
      <c r="D648" s="228"/>
      <c r="F648" s="228"/>
      <c r="G648" s="228"/>
      <c r="H648" s="228"/>
      <c r="I648" s="228"/>
      <c r="J648" s="228"/>
      <c r="K648" s="228"/>
    </row>
    <row r="649" spans="2:11">
      <c r="B649" s="73"/>
      <c r="C649" s="248"/>
      <c r="D649" s="228"/>
      <c r="F649" s="228"/>
      <c r="G649" s="228"/>
      <c r="H649" s="228"/>
      <c r="I649" s="228"/>
      <c r="J649" s="228"/>
      <c r="K649" s="228"/>
    </row>
    <row r="650" spans="2:11">
      <c r="B650" s="73"/>
      <c r="C650" s="248"/>
      <c r="D650" s="228"/>
      <c r="F650" s="228"/>
      <c r="G650" s="228"/>
      <c r="H650" s="228"/>
      <c r="I650" s="228"/>
      <c r="J650" s="228"/>
      <c r="K650" s="228"/>
    </row>
    <row r="651" spans="2:11">
      <c r="B651" s="73"/>
      <c r="C651" s="248"/>
      <c r="D651" s="228"/>
      <c r="F651" s="228"/>
      <c r="G651" s="228"/>
      <c r="H651" s="228"/>
      <c r="I651" s="228"/>
      <c r="J651" s="228"/>
      <c r="K651" s="228"/>
    </row>
    <row r="652" spans="2:11">
      <c r="B652" s="73"/>
      <c r="C652" s="248"/>
      <c r="D652" s="228"/>
      <c r="F652" s="228"/>
      <c r="G652" s="228"/>
      <c r="H652" s="228"/>
      <c r="I652" s="228"/>
      <c r="J652" s="228"/>
      <c r="K652" s="228"/>
    </row>
    <row r="653" spans="2:11">
      <c r="B653" s="73"/>
      <c r="C653" s="248"/>
      <c r="D653" s="228"/>
      <c r="F653" s="228"/>
      <c r="G653" s="228"/>
      <c r="H653" s="228"/>
      <c r="I653" s="228"/>
      <c r="J653" s="228"/>
      <c r="K653" s="228"/>
    </row>
    <row r="654" spans="2:11">
      <c r="B654" s="73"/>
      <c r="C654" s="248"/>
      <c r="D654" s="228"/>
      <c r="F654" s="228"/>
      <c r="G654" s="228"/>
      <c r="H654" s="228"/>
      <c r="I654" s="228"/>
      <c r="J654" s="228"/>
      <c r="K654" s="228"/>
    </row>
    <row r="655" spans="2:11">
      <c r="B655" s="73"/>
      <c r="C655" s="248"/>
      <c r="D655" s="228"/>
      <c r="F655" s="228"/>
      <c r="G655" s="228"/>
      <c r="H655" s="228"/>
      <c r="I655" s="228"/>
      <c r="J655" s="228"/>
      <c r="K655" s="228"/>
    </row>
    <row r="656" spans="2:11">
      <c r="B656" s="73"/>
      <c r="C656" s="248"/>
      <c r="D656" s="228"/>
      <c r="F656" s="228"/>
      <c r="G656" s="228"/>
      <c r="H656" s="228"/>
      <c r="I656" s="228"/>
      <c r="J656" s="228"/>
      <c r="K656" s="228"/>
    </row>
    <row r="657" spans="2:11">
      <c r="B657" s="73"/>
      <c r="C657" s="248"/>
      <c r="D657" s="228"/>
      <c r="F657" s="228"/>
      <c r="G657" s="228"/>
      <c r="H657" s="228"/>
      <c r="I657" s="228"/>
      <c r="J657" s="228"/>
      <c r="K657" s="228"/>
    </row>
    <row r="658" spans="2:11">
      <c r="B658" s="73"/>
      <c r="C658" s="248"/>
      <c r="D658" s="228"/>
      <c r="F658" s="228"/>
      <c r="G658" s="228"/>
      <c r="H658" s="228"/>
      <c r="I658" s="228"/>
      <c r="J658" s="228"/>
      <c r="K658" s="228"/>
    </row>
    <row r="659" spans="2:11">
      <c r="B659" s="73"/>
      <c r="C659" s="248"/>
      <c r="D659" s="228"/>
      <c r="F659" s="228"/>
      <c r="G659" s="228"/>
      <c r="H659" s="228"/>
      <c r="I659" s="228"/>
      <c r="J659" s="228"/>
      <c r="K659" s="228"/>
    </row>
    <row r="660" spans="2:11">
      <c r="B660" s="73"/>
      <c r="C660" s="248"/>
      <c r="D660" s="228"/>
      <c r="F660" s="228"/>
      <c r="G660" s="228"/>
      <c r="H660" s="228"/>
      <c r="I660" s="228"/>
      <c r="J660" s="228"/>
      <c r="K660" s="228"/>
    </row>
    <row r="661" spans="2:11">
      <c r="B661" s="73"/>
      <c r="C661" s="248"/>
      <c r="D661" s="228"/>
      <c r="F661" s="228"/>
      <c r="G661" s="228"/>
      <c r="H661" s="228"/>
      <c r="I661" s="228"/>
      <c r="J661" s="228"/>
      <c r="K661" s="228"/>
    </row>
    <row r="662" spans="2:11">
      <c r="B662" s="73"/>
      <c r="C662" s="248"/>
      <c r="D662" s="228"/>
      <c r="F662" s="228"/>
      <c r="G662" s="228"/>
      <c r="H662" s="228"/>
      <c r="I662" s="228"/>
      <c r="J662" s="228"/>
      <c r="K662" s="228"/>
    </row>
    <row r="663" spans="2:11">
      <c r="B663" s="73"/>
      <c r="C663" s="248"/>
      <c r="D663" s="228"/>
      <c r="F663" s="228"/>
      <c r="G663" s="228"/>
      <c r="H663" s="228"/>
      <c r="I663" s="228"/>
      <c r="J663" s="228"/>
      <c r="K663" s="228"/>
    </row>
    <row r="664" spans="2:11">
      <c r="B664" s="73"/>
      <c r="C664" s="248"/>
      <c r="D664" s="228"/>
      <c r="F664" s="228"/>
      <c r="G664" s="228"/>
      <c r="H664" s="228"/>
      <c r="I664" s="228"/>
      <c r="J664" s="228"/>
      <c r="K664" s="228"/>
    </row>
    <row r="665" spans="2:11">
      <c r="B665" s="73"/>
      <c r="C665" s="248"/>
      <c r="D665" s="228"/>
      <c r="F665" s="228"/>
      <c r="G665" s="228"/>
      <c r="H665" s="228"/>
      <c r="I665" s="228"/>
      <c r="J665" s="228"/>
      <c r="K665" s="228"/>
    </row>
    <row r="666" spans="2:11">
      <c r="B666" s="73"/>
      <c r="C666" s="248"/>
      <c r="D666" s="228"/>
      <c r="F666" s="228"/>
      <c r="G666" s="228"/>
      <c r="H666" s="228"/>
      <c r="I666" s="228"/>
      <c r="J666" s="228"/>
      <c r="K666" s="228"/>
    </row>
    <row r="667" spans="2:11">
      <c r="B667" s="73"/>
      <c r="C667" s="248"/>
      <c r="D667" s="228"/>
      <c r="F667" s="228"/>
      <c r="G667" s="228"/>
      <c r="H667" s="228"/>
      <c r="I667" s="228"/>
      <c r="J667" s="228"/>
      <c r="K667" s="228"/>
    </row>
    <row r="668" spans="2:11">
      <c r="B668" s="73"/>
      <c r="C668" s="248"/>
      <c r="D668" s="228"/>
      <c r="F668" s="228"/>
      <c r="G668" s="228"/>
      <c r="H668" s="228"/>
      <c r="I668" s="228"/>
      <c r="J668" s="228"/>
      <c r="K668" s="228"/>
    </row>
    <row r="669" spans="2:11">
      <c r="B669" s="73"/>
      <c r="C669" s="248"/>
      <c r="D669" s="228"/>
      <c r="F669" s="228"/>
      <c r="G669" s="228"/>
      <c r="H669" s="228"/>
      <c r="I669" s="228"/>
      <c r="J669" s="228"/>
      <c r="K669" s="228"/>
    </row>
    <row r="670" spans="2:11">
      <c r="B670" s="73"/>
      <c r="C670" s="248"/>
      <c r="D670" s="228"/>
      <c r="F670" s="228"/>
      <c r="G670" s="228"/>
      <c r="H670" s="228"/>
      <c r="I670" s="228"/>
      <c r="J670" s="228"/>
      <c r="K670" s="228"/>
    </row>
    <row r="671" spans="2:11">
      <c r="B671" s="73"/>
      <c r="C671" s="248"/>
      <c r="D671" s="228"/>
      <c r="F671" s="228"/>
      <c r="G671" s="228"/>
      <c r="H671" s="228"/>
      <c r="I671" s="228"/>
      <c r="J671" s="228"/>
      <c r="K671" s="228"/>
    </row>
    <row r="672" spans="2:11">
      <c r="B672" s="73"/>
      <c r="C672" s="248"/>
      <c r="D672" s="228"/>
      <c r="F672" s="228"/>
      <c r="G672" s="228"/>
      <c r="H672" s="228"/>
      <c r="I672" s="228"/>
      <c r="J672" s="228"/>
      <c r="K672" s="228"/>
    </row>
    <row r="673" spans="2:11">
      <c r="B673" s="73"/>
      <c r="C673" s="248"/>
      <c r="D673" s="228"/>
      <c r="F673" s="228"/>
      <c r="G673" s="228"/>
      <c r="H673" s="228"/>
      <c r="I673" s="228"/>
      <c r="J673" s="228"/>
      <c r="K673" s="228"/>
    </row>
    <row r="674" spans="2:11">
      <c r="B674" s="73"/>
      <c r="C674" s="248"/>
      <c r="D674" s="228"/>
      <c r="F674" s="228"/>
      <c r="G674" s="228"/>
      <c r="H674" s="228"/>
      <c r="I674" s="228"/>
      <c r="J674" s="228"/>
      <c r="K674" s="228"/>
    </row>
    <row r="675" spans="2:11">
      <c r="B675" s="73"/>
      <c r="C675" s="248"/>
      <c r="D675" s="228"/>
      <c r="F675" s="228"/>
      <c r="G675" s="228"/>
      <c r="H675" s="228"/>
      <c r="I675" s="228"/>
      <c r="J675" s="228"/>
      <c r="K675" s="228"/>
    </row>
    <row r="676" spans="2:11">
      <c r="B676" s="73"/>
      <c r="C676" s="248"/>
      <c r="D676" s="228"/>
      <c r="F676" s="228"/>
      <c r="G676" s="228"/>
      <c r="H676" s="228"/>
      <c r="I676" s="228"/>
      <c r="J676" s="228"/>
      <c r="K676" s="228"/>
    </row>
    <row r="677" spans="2:11">
      <c r="B677" s="73"/>
      <c r="C677" s="248"/>
      <c r="D677" s="228"/>
      <c r="F677" s="228"/>
      <c r="G677" s="228"/>
      <c r="H677" s="228"/>
      <c r="I677" s="228"/>
      <c r="J677" s="228"/>
      <c r="K677" s="228"/>
    </row>
    <row r="678" spans="2:11">
      <c r="B678" s="73"/>
      <c r="C678" s="248"/>
      <c r="D678" s="228"/>
      <c r="F678" s="228"/>
      <c r="G678" s="228"/>
      <c r="H678" s="228"/>
      <c r="I678" s="228"/>
      <c r="J678" s="228"/>
      <c r="K678" s="228"/>
    </row>
    <row r="679" spans="2:11">
      <c r="B679" s="73"/>
      <c r="C679" s="248"/>
      <c r="D679" s="228"/>
      <c r="F679" s="228"/>
      <c r="G679" s="228"/>
      <c r="H679" s="228"/>
      <c r="I679" s="228"/>
      <c r="J679" s="228"/>
      <c r="K679" s="228"/>
    </row>
    <row r="680" spans="2:11">
      <c r="B680" s="73"/>
      <c r="C680" s="248"/>
      <c r="D680" s="228"/>
      <c r="F680" s="228"/>
      <c r="G680" s="228"/>
      <c r="H680" s="228"/>
      <c r="I680" s="228"/>
      <c r="J680" s="228"/>
      <c r="K680" s="228"/>
    </row>
    <row r="681" spans="2:11">
      <c r="B681" s="73"/>
      <c r="C681" s="248"/>
      <c r="D681" s="228"/>
      <c r="F681" s="228"/>
      <c r="G681" s="228"/>
      <c r="H681" s="228"/>
      <c r="I681" s="228"/>
      <c r="J681" s="228"/>
      <c r="K681" s="228"/>
    </row>
    <row r="682" spans="2:11">
      <c r="B682" s="73"/>
      <c r="C682" s="248"/>
      <c r="D682" s="228"/>
      <c r="F682" s="228"/>
      <c r="G682" s="228"/>
      <c r="H682" s="228"/>
      <c r="I682" s="228"/>
      <c r="J682" s="228"/>
      <c r="K682" s="228"/>
    </row>
    <row r="683" spans="2:11">
      <c r="B683" s="73"/>
      <c r="C683" s="248"/>
      <c r="D683" s="228"/>
      <c r="F683" s="228"/>
      <c r="G683" s="228"/>
      <c r="H683" s="228"/>
      <c r="I683" s="228"/>
      <c r="J683" s="228"/>
      <c r="K683" s="228"/>
    </row>
    <row r="684" spans="2:11">
      <c r="B684" s="73"/>
      <c r="C684" s="248"/>
      <c r="D684" s="228"/>
      <c r="F684" s="228"/>
      <c r="G684" s="228"/>
      <c r="H684" s="228"/>
      <c r="I684" s="228"/>
      <c r="J684" s="228"/>
      <c r="K684" s="228"/>
    </row>
    <row r="685" spans="2:11">
      <c r="B685" s="73"/>
      <c r="C685" s="248"/>
      <c r="D685" s="228"/>
      <c r="F685" s="228"/>
      <c r="G685" s="228"/>
      <c r="H685" s="228"/>
      <c r="I685" s="228"/>
      <c r="J685" s="228"/>
      <c r="K685" s="228"/>
    </row>
    <row r="686" spans="2:11">
      <c r="B686" s="73"/>
      <c r="C686" s="248"/>
      <c r="D686" s="228"/>
      <c r="F686" s="228"/>
      <c r="G686" s="228"/>
      <c r="H686" s="228"/>
      <c r="I686" s="228"/>
      <c r="J686" s="228"/>
      <c r="K686" s="228"/>
    </row>
    <row r="687" spans="2:11">
      <c r="B687" s="73"/>
      <c r="C687" s="248"/>
      <c r="D687" s="228"/>
      <c r="F687" s="228"/>
      <c r="G687" s="228"/>
      <c r="H687" s="228"/>
      <c r="I687" s="228"/>
      <c r="J687" s="228"/>
      <c r="K687" s="228"/>
    </row>
    <row r="688" spans="2:11">
      <c r="B688" s="73"/>
      <c r="C688" s="248"/>
      <c r="D688" s="228"/>
      <c r="F688" s="228"/>
      <c r="G688" s="228"/>
      <c r="H688" s="228"/>
      <c r="I688" s="228"/>
      <c r="J688" s="228"/>
      <c r="K688" s="228"/>
    </row>
    <row r="689" spans="2:11">
      <c r="B689" s="73"/>
      <c r="C689" s="248"/>
      <c r="D689" s="228"/>
      <c r="F689" s="228"/>
      <c r="G689" s="228"/>
      <c r="H689" s="228"/>
      <c r="I689" s="228"/>
      <c r="J689" s="228"/>
      <c r="K689" s="228"/>
    </row>
    <row r="690" spans="2:11">
      <c r="B690" s="73"/>
      <c r="C690" s="248"/>
      <c r="D690" s="228"/>
      <c r="F690" s="228"/>
      <c r="G690" s="228"/>
      <c r="H690" s="228"/>
      <c r="I690" s="228"/>
      <c r="J690" s="228"/>
      <c r="K690" s="228"/>
    </row>
    <row r="691" spans="2:11">
      <c r="B691" s="73"/>
      <c r="C691" s="248"/>
      <c r="D691" s="228"/>
      <c r="F691" s="228"/>
      <c r="G691" s="228"/>
      <c r="H691" s="228"/>
      <c r="I691" s="228"/>
      <c r="J691" s="228"/>
      <c r="K691" s="228"/>
    </row>
    <row r="692" spans="2:11">
      <c r="B692" s="73"/>
      <c r="C692" s="248"/>
      <c r="D692" s="228"/>
      <c r="F692" s="228"/>
      <c r="G692" s="228"/>
      <c r="H692" s="228"/>
      <c r="I692" s="228"/>
      <c r="J692" s="228"/>
      <c r="K692" s="228"/>
    </row>
    <row r="693" spans="2:11">
      <c r="B693" s="73"/>
      <c r="C693" s="248"/>
      <c r="D693" s="228"/>
      <c r="F693" s="228"/>
      <c r="G693" s="228"/>
      <c r="H693" s="228"/>
      <c r="I693" s="228"/>
      <c r="J693" s="228"/>
      <c r="K693" s="228"/>
    </row>
    <row r="694" spans="2:11">
      <c r="B694" s="73"/>
      <c r="C694" s="248"/>
      <c r="D694" s="228"/>
      <c r="F694" s="228"/>
      <c r="G694" s="228"/>
      <c r="H694" s="228"/>
      <c r="I694" s="228"/>
      <c r="J694" s="228"/>
      <c r="K694" s="228"/>
    </row>
    <row r="695" spans="2:11">
      <c r="B695" s="73"/>
      <c r="C695" s="248"/>
      <c r="D695" s="228"/>
      <c r="F695" s="228"/>
      <c r="G695" s="228"/>
      <c r="H695" s="228"/>
      <c r="I695" s="228"/>
      <c r="J695" s="228"/>
      <c r="K695" s="228"/>
    </row>
    <row r="696" spans="2:11">
      <c r="B696" s="73"/>
      <c r="C696" s="248"/>
      <c r="D696" s="228"/>
      <c r="F696" s="228"/>
      <c r="G696" s="228"/>
      <c r="H696" s="228"/>
      <c r="I696" s="228"/>
      <c r="J696" s="228"/>
      <c r="K696" s="228"/>
    </row>
    <row r="697" spans="2:11">
      <c r="B697" s="73"/>
      <c r="C697" s="248"/>
      <c r="D697" s="228"/>
      <c r="F697" s="228"/>
      <c r="G697" s="228"/>
      <c r="H697" s="228"/>
      <c r="I697" s="228"/>
      <c r="J697" s="228"/>
      <c r="K697" s="228"/>
    </row>
    <row r="698" spans="2:11">
      <c r="B698" s="73"/>
      <c r="C698" s="248"/>
      <c r="D698" s="228"/>
      <c r="F698" s="228"/>
      <c r="G698" s="228"/>
      <c r="H698" s="228"/>
      <c r="I698" s="228"/>
      <c r="J698" s="228"/>
      <c r="K698" s="228"/>
    </row>
    <row r="699" spans="2:11">
      <c r="B699" s="73"/>
      <c r="C699" s="248"/>
      <c r="D699" s="228"/>
      <c r="F699" s="228"/>
      <c r="G699" s="228"/>
      <c r="H699" s="228"/>
      <c r="I699" s="228"/>
      <c r="J699" s="228"/>
      <c r="K699" s="228"/>
    </row>
    <row r="700" spans="2:11">
      <c r="B700" s="73"/>
      <c r="C700" s="248"/>
      <c r="D700" s="228"/>
      <c r="F700" s="228"/>
      <c r="G700" s="228"/>
      <c r="H700" s="228"/>
      <c r="I700" s="228"/>
      <c r="J700" s="228"/>
      <c r="K700" s="228"/>
    </row>
    <row r="701" spans="2:11">
      <c r="B701" s="73"/>
      <c r="C701" s="248"/>
      <c r="D701" s="228"/>
      <c r="F701" s="228"/>
      <c r="G701" s="228"/>
      <c r="H701" s="228"/>
      <c r="I701" s="228"/>
      <c r="J701" s="228"/>
      <c r="K701" s="228"/>
    </row>
    <row r="702" spans="2:11">
      <c r="B702" s="73"/>
      <c r="C702" s="248"/>
      <c r="D702" s="228"/>
      <c r="F702" s="228"/>
      <c r="G702" s="228"/>
      <c r="H702" s="228"/>
      <c r="I702" s="228"/>
      <c r="J702" s="228"/>
      <c r="K702" s="228"/>
    </row>
    <row r="703" spans="2:11">
      <c r="B703" s="73"/>
      <c r="C703" s="248"/>
      <c r="D703" s="228"/>
      <c r="F703" s="228"/>
      <c r="G703" s="228"/>
      <c r="H703" s="228"/>
      <c r="I703" s="228"/>
      <c r="J703" s="228"/>
      <c r="K703" s="228"/>
    </row>
    <row r="704" spans="2:11">
      <c r="B704" s="73"/>
      <c r="C704" s="248"/>
      <c r="D704" s="228"/>
      <c r="F704" s="228"/>
      <c r="G704" s="228"/>
      <c r="H704" s="228"/>
      <c r="I704" s="228"/>
      <c r="J704" s="228"/>
      <c r="K704" s="228"/>
    </row>
    <row r="705" spans="2:11">
      <c r="B705" s="73"/>
      <c r="C705" s="248"/>
      <c r="D705" s="228"/>
      <c r="F705" s="228"/>
      <c r="G705" s="228"/>
      <c r="H705" s="228"/>
      <c r="I705" s="228"/>
      <c r="J705" s="228"/>
      <c r="K705" s="228"/>
    </row>
    <row r="706" spans="2:11">
      <c r="B706" s="73"/>
      <c r="C706" s="248"/>
      <c r="D706" s="228"/>
      <c r="F706" s="228"/>
      <c r="G706" s="228"/>
      <c r="H706" s="228"/>
      <c r="I706" s="228"/>
      <c r="J706" s="228"/>
      <c r="K706" s="228"/>
    </row>
    <row r="707" spans="2:11">
      <c r="B707" s="73"/>
      <c r="C707" s="248"/>
      <c r="D707" s="228"/>
      <c r="F707" s="228"/>
      <c r="G707" s="228"/>
      <c r="H707" s="228"/>
      <c r="I707" s="228"/>
      <c r="J707" s="228"/>
      <c r="K707" s="228"/>
    </row>
    <row r="708" spans="2:11">
      <c r="B708" s="73"/>
      <c r="C708" s="248"/>
      <c r="D708" s="228"/>
      <c r="F708" s="228"/>
      <c r="G708" s="228"/>
      <c r="H708" s="228"/>
      <c r="I708" s="228"/>
      <c r="J708" s="228"/>
      <c r="K708" s="228"/>
    </row>
    <row r="709" spans="2:11">
      <c r="B709" s="73"/>
      <c r="C709" s="248"/>
      <c r="D709" s="228"/>
      <c r="F709" s="228"/>
      <c r="G709" s="228"/>
      <c r="H709" s="228"/>
      <c r="I709" s="228"/>
      <c r="J709" s="228"/>
      <c r="K709" s="228"/>
    </row>
    <row r="710" spans="2:11">
      <c r="B710" s="73"/>
      <c r="C710" s="248"/>
      <c r="D710" s="228"/>
      <c r="F710" s="228"/>
      <c r="G710" s="228"/>
      <c r="H710" s="228"/>
      <c r="I710" s="228"/>
      <c r="J710" s="228"/>
      <c r="K710" s="228"/>
    </row>
    <row r="711" spans="2:11">
      <c r="B711" s="73"/>
      <c r="C711" s="248"/>
      <c r="D711" s="228"/>
      <c r="F711" s="228"/>
      <c r="G711" s="228"/>
      <c r="H711" s="228"/>
      <c r="I711" s="228"/>
      <c r="J711" s="228"/>
      <c r="K711" s="228"/>
    </row>
    <row r="712" spans="2:11">
      <c r="B712" s="73"/>
      <c r="C712" s="248"/>
      <c r="D712" s="228"/>
      <c r="F712" s="228"/>
      <c r="G712" s="228"/>
      <c r="H712" s="228"/>
      <c r="I712" s="228"/>
      <c r="J712" s="228"/>
      <c r="K712" s="228"/>
    </row>
    <row r="713" spans="2:11">
      <c r="B713" s="73"/>
      <c r="C713" s="248"/>
      <c r="D713" s="228"/>
      <c r="F713" s="228"/>
      <c r="G713" s="228"/>
      <c r="H713" s="228"/>
      <c r="I713" s="228"/>
      <c r="J713" s="228"/>
      <c r="K713" s="228"/>
    </row>
    <row r="714" spans="2:11">
      <c r="B714" s="73"/>
      <c r="C714" s="248"/>
      <c r="D714" s="228"/>
      <c r="F714" s="228"/>
      <c r="G714" s="228"/>
      <c r="H714" s="228"/>
      <c r="I714" s="228"/>
      <c r="J714" s="228"/>
      <c r="K714" s="228"/>
    </row>
    <row r="715" spans="2:11">
      <c r="B715" s="73"/>
      <c r="C715" s="248"/>
      <c r="D715" s="228"/>
      <c r="F715" s="228"/>
      <c r="G715" s="228"/>
      <c r="H715" s="228"/>
      <c r="I715" s="228"/>
      <c r="J715" s="228"/>
      <c r="K715" s="228"/>
    </row>
    <row r="716" spans="2:11">
      <c r="B716" s="73"/>
      <c r="C716" s="248"/>
      <c r="D716" s="228"/>
      <c r="F716" s="228"/>
      <c r="G716" s="228"/>
      <c r="H716" s="228"/>
      <c r="I716" s="228"/>
      <c r="J716" s="228"/>
      <c r="K716" s="228"/>
    </row>
    <row r="717" spans="2:11">
      <c r="B717" s="73"/>
      <c r="C717" s="248"/>
      <c r="D717" s="228"/>
      <c r="F717" s="228"/>
      <c r="G717" s="228"/>
      <c r="H717" s="228"/>
      <c r="I717" s="228"/>
      <c r="J717" s="228"/>
      <c r="K717" s="228"/>
    </row>
    <row r="718" spans="2:11">
      <c r="B718" s="73"/>
      <c r="C718" s="248"/>
      <c r="D718" s="228"/>
      <c r="F718" s="228"/>
      <c r="G718" s="228"/>
      <c r="H718" s="228"/>
      <c r="I718" s="228"/>
      <c r="J718" s="228"/>
      <c r="K718" s="228"/>
    </row>
    <row r="719" spans="2:11">
      <c r="B719" s="73"/>
      <c r="C719" s="248"/>
      <c r="D719" s="228"/>
      <c r="F719" s="228"/>
      <c r="G719" s="228"/>
      <c r="H719" s="228"/>
      <c r="I719" s="228"/>
      <c r="J719" s="228"/>
      <c r="K719" s="228"/>
    </row>
    <row r="720" spans="2:11">
      <c r="B720" s="73"/>
      <c r="C720" s="248"/>
      <c r="D720" s="228"/>
      <c r="F720" s="228"/>
      <c r="G720" s="228"/>
      <c r="H720" s="228"/>
      <c r="I720" s="228"/>
      <c r="J720" s="228"/>
      <c r="K720" s="228"/>
    </row>
    <row r="721" spans="2:11">
      <c r="B721" s="73"/>
      <c r="C721" s="248"/>
      <c r="D721" s="228"/>
      <c r="F721" s="228"/>
      <c r="G721" s="228"/>
      <c r="H721" s="228"/>
      <c r="I721" s="228"/>
      <c r="J721" s="228"/>
      <c r="K721" s="228"/>
    </row>
    <row r="722" spans="2:11">
      <c r="B722" s="73"/>
      <c r="C722" s="248"/>
      <c r="D722" s="228"/>
      <c r="F722" s="228"/>
      <c r="G722" s="228"/>
      <c r="H722" s="228"/>
      <c r="I722" s="228"/>
      <c r="J722" s="228"/>
      <c r="K722" s="228"/>
    </row>
    <row r="723" spans="2:11">
      <c r="B723" s="73"/>
      <c r="C723" s="248"/>
      <c r="D723" s="228"/>
      <c r="F723" s="228"/>
      <c r="G723" s="228"/>
      <c r="H723" s="228"/>
      <c r="I723" s="228"/>
      <c r="J723" s="228"/>
      <c r="K723" s="228"/>
    </row>
    <row r="724" spans="2:11">
      <c r="B724" s="73"/>
      <c r="C724" s="248"/>
      <c r="D724" s="228"/>
      <c r="F724" s="228"/>
      <c r="G724" s="228"/>
      <c r="H724" s="228"/>
      <c r="I724" s="228"/>
      <c r="J724" s="228"/>
      <c r="K724" s="228"/>
    </row>
    <row r="725" spans="2:11">
      <c r="B725" s="73"/>
      <c r="C725" s="248"/>
      <c r="D725" s="228"/>
      <c r="F725" s="228"/>
      <c r="G725" s="228"/>
      <c r="H725" s="228"/>
      <c r="I725" s="228"/>
      <c r="J725" s="228"/>
      <c r="K725" s="228"/>
    </row>
    <row r="726" spans="2:11">
      <c r="B726" s="73"/>
      <c r="C726" s="248"/>
      <c r="D726" s="228"/>
      <c r="F726" s="228"/>
      <c r="G726" s="228"/>
      <c r="H726" s="228"/>
      <c r="I726" s="228"/>
      <c r="J726" s="228"/>
      <c r="K726" s="228"/>
    </row>
    <row r="727" spans="2:11">
      <c r="B727" s="73"/>
      <c r="C727" s="248"/>
      <c r="D727" s="228"/>
      <c r="F727" s="228"/>
      <c r="G727" s="228"/>
      <c r="H727" s="228"/>
      <c r="I727" s="228"/>
      <c r="J727" s="228"/>
      <c r="K727" s="228"/>
    </row>
    <row r="728" spans="2:11">
      <c r="B728" s="73"/>
      <c r="C728" s="248"/>
      <c r="D728" s="228"/>
      <c r="F728" s="228"/>
      <c r="G728" s="228"/>
      <c r="H728" s="228"/>
      <c r="I728" s="228"/>
      <c r="J728" s="228"/>
      <c r="K728" s="228"/>
    </row>
    <row r="729" spans="2:11">
      <c r="B729" s="73"/>
      <c r="C729" s="248"/>
      <c r="D729" s="228"/>
      <c r="F729" s="228"/>
      <c r="G729" s="228"/>
      <c r="H729" s="228"/>
      <c r="I729" s="228"/>
      <c r="J729" s="228"/>
      <c r="K729" s="228"/>
    </row>
    <row r="730" spans="2:11">
      <c r="B730" s="73"/>
      <c r="C730" s="248"/>
      <c r="D730" s="228"/>
      <c r="F730" s="228"/>
      <c r="G730" s="228"/>
      <c r="H730" s="228"/>
      <c r="I730" s="228"/>
      <c r="J730" s="228"/>
      <c r="K730" s="228"/>
    </row>
    <row r="731" spans="2:11">
      <c r="B731" s="73"/>
      <c r="C731" s="248"/>
      <c r="D731" s="228"/>
      <c r="F731" s="228"/>
      <c r="G731" s="228"/>
      <c r="H731" s="228"/>
      <c r="I731" s="228"/>
      <c r="J731" s="228"/>
      <c r="K731" s="228"/>
    </row>
    <row r="732" spans="2:11">
      <c r="B732" s="73"/>
      <c r="C732" s="248"/>
      <c r="D732" s="228"/>
      <c r="F732" s="228"/>
      <c r="G732" s="228"/>
      <c r="H732" s="228"/>
      <c r="I732" s="228"/>
      <c r="J732" s="228"/>
      <c r="K732" s="228"/>
    </row>
    <row r="733" spans="2:11">
      <c r="B733" s="73"/>
      <c r="C733" s="248"/>
      <c r="D733" s="228"/>
      <c r="F733" s="228"/>
      <c r="G733" s="228"/>
      <c r="H733" s="228"/>
      <c r="I733" s="228"/>
      <c r="J733" s="228"/>
      <c r="K733" s="228"/>
    </row>
    <row r="734" spans="2:11">
      <c r="B734" s="73"/>
      <c r="C734" s="248"/>
      <c r="D734" s="228"/>
      <c r="F734" s="228"/>
      <c r="G734" s="228"/>
      <c r="H734" s="228"/>
      <c r="I734" s="228"/>
      <c r="J734" s="228"/>
      <c r="K734" s="228"/>
    </row>
    <row r="735" spans="2:11">
      <c r="B735" s="73"/>
      <c r="C735" s="248"/>
      <c r="D735" s="228"/>
      <c r="F735" s="228"/>
      <c r="G735" s="228"/>
      <c r="H735" s="228"/>
      <c r="I735" s="228"/>
      <c r="J735" s="228"/>
      <c r="K735" s="228"/>
    </row>
    <row r="736" spans="2:11">
      <c r="B736" s="73"/>
      <c r="C736" s="248"/>
      <c r="D736" s="228"/>
      <c r="F736" s="228"/>
      <c r="G736" s="228"/>
      <c r="H736" s="228"/>
      <c r="I736" s="228"/>
      <c r="J736" s="228"/>
      <c r="K736" s="228"/>
    </row>
    <row r="737" spans="2:11">
      <c r="B737" s="73"/>
      <c r="C737" s="248"/>
      <c r="D737" s="228"/>
      <c r="F737" s="228"/>
      <c r="G737" s="228"/>
      <c r="H737" s="228"/>
      <c r="I737" s="228"/>
      <c r="J737" s="228"/>
      <c r="K737" s="228"/>
    </row>
    <row r="738" spans="2:11">
      <c r="B738" s="73"/>
      <c r="C738" s="248"/>
      <c r="D738" s="228"/>
      <c r="F738" s="228"/>
      <c r="G738" s="228"/>
      <c r="H738" s="228"/>
      <c r="I738" s="228"/>
      <c r="J738" s="228"/>
      <c r="K738" s="228"/>
    </row>
    <row r="739" spans="2:11">
      <c r="B739" s="73"/>
      <c r="C739" s="248"/>
      <c r="D739" s="228"/>
      <c r="F739" s="228"/>
      <c r="G739" s="228"/>
      <c r="H739" s="228"/>
      <c r="I739" s="228"/>
      <c r="J739" s="228"/>
      <c r="K739" s="228"/>
    </row>
    <row r="740" spans="2:11">
      <c r="B740" s="73"/>
      <c r="C740" s="248"/>
      <c r="D740" s="228"/>
      <c r="F740" s="228"/>
      <c r="G740" s="228"/>
      <c r="H740" s="228"/>
      <c r="I740" s="228"/>
      <c r="J740" s="228"/>
      <c r="K740" s="228"/>
    </row>
    <row r="741" spans="2:11">
      <c r="B741" s="73"/>
      <c r="C741" s="248"/>
      <c r="D741" s="228"/>
      <c r="F741" s="228"/>
      <c r="G741" s="228"/>
      <c r="H741" s="228"/>
      <c r="I741" s="228"/>
      <c r="J741" s="228"/>
      <c r="K741" s="228"/>
    </row>
    <row r="742" spans="2:11">
      <c r="B742" s="73"/>
      <c r="C742" s="248"/>
      <c r="D742" s="228"/>
      <c r="F742" s="228"/>
      <c r="G742" s="228"/>
      <c r="H742" s="228"/>
      <c r="I742" s="228"/>
      <c r="J742" s="228"/>
      <c r="K742" s="228"/>
    </row>
    <row r="743" spans="2:11">
      <c r="B743" s="73"/>
      <c r="C743" s="248"/>
      <c r="D743" s="228"/>
      <c r="F743" s="228"/>
      <c r="G743" s="228"/>
      <c r="H743" s="228"/>
      <c r="I743" s="228"/>
      <c r="J743" s="228"/>
      <c r="K743" s="228"/>
    </row>
    <row r="744" spans="2:11">
      <c r="B744" s="73"/>
      <c r="C744" s="248"/>
      <c r="D744" s="228"/>
      <c r="F744" s="228"/>
      <c r="G744" s="228"/>
      <c r="H744" s="228"/>
      <c r="I744" s="228"/>
      <c r="J744" s="228"/>
      <c r="K744" s="228"/>
    </row>
    <row r="745" spans="2:11">
      <c r="B745" s="73"/>
      <c r="C745" s="248"/>
      <c r="D745" s="228"/>
      <c r="F745" s="228"/>
      <c r="G745" s="228"/>
      <c r="H745" s="228"/>
      <c r="I745" s="228"/>
      <c r="J745" s="228"/>
      <c r="K745" s="228"/>
    </row>
    <row r="746" spans="2:11">
      <c r="B746" s="73"/>
      <c r="C746" s="248"/>
      <c r="D746" s="228"/>
      <c r="F746" s="228"/>
      <c r="G746" s="228"/>
      <c r="H746" s="228"/>
      <c r="I746" s="228"/>
      <c r="J746" s="228"/>
      <c r="K746" s="228"/>
    </row>
    <row r="747" spans="2:11">
      <c r="B747" s="73"/>
      <c r="C747" s="248"/>
      <c r="D747" s="228"/>
      <c r="F747" s="228"/>
      <c r="G747" s="228"/>
      <c r="H747" s="228"/>
      <c r="I747" s="228"/>
      <c r="J747" s="228"/>
      <c r="K747" s="228"/>
    </row>
    <row r="748" spans="2:11">
      <c r="B748" s="73"/>
      <c r="C748" s="248"/>
      <c r="D748" s="228"/>
      <c r="F748" s="228"/>
      <c r="G748" s="228"/>
      <c r="H748" s="228"/>
      <c r="I748" s="228"/>
      <c r="J748" s="228"/>
      <c r="K748" s="228"/>
    </row>
    <row r="749" spans="2:11">
      <c r="B749" s="73"/>
      <c r="C749" s="248"/>
      <c r="D749" s="228"/>
      <c r="F749" s="228"/>
      <c r="G749" s="228"/>
      <c r="H749" s="228"/>
      <c r="I749" s="228"/>
      <c r="J749" s="228"/>
      <c r="K749" s="228"/>
    </row>
    <row r="750" spans="2:11">
      <c r="B750" s="73"/>
      <c r="C750" s="248"/>
      <c r="D750" s="228"/>
      <c r="F750" s="228"/>
      <c r="G750" s="228"/>
      <c r="H750" s="228"/>
      <c r="I750" s="228"/>
      <c r="J750" s="228"/>
      <c r="K750" s="228"/>
    </row>
    <row r="751" spans="2:11">
      <c r="B751" s="73"/>
      <c r="C751" s="248"/>
      <c r="D751" s="228"/>
      <c r="F751" s="228"/>
      <c r="G751" s="228"/>
      <c r="H751" s="228"/>
      <c r="I751" s="228"/>
      <c r="J751" s="228"/>
      <c r="K751" s="228"/>
    </row>
    <row r="752" spans="2:11">
      <c r="B752" s="73"/>
      <c r="C752" s="248"/>
      <c r="D752" s="228"/>
      <c r="F752" s="228"/>
      <c r="G752" s="228"/>
      <c r="H752" s="228"/>
      <c r="I752" s="228"/>
      <c r="J752" s="228"/>
      <c r="K752" s="228"/>
    </row>
    <row r="753" spans="2:11">
      <c r="B753" s="73"/>
      <c r="C753" s="248"/>
      <c r="D753" s="228"/>
      <c r="F753" s="228"/>
      <c r="G753" s="228"/>
      <c r="H753" s="228"/>
      <c r="I753" s="228"/>
      <c r="J753" s="228"/>
      <c r="K753" s="228"/>
    </row>
    <row r="754" spans="2:11">
      <c r="B754" s="73"/>
      <c r="C754" s="248"/>
      <c r="D754" s="228"/>
      <c r="F754" s="228"/>
      <c r="G754" s="228"/>
      <c r="H754" s="228"/>
      <c r="I754" s="228"/>
      <c r="J754" s="228"/>
      <c r="K754" s="228"/>
    </row>
    <row r="755" spans="2:11">
      <c r="B755" s="73"/>
      <c r="C755" s="248"/>
      <c r="D755" s="228"/>
      <c r="F755" s="228"/>
      <c r="G755" s="228"/>
      <c r="H755" s="228"/>
      <c r="I755" s="228"/>
      <c r="J755" s="228"/>
      <c r="K755" s="228"/>
    </row>
    <row r="756" spans="2:11">
      <c r="B756" s="73"/>
      <c r="C756" s="248"/>
      <c r="D756" s="228"/>
      <c r="F756" s="228"/>
      <c r="G756" s="228"/>
      <c r="H756" s="228"/>
      <c r="I756" s="228"/>
      <c r="J756" s="228"/>
      <c r="K756" s="228"/>
    </row>
    <row r="757" spans="2:11">
      <c r="B757" s="73"/>
      <c r="C757" s="248"/>
      <c r="D757" s="228"/>
      <c r="F757" s="228"/>
      <c r="G757" s="228"/>
      <c r="H757" s="228"/>
      <c r="I757" s="228"/>
      <c r="J757" s="228"/>
      <c r="K757" s="228"/>
    </row>
    <row r="758" spans="2:11">
      <c r="B758" s="73"/>
      <c r="C758" s="248"/>
      <c r="D758" s="228"/>
      <c r="F758" s="228"/>
      <c r="G758" s="228"/>
      <c r="H758" s="228"/>
      <c r="I758" s="228"/>
      <c r="J758" s="228"/>
      <c r="K758" s="228"/>
    </row>
    <row r="759" spans="2:11">
      <c r="B759" s="73"/>
      <c r="C759" s="248"/>
      <c r="D759" s="228"/>
      <c r="F759" s="228"/>
      <c r="G759" s="228"/>
      <c r="H759" s="228"/>
      <c r="I759" s="228"/>
      <c r="J759" s="228"/>
      <c r="K759" s="228"/>
    </row>
    <row r="760" spans="2:11">
      <c r="B760" s="73"/>
      <c r="C760" s="248"/>
      <c r="D760" s="228"/>
      <c r="F760" s="228"/>
      <c r="G760" s="228"/>
      <c r="H760" s="228"/>
      <c r="I760" s="228"/>
      <c r="J760" s="228"/>
      <c r="K760" s="228"/>
    </row>
    <row r="761" spans="2:11">
      <c r="B761" s="73"/>
      <c r="C761" s="248"/>
      <c r="D761" s="228"/>
      <c r="F761" s="228"/>
      <c r="G761" s="228"/>
      <c r="H761" s="228"/>
      <c r="I761" s="228"/>
      <c r="J761" s="228"/>
      <c r="K761" s="228"/>
    </row>
    <row r="762" spans="2:11">
      <c r="B762" s="73"/>
      <c r="C762" s="248"/>
      <c r="D762" s="228"/>
      <c r="F762" s="228"/>
      <c r="G762" s="228"/>
      <c r="H762" s="228"/>
      <c r="I762" s="228"/>
      <c r="J762" s="228"/>
      <c r="K762" s="228"/>
    </row>
    <row r="763" spans="2:11">
      <c r="B763" s="73"/>
      <c r="C763" s="248"/>
      <c r="D763" s="228"/>
      <c r="F763" s="228"/>
      <c r="G763" s="228"/>
      <c r="H763" s="228"/>
      <c r="I763" s="228"/>
      <c r="J763" s="228"/>
      <c r="K763" s="228"/>
    </row>
    <row r="764" spans="2:11">
      <c r="B764" s="73"/>
      <c r="C764" s="248"/>
      <c r="D764" s="228"/>
      <c r="F764" s="228"/>
      <c r="G764" s="228"/>
      <c r="H764" s="228"/>
      <c r="I764" s="228"/>
      <c r="J764" s="228"/>
      <c r="K764" s="228"/>
    </row>
    <row r="765" spans="2:11">
      <c r="B765" s="73"/>
      <c r="C765" s="248"/>
      <c r="D765" s="228"/>
      <c r="F765" s="228"/>
      <c r="G765" s="228"/>
      <c r="H765" s="228"/>
      <c r="I765" s="228"/>
      <c r="J765" s="228"/>
      <c r="K765" s="228"/>
    </row>
    <row r="766" spans="2:11">
      <c r="B766" s="73"/>
      <c r="C766" s="248"/>
      <c r="D766" s="228"/>
      <c r="F766" s="228"/>
      <c r="G766" s="228"/>
      <c r="H766" s="228"/>
      <c r="I766" s="228"/>
      <c r="J766" s="228"/>
      <c r="K766" s="228"/>
    </row>
    <row r="767" spans="2:11">
      <c r="B767" s="73"/>
      <c r="C767" s="248"/>
      <c r="D767" s="228"/>
      <c r="F767" s="228"/>
      <c r="G767" s="228"/>
      <c r="H767" s="228"/>
      <c r="I767" s="228"/>
      <c r="J767" s="228"/>
      <c r="K767" s="228"/>
    </row>
    <row r="768" spans="2:11">
      <c r="B768" s="73"/>
      <c r="C768" s="248"/>
      <c r="D768" s="228"/>
      <c r="F768" s="228"/>
      <c r="G768" s="228"/>
      <c r="H768" s="228"/>
      <c r="I768" s="228"/>
      <c r="J768" s="228"/>
      <c r="K768" s="228"/>
    </row>
    <row r="769" spans="2:11">
      <c r="B769" s="73"/>
      <c r="C769" s="248"/>
      <c r="D769" s="228"/>
      <c r="F769" s="228"/>
      <c r="G769" s="228"/>
      <c r="H769" s="228"/>
      <c r="I769" s="228"/>
      <c r="J769" s="228"/>
      <c r="K769" s="228"/>
    </row>
    <row r="770" spans="2:11">
      <c r="B770" s="73"/>
      <c r="C770" s="248"/>
      <c r="D770" s="228"/>
      <c r="F770" s="228"/>
      <c r="G770" s="228"/>
      <c r="H770" s="228"/>
      <c r="I770" s="228"/>
      <c r="J770" s="228"/>
      <c r="K770" s="228"/>
    </row>
    <row r="771" spans="2:11">
      <c r="B771" s="73"/>
      <c r="C771" s="248"/>
      <c r="D771" s="228"/>
      <c r="F771" s="228"/>
      <c r="G771" s="228"/>
      <c r="H771" s="228"/>
      <c r="I771" s="228"/>
      <c r="J771" s="228"/>
      <c r="K771" s="228"/>
    </row>
    <row r="772" spans="2:11">
      <c r="B772" s="73"/>
      <c r="C772" s="248"/>
      <c r="D772" s="228"/>
      <c r="F772" s="228"/>
      <c r="G772" s="228"/>
      <c r="H772" s="228"/>
      <c r="I772" s="228"/>
      <c r="J772" s="228"/>
      <c r="K772" s="228"/>
    </row>
    <row r="773" spans="2:11">
      <c r="B773" s="73"/>
      <c r="C773" s="248"/>
      <c r="D773" s="228"/>
      <c r="F773" s="228"/>
      <c r="G773" s="228"/>
      <c r="H773" s="228"/>
      <c r="I773" s="228"/>
      <c r="J773" s="228"/>
      <c r="K773" s="228"/>
    </row>
    <row r="774" spans="2:11">
      <c r="B774" s="73"/>
      <c r="C774" s="248"/>
      <c r="D774" s="228"/>
      <c r="F774" s="228"/>
      <c r="G774" s="228"/>
      <c r="H774" s="228"/>
      <c r="I774" s="228"/>
      <c r="J774" s="228"/>
      <c r="K774" s="228"/>
    </row>
    <row r="775" spans="2:11">
      <c r="B775" s="73"/>
      <c r="C775" s="248"/>
      <c r="D775" s="228"/>
      <c r="F775" s="228"/>
      <c r="G775" s="228"/>
      <c r="H775" s="228"/>
      <c r="I775" s="228"/>
      <c r="J775" s="228"/>
      <c r="K775" s="228"/>
    </row>
    <row r="776" spans="2:11">
      <c r="B776" s="73"/>
      <c r="C776" s="248"/>
      <c r="D776" s="228"/>
      <c r="F776" s="228"/>
      <c r="G776" s="228"/>
      <c r="H776" s="228"/>
      <c r="I776" s="228"/>
      <c r="J776" s="228"/>
      <c r="K776" s="228"/>
    </row>
    <row r="777" spans="2:11">
      <c r="B777" s="73"/>
      <c r="C777" s="248"/>
      <c r="D777" s="228"/>
      <c r="F777" s="228"/>
      <c r="G777" s="228"/>
      <c r="H777" s="228"/>
      <c r="I777" s="228"/>
      <c r="J777" s="228"/>
      <c r="K777" s="228"/>
    </row>
    <row r="778" spans="2:11">
      <c r="B778" s="73"/>
      <c r="C778" s="248"/>
      <c r="D778" s="228"/>
      <c r="F778" s="228"/>
      <c r="G778" s="228"/>
      <c r="H778" s="228"/>
      <c r="I778" s="228"/>
      <c r="J778" s="228"/>
      <c r="K778" s="228"/>
    </row>
    <row r="779" spans="2:11">
      <c r="B779" s="73"/>
      <c r="C779" s="248"/>
      <c r="D779" s="228"/>
      <c r="F779" s="228"/>
      <c r="G779" s="228"/>
      <c r="H779" s="228"/>
      <c r="I779" s="228"/>
      <c r="J779" s="228"/>
      <c r="K779" s="228"/>
    </row>
    <row r="780" spans="2:11">
      <c r="B780" s="73"/>
      <c r="C780" s="248"/>
      <c r="D780" s="228"/>
      <c r="F780" s="228"/>
      <c r="G780" s="228"/>
      <c r="H780" s="228"/>
      <c r="I780" s="228"/>
      <c r="J780" s="228"/>
      <c r="K780" s="228"/>
    </row>
    <row r="781" spans="2:11">
      <c r="B781" s="73"/>
      <c r="C781" s="248"/>
      <c r="D781" s="228"/>
      <c r="F781" s="228"/>
      <c r="G781" s="228"/>
      <c r="H781" s="228"/>
      <c r="I781" s="228"/>
      <c r="J781" s="228"/>
      <c r="K781" s="228"/>
    </row>
    <row r="782" spans="2:11">
      <c r="B782" s="73"/>
      <c r="C782" s="248"/>
      <c r="D782" s="228"/>
      <c r="F782" s="228"/>
      <c r="G782" s="228"/>
      <c r="H782" s="228"/>
      <c r="I782" s="228"/>
      <c r="J782" s="228"/>
      <c r="K782" s="228"/>
    </row>
    <row r="783" spans="2:11">
      <c r="B783" s="73"/>
      <c r="C783" s="248"/>
      <c r="D783" s="228"/>
      <c r="F783" s="228"/>
      <c r="G783" s="228"/>
      <c r="H783" s="228"/>
      <c r="I783" s="228"/>
      <c r="J783" s="228"/>
      <c r="K783" s="228"/>
    </row>
    <row r="784" spans="2:11">
      <c r="B784" s="73"/>
      <c r="C784" s="248"/>
      <c r="D784" s="228"/>
      <c r="F784" s="228"/>
      <c r="G784" s="228"/>
      <c r="H784" s="228"/>
      <c r="I784" s="228"/>
      <c r="J784" s="228"/>
      <c r="K784" s="228"/>
    </row>
    <row r="785" spans="2:11">
      <c r="B785" s="73"/>
      <c r="C785" s="248"/>
      <c r="D785" s="228"/>
      <c r="F785" s="228"/>
      <c r="G785" s="228"/>
      <c r="H785" s="228"/>
      <c r="I785" s="228"/>
      <c r="J785" s="228"/>
      <c r="K785" s="228"/>
    </row>
    <row r="786" spans="2:11">
      <c r="B786" s="73"/>
      <c r="C786" s="248"/>
      <c r="D786" s="228"/>
      <c r="F786" s="228"/>
      <c r="G786" s="228"/>
      <c r="H786" s="228"/>
      <c r="I786" s="228"/>
      <c r="J786" s="228"/>
      <c r="K786" s="228"/>
    </row>
    <row r="787" spans="2:11">
      <c r="B787" s="73"/>
      <c r="C787" s="248"/>
      <c r="D787" s="228"/>
      <c r="F787" s="228"/>
      <c r="G787" s="228"/>
      <c r="H787" s="228"/>
      <c r="I787" s="228"/>
      <c r="J787" s="228"/>
      <c r="K787" s="228"/>
    </row>
    <row r="788" spans="2:11">
      <c r="B788" s="73"/>
      <c r="C788" s="248"/>
      <c r="D788" s="228"/>
      <c r="F788" s="228"/>
      <c r="G788" s="228"/>
      <c r="H788" s="228"/>
      <c r="I788" s="228"/>
      <c r="J788" s="228"/>
      <c r="K788" s="228"/>
    </row>
    <row r="789" spans="2:11">
      <c r="B789" s="73"/>
      <c r="C789" s="248"/>
      <c r="D789" s="228"/>
      <c r="F789" s="228"/>
      <c r="G789" s="228"/>
      <c r="H789" s="228"/>
      <c r="I789" s="228"/>
      <c r="J789" s="228"/>
      <c r="K789" s="228"/>
    </row>
    <row r="790" spans="2:11">
      <c r="B790" s="73"/>
      <c r="C790" s="248"/>
      <c r="D790" s="228"/>
      <c r="F790" s="228"/>
      <c r="G790" s="228"/>
      <c r="H790" s="228"/>
      <c r="I790" s="228"/>
      <c r="J790" s="228"/>
      <c r="K790" s="228"/>
    </row>
    <row r="791" spans="2:11">
      <c r="B791" s="73"/>
      <c r="C791" s="248"/>
      <c r="D791" s="228"/>
      <c r="F791" s="228"/>
      <c r="G791" s="228"/>
      <c r="H791" s="228"/>
      <c r="I791" s="228"/>
      <c r="J791" s="228"/>
      <c r="K791" s="228"/>
    </row>
    <row r="792" spans="2:11">
      <c r="B792" s="73"/>
      <c r="C792" s="248"/>
      <c r="D792" s="228"/>
      <c r="F792" s="228"/>
      <c r="G792" s="228"/>
      <c r="H792" s="228"/>
      <c r="I792" s="228"/>
      <c r="J792" s="228"/>
      <c r="K792" s="228"/>
    </row>
    <row r="793" spans="2:11">
      <c r="B793" s="73"/>
      <c r="C793" s="248"/>
      <c r="D793" s="228"/>
      <c r="F793" s="228"/>
      <c r="G793" s="228"/>
      <c r="H793" s="228"/>
      <c r="I793" s="228"/>
      <c r="J793" s="228"/>
      <c r="K793" s="228"/>
    </row>
    <row r="794" spans="2:11">
      <c r="B794" s="73"/>
      <c r="C794" s="248"/>
      <c r="D794" s="228"/>
      <c r="F794" s="228"/>
      <c r="G794" s="228"/>
      <c r="H794" s="228"/>
      <c r="I794" s="228"/>
      <c r="J794" s="228"/>
      <c r="K794" s="228"/>
    </row>
    <row r="795" spans="2:11">
      <c r="B795" s="73"/>
      <c r="C795" s="248"/>
      <c r="D795" s="228"/>
      <c r="F795" s="228"/>
      <c r="G795" s="228"/>
      <c r="H795" s="228"/>
      <c r="I795" s="228"/>
      <c r="J795" s="228"/>
      <c r="K795" s="228"/>
    </row>
    <row r="796" spans="2:11">
      <c r="B796" s="73"/>
      <c r="C796" s="248"/>
      <c r="D796" s="228"/>
      <c r="F796" s="228"/>
      <c r="G796" s="228"/>
      <c r="H796" s="228"/>
      <c r="I796" s="228"/>
      <c r="J796" s="228"/>
      <c r="K796" s="228"/>
    </row>
    <row r="797" spans="2:11">
      <c r="B797" s="73"/>
      <c r="C797" s="248"/>
      <c r="D797" s="228"/>
      <c r="F797" s="228"/>
      <c r="G797" s="228"/>
      <c r="H797" s="228"/>
      <c r="I797" s="228"/>
      <c r="J797" s="228"/>
      <c r="K797" s="228"/>
    </row>
    <row r="798" spans="2:11">
      <c r="B798" s="73"/>
      <c r="C798" s="248"/>
      <c r="D798" s="228"/>
      <c r="F798" s="228"/>
      <c r="G798" s="228"/>
      <c r="H798" s="228"/>
      <c r="I798" s="228"/>
      <c r="J798" s="228"/>
      <c r="K798" s="228"/>
    </row>
    <row r="799" spans="2:11">
      <c r="B799" s="73"/>
      <c r="C799" s="248"/>
      <c r="D799" s="228"/>
      <c r="F799" s="228"/>
      <c r="G799" s="228"/>
      <c r="H799" s="228"/>
      <c r="I799" s="228"/>
      <c r="J799" s="228"/>
      <c r="K799" s="228"/>
    </row>
    <row r="800" spans="2:11">
      <c r="B800" s="73"/>
      <c r="C800" s="248"/>
      <c r="D800" s="228"/>
      <c r="F800" s="228"/>
      <c r="G800" s="228"/>
      <c r="H800" s="228"/>
      <c r="I800" s="228"/>
      <c r="J800" s="228"/>
      <c r="K800" s="228"/>
    </row>
    <row r="801" spans="2:11">
      <c r="B801" s="73"/>
      <c r="C801" s="248"/>
      <c r="D801" s="228"/>
      <c r="F801" s="228"/>
      <c r="G801" s="228"/>
      <c r="H801" s="228"/>
      <c r="I801" s="228"/>
      <c r="J801" s="228"/>
      <c r="K801" s="228"/>
    </row>
    <row r="802" spans="2:11">
      <c r="B802" s="73"/>
      <c r="C802" s="248"/>
      <c r="D802" s="228"/>
      <c r="F802" s="228"/>
      <c r="G802" s="228"/>
      <c r="H802" s="228"/>
      <c r="I802" s="228"/>
      <c r="J802" s="228"/>
      <c r="K802" s="228"/>
    </row>
    <row r="803" spans="2:11">
      <c r="B803" s="73"/>
      <c r="C803" s="248"/>
      <c r="D803" s="228"/>
      <c r="F803" s="228"/>
      <c r="G803" s="228"/>
      <c r="H803" s="228"/>
      <c r="I803" s="228"/>
      <c r="J803" s="228"/>
      <c r="K803" s="228"/>
    </row>
    <row r="804" spans="2:11">
      <c r="B804" s="73"/>
      <c r="C804" s="248"/>
      <c r="D804" s="228"/>
      <c r="F804" s="228"/>
      <c r="G804" s="228"/>
      <c r="H804" s="228"/>
      <c r="I804" s="228"/>
      <c r="J804" s="228"/>
      <c r="K804" s="228"/>
    </row>
    <row r="805" spans="2:11">
      <c r="B805" s="73"/>
      <c r="C805" s="248"/>
      <c r="D805" s="228"/>
      <c r="F805" s="228"/>
      <c r="G805" s="228"/>
      <c r="H805" s="228"/>
      <c r="I805" s="228"/>
      <c r="J805" s="228"/>
      <c r="K805" s="228"/>
    </row>
    <row r="806" spans="2:11">
      <c r="B806" s="73"/>
      <c r="C806" s="248"/>
      <c r="D806" s="228"/>
      <c r="F806" s="228"/>
      <c r="G806" s="228"/>
      <c r="H806" s="228"/>
      <c r="I806" s="228"/>
      <c r="J806" s="228"/>
      <c r="K806" s="228"/>
    </row>
    <row r="807" spans="2:11">
      <c r="B807" s="73"/>
      <c r="C807" s="248"/>
      <c r="D807" s="228"/>
      <c r="F807" s="228"/>
      <c r="G807" s="228"/>
      <c r="H807" s="228"/>
      <c r="I807" s="228"/>
      <c r="J807" s="228"/>
      <c r="K807" s="228"/>
    </row>
    <row r="808" spans="2:11">
      <c r="B808" s="73"/>
      <c r="C808" s="248"/>
      <c r="D808" s="228"/>
      <c r="F808" s="228"/>
      <c r="G808" s="228"/>
      <c r="H808" s="228"/>
      <c r="I808" s="228"/>
      <c r="J808" s="228"/>
      <c r="K808" s="228"/>
    </row>
    <row r="809" spans="2:11">
      <c r="B809" s="73"/>
      <c r="C809" s="248"/>
      <c r="D809" s="228"/>
      <c r="F809" s="228"/>
      <c r="G809" s="228"/>
      <c r="H809" s="228"/>
      <c r="I809" s="228"/>
      <c r="J809" s="228"/>
      <c r="K809" s="228"/>
    </row>
    <row r="810" spans="2:11">
      <c r="B810" s="73"/>
      <c r="C810" s="248"/>
      <c r="D810" s="228"/>
      <c r="F810" s="228"/>
      <c r="G810" s="228"/>
      <c r="H810" s="228"/>
      <c r="I810" s="228"/>
      <c r="J810" s="228"/>
      <c r="K810" s="228"/>
    </row>
    <row r="811" spans="2:11">
      <c r="B811" s="73"/>
      <c r="C811" s="248"/>
      <c r="D811" s="228"/>
      <c r="F811" s="228"/>
      <c r="G811" s="228"/>
      <c r="H811" s="228"/>
      <c r="I811" s="228"/>
      <c r="J811" s="228"/>
      <c r="K811" s="228"/>
    </row>
    <row r="812" spans="2:11">
      <c r="B812" s="73"/>
      <c r="C812" s="248"/>
      <c r="D812" s="228"/>
      <c r="F812" s="228"/>
      <c r="G812" s="228"/>
      <c r="H812" s="228"/>
      <c r="I812" s="228"/>
      <c r="J812" s="228"/>
      <c r="K812" s="228"/>
    </row>
    <row r="813" spans="2:11">
      <c r="B813" s="73"/>
      <c r="C813" s="248"/>
      <c r="D813" s="228"/>
      <c r="F813" s="228"/>
      <c r="G813" s="228"/>
      <c r="H813" s="228"/>
      <c r="I813" s="228"/>
      <c r="J813" s="228"/>
      <c r="K813" s="228"/>
    </row>
    <row r="814" spans="2:11">
      <c r="B814" s="73"/>
      <c r="C814" s="248"/>
      <c r="D814" s="228"/>
      <c r="F814" s="228"/>
      <c r="G814" s="228"/>
      <c r="H814" s="228"/>
      <c r="I814" s="228"/>
      <c r="J814" s="228"/>
      <c r="K814" s="228"/>
    </row>
    <row r="815" spans="2:11">
      <c r="B815" s="73"/>
      <c r="C815" s="248"/>
      <c r="D815" s="228"/>
      <c r="F815" s="228"/>
      <c r="G815" s="228"/>
      <c r="H815" s="228"/>
      <c r="I815" s="228"/>
      <c r="J815" s="228"/>
      <c r="K815" s="228"/>
    </row>
    <row r="816" spans="2:11">
      <c r="B816" s="73"/>
      <c r="C816" s="248"/>
      <c r="D816" s="228"/>
      <c r="F816" s="228"/>
      <c r="G816" s="228"/>
      <c r="H816" s="228"/>
      <c r="I816" s="228"/>
      <c r="J816" s="228"/>
      <c r="K816" s="228"/>
    </row>
    <row r="817" spans="2:11">
      <c r="B817" s="73"/>
      <c r="C817" s="248"/>
      <c r="D817" s="228"/>
      <c r="F817" s="228"/>
      <c r="G817" s="228"/>
      <c r="H817" s="228"/>
      <c r="I817" s="228"/>
      <c r="J817" s="228"/>
      <c r="K817" s="228"/>
    </row>
    <row r="818" spans="2:11">
      <c r="B818" s="73"/>
      <c r="C818" s="248"/>
      <c r="D818" s="228"/>
      <c r="F818" s="228"/>
      <c r="G818" s="228"/>
      <c r="H818" s="228"/>
      <c r="I818" s="228"/>
      <c r="J818" s="228"/>
      <c r="K818" s="228"/>
    </row>
    <row r="819" spans="2:11">
      <c r="B819" s="73"/>
      <c r="C819" s="248"/>
      <c r="D819" s="228"/>
      <c r="F819" s="228"/>
      <c r="G819" s="228"/>
      <c r="H819" s="228"/>
      <c r="I819" s="228"/>
      <c r="J819" s="228"/>
      <c r="K819" s="228"/>
    </row>
    <row r="820" spans="2:11">
      <c r="B820" s="73"/>
      <c r="C820" s="248"/>
      <c r="D820" s="228"/>
      <c r="F820" s="228"/>
      <c r="G820" s="228"/>
      <c r="H820" s="228"/>
      <c r="I820" s="228"/>
      <c r="J820" s="228"/>
      <c r="K820" s="228"/>
    </row>
    <row r="821" spans="2:11">
      <c r="B821" s="73"/>
      <c r="C821" s="248"/>
      <c r="D821" s="228"/>
      <c r="F821" s="228"/>
      <c r="G821" s="228"/>
      <c r="H821" s="228"/>
      <c r="I821" s="228"/>
      <c r="J821" s="228"/>
      <c r="K821" s="228"/>
    </row>
    <row r="822" spans="2:11">
      <c r="B822" s="73"/>
      <c r="C822" s="248"/>
      <c r="D822" s="228"/>
      <c r="F822" s="228"/>
      <c r="G822" s="228"/>
      <c r="H822" s="228"/>
      <c r="I822" s="228"/>
      <c r="J822" s="228"/>
      <c r="K822" s="228"/>
    </row>
    <row r="823" spans="2:11">
      <c r="B823" s="73"/>
      <c r="C823" s="248"/>
      <c r="D823" s="228"/>
      <c r="F823" s="228"/>
      <c r="G823" s="228"/>
      <c r="H823" s="228"/>
      <c r="I823" s="228"/>
      <c r="J823" s="228"/>
      <c r="K823" s="228"/>
    </row>
    <row r="824" spans="2:11">
      <c r="B824" s="73"/>
      <c r="C824" s="248"/>
      <c r="D824" s="228"/>
      <c r="F824" s="228"/>
      <c r="G824" s="228"/>
      <c r="H824" s="228"/>
      <c r="I824" s="228"/>
      <c r="J824" s="228"/>
      <c r="K824" s="228"/>
    </row>
    <row r="825" spans="2:11">
      <c r="B825" s="73"/>
      <c r="C825" s="248"/>
      <c r="D825" s="228"/>
      <c r="F825" s="228"/>
      <c r="G825" s="228"/>
      <c r="H825" s="228"/>
      <c r="I825" s="228"/>
      <c r="J825" s="228"/>
      <c r="K825" s="228"/>
    </row>
    <row r="826" spans="2:11">
      <c r="B826" s="73"/>
      <c r="C826" s="248"/>
      <c r="D826" s="228"/>
      <c r="F826" s="228"/>
      <c r="G826" s="228"/>
      <c r="H826" s="228"/>
      <c r="I826" s="228"/>
      <c r="J826" s="228"/>
      <c r="K826" s="228"/>
    </row>
    <row r="827" spans="2:11">
      <c r="B827" s="73"/>
      <c r="C827" s="248"/>
      <c r="D827" s="228"/>
      <c r="F827" s="228"/>
      <c r="G827" s="228"/>
      <c r="H827" s="228"/>
      <c r="I827" s="228"/>
      <c r="J827" s="228"/>
      <c r="K827" s="228"/>
    </row>
    <row r="828" spans="2:11">
      <c r="B828" s="73"/>
      <c r="C828" s="248"/>
      <c r="D828" s="228"/>
      <c r="F828" s="228"/>
      <c r="G828" s="228"/>
      <c r="H828" s="228"/>
      <c r="I828" s="228"/>
      <c r="J828" s="228"/>
      <c r="K828" s="228"/>
    </row>
    <row r="829" spans="2:11">
      <c r="B829" s="73"/>
      <c r="C829" s="248"/>
      <c r="D829" s="228"/>
      <c r="F829" s="228"/>
      <c r="G829" s="228"/>
      <c r="H829" s="228"/>
      <c r="I829" s="228"/>
      <c r="J829" s="228"/>
      <c r="K829" s="228"/>
    </row>
    <row r="830" spans="2:11">
      <c r="B830" s="73"/>
      <c r="C830" s="248"/>
      <c r="D830" s="228"/>
      <c r="F830" s="228"/>
      <c r="G830" s="228"/>
      <c r="H830" s="228"/>
      <c r="I830" s="228"/>
      <c r="J830" s="228"/>
      <c r="K830" s="228"/>
    </row>
    <row r="831" spans="2:11">
      <c r="B831" s="73"/>
      <c r="C831" s="248"/>
      <c r="D831" s="228"/>
      <c r="F831" s="228"/>
      <c r="G831" s="228"/>
      <c r="H831" s="228"/>
      <c r="I831" s="228"/>
      <c r="J831" s="228"/>
      <c r="K831" s="228"/>
    </row>
    <row r="832" spans="2:11">
      <c r="B832" s="73"/>
      <c r="C832" s="248"/>
      <c r="D832" s="228"/>
      <c r="F832" s="228"/>
      <c r="G832" s="228"/>
      <c r="H832" s="228"/>
      <c r="I832" s="228"/>
      <c r="J832" s="228"/>
      <c r="K832" s="228"/>
    </row>
    <row r="833" spans="2:11">
      <c r="B833" s="73"/>
      <c r="C833" s="248"/>
      <c r="D833" s="228"/>
      <c r="F833" s="228"/>
      <c r="G833" s="228"/>
      <c r="H833" s="228"/>
      <c r="I833" s="228"/>
      <c r="J833" s="228"/>
      <c r="K833" s="228"/>
    </row>
    <row r="834" spans="2:11">
      <c r="B834" s="73"/>
      <c r="C834" s="248"/>
      <c r="D834" s="228"/>
      <c r="F834" s="228"/>
      <c r="G834" s="228"/>
      <c r="H834" s="228"/>
      <c r="I834" s="228"/>
      <c r="J834" s="228"/>
      <c r="K834" s="228"/>
    </row>
    <row r="835" spans="2:11">
      <c r="B835" s="73"/>
      <c r="C835" s="248"/>
      <c r="D835" s="228"/>
      <c r="F835" s="228"/>
      <c r="G835" s="228"/>
      <c r="H835" s="228"/>
      <c r="I835" s="228"/>
      <c r="J835" s="228"/>
      <c r="K835" s="228"/>
    </row>
    <row r="836" spans="2:11">
      <c r="B836" s="73"/>
      <c r="C836" s="248"/>
      <c r="D836" s="228"/>
      <c r="F836" s="228"/>
      <c r="G836" s="228"/>
      <c r="H836" s="228"/>
      <c r="I836" s="228"/>
      <c r="J836" s="228"/>
      <c r="K836" s="228"/>
    </row>
    <row r="837" spans="2:11">
      <c r="B837" s="73"/>
      <c r="C837" s="248"/>
      <c r="D837" s="228"/>
      <c r="F837" s="228"/>
      <c r="G837" s="228"/>
      <c r="H837" s="228"/>
      <c r="I837" s="228"/>
      <c r="J837" s="228"/>
      <c r="K837" s="228"/>
    </row>
    <row r="838" spans="2:11">
      <c r="B838" s="73"/>
      <c r="C838" s="248"/>
      <c r="D838" s="228"/>
      <c r="F838" s="228"/>
      <c r="G838" s="228"/>
      <c r="H838" s="228"/>
      <c r="I838" s="228"/>
      <c r="J838" s="228"/>
      <c r="K838" s="228"/>
    </row>
    <row r="839" spans="2:11">
      <c r="B839" s="73"/>
      <c r="C839" s="248"/>
      <c r="D839" s="228"/>
      <c r="F839" s="228"/>
      <c r="G839" s="228"/>
      <c r="H839" s="228"/>
      <c r="I839" s="228"/>
      <c r="J839" s="228"/>
      <c r="K839" s="228"/>
    </row>
    <row r="840" spans="2:11">
      <c r="B840" s="73"/>
      <c r="C840" s="248"/>
      <c r="D840" s="228"/>
      <c r="F840" s="228"/>
      <c r="G840" s="228"/>
      <c r="H840" s="228"/>
      <c r="I840" s="228"/>
      <c r="J840" s="228"/>
      <c r="K840" s="228"/>
    </row>
    <row r="841" spans="2:11">
      <c r="B841" s="73"/>
      <c r="C841" s="248"/>
      <c r="D841" s="228"/>
      <c r="F841" s="228"/>
      <c r="G841" s="228"/>
      <c r="H841" s="228"/>
      <c r="I841" s="228"/>
      <c r="J841" s="228"/>
      <c r="K841" s="228"/>
    </row>
    <row r="842" spans="2:11">
      <c r="B842" s="73"/>
      <c r="C842" s="248"/>
      <c r="D842" s="228"/>
      <c r="F842" s="228"/>
      <c r="G842" s="228"/>
      <c r="H842" s="228"/>
      <c r="I842" s="228"/>
      <c r="J842" s="228"/>
      <c r="K842" s="228"/>
    </row>
    <row r="843" spans="2:11">
      <c r="B843" s="73"/>
      <c r="C843" s="248"/>
      <c r="D843" s="228"/>
      <c r="F843" s="228"/>
      <c r="G843" s="228"/>
      <c r="H843" s="228"/>
      <c r="I843" s="228"/>
      <c r="J843" s="228"/>
      <c r="K843" s="228"/>
    </row>
    <row r="844" spans="2:11">
      <c r="B844" s="73"/>
      <c r="C844" s="248"/>
      <c r="D844" s="228"/>
      <c r="F844" s="228"/>
      <c r="G844" s="228"/>
      <c r="H844" s="228"/>
      <c r="I844" s="228"/>
      <c r="J844" s="228"/>
      <c r="K844" s="228"/>
    </row>
    <row r="845" spans="2:11">
      <c r="B845" s="73"/>
      <c r="C845" s="248"/>
      <c r="D845" s="228"/>
      <c r="F845" s="228"/>
      <c r="G845" s="228"/>
      <c r="H845" s="228"/>
      <c r="I845" s="228"/>
      <c r="J845" s="228"/>
      <c r="K845" s="228"/>
    </row>
    <row r="846" spans="2:11">
      <c r="B846" s="73"/>
      <c r="C846" s="248"/>
      <c r="D846" s="228"/>
      <c r="F846" s="228"/>
      <c r="G846" s="228"/>
      <c r="H846" s="228"/>
      <c r="I846" s="228"/>
      <c r="J846" s="228"/>
      <c r="K846" s="228"/>
    </row>
    <row r="847" spans="2:11">
      <c r="B847" s="73"/>
      <c r="C847" s="248"/>
      <c r="D847" s="228"/>
      <c r="F847" s="228"/>
      <c r="G847" s="228"/>
      <c r="H847" s="228"/>
      <c r="I847" s="228"/>
      <c r="J847" s="228"/>
      <c r="K847" s="228"/>
    </row>
    <row r="848" spans="2:11">
      <c r="B848" s="73"/>
      <c r="C848" s="248"/>
      <c r="D848" s="228"/>
      <c r="F848" s="228"/>
      <c r="G848" s="228"/>
      <c r="H848" s="228"/>
      <c r="I848" s="228"/>
      <c r="J848" s="228"/>
      <c r="K848" s="228"/>
    </row>
    <row r="849" spans="2:11">
      <c r="B849" s="73"/>
      <c r="C849" s="248"/>
      <c r="D849" s="228"/>
      <c r="F849" s="228"/>
      <c r="G849" s="228"/>
      <c r="H849" s="228"/>
      <c r="I849" s="228"/>
      <c r="J849" s="228"/>
      <c r="K849" s="228"/>
    </row>
    <row r="850" spans="2:11">
      <c r="B850" s="73"/>
      <c r="C850" s="248"/>
      <c r="D850" s="228"/>
      <c r="F850" s="228"/>
      <c r="G850" s="228"/>
      <c r="H850" s="228"/>
      <c r="I850" s="228"/>
      <c r="J850" s="228"/>
      <c r="K850" s="228"/>
    </row>
    <row r="851" spans="2:11">
      <c r="B851" s="73"/>
      <c r="C851" s="248"/>
      <c r="D851" s="228"/>
      <c r="F851" s="228"/>
      <c r="G851" s="228"/>
      <c r="H851" s="228"/>
      <c r="I851" s="228"/>
      <c r="J851" s="228"/>
      <c r="K851" s="228"/>
    </row>
    <row r="852" spans="2:11">
      <c r="B852" s="73"/>
      <c r="C852" s="248"/>
      <c r="D852" s="228"/>
      <c r="F852" s="228"/>
      <c r="G852" s="228"/>
      <c r="H852" s="228"/>
      <c r="I852" s="228"/>
      <c r="J852" s="228"/>
      <c r="K852" s="228"/>
    </row>
    <row r="853" spans="2:11">
      <c r="B853" s="73"/>
      <c r="C853" s="248"/>
      <c r="D853" s="228"/>
      <c r="F853" s="228"/>
      <c r="G853" s="228"/>
      <c r="H853" s="228"/>
      <c r="I853" s="228"/>
      <c r="J853" s="228"/>
      <c r="K853" s="228"/>
    </row>
    <row r="854" spans="2:11">
      <c r="B854" s="73"/>
      <c r="C854" s="248"/>
      <c r="D854" s="228"/>
      <c r="F854" s="228"/>
      <c r="G854" s="228"/>
      <c r="H854" s="228"/>
      <c r="I854" s="228"/>
      <c r="J854" s="228"/>
      <c r="K854" s="228"/>
    </row>
    <row r="855" spans="2:11">
      <c r="B855" s="73"/>
      <c r="C855" s="248"/>
      <c r="D855" s="228"/>
      <c r="F855" s="228"/>
      <c r="G855" s="228"/>
      <c r="H855" s="228"/>
      <c r="I855" s="228"/>
      <c r="J855" s="228"/>
      <c r="K855" s="228"/>
    </row>
    <row r="856" spans="2:11">
      <c r="B856" s="73"/>
      <c r="C856" s="248"/>
      <c r="D856" s="228"/>
      <c r="F856" s="228"/>
      <c r="G856" s="228"/>
      <c r="H856" s="228"/>
      <c r="I856" s="228"/>
      <c r="J856" s="228"/>
      <c r="K856" s="228"/>
    </row>
    <row r="857" spans="2:11">
      <c r="B857" s="73"/>
      <c r="C857" s="248"/>
      <c r="D857" s="228"/>
      <c r="F857" s="228"/>
      <c r="G857" s="228"/>
      <c r="H857" s="228"/>
      <c r="I857" s="228"/>
      <c r="J857" s="228"/>
      <c r="K857" s="228"/>
    </row>
    <row r="858" spans="2:11">
      <c r="B858" s="73"/>
      <c r="C858" s="248"/>
      <c r="D858" s="228"/>
      <c r="F858" s="228"/>
      <c r="G858" s="228"/>
      <c r="H858" s="228"/>
      <c r="I858" s="228"/>
      <c r="J858" s="228"/>
      <c r="K858" s="228"/>
    </row>
    <row r="859" spans="2:11">
      <c r="B859" s="73"/>
      <c r="C859" s="248"/>
      <c r="D859" s="228"/>
      <c r="F859" s="228"/>
      <c r="G859" s="228"/>
      <c r="H859" s="228"/>
      <c r="I859" s="228"/>
      <c r="J859" s="228"/>
      <c r="K859" s="228"/>
    </row>
    <row r="860" spans="2:11">
      <c r="B860" s="73"/>
      <c r="C860" s="248"/>
      <c r="D860" s="228"/>
      <c r="F860" s="228"/>
      <c r="G860" s="228"/>
      <c r="H860" s="228"/>
      <c r="I860" s="228"/>
      <c r="J860" s="228"/>
      <c r="K860" s="228"/>
    </row>
    <row r="861" spans="2:11">
      <c r="B861" s="73"/>
      <c r="C861" s="248"/>
      <c r="D861" s="228"/>
      <c r="F861" s="228"/>
      <c r="G861" s="228"/>
      <c r="H861" s="228"/>
      <c r="I861" s="228"/>
      <c r="J861" s="228"/>
      <c r="K861" s="228"/>
    </row>
    <row r="862" spans="2:11">
      <c r="B862" s="73"/>
      <c r="C862" s="248"/>
      <c r="D862" s="228"/>
      <c r="F862" s="228"/>
      <c r="G862" s="228"/>
      <c r="H862" s="228"/>
      <c r="I862" s="228"/>
      <c r="J862" s="228"/>
      <c r="K862" s="228"/>
    </row>
    <row r="863" spans="2:11">
      <c r="B863" s="73"/>
      <c r="C863" s="248"/>
      <c r="D863" s="228"/>
      <c r="F863" s="228"/>
      <c r="G863" s="228"/>
      <c r="H863" s="228"/>
      <c r="I863" s="228"/>
      <c r="J863" s="228"/>
      <c r="K863" s="228"/>
    </row>
    <row r="864" spans="2:11">
      <c r="B864" s="73"/>
      <c r="C864" s="248"/>
      <c r="D864" s="228"/>
      <c r="F864" s="228"/>
      <c r="G864" s="228"/>
      <c r="H864" s="228"/>
      <c r="I864" s="228"/>
      <c r="J864" s="228"/>
      <c r="K864" s="228"/>
    </row>
    <row r="865" spans="2:11">
      <c r="B865" s="73"/>
      <c r="C865" s="248"/>
      <c r="D865" s="228"/>
      <c r="F865" s="228"/>
      <c r="G865" s="228"/>
      <c r="H865" s="228"/>
      <c r="I865" s="228"/>
      <c r="J865" s="228"/>
      <c r="K865" s="228"/>
    </row>
    <row r="866" spans="2:11">
      <c r="B866" s="73"/>
      <c r="C866" s="248"/>
      <c r="D866" s="228"/>
      <c r="F866" s="228"/>
      <c r="G866" s="228"/>
      <c r="H866" s="228"/>
      <c r="I866" s="228"/>
      <c r="J866" s="228"/>
      <c r="K866" s="228"/>
    </row>
    <row r="867" spans="2:11">
      <c r="B867" s="73"/>
      <c r="C867" s="248"/>
      <c r="D867" s="228"/>
      <c r="F867" s="228"/>
      <c r="G867" s="228"/>
      <c r="H867" s="228"/>
      <c r="I867" s="228"/>
      <c r="J867" s="228"/>
      <c r="K867" s="228"/>
    </row>
    <row r="868" spans="2:11">
      <c r="B868" s="73"/>
      <c r="C868" s="248"/>
      <c r="D868" s="228"/>
      <c r="F868" s="228"/>
      <c r="G868" s="228"/>
      <c r="H868" s="228"/>
      <c r="I868" s="228"/>
      <c r="J868" s="228"/>
      <c r="K868" s="228"/>
    </row>
    <row r="869" spans="2:11">
      <c r="B869" s="73"/>
      <c r="C869" s="248"/>
      <c r="D869" s="228"/>
      <c r="F869" s="228"/>
      <c r="G869" s="228"/>
      <c r="H869" s="228"/>
      <c r="I869" s="228"/>
      <c r="J869" s="228"/>
      <c r="K869" s="228"/>
    </row>
    <row r="870" spans="2:11">
      <c r="B870" s="73"/>
      <c r="C870" s="248"/>
      <c r="D870" s="228"/>
      <c r="F870" s="228"/>
      <c r="G870" s="228"/>
      <c r="H870" s="228"/>
      <c r="I870" s="228"/>
      <c r="J870" s="228"/>
      <c r="K870" s="228"/>
    </row>
    <row r="871" spans="2:11">
      <c r="B871" s="73"/>
      <c r="C871" s="248"/>
      <c r="D871" s="228"/>
      <c r="F871" s="228"/>
      <c r="G871" s="228"/>
      <c r="H871" s="228"/>
      <c r="I871" s="228"/>
      <c r="J871" s="228"/>
      <c r="K871" s="228"/>
    </row>
    <row r="872" spans="2:11">
      <c r="B872" s="73"/>
      <c r="C872" s="248"/>
      <c r="D872" s="228"/>
      <c r="F872" s="228"/>
      <c r="G872" s="228"/>
      <c r="H872" s="228"/>
      <c r="I872" s="228"/>
      <c r="J872" s="228"/>
      <c r="K872" s="228"/>
    </row>
    <row r="873" spans="2:11">
      <c r="B873" s="73"/>
      <c r="C873" s="248"/>
      <c r="D873" s="228"/>
      <c r="F873" s="228"/>
      <c r="G873" s="228"/>
      <c r="H873" s="228"/>
      <c r="I873" s="228"/>
      <c r="J873" s="228"/>
      <c r="K873" s="228"/>
    </row>
    <row r="874" spans="2:11">
      <c r="B874" s="73"/>
      <c r="C874" s="248"/>
      <c r="D874" s="228"/>
      <c r="F874" s="228"/>
      <c r="G874" s="228"/>
      <c r="H874" s="228"/>
      <c r="I874" s="228"/>
      <c r="J874" s="228"/>
      <c r="K874" s="228"/>
    </row>
    <row r="875" spans="2:11">
      <c r="B875" s="73"/>
      <c r="C875" s="248"/>
      <c r="D875" s="228"/>
      <c r="F875" s="228"/>
      <c r="G875" s="228"/>
      <c r="H875" s="228"/>
      <c r="I875" s="228"/>
      <c r="J875" s="228"/>
      <c r="K875" s="228"/>
    </row>
    <row r="876" spans="2:11">
      <c r="B876" s="73"/>
      <c r="C876" s="248"/>
      <c r="D876" s="228"/>
      <c r="F876" s="228"/>
      <c r="G876" s="228"/>
      <c r="H876" s="228"/>
      <c r="I876" s="228"/>
      <c r="J876" s="228"/>
      <c r="K876" s="228"/>
    </row>
    <row r="877" spans="2:11">
      <c r="B877" s="73"/>
      <c r="C877" s="248"/>
      <c r="D877" s="228"/>
      <c r="F877" s="228"/>
      <c r="G877" s="228"/>
      <c r="H877" s="228"/>
      <c r="I877" s="228"/>
      <c r="J877" s="228"/>
      <c r="K877" s="228"/>
    </row>
    <row r="878" spans="2:11">
      <c r="B878" s="73"/>
      <c r="C878" s="248"/>
      <c r="D878" s="228"/>
      <c r="F878" s="228"/>
      <c r="G878" s="228"/>
      <c r="H878" s="228"/>
      <c r="I878" s="228"/>
      <c r="J878" s="228"/>
      <c r="K878" s="228"/>
    </row>
    <row r="879" spans="2:11">
      <c r="B879" s="73"/>
      <c r="C879" s="248"/>
      <c r="D879" s="228"/>
      <c r="F879" s="228"/>
      <c r="G879" s="228"/>
      <c r="H879" s="228"/>
      <c r="I879" s="228"/>
      <c r="J879" s="228"/>
      <c r="K879" s="228"/>
    </row>
    <row r="880" spans="2:11">
      <c r="B880" s="73"/>
      <c r="C880" s="248"/>
      <c r="D880" s="228"/>
      <c r="F880" s="228"/>
      <c r="G880" s="228"/>
      <c r="H880" s="228"/>
      <c r="I880" s="228"/>
      <c r="J880" s="228"/>
      <c r="K880" s="228"/>
    </row>
    <row r="881" spans="2:11">
      <c r="B881" s="73"/>
      <c r="C881" s="248"/>
      <c r="D881" s="228"/>
      <c r="F881" s="228"/>
      <c r="G881" s="228"/>
      <c r="H881" s="228"/>
      <c r="I881" s="228"/>
      <c r="J881" s="228"/>
      <c r="K881" s="228"/>
    </row>
    <row r="882" spans="2:11">
      <c r="B882" s="73"/>
      <c r="C882" s="248"/>
      <c r="D882" s="228"/>
      <c r="F882" s="228"/>
      <c r="G882" s="228"/>
      <c r="H882" s="228"/>
      <c r="I882" s="228"/>
      <c r="J882" s="228"/>
      <c r="K882" s="228"/>
    </row>
    <row r="883" spans="2:11">
      <c r="B883" s="73"/>
      <c r="C883" s="248"/>
      <c r="D883" s="228"/>
      <c r="F883" s="228"/>
      <c r="G883" s="228"/>
      <c r="H883" s="228"/>
      <c r="I883" s="228"/>
      <c r="J883" s="228"/>
      <c r="K883" s="228"/>
    </row>
    <row r="884" spans="2:11">
      <c r="B884" s="73"/>
      <c r="C884" s="248"/>
      <c r="D884" s="228"/>
      <c r="F884" s="228"/>
      <c r="G884" s="228"/>
      <c r="H884" s="228"/>
      <c r="I884" s="228"/>
      <c r="J884" s="228"/>
      <c r="K884" s="228"/>
    </row>
    <row r="885" spans="2:11">
      <c r="B885" s="73"/>
      <c r="C885" s="248"/>
      <c r="D885" s="228"/>
      <c r="F885" s="228"/>
      <c r="G885" s="228"/>
      <c r="H885" s="228"/>
      <c r="I885" s="228"/>
      <c r="J885" s="228"/>
      <c r="K885" s="228"/>
    </row>
    <row r="886" spans="2:11">
      <c r="B886" s="73"/>
      <c r="C886" s="248"/>
      <c r="D886" s="228"/>
      <c r="F886" s="228"/>
      <c r="G886" s="228"/>
      <c r="H886" s="228"/>
      <c r="I886" s="228"/>
      <c r="J886" s="228"/>
      <c r="K886" s="228"/>
    </row>
    <row r="887" spans="2:11">
      <c r="B887" s="73"/>
      <c r="C887" s="248"/>
      <c r="D887" s="228"/>
      <c r="F887" s="228"/>
      <c r="G887" s="228"/>
      <c r="H887" s="228"/>
      <c r="I887" s="228"/>
      <c r="J887" s="228"/>
      <c r="K887" s="228"/>
    </row>
    <row r="888" spans="2:11">
      <c r="B888" s="73"/>
      <c r="C888" s="248"/>
      <c r="D888" s="228"/>
      <c r="F888" s="228"/>
      <c r="G888" s="228"/>
      <c r="H888" s="228"/>
      <c r="I888" s="228"/>
      <c r="J888" s="228"/>
      <c r="K888" s="228"/>
    </row>
    <row r="889" spans="2:11">
      <c r="B889" s="73"/>
      <c r="C889" s="248"/>
      <c r="D889" s="228"/>
      <c r="F889" s="228"/>
      <c r="G889" s="228"/>
      <c r="H889" s="228"/>
      <c r="I889" s="228"/>
      <c r="J889" s="228"/>
      <c r="K889" s="228"/>
    </row>
    <row r="890" spans="2:11">
      <c r="B890" s="73"/>
      <c r="C890" s="248"/>
      <c r="D890" s="228"/>
      <c r="F890" s="228"/>
      <c r="G890" s="228"/>
      <c r="H890" s="228"/>
      <c r="I890" s="228"/>
      <c r="J890" s="228"/>
      <c r="K890" s="228"/>
    </row>
    <row r="891" spans="2:11">
      <c r="B891" s="73"/>
      <c r="C891" s="248"/>
      <c r="D891" s="228"/>
      <c r="F891" s="228"/>
      <c r="G891" s="228"/>
      <c r="H891" s="228"/>
      <c r="I891" s="228"/>
      <c r="J891" s="228"/>
      <c r="K891" s="228"/>
    </row>
    <row r="892" spans="2:11">
      <c r="B892" s="73"/>
      <c r="C892" s="248"/>
      <c r="D892" s="228"/>
      <c r="F892" s="228"/>
      <c r="G892" s="228"/>
      <c r="H892" s="228"/>
      <c r="I892" s="228"/>
      <c r="J892" s="228"/>
      <c r="K892" s="228"/>
    </row>
    <row r="893" spans="2:11">
      <c r="B893" s="73"/>
      <c r="C893" s="248"/>
      <c r="D893" s="228"/>
      <c r="F893" s="228"/>
      <c r="G893" s="228"/>
      <c r="H893" s="228"/>
      <c r="I893" s="228"/>
      <c r="J893" s="228"/>
      <c r="K893" s="228"/>
    </row>
    <row r="894" spans="2:11">
      <c r="B894" s="73"/>
      <c r="C894" s="248"/>
      <c r="D894" s="228"/>
      <c r="F894" s="228"/>
      <c r="G894" s="228"/>
      <c r="H894" s="228"/>
      <c r="I894" s="228"/>
      <c r="J894" s="228"/>
      <c r="K894" s="228"/>
    </row>
    <row r="895" spans="2:11">
      <c r="B895" s="73"/>
      <c r="C895" s="248"/>
      <c r="D895" s="228"/>
      <c r="F895" s="228"/>
      <c r="G895" s="228"/>
      <c r="H895" s="228"/>
      <c r="I895" s="228"/>
      <c r="J895" s="228"/>
      <c r="K895" s="228"/>
    </row>
    <row r="896" spans="2:11">
      <c r="B896" s="73"/>
      <c r="C896" s="248"/>
      <c r="D896" s="228"/>
      <c r="F896" s="228"/>
      <c r="G896" s="228"/>
      <c r="H896" s="228"/>
      <c r="I896" s="228"/>
      <c r="J896" s="228"/>
      <c r="K896" s="228"/>
    </row>
    <row r="897" spans="2:11">
      <c r="B897" s="73"/>
      <c r="C897" s="248"/>
      <c r="D897" s="228"/>
      <c r="F897" s="228"/>
      <c r="G897" s="228"/>
      <c r="H897" s="228"/>
      <c r="I897" s="228"/>
      <c r="J897" s="228"/>
      <c r="K897" s="228"/>
    </row>
    <row r="898" spans="2:11">
      <c r="B898" s="73"/>
      <c r="C898" s="248"/>
      <c r="D898" s="228"/>
      <c r="F898" s="228"/>
      <c r="G898" s="228"/>
      <c r="H898" s="228"/>
      <c r="I898" s="228"/>
      <c r="J898" s="228"/>
      <c r="K898" s="228"/>
    </row>
    <row r="899" spans="2:11">
      <c r="B899" s="73"/>
      <c r="C899" s="248"/>
      <c r="D899" s="228"/>
      <c r="F899" s="228"/>
      <c r="G899" s="228"/>
      <c r="H899" s="228"/>
      <c r="I899" s="228"/>
      <c r="J899" s="228"/>
      <c r="K899" s="228"/>
    </row>
    <row r="900" spans="2:11">
      <c r="B900" s="73"/>
      <c r="C900" s="248"/>
      <c r="D900" s="228"/>
      <c r="F900" s="228"/>
      <c r="G900" s="228"/>
      <c r="H900" s="228"/>
      <c r="I900" s="228"/>
      <c r="J900" s="228"/>
      <c r="K900" s="228"/>
    </row>
    <row r="901" spans="2:11">
      <c r="B901" s="73"/>
      <c r="C901" s="248"/>
      <c r="D901" s="228"/>
      <c r="F901" s="228"/>
      <c r="G901" s="228"/>
      <c r="H901" s="228"/>
      <c r="I901" s="228"/>
      <c r="J901" s="228"/>
      <c r="K901" s="228"/>
    </row>
    <row r="902" spans="2:11">
      <c r="B902" s="73"/>
      <c r="C902" s="248"/>
      <c r="D902" s="228"/>
      <c r="F902" s="228"/>
      <c r="G902" s="228"/>
      <c r="H902" s="228"/>
      <c r="I902" s="228"/>
      <c r="J902" s="228"/>
      <c r="K902" s="228"/>
    </row>
    <row r="903" spans="2:11">
      <c r="B903" s="73"/>
      <c r="C903" s="248"/>
      <c r="D903" s="228"/>
      <c r="F903" s="228"/>
      <c r="G903" s="228"/>
      <c r="H903" s="228"/>
      <c r="I903" s="228"/>
      <c r="J903" s="228"/>
      <c r="K903" s="228"/>
    </row>
    <row r="904" spans="2:11">
      <c r="B904" s="73"/>
      <c r="C904" s="248"/>
      <c r="D904" s="228"/>
      <c r="F904" s="228"/>
      <c r="G904" s="228"/>
      <c r="H904" s="228"/>
      <c r="I904" s="228"/>
      <c r="J904" s="228"/>
      <c r="K904" s="228"/>
    </row>
    <row r="905" spans="2:11">
      <c r="B905" s="73"/>
      <c r="C905" s="248"/>
      <c r="D905" s="228"/>
      <c r="F905" s="228"/>
      <c r="G905" s="228"/>
      <c r="H905" s="228"/>
      <c r="I905" s="228"/>
      <c r="J905" s="228"/>
      <c r="K905" s="228"/>
    </row>
    <row r="906" spans="2:11">
      <c r="B906" s="73"/>
      <c r="C906" s="248"/>
      <c r="D906" s="228"/>
      <c r="F906" s="228"/>
      <c r="G906" s="228"/>
      <c r="H906" s="228"/>
      <c r="I906" s="228"/>
      <c r="J906" s="228"/>
      <c r="K906" s="228"/>
    </row>
    <row r="907" spans="2:11">
      <c r="B907" s="73"/>
      <c r="C907" s="248"/>
      <c r="D907" s="228"/>
      <c r="F907" s="228"/>
      <c r="G907" s="228"/>
      <c r="H907" s="228"/>
      <c r="I907" s="228"/>
      <c r="J907" s="228"/>
      <c r="K907" s="228"/>
    </row>
    <row r="908" spans="2:11">
      <c r="B908" s="73"/>
      <c r="C908" s="248"/>
      <c r="D908" s="228"/>
      <c r="F908" s="228"/>
      <c r="G908" s="228"/>
      <c r="H908" s="228"/>
      <c r="I908" s="228"/>
      <c r="J908" s="228"/>
      <c r="K908" s="228"/>
    </row>
    <row r="909" spans="2:11">
      <c r="B909" s="73"/>
      <c r="C909" s="248"/>
      <c r="D909" s="228"/>
      <c r="F909" s="228"/>
      <c r="G909" s="228"/>
      <c r="H909" s="228"/>
      <c r="I909" s="228"/>
      <c r="J909" s="228"/>
      <c r="K909" s="228"/>
    </row>
    <row r="910" spans="2:11">
      <c r="B910" s="73"/>
      <c r="C910" s="248"/>
      <c r="D910" s="228"/>
      <c r="F910" s="228"/>
      <c r="G910" s="228"/>
      <c r="H910" s="228"/>
      <c r="I910" s="228"/>
      <c r="J910" s="228"/>
      <c r="K910" s="228"/>
    </row>
    <row r="911" spans="2:11">
      <c r="B911" s="73"/>
      <c r="C911" s="248"/>
      <c r="D911" s="228"/>
      <c r="F911" s="228"/>
      <c r="G911" s="228"/>
      <c r="H911" s="228"/>
      <c r="I911" s="228"/>
      <c r="J911" s="228"/>
      <c r="K911" s="228"/>
    </row>
    <row r="912" spans="2:11">
      <c r="B912" s="73"/>
      <c r="C912" s="248"/>
      <c r="D912" s="228"/>
      <c r="F912" s="228"/>
      <c r="G912" s="228"/>
      <c r="H912" s="228"/>
      <c r="I912" s="228"/>
      <c r="J912" s="228"/>
      <c r="K912" s="228"/>
    </row>
    <row r="913" spans="2:11">
      <c r="B913" s="73"/>
      <c r="C913" s="248"/>
      <c r="D913" s="228"/>
      <c r="F913" s="228"/>
      <c r="G913" s="228"/>
      <c r="H913" s="228"/>
      <c r="I913" s="228"/>
      <c r="J913" s="228"/>
      <c r="K913" s="228"/>
    </row>
    <row r="914" spans="2:11">
      <c r="B914" s="73"/>
      <c r="C914" s="248"/>
      <c r="D914" s="228"/>
      <c r="F914" s="228"/>
      <c r="G914" s="228"/>
      <c r="H914" s="228"/>
      <c r="I914" s="228"/>
      <c r="J914" s="228"/>
      <c r="K914" s="228"/>
    </row>
    <row r="915" spans="2:11">
      <c r="B915" s="73"/>
      <c r="C915" s="248"/>
      <c r="D915" s="228"/>
      <c r="F915" s="228"/>
      <c r="G915" s="228"/>
      <c r="H915" s="228"/>
      <c r="I915" s="228"/>
      <c r="J915" s="228"/>
      <c r="K915" s="228"/>
    </row>
    <row r="916" spans="2:11">
      <c r="B916" s="73"/>
      <c r="C916" s="248"/>
      <c r="D916" s="228"/>
      <c r="F916" s="228"/>
      <c r="G916" s="228"/>
      <c r="H916" s="228"/>
      <c r="I916" s="228"/>
      <c r="J916" s="228"/>
      <c r="K916" s="228"/>
    </row>
    <row r="917" spans="2:11">
      <c r="B917" s="73"/>
      <c r="C917" s="248"/>
      <c r="D917" s="228"/>
      <c r="F917" s="228"/>
      <c r="G917" s="228"/>
      <c r="H917" s="228"/>
      <c r="I917" s="228"/>
      <c r="J917" s="228"/>
      <c r="K917" s="228"/>
    </row>
    <row r="918" spans="2:11">
      <c r="B918" s="73"/>
      <c r="C918" s="248"/>
      <c r="D918" s="228"/>
      <c r="F918" s="228"/>
      <c r="G918" s="228"/>
      <c r="H918" s="228"/>
      <c r="I918" s="228"/>
      <c r="J918" s="228"/>
      <c r="K918" s="228"/>
    </row>
    <row r="919" spans="2:11">
      <c r="B919" s="73"/>
      <c r="C919" s="248"/>
      <c r="D919" s="228"/>
      <c r="F919" s="228"/>
      <c r="G919" s="228"/>
      <c r="H919" s="228"/>
      <c r="I919" s="228"/>
      <c r="J919" s="228"/>
      <c r="K919" s="228"/>
    </row>
    <row r="920" spans="2:11">
      <c r="B920" s="73"/>
      <c r="C920" s="248"/>
      <c r="D920" s="228"/>
      <c r="F920" s="228"/>
      <c r="G920" s="228"/>
      <c r="H920" s="228"/>
      <c r="I920" s="228"/>
      <c r="J920" s="228"/>
      <c r="K920" s="228"/>
    </row>
    <row r="921" spans="2:11">
      <c r="B921" s="73"/>
      <c r="C921" s="248"/>
      <c r="D921" s="228"/>
      <c r="F921" s="228"/>
      <c r="G921" s="228"/>
      <c r="H921" s="228"/>
      <c r="I921" s="228"/>
      <c r="J921" s="228"/>
      <c r="K921" s="228"/>
    </row>
    <row r="922" spans="2:11">
      <c r="B922" s="73"/>
      <c r="C922" s="248"/>
      <c r="D922" s="228"/>
      <c r="F922" s="228"/>
      <c r="G922" s="228"/>
      <c r="H922" s="228"/>
      <c r="I922" s="228"/>
      <c r="J922" s="228"/>
      <c r="K922" s="228"/>
    </row>
    <row r="923" spans="2:11">
      <c r="B923" s="73"/>
      <c r="C923" s="248"/>
      <c r="D923" s="228"/>
      <c r="F923" s="228"/>
      <c r="G923" s="228"/>
      <c r="H923" s="228"/>
      <c r="I923" s="228"/>
      <c r="J923" s="228"/>
      <c r="K923" s="228"/>
    </row>
    <row r="924" spans="2:11">
      <c r="B924" s="73"/>
      <c r="C924" s="248"/>
      <c r="D924" s="228"/>
      <c r="F924" s="228"/>
      <c r="G924" s="228"/>
      <c r="H924" s="228"/>
      <c r="I924" s="228"/>
      <c r="J924" s="228"/>
      <c r="K924" s="228"/>
    </row>
    <row r="925" spans="2:11">
      <c r="B925" s="73"/>
      <c r="C925" s="248"/>
      <c r="D925" s="228"/>
      <c r="F925" s="228"/>
      <c r="G925" s="228"/>
      <c r="H925" s="228"/>
      <c r="I925" s="228"/>
      <c r="J925" s="228"/>
      <c r="K925" s="228"/>
    </row>
    <row r="926" spans="2:11">
      <c r="B926" s="73"/>
      <c r="C926" s="248"/>
      <c r="D926" s="228"/>
      <c r="F926" s="228"/>
      <c r="G926" s="228"/>
      <c r="H926" s="228"/>
      <c r="I926" s="228"/>
      <c r="J926" s="228"/>
      <c r="K926" s="228"/>
    </row>
    <row r="927" spans="2:11">
      <c r="B927" s="73"/>
      <c r="C927" s="248"/>
      <c r="D927" s="228"/>
      <c r="F927" s="228"/>
      <c r="G927" s="228"/>
      <c r="H927" s="228"/>
      <c r="I927" s="228"/>
      <c r="J927" s="228"/>
      <c r="K927" s="228"/>
    </row>
    <row r="928" spans="2:11">
      <c r="B928" s="73"/>
      <c r="C928" s="248"/>
      <c r="D928" s="228"/>
      <c r="F928" s="228"/>
      <c r="G928" s="228"/>
      <c r="H928" s="228"/>
      <c r="I928" s="228"/>
      <c r="J928" s="228"/>
      <c r="K928" s="228"/>
    </row>
    <row r="929" spans="2:11">
      <c r="B929" s="73"/>
      <c r="C929" s="248"/>
      <c r="D929" s="228"/>
      <c r="F929" s="228"/>
      <c r="G929" s="228"/>
      <c r="H929" s="228"/>
      <c r="I929" s="228"/>
      <c r="J929" s="228"/>
      <c r="K929" s="228"/>
    </row>
    <row r="930" spans="2:11">
      <c r="B930" s="73"/>
      <c r="C930" s="248"/>
      <c r="D930" s="228"/>
      <c r="F930" s="228"/>
      <c r="G930" s="228"/>
      <c r="H930" s="228"/>
      <c r="I930" s="228"/>
      <c r="J930" s="228"/>
      <c r="K930" s="228"/>
    </row>
    <row r="931" spans="2:11">
      <c r="B931" s="73"/>
      <c r="C931" s="248"/>
      <c r="D931" s="228"/>
      <c r="F931" s="228"/>
      <c r="G931" s="228"/>
      <c r="H931" s="228"/>
      <c r="I931" s="228"/>
      <c r="J931" s="228"/>
      <c r="K931" s="228"/>
    </row>
    <row r="932" spans="2:11">
      <c r="B932" s="73"/>
      <c r="C932" s="248"/>
      <c r="D932" s="228"/>
      <c r="F932" s="228"/>
      <c r="G932" s="228"/>
      <c r="H932" s="228"/>
      <c r="I932" s="228"/>
      <c r="J932" s="228"/>
      <c r="K932" s="228"/>
    </row>
    <row r="933" spans="2:11">
      <c r="B933" s="73"/>
      <c r="C933" s="248"/>
      <c r="D933" s="228"/>
      <c r="F933" s="228"/>
      <c r="G933" s="228"/>
      <c r="H933" s="228"/>
      <c r="I933" s="228"/>
      <c r="J933" s="228"/>
      <c r="K933" s="228"/>
    </row>
    <row r="934" spans="2:11">
      <c r="B934" s="73"/>
      <c r="C934" s="248"/>
      <c r="D934" s="228"/>
      <c r="F934" s="228"/>
      <c r="G934" s="228"/>
      <c r="H934" s="228"/>
      <c r="I934" s="228"/>
      <c r="J934" s="228"/>
      <c r="K934" s="228"/>
    </row>
    <row r="935" spans="2:11">
      <c r="B935" s="73"/>
      <c r="C935" s="248"/>
      <c r="D935" s="228"/>
      <c r="F935" s="228"/>
      <c r="G935" s="228"/>
      <c r="H935" s="228"/>
      <c r="I935" s="228"/>
      <c r="J935" s="228"/>
      <c r="K935" s="228"/>
    </row>
    <row r="936" spans="2:11">
      <c r="B936" s="73"/>
      <c r="C936" s="248"/>
      <c r="D936" s="228"/>
      <c r="F936" s="228"/>
      <c r="G936" s="228"/>
      <c r="H936" s="228"/>
      <c r="I936" s="228"/>
      <c r="J936" s="228"/>
      <c r="K936" s="228"/>
    </row>
    <row r="937" spans="2:11">
      <c r="B937" s="73"/>
      <c r="C937" s="248"/>
      <c r="D937" s="228"/>
      <c r="F937" s="228"/>
      <c r="G937" s="228"/>
      <c r="H937" s="228"/>
      <c r="I937" s="228"/>
      <c r="J937" s="228"/>
      <c r="K937" s="228"/>
    </row>
    <row r="938" spans="2:11">
      <c r="B938" s="73"/>
      <c r="C938" s="248"/>
      <c r="D938" s="228"/>
      <c r="F938" s="228"/>
      <c r="G938" s="228"/>
      <c r="H938" s="228"/>
      <c r="I938" s="228"/>
      <c r="J938" s="228"/>
      <c r="K938" s="228"/>
    </row>
    <row r="939" spans="2:11">
      <c r="B939" s="73"/>
      <c r="C939" s="248"/>
      <c r="D939" s="228"/>
      <c r="F939" s="228"/>
      <c r="G939" s="228"/>
      <c r="H939" s="228"/>
      <c r="I939" s="228"/>
      <c r="J939" s="228"/>
      <c r="K939" s="228"/>
    </row>
    <row r="940" spans="2:11">
      <c r="B940" s="73"/>
      <c r="C940" s="248"/>
      <c r="D940" s="228"/>
      <c r="F940" s="228"/>
      <c r="G940" s="228"/>
      <c r="H940" s="228"/>
      <c r="I940" s="228"/>
      <c r="J940" s="228"/>
      <c r="K940" s="228"/>
    </row>
    <row r="941" spans="2:11">
      <c r="B941" s="73"/>
      <c r="C941" s="248"/>
      <c r="D941" s="228"/>
      <c r="F941" s="228"/>
      <c r="G941" s="228"/>
      <c r="H941" s="228"/>
      <c r="I941" s="228"/>
      <c r="J941" s="228"/>
      <c r="K941" s="228"/>
    </row>
    <row r="942" spans="2:11">
      <c r="B942" s="73"/>
      <c r="C942" s="248"/>
      <c r="D942" s="228"/>
      <c r="F942" s="228"/>
      <c r="G942" s="228"/>
      <c r="H942" s="228"/>
      <c r="I942" s="228"/>
      <c r="J942" s="228"/>
      <c r="K942" s="228"/>
    </row>
    <row r="943" spans="2:11">
      <c r="B943" s="73"/>
      <c r="C943" s="248"/>
      <c r="D943" s="228"/>
      <c r="F943" s="228"/>
      <c r="G943" s="228"/>
      <c r="H943" s="228"/>
      <c r="I943" s="228"/>
      <c r="J943" s="228"/>
      <c r="K943" s="228"/>
    </row>
    <row r="944" spans="2:11">
      <c r="B944" s="73"/>
      <c r="C944" s="248"/>
      <c r="D944" s="228"/>
      <c r="F944" s="228"/>
      <c r="G944" s="228"/>
      <c r="H944" s="228"/>
      <c r="I944" s="228"/>
      <c r="J944" s="228"/>
      <c r="K944" s="228"/>
    </row>
    <row r="945" spans="2:11">
      <c r="B945" s="73"/>
      <c r="C945" s="248"/>
      <c r="D945" s="228"/>
      <c r="F945" s="228"/>
      <c r="G945" s="228"/>
      <c r="H945" s="228"/>
      <c r="I945" s="228"/>
      <c r="J945" s="228"/>
      <c r="K945" s="228"/>
    </row>
    <row r="946" spans="2:11">
      <c r="B946" s="73"/>
      <c r="C946" s="248"/>
      <c r="D946" s="228"/>
      <c r="F946" s="228"/>
      <c r="G946" s="228"/>
      <c r="H946" s="228"/>
      <c r="I946" s="228"/>
      <c r="J946" s="228"/>
      <c r="K946" s="228"/>
    </row>
    <row r="947" spans="2:11">
      <c r="B947" s="73"/>
      <c r="C947" s="248"/>
      <c r="D947" s="228"/>
      <c r="F947" s="228"/>
      <c r="G947" s="228"/>
      <c r="H947" s="228"/>
      <c r="I947" s="228"/>
      <c r="J947" s="228"/>
      <c r="K947" s="228"/>
    </row>
    <row r="948" spans="2:11">
      <c r="B948" s="73"/>
      <c r="C948" s="248"/>
      <c r="D948" s="228"/>
      <c r="F948" s="228"/>
      <c r="G948" s="228"/>
      <c r="H948" s="228"/>
      <c r="I948" s="228"/>
      <c r="J948" s="228"/>
      <c r="K948" s="228"/>
    </row>
    <row r="949" spans="2:11">
      <c r="B949" s="73"/>
      <c r="C949" s="248"/>
      <c r="D949" s="228"/>
      <c r="F949" s="228"/>
      <c r="G949" s="228"/>
      <c r="H949" s="228"/>
      <c r="I949" s="228"/>
      <c r="J949" s="228"/>
      <c r="K949" s="228"/>
    </row>
    <row r="950" spans="2:11">
      <c r="B950" s="73"/>
      <c r="C950" s="248"/>
      <c r="D950" s="228"/>
      <c r="F950" s="228"/>
      <c r="G950" s="228"/>
      <c r="H950" s="228"/>
      <c r="I950" s="228"/>
      <c r="J950" s="228"/>
      <c r="K950" s="228"/>
    </row>
    <row r="951" spans="2:11">
      <c r="B951" s="73"/>
      <c r="C951" s="248"/>
      <c r="D951" s="228"/>
      <c r="F951" s="228"/>
      <c r="G951" s="228"/>
      <c r="H951" s="228"/>
      <c r="I951" s="228"/>
      <c r="J951" s="228"/>
      <c r="K951" s="228"/>
    </row>
    <row r="952" spans="2:11">
      <c r="B952" s="73"/>
      <c r="C952" s="248"/>
      <c r="D952" s="228"/>
      <c r="F952" s="228"/>
      <c r="G952" s="228"/>
      <c r="H952" s="228"/>
      <c r="I952" s="228"/>
      <c r="J952" s="228"/>
      <c r="K952" s="228"/>
    </row>
    <row r="953" spans="2:11">
      <c r="B953" s="73"/>
      <c r="C953" s="248"/>
      <c r="D953" s="228"/>
      <c r="F953" s="228"/>
      <c r="G953" s="228"/>
      <c r="H953" s="228"/>
      <c r="I953" s="228"/>
      <c r="J953" s="228"/>
      <c r="K953" s="228"/>
    </row>
    <row r="954" spans="2:11">
      <c r="B954" s="73"/>
      <c r="C954" s="248"/>
      <c r="D954" s="228"/>
      <c r="F954" s="228"/>
      <c r="G954" s="228"/>
      <c r="H954" s="228"/>
      <c r="I954" s="228"/>
      <c r="J954" s="228"/>
      <c r="K954" s="228"/>
    </row>
    <row r="955" spans="2:11">
      <c r="B955" s="73"/>
      <c r="C955" s="248"/>
      <c r="D955" s="228"/>
      <c r="F955" s="228"/>
      <c r="G955" s="228"/>
      <c r="H955" s="228"/>
      <c r="I955" s="228"/>
      <c r="J955" s="228"/>
      <c r="K955" s="228"/>
    </row>
    <row r="956" spans="2:11">
      <c r="B956" s="73"/>
      <c r="C956" s="248"/>
      <c r="D956" s="228"/>
      <c r="F956" s="228"/>
      <c r="G956" s="228"/>
      <c r="H956" s="228"/>
      <c r="I956" s="228"/>
      <c r="J956" s="228"/>
      <c r="K956" s="228"/>
    </row>
    <row r="957" spans="2:11">
      <c r="B957" s="73"/>
      <c r="C957" s="248"/>
      <c r="D957" s="228"/>
      <c r="F957" s="228"/>
      <c r="G957" s="228"/>
      <c r="H957" s="228"/>
      <c r="I957" s="228"/>
      <c r="J957" s="228"/>
      <c r="K957" s="228"/>
    </row>
    <row r="958" spans="2:11">
      <c r="B958" s="73"/>
      <c r="C958" s="248"/>
      <c r="D958" s="228"/>
      <c r="F958" s="228"/>
      <c r="G958" s="228"/>
      <c r="H958" s="228"/>
      <c r="I958" s="228"/>
      <c r="J958" s="228"/>
      <c r="K958" s="228"/>
    </row>
    <row r="959" spans="2:11">
      <c r="B959" s="73"/>
      <c r="C959" s="248"/>
      <c r="D959" s="228"/>
      <c r="F959" s="228"/>
      <c r="G959" s="228"/>
      <c r="H959" s="228"/>
      <c r="I959" s="228"/>
      <c r="J959" s="228"/>
      <c r="K959" s="228"/>
    </row>
    <row r="960" spans="2:11">
      <c r="B960" s="73"/>
      <c r="C960" s="248"/>
      <c r="D960" s="228"/>
      <c r="F960" s="228"/>
      <c r="G960" s="228"/>
      <c r="H960" s="228"/>
      <c r="I960" s="228"/>
      <c r="J960" s="228"/>
      <c r="K960" s="228"/>
    </row>
    <row r="961" spans="2:11">
      <c r="B961" s="73"/>
      <c r="C961" s="248"/>
      <c r="D961" s="228"/>
      <c r="F961" s="228"/>
      <c r="G961" s="228"/>
      <c r="H961" s="228"/>
      <c r="I961" s="228"/>
      <c r="J961" s="228"/>
      <c r="K961" s="228"/>
    </row>
    <row r="962" spans="2:11">
      <c r="B962" s="73"/>
      <c r="C962" s="248"/>
      <c r="D962" s="228"/>
      <c r="F962" s="228"/>
      <c r="G962" s="228"/>
      <c r="H962" s="228"/>
      <c r="I962" s="228"/>
      <c r="J962" s="228"/>
      <c r="K962" s="228"/>
    </row>
    <row r="963" spans="2:11">
      <c r="B963" s="73"/>
      <c r="C963" s="248"/>
      <c r="D963" s="228"/>
      <c r="F963" s="228"/>
      <c r="G963" s="228"/>
      <c r="H963" s="228"/>
      <c r="I963" s="228"/>
      <c r="J963" s="228"/>
      <c r="K963" s="228"/>
    </row>
    <row r="964" spans="2:11">
      <c r="B964" s="73"/>
      <c r="C964" s="248"/>
      <c r="D964" s="228"/>
      <c r="F964" s="228"/>
      <c r="G964" s="228"/>
      <c r="H964" s="228"/>
      <c r="I964" s="228"/>
      <c r="J964" s="228"/>
      <c r="K964" s="228"/>
    </row>
    <row r="965" spans="2:11">
      <c r="B965" s="73"/>
      <c r="C965" s="248"/>
      <c r="D965" s="228"/>
      <c r="F965" s="228"/>
      <c r="G965" s="228"/>
      <c r="H965" s="228"/>
      <c r="I965" s="228"/>
      <c r="J965" s="228"/>
      <c r="K965" s="228"/>
    </row>
    <row r="966" spans="2:11">
      <c r="B966" s="73"/>
      <c r="C966" s="248"/>
      <c r="D966" s="228"/>
      <c r="F966" s="228"/>
      <c r="G966" s="228"/>
      <c r="H966" s="228"/>
      <c r="I966" s="228"/>
      <c r="J966" s="228"/>
      <c r="K966" s="228"/>
    </row>
    <row r="967" spans="2:11">
      <c r="B967" s="73"/>
      <c r="C967" s="248"/>
      <c r="D967" s="228"/>
      <c r="F967" s="228"/>
      <c r="G967" s="228"/>
      <c r="H967" s="228"/>
      <c r="I967" s="228"/>
      <c r="J967" s="228"/>
      <c r="K967" s="228"/>
    </row>
    <row r="968" spans="2:11">
      <c r="B968" s="73"/>
      <c r="C968" s="248"/>
      <c r="D968" s="228"/>
      <c r="F968" s="228"/>
      <c r="G968" s="228"/>
      <c r="H968" s="228"/>
      <c r="I968" s="228"/>
      <c r="J968" s="228"/>
      <c r="K968" s="228"/>
    </row>
    <row r="969" spans="2:11">
      <c r="B969" s="73"/>
      <c r="C969" s="248"/>
      <c r="D969" s="228"/>
      <c r="F969" s="228"/>
      <c r="G969" s="228"/>
      <c r="H969" s="228"/>
      <c r="I969" s="228"/>
      <c r="J969" s="228"/>
      <c r="K969" s="228"/>
    </row>
    <row r="970" spans="2:11">
      <c r="B970" s="73"/>
      <c r="C970" s="248"/>
      <c r="D970" s="228"/>
      <c r="F970" s="228"/>
      <c r="G970" s="228"/>
      <c r="H970" s="228"/>
      <c r="I970" s="228"/>
      <c r="J970" s="228"/>
      <c r="K970" s="228"/>
    </row>
    <row r="971" spans="2:11">
      <c r="B971" s="73"/>
      <c r="C971" s="248"/>
      <c r="D971" s="228"/>
      <c r="F971" s="228"/>
      <c r="G971" s="228"/>
      <c r="H971" s="228"/>
      <c r="I971" s="228"/>
      <c r="J971" s="228"/>
      <c r="K971" s="228"/>
    </row>
    <row r="972" spans="2:11">
      <c r="B972" s="73"/>
      <c r="C972" s="248"/>
      <c r="D972" s="228"/>
      <c r="F972" s="228"/>
      <c r="G972" s="228"/>
      <c r="H972" s="228"/>
      <c r="I972" s="228"/>
      <c r="J972" s="228"/>
      <c r="K972" s="228"/>
    </row>
    <row r="973" spans="2:11">
      <c r="B973" s="73"/>
      <c r="C973" s="248"/>
      <c r="D973" s="228"/>
      <c r="F973" s="228"/>
      <c r="G973" s="228"/>
      <c r="H973" s="228"/>
      <c r="I973" s="228"/>
      <c r="J973" s="228"/>
      <c r="K973" s="228"/>
    </row>
    <row r="974" spans="2:11">
      <c r="B974" s="73"/>
      <c r="C974" s="248"/>
      <c r="D974" s="228"/>
      <c r="F974" s="228"/>
      <c r="G974" s="228"/>
      <c r="H974" s="228"/>
      <c r="I974" s="228"/>
      <c r="J974" s="228"/>
      <c r="K974" s="228"/>
    </row>
    <row r="975" spans="2:11">
      <c r="B975" s="73"/>
      <c r="C975" s="248"/>
      <c r="D975" s="228"/>
      <c r="F975" s="228"/>
      <c r="G975" s="228"/>
      <c r="H975" s="228"/>
      <c r="I975" s="228"/>
      <c r="J975" s="228"/>
      <c r="K975" s="228"/>
    </row>
    <row r="976" spans="2:11">
      <c r="B976" s="73"/>
      <c r="C976" s="248"/>
      <c r="D976" s="228"/>
      <c r="F976" s="228"/>
      <c r="G976" s="228"/>
      <c r="H976" s="228"/>
      <c r="I976" s="228"/>
      <c r="J976" s="228"/>
      <c r="K976" s="228"/>
    </row>
    <row r="977" spans="2:11">
      <c r="B977" s="73"/>
      <c r="C977" s="248"/>
      <c r="D977" s="228"/>
      <c r="F977" s="228"/>
      <c r="G977" s="228"/>
      <c r="H977" s="228"/>
      <c r="I977" s="228"/>
      <c r="J977" s="228"/>
      <c r="K977" s="228"/>
    </row>
    <row r="978" spans="2:11">
      <c r="B978" s="73"/>
      <c r="C978" s="248"/>
      <c r="D978" s="228"/>
      <c r="F978" s="228"/>
      <c r="G978" s="228"/>
      <c r="H978" s="228"/>
      <c r="I978" s="228"/>
      <c r="J978" s="228"/>
      <c r="K978" s="228"/>
    </row>
    <row r="979" spans="2:11">
      <c r="B979" s="73"/>
      <c r="C979" s="248"/>
      <c r="D979" s="228"/>
      <c r="F979" s="228"/>
      <c r="G979" s="228"/>
      <c r="H979" s="228"/>
      <c r="I979" s="228"/>
      <c r="J979" s="228"/>
      <c r="K979" s="228"/>
    </row>
    <row r="980" spans="2:11">
      <c r="B980" s="73"/>
      <c r="C980" s="248"/>
      <c r="D980" s="228"/>
      <c r="F980" s="228"/>
      <c r="G980" s="228"/>
      <c r="H980" s="228"/>
      <c r="I980" s="228"/>
      <c r="J980" s="228"/>
      <c r="K980" s="228"/>
    </row>
    <row r="981" spans="2:11">
      <c r="B981" s="73"/>
      <c r="C981" s="248"/>
      <c r="D981" s="228"/>
      <c r="F981" s="228"/>
      <c r="G981" s="228"/>
      <c r="H981" s="228"/>
      <c r="I981" s="228"/>
      <c r="J981" s="228"/>
      <c r="K981" s="228"/>
    </row>
    <row r="982" spans="2:11">
      <c r="B982" s="73"/>
      <c r="C982" s="248"/>
      <c r="D982" s="228"/>
      <c r="F982" s="228"/>
      <c r="G982" s="228"/>
      <c r="H982" s="228"/>
      <c r="I982" s="228"/>
      <c r="J982" s="228"/>
      <c r="K982" s="228"/>
    </row>
    <row r="983" spans="2:11">
      <c r="B983" s="73"/>
      <c r="C983" s="248"/>
      <c r="D983" s="228"/>
      <c r="F983" s="228"/>
      <c r="G983" s="228"/>
      <c r="H983" s="228"/>
      <c r="I983" s="228"/>
      <c r="J983" s="228"/>
      <c r="K983" s="228"/>
    </row>
    <row r="984" spans="2:11">
      <c r="B984" s="73"/>
      <c r="C984" s="248"/>
      <c r="D984" s="228"/>
      <c r="F984" s="228"/>
      <c r="G984" s="228"/>
      <c r="H984" s="228"/>
      <c r="I984" s="228"/>
      <c r="J984" s="228"/>
      <c r="K984" s="228"/>
    </row>
    <row r="985" spans="2:11">
      <c r="B985" s="73"/>
      <c r="C985" s="248"/>
      <c r="D985" s="228"/>
      <c r="F985" s="228"/>
      <c r="G985" s="228"/>
      <c r="H985" s="228"/>
      <c r="I985" s="228"/>
      <c r="J985" s="228"/>
      <c r="K985" s="228"/>
    </row>
    <row r="986" spans="2:11">
      <c r="B986" s="73"/>
      <c r="C986" s="248"/>
      <c r="D986" s="228"/>
      <c r="F986" s="228"/>
      <c r="G986" s="228"/>
      <c r="H986" s="228"/>
      <c r="I986" s="228"/>
      <c r="J986" s="228"/>
      <c r="K986" s="228"/>
    </row>
    <row r="987" spans="2:11">
      <c r="B987" s="73"/>
      <c r="C987" s="248"/>
      <c r="D987" s="228"/>
      <c r="F987" s="228"/>
      <c r="G987" s="228"/>
      <c r="H987" s="228"/>
      <c r="I987" s="228"/>
      <c r="J987" s="228"/>
      <c r="K987" s="228"/>
    </row>
    <row r="988" spans="2:11">
      <c r="B988" s="73"/>
      <c r="C988" s="248"/>
      <c r="D988" s="228"/>
      <c r="F988" s="228"/>
      <c r="G988" s="228"/>
      <c r="H988" s="228"/>
      <c r="I988" s="228"/>
      <c r="J988" s="228"/>
      <c r="K988" s="228"/>
    </row>
    <row r="989" spans="2:11">
      <c r="B989" s="73"/>
      <c r="C989" s="248"/>
      <c r="D989" s="228"/>
      <c r="F989" s="228"/>
      <c r="G989" s="228"/>
      <c r="H989" s="228"/>
      <c r="I989" s="228"/>
      <c r="J989" s="228"/>
      <c r="K989" s="228"/>
    </row>
    <row r="990" spans="2:11">
      <c r="B990" s="73"/>
      <c r="C990" s="248"/>
      <c r="D990" s="228"/>
      <c r="F990" s="228"/>
      <c r="G990" s="228"/>
      <c r="H990" s="228"/>
      <c r="I990" s="228"/>
      <c r="J990" s="228"/>
      <c r="K990" s="228"/>
    </row>
    <row r="991" spans="2:11">
      <c r="B991" s="73"/>
      <c r="C991" s="248"/>
      <c r="D991" s="228"/>
      <c r="F991" s="228"/>
      <c r="G991" s="228"/>
      <c r="H991" s="228"/>
      <c r="I991" s="228"/>
      <c r="J991" s="228"/>
      <c r="K991" s="228"/>
    </row>
    <row r="992" spans="2:11">
      <c r="B992" s="73"/>
      <c r="C992" s="248"/>
      <c r="D992" s="228"/>
      <c r="F992" s="228"/>
      <c r="G992" s="228"/>
      <c r="H992" s="228"/>
      <c r="I992" s="228"/>
      <c r="J992" s="228"/>
      <c r="K992" s="228"/>
    </row>
    <row r="993" spans="2:11">
      <c r="B993" s="73"/>
      <c r="C993" s="248"/>
      <c r="D993" s="228"/>
      <c r="F993" s="228"/>
      <c r="G993" s="228"/>
      <c r="H993" s="228"/>
      <c r="I993" s="228"/>
      <c r="J993" s="228"/>
      <c r="K993" s="228"/>
    </row>
    <row r="994" spans="2:11">
      <c r="B994" s="73"/>
      <c r="C994" s="248"/>
      <c r="D994" s="228"/>
      <c r="F994" s="228"/>
      <c r="G994" s="228"/>
      <c r="H994" s="228"/>
      <c r="I994" s="228"/>
      <c r="J994" s="228"/>
      <c r="K994" s="228"/>
    </row>
    <row r="995" spans="2:11">
      <c r="B995" s="73"/>
      <c r="C995" s="248"/>
      <c r="D995" s="228"/>
      <c r="F995" s="228"/>
      <c r="G995" s="228"/>
      <c r="H995" s="228"/>
      <c r="I995" s="228"/>
      <c r="J995" s="228"/>
      <c r="K995" s="228"/>
    </row>
    <row r="996" spans="2:11">
      <c r="B996" s="73"/>
      <c r="C996" s="248"/>
      <c r="D996" s="228"/>
      <c r="F996" s="228"/>
      <c r="G996" s="228"/>
      <c r="H996" s="228"/>
      <c r="I996" s="228"/>
      <c r="J996" s="228"/>
      <c r="K996" s="228"/>
    </row>
    <row r="997" spans="2:11">
      <c r="B997" s="73"/>
      <c r="C997" s="248"/>
      <c r="D997" s="228"/>
      <c r="F997" s="228"/>
      <c r="G997" s="228"/>
      <c r="H997" s="228"/>
      <c r="I997" s="228"/>
      <c r="J997" s="228"/>
      <c r="K997" s="228"/>
    </row>
    <row r="998" spans="2:11">
      <c r="B998" s="73"/>
      <c r="C998" s="248"/>
      <c r="D998" s="228"/>
      <c r="F998" s="228"/>
      <c r="G998" s="228"/>
      <c r="H998" s="228"/>
      <c r="I998" s="228"/>
      <c r="J998" s="228"/>
      <c r="K998" s="228"/>
    </row>
    <row r="999" spans="2:11">
      <c r="B999" s="73"/>
      <c r="C999" s="248"/>
      <c r="D999" s="228"/>
      <c r="F999" s="228"/>
      <c r="G999" s="228"/>
      <c r="H999" s="228"/>
      <c r="I999" s="228"/>
      <c r="J999" s="228"/>
      <c r="K999" s="228"/>
    </row>
    <row r="1000" spans="2:11">
      <c r="B1000" s="73"/>
      <c r="C1000" s="248"/>
      <c r="D1000" s="228"/>
      <c r="F1000" s="228"/>
      <c r="G1000" s="228"/>
      <c r="H1000" s="228"/>
      <c r="I1000" s="228"/>
      <c r="J1000" s="228"/>
      <c r="K1000" s="228"/>
    </row>
    <row r="1001" spans="2:11">
      <c r="B1001" s="73"/>
      <c r="C1001" s="248"/>
      <c r="D1001" s="228"/>
      <c r="F1001" s="228"/>
      <c r="G1001" s="228"/>
      <c r="H1001" s="228"/>
      <c r="I1001" s="228"/>
      <c r="J1001" s="228"/>
      <c r="K1001" s="228"/>
    </row>
    <row r="1002" spans="2:11">
      <c r="B1002" s="73"/>
      <c r="C1002" s="248"/>
      <c r="D1002" s="228"/>
      <c r="F1002" s="228"/>
      <c r="G1002" s="228"/>
      <c r="H1002" s="228"/>
      <c r="I1002" s="228"/>
      <c r="J1002" s="228"/>
      <c r="K1002" s="228"/>
    </row>
    <row r="1003" spans="2:11">
      <c r="B1003" s="73"/>
      <c r="C1003" s="248"/>
      <c r="D1003" s="228"/>
      <c r="F1003" s="228"/>
      <c r="G1003" s="228"/>
      <c r="H1003" s="228"/>
      <c r="I1003" s="228"/>
      <c r="J1003" s="228"/>
      <c r="K1003" s="228"/>
    </row>
    <row r="1004" spans="2:11">
      <c r="B1004" s="73"/>
      <c r="C1004" s="248"/>
      <c r="D1004" s="228"/>
      <c r="F1004" s="228"/>
      <c r="G1004" s="228"/>
      <c r="H1004" s="228"/>
      <c r="I1004" s="228"/>
      <c r="J1004" s="228"/>
      <c r="K1004" s="228"/>
    </row>
    <row r="1005" spans="2:11">
      <c r="B1005" s="73"/>
      <c r="C1005" s="248"/>
      <c r="D1005" s="228"/>
      <c r="F1005" s="228"/>
      <c r="G1005" s="228"/>
      <c r="H1005" s="228"/>
      <c r="I1005" s="228"/>
      <c r="J1005" s="228"/>
      <c r="K1005" s="228"/>
    </row>
    <row r="1006" spans="2:11">
      <c r="B1006" s="73"/>
      <c r="C1006" s="248"/>
      <c r="D1006" s="228"/>
      <c r="F1006" s="228"/>
      <c r="G1006" s="228"/>
      <c r="H1006" s="228"/>
      <c r="I1006" s="228"/>
      <c r="J1006" s="228"/>
      <c r="K1006" s="228"/>
    </row>
    <row r="1007" spans="2:11">
      <c r="B1007" s="73"/>
      <c r="C1007" s="248"/>
      <c r="D1007" s="228"/>
      <c r="F1007" s="228"/>
      <c r="G1007" s="228"/>
      <c r="H1007" s="228"/>
      <c r="I1007" s="228"/>
      <c r="J1007" s="228"/>
      <c r="K1007" s="228"/>
    </row>
    <row r="1008" spans="2:11">
      <c r="B1008" s="73"/>
      <c r="C1008" s="248"/>
      <c r="D1008" s="228"/>
      <c r="F1008" s="228"/>
      <c r="G1008" s="228"/>
      <c r="H1008" s="228"/>
      <c r="I1008" s="228"/>
      <c r="J1008" s="228"/>
      <c r="K1008" s="228"/>
    </row>
    <row r="1009" spans="2:11">
      <c r="B1009" s="73"/>
      <c r="C1009" s="248"/>
      <c r="D1009" s="228"/>
      <c r="F1009" s="228"/>
      <c r="G1009" s="228"/>
      <c r="H1009" s="228"/>
      <c r="I1009" s="228"/>
      <c r="J1009" s="228"/>
      <c r="K1009" s="228"/>
    </row>
    <row r="1010" spans="2:11">
      <c r="B1010" s="73"/>
      <c r="C1010" s="248"/>
      <c r="D1010" s="228"/>
      <c r="F1010" s="228"/>
      <c r="G1010" s="228"/>
      <c r="H1010" s="228"/>
      <c r="I1010" s="228"/>
      <c r="J1010" s="228"/>
      <c r="K1010" s="228"/>
    </row>
    <row r="1011" spans="2:11">
      <c r="B1011" s="73"/>
      <c r="C1011" s="248"/>
      <c r="D1011" s="228"/>
      <c r="F1011" s="228"/>
      <c r="G1011" s="228"/>
      <c r="H1011" s="228"/>
      <c r="I1011" s="228"/>
      <c r="J1011" s="228"/>
      <c r="K1011" s="228"/>
    </row>
    <row r="1012" spans="2:11">
      <c r="B1012" s="73"/>
      <c r="C1012" s="248"/>
      <c r="D1012" s="228"/>
      <c r="F1012" s="228"/>
      <c r="G1012" s="228"/>
      <c r="H1012" s="228"/>
      <c r="I1012" s="228"/>
      <c r="J1012" s="228"/>
      <c r="K1012" s="228"/>
    </row>
    <row r="1013" spans="2:11">
      <c r="B1013" s="73"/>
      <c r="C1013" s="248"/>
      <c r="D1013" s="228"/>
      <c r="F1013" s="228"/>
      <c r="G1013" s="228"/>
      <c r="H1013" s="228"/>
      <c r="I1013" s="228"/>
      <c r="J1013" s="228"/>
      <c r="K1013" s="228"/>
    </row>
  </sheetData>
  <mergeCells count="1">
    <mergeCell ref="L2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TSS</vt:lpstr>
      <vt:lpstr>Ent</vt:lpstr>
      <vt:lpstr>SS</vt:lpstr>
      <vt:lpstr>BOD</vt:lpstr>
      <vt:lpstr>Chlor.a</vt:lpstr>
      <vt:lpstr>Turbidity</vt:lpstr>
      <vt:lpstr>TA</vt:lpstr>
      <vt:lpstr>DIC</vt:lpstr>
      <vt:lpstr>Hydrolab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Travis A Courtney</cp:lastModifiedBy>
  <dcterms:created xsi:type="dcterms:W3CDTF">2023-02-22T17:24:44Z</dcterms:created>
  <dcterms:modified xsi:type="dcterms:W3CDTF">2024-05-22T15:13:19Z</dcterms:modified>
</cp:coreProperties>
</file>