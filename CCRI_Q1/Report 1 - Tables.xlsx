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Table 2_Sampling_Stats" sheetId="2" r:id="rId5"/>
    <sheet state="visible" name="Sampling_Stats_Summary" sheetId="3" r:id="rId6"/>
    <sheet state="visible" name="PRCRMP_dates_vs_CCRI" sheetId="4" r:id="rId7"/>
    <sheet state="visible" name="PRCRMP_dates_CCRI_stats" sheetId="5" r:id="rId8"/>
    <sheet state="visible" name="HydroLab Stats" sheetId="6" r:id="rId9"/>
    <sheet state="visible" name="Transposed HL Stats" sheetId="7" r:id="rId10"/>
    <sheet state="visible" name="QAQC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In the report, my feeling is that we will be asked to add all these custody forms.
	-Juan J Cruz Motta</t>
      </text>
    </comment>
    <comment authorId="0" ref="AX6">
      <text>
        <t xml:space="preserve">??
	-Juan J Cruz Motta</t>
      </text>
    </comment>
    <comment authorId="0" ref="A48">
      <text>
        <t xml:space="preserve">General comment: We should also need to create a metadata file = meaning of each column and explanation of the values it can take when that column is categorical.
	-Juan J Cruz Motta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No comments so far in the other three tables...the only thing is that each data table we create, it would need a metadata file.
	-Juan J Cruz Motta</t>
      </text>
    </comment>
  </commentList>
</comments>
</file>

<file path=xl/sharedStrings.xml><?xml version="1.0" encoding="utf-8"?>
<sst xmlns="http://schemas.openxmlformats.org/spreadsheetml/2006/main" count="1095" uniqueCount="264">
  <si>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</si>
  <si>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</si>
  <si>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</si>
  <si>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</si>
  <si>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</si>
  <si>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</si>
  <si>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</si>
  <si>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</si>
  <si>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</si>
  <si>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</si>
  <si>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</si>
  <si>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</si>
  <si>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</si>
  <si>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</si>
  <si>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</si>
  <si>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</si>
  <si>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</si>
  <si>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</si>
  <si>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</si>
  <si>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</si>
  <si>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</si>
  <si>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</si>
  <si>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</si>
  <si>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</si>
  <si>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</si>
  <si>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</si>
  <si>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</si>
  <si>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</si>
  <si>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</si>
  <si>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</si>
  <si>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Bottom_Sal._Depth_m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</si>
  <si>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</si>
  <si>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</si>
  <si>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</si>
  <si>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</si>
  <si>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</si>
  <si>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</si>
  <si>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</si>
  <si>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Secchi_Max_Depth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</si>
  <si>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</si>
  <si>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</si>
  <si>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</si>
  <si>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</si>
  <si>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</si>
  <si>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</si>
  <si>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</si>
  <si>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</t>
  </si>
  <si>
    <t>Settleable_Solids</t>
  </si>
  <si>
    <t>Total_Suspended_Solids</t>
  </si>
  <si>
    <t>POx_NOx</t>
  </si>
  <si>
    <t>TKN</t>
  </si>
  <si>
    <t>Enterococcus</t>
  </si>
  <si>
    <t>Boya Vieja 20m</t>
  </si>
  <si>
    <t>La Parguera</t>
  </si>
  <si>
    <t>BOYA20</t>
  </si>
  <si>
    <t>Southwest</t>
  </si>
  <si>
    <t>SW</t>
  </si>
  <si>
    <t>5/12/2023</t>
  </si>
  <si>
    <t>Anibal</t>
  </si>
  <si>
    <t>Carla</t>
  </si>
  <si>
    <t>Manuel</t>
  </si>
  <si>
    <t>Efras Wall 20m</t>
  </si>
  <si>
    <t>EWAL20</t>
  </si>
  <si>
    <t>5/18/2023</t>
  </si>
  <si>
    <t>Majo</t>
  </si>
  <si>
    <t>Irais</t>
  </si>
  <si>
    <t>PO4_4</t>
  </si>
  <si>
    <t>ET#1</t>
  </si>
  <si>
    <t>Media Luna 5m</t>
  </si>
  <si>
    <t>MLUN05</t>
  </si>
  <si>
    <t>NO3_5</t>
  </si>
  <si>
    <t>Media Luna 10m</t>
  </si>
  <si>
    <t>MLUN10</t>
  </si>
  <si>
    <t>PO4_3</t>
  </si>
  <si>
    <t>Gallardo 5m</t>
  </si>
  <si>
    <t>Cabo Rojo</t>
  </si>
  <si>
    <t>GALL05</t>
  </si>
  <si>
    <t>West</t>
  </si>
  <si>
    <t>W</t>
  </si>
  <si>
    <t>5/19/2023</t>
  </si>
  <si>
    <t>Orlando</t>
  </si>
  <si>
    <t>Leira</t>
  </si>
  <si>
    <t>NO3_6</t>
  </si>
  <si>
    <t>1A</t>
  </si>
  <si>
    <t>Resuellos 10m</t>
  </si>
  <si>
    <t>RESU10</t>
  </si>
  <si>
    <t>NO3_3</t>
  </si>
  <si>
    <t>Maria Langa 10m</t>
  </si>
  <si>
    <t>Guayanilla</t>
  </si>
  <si>
    <t>MLAN10</t>
  </si>
  <si>
    <t>South</t>
  </si>
  <si>
    <t>S</t>
  </si>
  <si>
    <t>5/22/2023</t>
  </si>
  <si>
    <t>Maria Langa 20m</t>
  </si>
  <si>
    <t>MLAN20</t>
  </si>
  <si>
    <t>MLA20</t>
  </si>
  <si>
    <t>Guanajibo 20m</t>
  </si>
  <si>
    <t>Mayagüez</t>
  </si>
  <si>
    <t>GUAN20</t>
  </si>
  <si>
    <t>5/24/2023</t>
  </si>
  <si>
    <t>Manchas Exteriores 10m</t>
  </si>
  <si>
    <t>MEXT10</t>
  </si>
  <si>
    <t>Manchas Exteriores 20m</t>
  </si>
  <si>
    <t>MEXT20</t>
  </si>
  <si>
    <t>El Negro 5m</t>
  </si>
  <si>
    <t>NEGR05</t>
  </si>
  <si>
    <t>El Negro 10m</t>
  </si>
  <si>
    <t>NEGR10</t>
  </si>
  <si>
    <t>Cayo Rodriguez 5m</t>
  </si>
  <si>
    <t>RODR05</t>
  </si>
  <si>
    <t>Tourmaline 10m</t>
  </si>
  <si>
    <t>TOUR10</t>
  </si>
  <si>
    <t>Tourmaline 20m</t>
  </si>
  <si>
    <t>TOUR20</t>
  </si>
  <si>
    <t>Tourmaline 30m</t>
  </si>
  <si>
    <t>TOUR30</t>
  </si>
  <si>
    <t>Cayo Aurora 5m</t>
  </si>
  <si>
    <t>Guánica</t>
  </si>
  <si>
    <t>AURO05</t>
  </si>
  <si>
    <t>5/25/2023</t>
  </si>
  <si>
    <t>Cayo Coral 10m</t>
  </si>
  <si>
    <t>CORA10</t>
  </si>
  <si>
    <t>Maria Langa 5m</t>
  </si>
  <si>
    <t>MLAN05</t>
  </si>
  <si>
    <t>Cayo Caribes 10m</t>
  </si>
  <si>
    <t>Salinas</t>
  </si>
  <si>
    <t>CARI10</t>
  </si>
  <si>
    <t>Southeast</t>
  </si>
  <si>
    <t>6/12/2023</t>
  </si>
  <si>
    <t>West Reef 10m</t>
  </si>
  <si>
    <t>Ponce</t>
  </si>
  <si>
    <t>CDMU10</t>
  </si>
  <si>
    <t>Derrumbadero 20m</t>
  </si>
  <si>
    <t>DERR20</t>
  </si>
  <si>
    <t>DERR20-R</t>
  </si>
  <si>
    <t>Cayo Ratones 5m</t>
  </si>
  <si>
    <t>RATO05</t>
  </si>
  <si>
    <t>RATO05-R</t>
  </si>
  <si>
    <t>Puerto Botes 15m</t>
  </si>
  <si>
    <t>Isla Desecheo</t>
  </si>
  <si>
    <t>BOTE15</t>
  </si>
  <si>
    <t>Mona/Desecheo</t>
  </si>
  <si>
    <t>6/14/2023</t>
  </si>
  <si>
    <t>Adiana</t>
  </si>
  <si>
    <t>Puerto Botes 20m</t>
  </si>
  <si>
    <t>BOTE20</t>
  </si>
  <si>
    <t>Puerto Canoas 30m</t>
  </si>
  <si>
    <t>CANO30</t>
  </si>
  <si>
    <t>Tres Palmas 05m</t>
  </si>
  <si>
    <t>Rincón</t>
  </si>
  <si>
    <t>TRES05</t>
  </si>
  <si>
    <t>6/20/2023</t>
  </si>
  <si>
    <t>Tres Palmas 10m</t>
  </si>
  <si>
    <t>TRES10</t>
  </si>
  <si>
    <t>Tres Palmas 20m</t>
  </si>
  <si>
    <t>TRES20</t>
  </si>
  <si>
    <t>6/15/2023</t>
  </si>
  <si>
    <t>Juanita</t>
  </si>
  <si>
    <t>Cabezas de San Juan 5m</t>
  </si>
  <si>
    <t>Fajardo</t>
  </si>
  <si>
    <t>CABE05</t>
  </si>
  <si>
    <t>North/Northeast</t>
  </si>
  <si>
    <t>E</t>
  </si>
  <si>
    <t>6/21/2023</t>
  </si>
  <si>
    <t>Alonso</t>
  </si>
  <si>
    <t>Cayo Diablo 5m</t>
  </si>
  <si>
    <t>DIAB05</t>
  </si>
  <si>
    <t>Palominos 20m</t>
  </si>
  <si>
    <t>PALN20</t>
  </si>
  <si>
    <t>Palominitos 10m</t>
  </si>
  <si>
    <t>PALT10</t>
  </si>
  <si>
    <t>Canjilones 15m</t>
  </si>
  <si>
    <t>Isla Vieques</t>
  </si>
  <si>
    <t>CANJ15</t>
  </si>
  <si>
    <t>Vieques/Culebra</t>
  </si>
  <si>
    <t>6/26/2023</t>
  </si>
  <si>
    <t>Tyrone</t>
  </si>
  <si>
    <t>CANJ15-R</t>
  </si>
  <si>
    <t>Esperanza 10m</t>
  </si>
  <si>
    <t>ESPE10</t>
  </si>
  <si>
    <t>El Seco 30m</t>
  </si>
  <si>
    <t>SECO30</t>
  </si>
  <si>
    <t>Carlos Rosario 10m</t>
  </si>
  <si>
    <t>Isla Culebra</t>
  </si>
  <si>
    <t>CROS10</t>
  </si>
  <si>
    <t>6/27/2023</t>
  </si>
  <si>
    <t>Dakiti 20m</t>
  </si>
  <si>
    <t>DAKI20</t>
  </si>
  <si>
    <t>Canal Luis Peña 5m</t>
  </si>
  <si>
    <t>LPEN05</t>
  </si>
  <si>
    <t>Dominos 5m</t>
  </si>
  <si>
    <t>San Juan</t>
  </si>
  <si>
    <t>DOMI05</t>
  </si>
  <si>
    <t>N</t>
  </si>
  <si>
    <t>6/28/2023</t>
  </si>
  <si>
    <t>Rodolfo</t>
  </si>
  <si>
    <t>DOMI05-R</t>
  </si>
  <si>
    <t>Cibuco 10m</t>
  </si>
  <si>
    <t>Vega Baja</t>
  </si>
  <si>
    <t>CIBU10</t>
  </si>
  <si>
    <t>6/29/2023</t>
  </si>
  <si>
    <t>CIBU10-R</t>
  </si>
  <si>
    <t>Data_Points</t>
  </si>
  <si>
    <t>Percentage</t>
  </si>
  <si>
    <t>Total</t>
  </si>
  <si>
    <t>Max_Data_Point</t>
  </si>
  <si>
    <t>Min_Data_Point</t>
  </si>
  <si>
    <t>Count_of_100%</t>
  </si>
  <si>
    <t>Average</t>
  </si>
  <si>
    <t>Std_Dev</t>
  </si>
  <si>
    <t>Std_Err</t>
  </si>
  <si>
    <t>Unique 1</t>
  </si>
  <si>
    <t>Unique 2</t>
  </si>
  <si>
    <t>Unique 3</t>
  </si>
  <si>
    <t>Count of Unique 1+3</t>
  </si>
  <si>
    <t>Count of Unique 2-3</t>
  </si>
  <si>
    <t>Count of Unique 3</t>
  </si>
  <si>
    <t>Duplicates</t>
  </si>
  <si>
    <t>Total - duplicates</t>
  </si>
  <si>
    <t>Station</t>
  </si>
  <si>
    <t>DNER_date</t>
  </si>
  <si>
    <t>CCRI_date</t>
  </si>
  <si>
    <t>Difference _days</t>
  </si>
  <si>
    <t>Difference_weeks</t>
  </si>
  <si>
    <t/>
  </si>
  <si>
    <t>Alongside_DNER</t>
  </si>
  <si>
    <t>%_alongside_DNER</t>
  </si>
  <si>
    <t>Of_Global_%</t>
  </si>
  <si>
    <t>1 week</t>
  </si>
  <si>
    <t>3 weeks</t>
  </si>
  <si>
    <t>&gt;3 weeks</t>
  </si>
  <si>
    <t>Data_Type</t>
  </si>
  <si>
    <t>Calculations</t>
  </si>
  <si>
    <t>Surface_Temp_(C</t>
  </si>
  <si>
    <t>Surface_Temp_Site</t>
  </si>
  <si>
    <t>Surface_Sal_Site</t>
  </si>
  <si>
    <t>Surface_DO_Site</t>
  </si>
  <si>
    <t>Surface_pH_Site</t>
  </si>
  <si>
    <t>Bottom_Temp_Site</t>
  </si>
  <si>
    <t>Bottom_Sal_Depth_m</t>
  </si>
  <si>
    <t>Bottom_Sal_Site</t>
  </si>
  <si>
    <t>Bottom_DO_Sites</t>
  </si>
  <si>
    <t>Bottom_pH_Sites</t>
  </si>
  <si>
    <t>Secchi_1_Site</t>
  </si>
  <si>
    <t>Secchi_2_Site</t>
  </si>
  <si>
    <t>Secchi_3_Site</t>
  </si>
  <si>
    <t>Global</t>
  </si>
  <si>
    <t>Max Total</t>
  </si>
  <si>
    <t>Min Total</t>
  </si>
  <si>
    <t>Std Dev</t>
  </si>
  <si>
    <t>Std Err</t>
  </si>
  <si>
    <t>Cleaned</t>
  </si>
  <si>
    <t>Max</t>
  </si>
  <si>
    <t>Min</t>
  </si>
  <si>
    <t>Cleaned = No BOYA20, CIBU10 or CIBU10-R</t>
  </si>
  <si>
    <t>Cleaned_=_No_BOYA20,_CIBU10_or_CIBU10-R</t>
  </si>
  <si>
    <t>Min_Total</t>
  </si>
  <si>
    <t>Max_Total</t>
  </si>
  <si>
    <t>Surface_pH_pH</t>
  </si>
  <si>
    <t>Bottom_pH_pH</t>
  </si>
  <si>
    <t>QA/QC</t>
  </si>
  <si>
    <t>Accept</t>
  </si>
  <si>
    <t>(&lt;0.20)</t>
  </si>
  <si>
    <t>(&lt;0.10)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</si>
</sst>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&quot;:&quot;mm"/>
    <numFmt numFmtId="165" formatCode="M/d/yyyy"/>
    <numFmt numFmtId="166" formatCode="mmmm&quot; &quot;d&quot;, &quot;yyyy"/>
    <numFmt numFmtId="167" formatCode="[$]mmmm\ d\,\ yyyy"/>
  </numFmts>
  <fonts count="21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sz val="12.0"/>
      <color theme="1"/>
      <name val="Calibri"/>
    </font>
    <font>
      <b/>
      <sz val="12.0"/>
      <color theme="1"/>
      <name val="Arial"/>
      <scheme val="minor"/>
    </font>
    <font>
      <sz val="12.0"/>
      <color rgb="FF000000"/>
      <name val="&quot;Google Sans Mono&quot;"/>
    </font>
    <font>
      <sz val="9.0"/>
      <color rgb="FF000000"/>
      <name val="&quot;Google Sans Mono&quot;"/>
    </font>
    <font>
      <sz val="12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20" xfId="0" applyAlignment="1" applyFont="1" applyNumberFormat="1">
      <alignment horizontal="center" readingOrder="0" shrinkToFit="0" vertical="bottom" wrapText="0"/>
    </xf>
    <xf borderId="0" fillId="0" fontId="2" numFmtId="2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2" numFmtId="1" xfId="0" applyAlignment="1" applyFont="1" applyNumberFormat="1">
      <alignment horizontal="center" readingOrder="0" shrinkToFit="0" vertical="bottom" wrapText="0"/>
    </xf>
    <xf borderId="0" fillId="2" fontId="2" numFmtId="1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3" fontId="2" numFmtId="2" xfId="0" applyAlignment="1" applyFill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5" numFmtId="2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0" fontId="9" numFmtId="1" xfId="0" applyAlignment="1" applyFont="1" applyNumberFormat="1">
      <alignment horizontal="center" readingOrder="0" vertical="bottom"/>
    </xf>
    <xf borderId="0" fillId="0" fontId="9" numFmtId="10" xfId="0" applyAlignment="1" applyFont="1" applyNumberFormat="1">
      <alignment horizontal="center" vertical="bottom"/>
    </xf>
    <xf borderId="0" fillId="0" fontId="8" numFmtId="1" xfId="0" applyAlignment="1" applyFont="1" applyNumberFormat="1">
      <alignment readingOrder="0" vertical="bottom"/>
    </xf>
    <xf borderId="0" fillId="0" fontId="9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6" numFmtId="1" xfId="0" applyAlignment="1" applyFont="1" applyNumberFormat="1">
      <alignment horizontal="center"/>
    </xf>
    <xf borderId="0" fillId="0" fontId="6" numFmtId="10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0" xfId="0" applyFont="1" applyNumberFormat="1"/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10" xfId="0" applyFont="1" applyNumberFormat="1"/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readingOrder="0"/>
    </xf>
    <xf borderId="0" fillId="0" fontId="12" numFmtId="0" xfId="0" applyAlignment="1" applyFont="1">
      <alignment shrinkToFit="0" vertical="bottom" wrapText="1"/>
    </xf>
    <xf borderId="0" fillId="0" fontId="14" numFmtId="166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center" vertical="bottom"/>
    </xf>
    <xf borderId="0" fillId="0" fontId="12" numFmtId="167" xfId="0" applyAlignment="1" applyFont="1" applyNumberFormat="1">
      <alignment vertical="bottom"/>
    </xf>
    <xf borderId="0" fillId="0" fontId="12" numFmtId="166" xfId="0" applyAlignment="1" applyFont="1" applyNumberFormat="1">
      <alignment horizontal="center" vertical="bottom"/>
    </xf>
    <xf borderId="0" fillId="0" fontId="12" numFmtId="3" xfId="0" applyAlignment="1" applyFont="1" applyNumberFormat="1">
      <alignment horizontal="center" vertical="bottom"/>
    </xf>
    <xf borderId="0" fillId="0" fontId="10" numFmtId="0" xfId="0" applyFont="1"/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10" xfId="0" applyAlignment="1" applyFont="1" applyNumberFormat="1">
      <alignment horizontal="center" readingOrder="0"/>
    </xf>
    <xf borderId="0" fillId="0" fontId="10" numFmtId="10" xfId="0" applyAlignment="1" applyFont="1" applyNumberFormat="1">
      <alignment horizontal="center" readingOrder="0"/>
    </xf>
    <xf borderId="0" fillId="0" fontId="1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readingOrder="0" vertical="bottom"/>
    </xf>
    <xf borderId="0" fillId="0" fontId="4" numFmtId="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vertical="bottom"/>
    </xf>
    <xf borderId="0" fillId="0" fontId="3" numFmtId="20" xfId="0" applyAlignment="1" applyFont="1" applyNumberFormat="1">
      <alignment horizontal="center" vertical="bottom"/>
    </xf>
    <xf borderId="0" fillId="4" fontId="16" numFmtId="4" xfId="0" applyAlignment="1" applyFill="1" applyFont="1" applyNumberFormat="1">
      <alignment horizontal="center"/>
    </xf>
    <xf borderId="0" fillId="4" fontId="16" numFmtId="4" xfId="0" applyAlignment="1" applyFont="1" applyNumberFormat="1">
      <alignment horizontal="center" readingOrder="0"/>
    </xf>
    <xf borderId="0" fillId="4" fontId="17" numFmtId="4" xfId="0" applyAlignment="1" applyFont="1" applyNumberFormat="1">
      <alignment readingOrder="0"/>
    </xf>
    <xf borderId="0" fillId="4" fontId="17" numFmtId="4" xfId="0" applyFont="1" applyNumberFormat="1"/>
    <xf borderId="0" fillId="0" fontId="18" numFmtId="0" xfId="0" applyAlignment="1" applyFont="1">
      <alignment horizontal="center"/>
    </xf>
    <xf borderId="0" fillId="0" fontId="19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1" numFmtId="20" xfId="0" applyAlignment="1" applyFont="1" applyNumberFormat="1">
      <alignment horizontal="center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4" fontId="2" numFmtId="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4" fontId="2" numFmtId="4" xfId="0" applyAlignment="1" applyFont="1" applyNumberFormat="1">
      <alignment horizontal="center" readingOrder="0"/>
    </xf>
    <xf borderId="0" fillId="0" fontId="11" numFmtId="0" xfId="0" applyAlignment="1" applyFont="1">
      <alignment horizontal="left"/>
    </xf>
    <xf borderId="0" fillId="0" fontId="5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2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 readingOrder="0" vertical="bottom"/>
    </xf>
    <xf borderId="0" fillId="5" fontId="1" numFmtId="0" xfId="0" applyAlignment="1" applyFill="1" applyFont="1">
      <alignment horizontal="left" readingOrder="0" vertical="bottom"/>
    </xf>
    <xf borderId="0" fillId="5" fontId="1" numFmtId="2" xfId="0" applyAlignment="1" applyFont="1" applyNumberFormat="1">
      <alignment horizontal="center" readingOrder="0" vertical="bottom"/>
    </xf>
    <xf borderId="0" fillId="5" fontId="5" numFmtId="2" xfId="0" applyAlignment="1" applyFont="1" applyNumberFormat="1">
      <alignment vertical="bottom"/>
    </xf>
    <xf borderId="0" fillId="5" fontId="1" numFmtId="2" xfId="0" applyAlignment="1" applyFont="1" applyNumberFormat="1">
      <alignment horizontal="center" vertical="bottom"/>
    </xf>
    <xf borderId="0" fillId="5" fontId="1" numFmtId="1" xfId="0" applyAlignment="1" applyFont="1" applyNumberFormat="1">
      <alignment horizontal="center" readingOrder="0" vertical="bottom"/>
    </xf>
    <xf borderId="0" fillId="5" fontId="1" numFmtId="0" xfId="0" applyAlignment="1" applyFont="1">
      <alignment vertical="bottom"/>
    </xf>
    <xf borderId="0" fillId="5" fontId="5" numFmtId="0" xfId="0" applyAlignment="1" applyFont="1">
      <alignment horizontal="center" readingOrder="0" vertical="bottom"/>
    </xf>
    <xf borderId="0" fillId="5" fontId="5" numFmtId="0" xfId="0" applyAlignment="1" applyFont="1">
      <alignment vertical="bottom"/>
    </xf>
    <xf borderId="0" fillId="5" fontId="1" numFmtId="0" xfId="0" applyAlignment="1" applyFont="1">
      <alignment horizontal="center" readingOrder="0" vertical="bottom"/>
    </xf>
    <xf borderId="0" fillId="5" fontId="5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0" fillId="5" fontId="19" numFmtId="0" xfId="0" applyAlignment="1" applyFont="1">
      <alignment readingOrder="0" vertical="bottom"/>
    </xf>
    <xf borderId="0" fillId="5" fontId="10" numFmtId="0" xfId="0" applyFont="1"/>
    <xf borderId="1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left" readingOrder="0" vertical="bottom"/>
    </xf>
    <xf borderId="5" fillId="0" fontId="3" numFmtId="165" xfId="0" applyAlignment="1" applyBorder="1" applyFont="1" applyNumberFormat="1">
      <alignment readingOrder="0" vertical="bottom"/>
    </xf>
    <xf borderId="6" fillId="0" fontId="3" numFmtId="165" xfId="0" applyAlignment="1" applyBorder="1" applyFont="1" applyNumberFormat="1">
      <alignment readingOrder="0" vertical="bottom"/>
    </xf>
    <xf borderId="2" fillId="0" fontId="1" numFmtId="2" xfId="0" applyAlignment="1" applyBorder="1" applyFont="1" applyNumberFormat="1">
      <alignment horizontal="center" readingOrder="0" vertical="bottom"/>
    </xf>
    <xf borderId="3" fillId="0" fontId="1" numFmtId="2" xfId="0" applyAlignment="1" applyBorder="1" applyFont="1" applyNumberFormat="1">
      <alignment horizontal="center" readingOrder="0" vertical="bottom"/>
    </xf>
    <xf borderId="3" fillId="0" fontId="5" numFmtId="2" xfId="0" applyAlignment="1" applyBorder="1" applyFont="1" applyNumberFormat="1">
      <alignment vertical="bottom"/>
    </xf>
    <xf borderId="3" fillId="0" fontId="1" numFmtId="2" xfId="0" applyAlignment="1" applyBorder="1" applyFont="1" applyNumberFormat="1">
      <alignment horizontal="center" vertical="bottom"/>
    </xf>
    <xf borderId="5" fillId="0" fontId="1" numFmtId="2" xfId="0" applyAlignment="1" applyBorder="1" applyFont="1" applyNumberFormat="1">
      <alignment horizontal="center" readingOrder="0" vertical="bottom"/>
    </xf>
    <xf borderId="6" fillId="0" fontId="1" numFmtId="2" xfId="0" applyAlignment="1" applyBorder="1" applyFont="1" applyNumberFormat="1">
      <alignment horizontal="center" readingOrder="0" vertical="bottom"/>
    </xf>
    <xf borderId="5" fillId="0" fontId="3" numFmtId="2" xfId="0" applyAlignment="1" applyBorder="1" applyFont="1" applyNumberFormat="1">
      <alignment horizontal="center" readingOrder="0" vertical="bottom"/>
    </xf>
    <xf borderId="2" fillId="0" fontId="5" numFmtId="2" xfId="0" applyAlignment="1" applyBorder="1" applyFont="1" applyNumberFormat="1">
      <alignment vertical="bottom"/>
    </xf>
    <xf borderId="5" fillId="0" fontId="4" numFmtId="2" xfId="0" applyAlignment="1" applyBorder="1" applyFont="1" applyNumberFormat="1">
      <alignment vertical="bottom"/>
    </xf>
    <xf borderId="7" fillId="0" fontId="1" numFmtId="2" xfId="0" applyAlignment="1" applyBorder="1" applyFont="1" applyNumberFormat="1">
      <alignment horizontal="center" readingOrder="0" vertical="bottom"/>
    </xf>
    <xf borderId="8" fillId="0" fontId="1" numFmtId="2" xfId="0" applyAlignment="1" applyBorder="1" applyFont="1" applyNumberFormat="1">
      <alignment horizontal="center" readingOrder="0" vertical="bottom"/>
    </xf>
    <xf borderId="5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9.88"/>
    <col customWidth="1" min="32" max="32" width="1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2" t="s">
        <v>49</v>
      </c>
      <c r="AY1" s="2" t="s">
        <v>50</v>
      </c>
      <c r="AZ1" s="3" t="s">
        <v>51</v>
      </c>
    </row>
    <row r="2">
      <c r="A2" s="4">
        <v>1.0</v>
      </c>
      <c r="B2" s="5" t="s">
        <v>52</v>
      </c>
      <c r="C2" s="5" t="s">
        <v>53</v>
      </c>
      <c r="D2" s="6" t="s">
        <v>54</v>
      </c>
      <c r="E2" s="6" t="s">
        <v>55</v>
      </c>
      <c r="F2" s="6" t="s">
        <v>56</v>
      </c>
      <c r="G2" s="6">
        <v>17.88827</v>
      </c>
      <c r="H2" s="6">
        <v>-66.9978</v>
      </c>
      <c r="I2" s="6">
        <v>20.0</v>
      </c>
      <c r="J2" s="6">
        <v>5.0</v>
      </c>
      <c r="K2" s="6">
        <v>12.0</v>
      </c>
      <c r="L2" s="6">
        <v>2023.0</v>
      </c>
      <c r="M2" s="6" t="s">
        <v>57</v>
      </c>
      <c r="N2" s="6" t="s">
        <v>58</v>
      </c>
      <c r="O2" s="6" t="s">
        <v>59</v>
      </c>
      <c r="P2" s="6" t="s">
        <v>60</v>
      </c>
      <c r="Q2" s="6">
        <v>-999.0</v>
      </c>
      <c r="R2" s="7">
        <v>0.37222222222222223</v>
      </c>
      <c r="S2" s="7">
        <v>0.43194444444444446</v>
      </c>
      <c r="T2" s="8">
        <v>28.76</v>
      </c>
      <c r="U2" s="8">
        <v>2.4</v>
      </c>
      <c r="V2" s="8">
        <v>33.37</v>
      </c>
      <c r="W2" s="8">
        <v>2.4</v>
      </c>
      <c r="X2" s="8">
        <v>6.57</v>
      </c>
      <c r="Y2" s="8">
        <v>2.33</v>
      </c>
      <c r="Z2" s="8">
        <v>8.12</v>
      </c>
      <c r="AA2" s="8">
        <v>2.38</v>
      </c>
      <c r="AB2" s="8">
        <v>28.75</v>
      </c>
      <c r="AC2" s="8">
        <v>21.69</v>
      </c>
      <c r="AD2" s="8">
        <v>33.19</v>
      </c>
      <c r="AE2" s="8">
        <v>21.65</v>
      </c>
      <c r="AF2" s="8">
        <v>6.58</v>
      </c>
      <c r="AG2" s="8">
        <v>21.55</v>
      </c>
      <c r="AH2" s="8">
        <v>8.18</v>
      </c>
      <c r="AI2" s="8">
        <v>21.55</v>
      </c>
      <c r="AJ2" s="8">
        <v>12.25</v>
      </c>
      <c r="AK2" s="8">
        <v>13.0</v>
      </c>
      <c r="AL2" s="8">
        <v>13.0</v>
      </c>
      <c r="AM2" s="8">
        <v>0.0</v>
      </c>
      <c r="AN2" s="8">
        <v>1.0</v>
      </c>
      <c r="AO2" s="8">
        <v>21.0</v>
      </c>
      <c r="AP2" s="6">
        <v>73.0</v>
      </c>
      <c r="AQ2" s="6">
        <v>87.0</v>
      </c>
      <c r="AR2" s="9">
        <v>12.0</v>
      </c>
      <c r="AS2" s="9">
        <v>7.0</v>
      </c>
      <c r="AT2" s="9">
        <v>3.0</v>
      </c>
      <c r="AU2" s="9">
        <v>3.0</v>
      </c>
      <c r="AV2" s="9">
        <v>5.0</v>
      </c>
      <c r="AW2" s="9">
        <v>3.0</v>
      </c>
      <c r="AX2" s="6">
        <v>5.0</v>
      </c>
      <c r="AY2" s="6">
        <v>6.0</v>
      </c>
      <c r="AZ2" s="9">
        <v>1.0</v>
      </c>
    </row>
    <row r="3">
      <c r="A3" s="4">
        <v>1.0</v>
      </c>
      <c r="B3" s="5" t="s">
        <v>61</v>
      </c>
      <c r="C3" s="5" t="s">
        <v>53</v>
      </c>
      <c r="D3" s="6" t="s">
        <v>62</v>
      </c>
      <c r="E3" s="6" t="s">
        <v>55</v>
      </c>
      <c r="F3" s="6" t="s">
        <v>56</v>
      </c>
      <c r="G3" s="6">
        <v>17.8976</v>
      </c>
      <c r="H3" s="6">
        <v>-66.9599</v>
      </c>
      <c r="I3" s="6">
        <v>20.0</v>
      </c>
      <c r="J3" s="6">
        <v>5.0</v>
      </c>
      <c r="K3" s="6">
        <v>18.0</v>
      </c>
      <c r="L3" s="6">
        <v>2023.0</v>
      </c>
      <c r="M3" s="6" t="s">
        <v>63</v>
      </c>
      <c r="N3" s="6" t="s">
        <v>58</v>
      </c>
      <c r="O3" s="6" t="s">
        <v>64</v>
      </c>
      <c r="P3" s="6" t="s">
        <v>65</v>
      </c>
      <c r="Q3" s="6" t="s">
        <v>60</v>
      </c>
      <c r="R3" s="7">
        <v>0.3236111111111111</v>
      </c>
      <c r="S3" s="7">
        <v>0.37222222222222223</v>
      </c>
      <c r="T3" s="8">
        <v>28.58</v>
      </c>
      <c r="U3" s="8">
        <v>0.6</v>
      </c>
      <c r="V3" s="8">
        <v>37.08</v>
      </c>
      <c r="W3" s="8">
        <v>0.67</v>
      </c>
      <c r="X3" s="8">
        <v>6.27</v>
      </c>
      <c r="Y3" s="8">
        <v>0.68</v>
      </c>
      <c r="Z3" s="8">
        <v>8.12</v>
      </c>
      <c r="AA3" s="8">
        <v>0.69</v>
      </c>
      <c r="AB3" s="8">
        <v>28.06</v>
      </c>
      <c r="AC3" s="8">
        <v>18.5</v>
      </c>
      <c r="AD3" s="8">
        <v>37.16</v>
      </c>
      <c r="AE3" s="8">
        <v>18.5</v>
      </c>
      <c r="AF3" s="8">
        <v>6.1</v>
      </c>
      <c r="AG3" s="8">
        <v>18.5</v>
      </c>
      <c r="AH3" s="8">
        <v>8.24</v>
      </c>
      <c r="AI3" s="8">
        <v>18.5</v>
      </c>
      <c r="AJ3" s="8">
        <v>20.0</v>
      </c>
      <c r="AK3" s="8">
        <v>20.0</v>
      </c>
      <c r="AL3" s="8">
        <v>20.25</v>
      </c>
      <c r="AM3" s="8">
        <v>1.0</v>
      </c>
      <c r="AN3" s="8">
        <v>1.0</v>
      </c>
      <c r="AO3" s="8">
        <v>18.0</v>
      </c>
      <c r="AP3" s="6">
        <v>97.0</v>
      </c>
      <c r="AQ3" s="6">
        <v>96.0</v>
      </c>
      <c r="AR3" s="9">
        <v>8.0</v>
      </c>
      <c r="AS3" s="9">
        <v>5.0</v>
      </c>
      <c r="AT3" s="9">
        <v>10.0</v>
      </c>
      <c r="AU3" s="9">
        <v>17.0</v>
      </c>
      <c r="AV3" s="9">
        <v>6.0</v>
      </c>
      <c r="AW3" s="9">
        <v>6.0</v>
      </c>
      <c r="AX3" s="6" t="s">
        <v>66</v>
      </c>
      <c r="AY3" s="6">
        <v>1.0</v>
      </c>
      <c r="AZ3" s="9" t="s">
        <v>67</v>
      </c>
    </row>
    <row r="4">
      <c r="A4" s="4">
        <v>1.0</v>
      </c>
      <c r="B4" s="5" t="s">
        <v>68</v>
      </c>
      <c r="C4" s="5" t="s">
        <v>53</v>
      </c>
      <c r="D4" s="6" t="s">
        <v>69</v>
      </c>
      <c r="E4" s="6" t="s">
        <v>55</v>
      </c>
      <c r="F4" s="6" t="s">
        <v>56</v>
      </c>
      <c r="G4" s="6">
        <v>17.93937</v>
      </c>
      <c r="H4" s="6">
        <v>-67.0507</v>
      </c>
      <c r="I4" s="6">
        <v>5.0</v>
      </c>
      <c r="J4" s="6">
        <v>5.0</v>
      </c>
      <c r="K4" s="6">
        <v>18.0</v>
      </c>
      <c r="L4" s="6">
        <v>2023.0</v>
      </c>
      <c r="M4" s="6" t="s">
        <v>63</v>
      </c>
      <c r="N4" s="6" t="s">
        <v>58</v>
      </c>
      <c r="O4" s="6" t="s">
        <v>64</v>
      </c>
      <c r="P4" s="6" t="s">
        <v>65</v>
      </c>
      <c r="Q4" s="6" t="s">
        <v>60</v>
      </c>
      <c r="R4" s="7">
        <v>0.3951388888888889</v>
      </c>
      <c r="S4" s="7">
        <v>0.4201388888888889</v>
      </c>
      <c r="T4" s="8">
        <v>29.14</v>
      </c>
      <c r="U4" s="8">
        <v>0.5</v>
      </c>
      <c r="V4" s="8">
        <v>37.29</v>
      </c>
      <c r="W4" s="8">
        <v>0.53</v>
      </c>
      <c r="X4" s="8">
        <v>6.24</v>
      </c>
      <c r="Y4" s="8">
        <v>0.54</v>
      </c>
      <c r="Z4" s="8">
        <v>8.02</v>
      </c>
      <c r="AA4" s="8">
        <v>0.55</v>
      </c>
      <c r="AB4" s="8">
        <v>29.17</v>
      </c>
      <c r="AC4" s="8">
        <v>3.7</v>
      </c>
      <c r="AD4" s="8">
        <v>37.46</v>
      </c>
      <c r="AE4" s="8">
        <v>3.74</v>
      </c>
      <c r="AF4" s="8">
        <v>6.13</v>
      </c>
      <c r="AG4" s="8">
        <v>3.74</v>
      </c>
      <c r="AH4" s="8">
        <v>8.15</v>
      </c>
      <c r="AI4" s="8">
        <v>3.73</v>
      </c>
      <c r="AJ4" s="8">
        <v>3.7</v>
      </c>
      <c r="AK4" s="8">
        <v>3.7</v>
      </c>
      <c r="AL4" s="8">
        <v>3.7</v>
      </c>
      <c r="AM4" s="8">
        <v>1.0</v>
      </c>
      <c r="AN4" s="8">
        <v>1.0</v>
      </c>
      <c r="AO4" s="8">
        <v>3.0</v>
      </c>
      <c r="AP4" s="6">
        <v>83.0</v>
      </c>
      <c r="AQ4" s="6">
        <v>77.0</v>
      </c>
      <c r="AR4" s="9">
        <v>4.0</v>
      </c>
      <c r="AS4" s="9">
        <v>6.0</v>
      </c>
      <c r="AT4" s="9">
        <v>4.0</v>
      </c>
      <c r="AU4" s="9">
        <v>5.0</v>
      </c>
      <c r="AV4" s="9">
        <v>3.0</v>
      </c>
      <c r="AW4" s="9">
        <v>4.0</v>
      </c>
      <c r="AX4" s="6" t="s">
        <v>70</v>
      </c>
      <c r="AY4" s="6">
        <v>3.0</v>
      </c>
      <c r="AZ4" s="9">
        <v>3.0</v>
      </c>
    </row>
    <row r="5">
      <c r="A5" s="4">
        <v>1.0</v>
      </c>
      <c r="B5" s="5" t="s">
        <v>71</v>
      </c>
      <c r="C5" s="5" t="s">
        <v>53</v>
      </c>
      <c r="D5" s="6" t="s">
        <v>72</v>
      </c>
      <c r="E5" s="6" t="s">
        <v>55</v>
      </c>
      <c r="F5" s="6" t="s">
        <v>56</v>
      </c>
      <c r="G5" s="6">
        <v>17.93472</v>
      </c>
      <c r="H5" s="6">
        <v>-67.0485</v>
      </c>
      <c r="I5" s="6">
        <v>10.0</v>
      </c>
      <c r="J5" s="6">
        <v>5.0</v>
      </c>
      <c r="K5" s="6">
        <v>18.0</v>
      </c>
      <c r="L5" s="6">
        <v>2023.0</v>
      </c>
      <c r="M5" s="6" t="s">
        <v>63</v>
      </c>
      <c r="N5" s="6" t="s">
        <v>58</v>
      </c>
      <c r="O5" s="6" t="s">
        <v>64</v>
      </c>
      <c r="P5" s="6" t="s">
        <v>65</v>
      </c>
      <c r="Q5" s="6" t="s">
        <v>60</v>
      </c>
      <c r="R5" s="7">
        <v>0.42916666666666664</v>
      </c>
      <c r="S5" s="7">
        <v>0.4465277777777778</v>
      </c>
      <c r="T5" s="8">
        <v>29.39</v>
      </c>
      <c r="U5" s="8">
        <v>0.75</v>
      </c>
      <c r="V5" s="8">
        <v>36.94</v>
      </c>
      <c r="W5" s="8">
        <v>0.76</v>
      </c>
      <c r="X5" s="8">
        <v>6.15</v>
      </c>
      <c r="Y5" s="8">
        <v>0.76</v>
      </c>
      <c r="Z5" s="8">
        <v>8.11</v>
      </c>
      <c r="AA5" s="8">
        <v>0.73</v>
      </c>
      <c r="AB5" s="8">
        <v>29.2</v>
      </c>
      <c r="AC5" s="8">
        <v>10.02</v>
      </c>
      <c r="AD5" s="8">
        <v>37.17</v>
      </c>
      <c r="AE5" s="8">
        <v>10.02</v>
      </c>
      <c r="AF5" s="8">
        <v>6.1</v>
      </c>
      <c r="AG5" s="8">
        <v>9.4</v>
      </c>
      <c r="AH5" s="8">
        <v>8.13</v>
      </c>
      <c r="AI5" s="8">
        <v>9.9</v>
      </c>
      <c r="AJ5" s="8">
        <v>9.25</v>
      </c>
      <c r="AK5" s="8">
        <v>9.25</v>
      </c>
      <c r="AL5" s="8">
        <v>9.5</v>
      </c>
      <c r="AM5" s="8">
        <v>0.0</v>
      </c>
      <c r="AN5" s="8">
        <v>1.0</v>
      </c>
      <c r="AO5" s="8">
        <v>9.5</v>
      </c>
      <c r="AP5" s="6">
        <v>85.0</v>
      </c>
      <c r="AQ5" s="6">
        <v>84.0</v>
      </c>
      <c r="AR5" s="9">
        <v>3.0</v>
      </c>
      <c r="AS5" s="9">
        <v>11.0</v>
      </c>
      <c r="AT5" s="9">
        <v>11.0</v>
      </c>
      <c r="AU5" s="9">
        <v>15.0</v>
      </c>
      <c r="AV5" s="9">
        <v>7.0</v>
      </c>
      <c r="AW5" s="9">
        <v>5.0</v>
      </c>
      <c r="AX5" s="6" t="s">
        <v>73</v>
      </c>
      <c r="AY5" s="6">
        <v>4.0</v>
      </c>
      <c r="AZ5" s="9">
        <v>4.0</v>
      </c>
    </row>
    <row r="6">
      <c r="A6" s="4">
        <v>1.0</v>
      </c>
      <c r="B6" s="5" t="s">
        <v>74</v>
      </c>
      <c r="C6" s="5" t="s">
        <v>75</v>
      </c>
      <c r="D6" s="6" t="s">
        <v>76</v>
      </c>
      <c r="E6" s="6" t="s">
        <v>77</v>
      </c>
      <c r="F6" s="6" t="s">
        <v>78</v>
      </c>
      <c r="G6" s="6">
        <v>18.0017</v>
      </c>
      <c r="H6" s="6">
        <v>-67.3299</v>
      </c>
      <c r="I6" s="6">
        <v>5.0</v>
      </c>
      <c r="J6" s="6">
        <v>5.0</v>
      </c>
      <c r="K6" s="6">
        <v>19.0</v>
      </c>
      <c r="L6" s="6">
        <v>2023.0</v>
      </c>
      <c r="M6" s="6" t="s">
        <v>79</v>
      </c>
      <c r="N6" s="6" t="s">
        <v>80</v>
      </c>
      <c r="O6" s="6" t="s">
        <v>65</v>
      </c>
      <c r="P6" s="6" t="s">
        <v>81</v>
      </c>
      <c r="Q6" s="6" t="s">
        <v>60</v>
      </c>
      <c r="R6" s="7">
        <v>0.3548611111111111</v>
      </c>
      <c r="S6" s="7">
        <v>0.38472222222222224</v>
      </c>
      <c r="T6" s="8">
        <v>29.09</v>
      </c>
      <c r="U6" s="8">
        <v>0.66</v>
      </c>
      <c r="V6" s="8">
        <v>37.5</v>
      </c>
      <c r="W6" s="8">
        <v>0.68</v>
      </c>
      <c r="X6" s="8">
        <v>5.68</v>
      </c>
      <c r="Y6" s="8">
        <v>0.68</v>
      </c>
      <c r="Z6" s="8">
        <v>8.15</v>
      </c>
      <c r="AA6" s="8">
        <v>0.69</v>
      </c>
      <c r="AB6" s="8">
        <v>29.12</v>
      </c>
      <c r="AC6" s="8">
        <v>5.97</v>
      </c>
      <c r="AD6" s="8">
        <v>37.52</v>
      </c>
      <c r="AE6" s="8">
        <v>6.05</v>
      </c>
      <c r="AF6" s="8">
        <v>5.69</v>
      </c>
      <c r="AG6" s="8">
        <v>6.12</v>
      </c>
      <c r="AH6" s="8">
        <v>8.18</v>
      </c>
      <c r="AI6" s="8">
        <v>6.14</v>
      </c>
      <c r="AJ6" s="8">
        <v>5.0</v>
      </c>
      <c r="AK6" s="8">
        <v>5.0</v>
      </c>
      <c r="AL6" s="8">
        <v>5.0</v>
      </c>
      <c r="AM6" s="8">
        <v>1.0</v>
      </c>
      <c r="AN6" s="8">
        <v>1.0</v>
      </c>
      <c r="AO6" s="8">
        <v>5.5</v>
      </c>
      <c r="AP6" s="6">
        <v>100.0</v>
      </c>
      <c r="AQ6" s="6">
        <v>95.0</v>
      </c>
      <c r="AR6" s="9">
        <v>16.0</v>
      </c>
      <c r="AS6" s="9">
        <v>15.0</v>
      </c>
      <c r="AT6" s="9">
        <v>5.0</v>
      </c>
      <c r="AU6" s="9">
        <v>18.0</v>
      </c>
      <c r="AV6" s="9">
        <v>9.0</v>
      </c>
      <c r="AW6" s="9">
        <v>9.0</v>
      </c>
      <c r="AX6" s="6" t="s">
        <v>82</v>
      </c>
      <c r="AY6" s="6" t="s">
        <v>83</v>
      </c>
      <c r="AZ6" s="9" t="s">
        <v>83</v>
      </c>
    </row>
    <row r="7">
      <c r="A7" s="4">
        <v>1.0</v>
      </c>
      <c r="B7" s="5" t="s">
        <v>84</v>
      </c>
      <c r="C7" s="5" t="s">
        <v>75</v>
      </c>
      <c r="D7" s="6" t="s">
        <v>85</v>
      </c>
      <c r="E7" s="6" t="s">
        <v>77</v>
      </c>
      <c r="F7" s="6" t="s">
        <v>78</v>
      </c>
      <c r="G7" s="6">
        <v>17.99116</v>
      </c>
      <c r="H7" s="6">
        <v>-67.2332</v>
      </c>
      <c r="I7" s="6">
        <v>10.0</v>
      </c>
      <c r="J7" s="6">
        <v>5.0</v>
      </c>
      <c r="K7" s="6">
        <v>19.0</v>
      </c>
      <c r="L7" s="6">
        <v>2023.0</v>
      </c>
      <c r="M7" s="6" t="s">
        <v>79</v>
      </c>
      <c r="N7" s="6" t="s">
        <v>80</v>
      </c>
      <c r="O7" s="6" t="s">
        <v>65</v>
      </c>
      <c r="P7" s="6" t="s">
        <v>81</v>
      </c>
      <c r="Q7" s="6" t="s">
        <v>60</v>
      </c>
      <c r="R7" s="7">
        <v>0.4013888888888889</v>
      </c>
      <c r="S7" s="7">
        <v>0.43125</v>
      </c>
      <c r="T7" s="8">
        <v>29.29</v>
      </c>
      <c r="U7" s="8">
        <v>0.62</v>
      </c>
      <c r="V7" s="8">
        <v>37.52</v>
      </c>
      <c r="W7" s="8">
        <v>0.62</v>
      </c>
      <c r="X7" s="8">
        <v>6.13</v>
      </c>
      <c r="Y7" s="8">
        <v>0.61</v>
      </c>
      <c r="Z7" s="8">
        <v>8.2</v>
      </c>
      <c r="AA7" s="8">
        <v>0.61</v>
      </c>
      <c r="AB7" s="8">
        <v>29.39</v>
      </c>
      <c r="AC7" s="8">
        <v>6.2</v>
      </c>
      <c r="AD7" s="8">
        <v>37.29</v>
      </c>
      <c r="AE7" s="8">
        <v>5.85</v>
      </c>
      <c r="AF7" s="8">
        <v>6.27</v>
      </c>
      <c r="AG7" s="8">
        <v>5.7</v>
      </c>
      <c r="AH7" s="8">
        <v>8.23</v>
      </c>
      <c r="AI7" s="8">
        <v>5.34</v>
      </c>
      <c r="AJ7" s="8">
        <v>5.5</v>
      </c>
      <c r="AK7" s="8">
        <v>5.75</v>
      </c>
      <c r="AL7" s="8">
        <v>5.75</v>
      </c>
      <c r="AM7" s="8">
        <v>0.0</v>
      </c>
      <c r="AN7" s="8">
        <v>1.0</v>
      </c>
      <c r="AO7" s="8">
        <v>5.75</v>
      </c>
      <c r="AP7" s="6">
        <v>99.0</v>
      </c>
      <c r="AQ7" s="6">
        <v>86.0</v>
      </c>
      <c r="AR7" s="9">
        <v>19.0</v>
      </c>
      <c r="AS7" s="9">
        <v>9.0</v>
      </c>
      <c r="AT7" s="9">
        <v>7.0</v>
      </c>
      <c r="AU7" s="9">
        <v>4.0</v>
      </c>
      <c r="AV7" s="9">
        <v>4.0</v>
      </c>
      <c r="AW7" s="9">
        <v>7.0</v>
      </c>
      <c r="AX7" s="6" t="s">
        <v>86</v>
      </c>
      <c r="AY7" s="6">
        <v>5.0</v>
      </c>
      <c r="AZ7" s="9">
        <v>6.0</v>
      </c>
    </row>
    <row r="8">
      <c r="A8" s="4">
        <v>1.0</v>
      </c>
      <c r="B8" s="5" t="s">
        <v>87</v>
      </c>
      <c r="C8" s="5" t="s">
        <v>88</v>
      </c>
      <c r="D8" s="6" t="s">
        <v>89</v>
      </c>
      <c r="E8" s="6" t="s">
        <v>90</v>
      </c>
      <c r="F8" s="6" t="s">
        <v>91</v>
      </c>
      <c r="G8" s="6">
        <v>17.96093</v>
      </c>
      <c r="H8" s="6">
        <v>-66.7529</v>
      </c>
      <c r="I8" s="6">
        <v>10.0</v>
      </c>
      <c r="J8" s="6">
        <v>5.0</v>
      </c>
      <c r="K8" s="6">
        <v>22.0</v>
      </c>
      <c r="L8" s="6">
        <v>2023.0</v>
      </c>
      <c r="M8" s="6" t="s">
        <v>92</v>
      </c>
      <c r="N8" s="6" t="s">
        <v>80</v>
      </c>
      <c r="O8" s="6" t="s">
        <v>65</v>
      </c>
      <c r="P8" s="6" t="s">
        <v>81</v>
      </c>
      <c r="Q8" s="6" t="s">
        <v>60</v>
      </c>
      <c r="R8" s="7">
        <v>0.38472222222222224</v>
      </c>
      <c r="S8" s="7">
        <v>0.40694444444444444</v>
      </c>
      <c r="T8" s="8">
        <v>28.54</v>
      </c>
      <c r="U8" s="8">
        <v>0.7</v>
      </c>
      <c r="V8" s="8">
        <v>36.06</v>
      </c>
      <c r="W8" s="8">
        <v>0.7</v>
      </c>
      <c r="X8" s="8">
        <v>5.28</v>
      </c>
      <c r="Y8" s="8">
        <v>0.7</v>
      </c>
      <c r="Z8" s="8">
        <v>8.17</v>
      </c>
      <c r="AA8" s="8">
        <v>0.7</v>
      </c>
      <c r="AB8" s="8">
        <v>29.16</v>
      </c>
      <c r="AC8" s="8">
        <v>9.02</v>
      </c>
      <c r="AD8" s="8">
        <v>37.16</v>
      </c>
      <c r="AE8" s="8">
        <v>8.74</v>
      </c>
      <c r="AF8" s="8">
        <v>5.28</v>
      </c>
      <c r="AG8" s="8">
        <v>9.08</v>
      </c>
      <c r="AH8" s="8">
        <v>8.24</v>
      </c>
      <c r="AI8" s="8">
        <v>9.04</v>
      </c>
      <c r="AJ8" s="8">
        <v>3.0</v>
      </c>
      <c r="AK8" s="8">
        <v>2.75</v>
      </c>
      <c r="AL8" s="8">
        <v>2.25</v>
      </c>
      <c r="AM8" s="8">
        <v>0.0</v>
      </c>
      <c r="AN8" s="8">
        <v>1.0</v>
      </c>
      <c r="AO8" s="8">
        <v>9.0</v>
      </c>
      <c r="AP8" s="6">
        <v>108.0</v>
      </c>
      <c r="AQ8" s="6">
        <v>107.0</v>
      </c>
      <c r="AR8" s="9">
        <v>25.0</v>
      </c>
      <c r="AS8" s="9">
        <v>26.0</v>
      </c>
      <c r="AT8" s="9">
        <v>6.0</v>
      </c>
      <c r="AU8" s="9">
        <v>9.0</v>
      </c>
      <c r="AV8" s="9">
        <v>8.0</v>
      </c>
      <c r="AW8" s="9">
        <v>8.0</v>
      </c>
      <c r="AX8" s="6">
        <v>23.0</v>
      </c>
      <c r="AY8" s="6">
        <v>24.0</v>
      </c>
      <c r="AZ8" s="9">
        <v>5.0</v>
      </c>
    </row>
    <row r="9">
      <c r="A9" s="4">
        <v>1.0</v>
      </c>
      <c r="B9" s="5" t="s">
        <v>93</v>
      </c>
      <c r="C9" s="5" t="s">
        <v>88</v>
      </c>
      <c r="D9" s="6" t="s">
        <v>94</v>
      </c>
      <c r="E9" s="6" t="s">
        <v>90</v>
      </c>
      <c r="F9" s="6" t="s">
        <v>91</v>
      </c>
      <c r="G9" s="6">
        <v>17.95953</v>
      </c>
      <c r="H9" s="6">
        <v>-66.747</v>
      </c>
      <c r="I9" s="6">
        <v>20.0</v>
      </c>
      <c r="J9" s="6">
        <v>5.0</v>
      </c>
      <c r="K9" s="6">
        <v>22.0</v>
      </c>
      <c r="L9" s="6">
        <v>2023.0</v>
      </c>
      <c r="M9" s="6" t="s">
        <v>92</v>
      </c>
      <c r="N9" s="6" t="s">
        <v>80</v>
      </c>
      <c r="O9" s="6" t="s">
        <v>65</v>
      </c>
      <c r="P9" s="6" t="s">
        <v>81</v>
      </c>
      <c r="Q9" s="6" t="s">
        <v>60</v>
      </c>
      <c r="R9" s="7">
        <v>0.3527777777777778</v>
      </c>
      <c r="S9" s="7">
        <v>0.3819444444444444</v>
      </c>
      <c r="T9" s="8">
        <v>28.07</v>
      </c>
      <c r="U9" s="8">
        <v>0.84</v>
      </c>
      <c r="V9" s="8">
        <v>34.78</v>
      </c>
      <c r="W9" s="8">
        <v>0.83</v>
      </c>
      <c r="X9" s="8">
        <v>5.42</v>
      </c>
      <c r="Y9" s="8">
        <v>0.8</v>
      </c>
      <c r="Z9" s="8">
        <v>8.01</v>
      </c>
      <c r="AA9" s="8">
        <v>0.8</v>
      </c>
      <c r="AB9" s="8">
        <v>29.05</v>
      </c>
      <c r="AC9" s="8">
        <v>16.9</v>
      </c>
      <c r="AD9" s="8">
        <v>37.05</v>
      </c>
      <c r="AE9" s="8">
        <v>16.94</v>
      </c>
      <c r="AF9" s="8">
        <v>5.36</v>
      </c>
      <c r="AG9" s="8">
        <v>17.06</v>
      </c>
      <c r="AH9" s="8">
        <v>8.26</v>
      </c>
      <c r="AI9" s="8">
        <v>16.5</v>
      </c>
      <c r="AJ9" s="8">
        <v>3.0</v>
      </c>
      <c r="AK9" s="8">
        <v>2.75</v>
      </c>
      <c r="AL9" s="8">
        <v>2.5</v>
      </c>
      <c r="AM9" s="8">
        <v>0.0</v>
      </c>
      <c r="AN9" s="8">
        <v>1.0</v>
      </c>
      <c r="AO9" s="8">
        <v>16.0</v>
      </c>
      <c r="AP9" s="6">
        <v>106.0</v>
      </c>
      <c r="AQ9" s="6">
        <v>105.0</v>
      </c>
      <c r="AR9" s="9">
        <v>22.0</v>
      </c>
      <c r="AS9" s="9">
        <v>21.0</v>
      </c>
      <c r="AT9" s="9">
        <v>8.0</v>
      </c>
      <c r="AU9" s="9">
        <v>7.0</v>
      </c>
      <c r="AV9" s="9">
        <v>13.0</v>
      </c>
      <c r="AW9" s="9">
        <v>13.0</v>
      </c>
      <c r="AX9" s="6">
        <v>29.0</v>
      </c>
      <c r="AY9" s="6">
        <v>28.0</v>
      </c>
      <c r="AZ9" s="9" t="s">
        <v>95</v>
      </c>
    </row>
    <row r="10">
      <c r="A10" s="4">
        <v>1.0</v>
      </c>
      <c r="B10" s="5" t="s">
        <v>96</v>
      </c>
      <c r="C10" s="5" t="s">
        <v>97</v>
      </c>
      <c r="D10" s="6" t="s">
        <v>98</v>
      </c>
      <c r="E10" s="6" t="s">
        <v>77</v>
      </c>
      <c r="F10" s="6" t="s">
        <v>78</v>
      </c>
      <c r="G10" s="6">
        <v>18.17202</v>
      </c>
      <c r="H10" s="6">
        <v>-67.253</v>
      </c>
      <c r="I10" s="6">
        <v>20.0</v>
      </c>
      <c r="J10" s="6">
        <v>5.0</v>
      </c>
      <c r="K10" s="6">
        <v>24.0</v>
      </c>
      <c r="L10" s="6">
        <v>2023.0</v>
      </c>
      <c r="M10" s="6" t="s">
        <v>99</v>
      </c>
      <c r="N10" s="6" t="s">
        <v>80</v>
      </c>
      <c r="O10" s="6" t="s">
        <v>65</v>
      </c>
      <c r="P10" s="6" t="s">
        <v>60</v>
      </c>
      <c r="Q10" s="6">
        <v>-999.0</v>
      </c>
      <c r="R10" s="7">
        <v>0.4166666666666667</v>
      </c>
      <c r="S10" s="7">
        <v>0.4375</v>
      </c>
      <c r="T10" s="8">
        <v>28.43</v>
      </c>
      <c r="U10" s="8">
        <v>0.55</v>
      </c>
      <c r="V10" s="8">
        <v>37.18</v>
      </c>
      <c r="W10" s="8">
        <v>0.55</v>
      </c>
      <c r="X10" s="8">
        <v>5.73</v>
      </c>
      <c r="Y10" s="8">
        <v>0.53</v>
      </c>
      <c r="Z10" s="8">
        <v>8.26</v>
      </c>
      <c r="AA10" s="8">
        <v>0.54</v>
      </c>
      <c r="AB10" s="8">
        <v>28.29</v>
      </c>
      <c r="AC10" s="8">
        <v>17.4</v>
      </c>
      <c r="AD10" s="8">
        <v>37.34</v>
      </c>
      <c r="AE10" s="8">
        <v>17.13</v>
      </c>
      <c r="AF10" s="8">
        <v>5.75</v>
      </c>
      <c r="AG10" s="8">
        <v>16.59</v>
      </c>
      <c r="AH10" s="8">
        <v>8.34</v>
      </c>
      <c r="AI10" s="8">
        <v>16.58</v>
      </c>
      <c r="AJ10" s="8">
        <v>12.0</v>
      </c>
      <c r="AK10" s="8">
        <v>12.0</v>
      </c>
      <c r="AL10" s="8">
        <v>12.0</v>
      </c>
      <c r="AM10" s="8">
        <v>0.0</v>
      </c>
      <c r="AN10" s="8">
        <v>0.5</v>
      </c>
      <c r="AO10" s="8">
        <v>16.0</v>
      </c>
      <c r="AP10" s="6">
        <v>93.0</v>
      </c>
      <c r="AQ10" s="6">
        <v>94.0</v>
      </c>
      <c r="AR10" s="9">
        <v>24.0</v>
      </c>
      <c r="AS10" s="9">
        <v>23.0</v>
      </c>
      <c r="AT10" s="9">
        <v>13.0</v>
      </c>
      <c r="AU10" s="9">
        <v>8.0</v>
      </c>
      <c r="AV10" s="9">
        <v>17.0</v>
      </c>
      <c r="AW10" s="9">
        <v>12.0</v>
      </c>
      <c r="AX10" s="6">
        <v>31.0</v>
      </c>
      <c r="AY10" s="6">
        <v>20.0</v>
      </c>
      <c r="AZ10" s="9">
        <v>11.0</v>
      </c>
    </row>
    <row r="11">
      <c r="A11" s="4">
        <v>1.0</v>
      </c>
      <c r="B11" s="5" t="s">
        <v>100</v>
      </c>
      <c r="C11" s="5" t="s">
        <v>97</v>
      </c>
      <c r="D11" s="6" t="s">
        <v>101</v>
      </c>
      <c r="E11" s="6" t="s">
        <v>77</v>
      </c>
      <c r="F11" s="6" t="s">
        <v>78</v>
      </c>
      <c r="G11" s="6">
        <v>18.23353</v>
      </c>
      <c r="H11" s="6">
        <v>-67.2006</v>
      </c>
      <c r="I11" s="6">
        <v>10.0</v>
      </c>
      <c r="J11" s="6">
        <v>5.0</v>
      </c>
      <c r="K11" s="6">
        <v>24.0</v>
      </c>
      <c r="L11" s="6">
        <v>2023.0</v>
      </c>
      <c r="M11" s="6" t="s">
        <v>99</v>
      </c>
      <c r="N11" s="6" t="s">
        <v>80</v>
      </c>
      <c r="O11" s="6" t="s">
        <v>65</v>
      </c>
      <c r="P11" s="6" t="s">
        <v>60</v>
      </c>
      <c r="Q11" s="6">
        <v>-999.0</v>
      </c>
      <c r="R11" s="7">
        <v>0.5180555555555556</v>
      </c>
      <c r="S11" s="7">
        <v>0.5368055555555555</v>
      </c>
      <c r="T11" s="8">
        <v>28.89</v>
      </c>
      <c r="U11" s="8">
        <v>0.55</v>
      </c>
      <c r="V11" s="8">
        <v>36.96</v>
      </c>
      <c r="W11" s="8">
        <v>0.55</v>
      </c>
      <c r="X11" s="8">
        <v>5.94</v>
      </c>
      <c r="Y11" s="8">
        <v>0.54</v>
      </c>
      <c r="Z11" s="8">
        <v>8.27</v>
      </c>
      <c r="AA11" s="8">
        <v>0.57</v>
      </c>
      <c r="AB11" s="8">
        <v>28.51</v>
      </c>
      <c r="AC11" s="8">
        <v>6.23</v>
      </c>
      <c r="AD11" s="8">
        <v>37.06</v>
      </c>
      <c r="AE11" s="8">
        <v>5.8</v>
      </c>
      <c r="AF11" s="8">
        <v>6.34</v>
      </c>
      <c r="AG11" s="8">
        <v>6.5</v>
      </c>
      <c r="AH11" s="8">
        <v>8.35</v>
      </c>
      <c r="AI11" s="8">
        <v>6.7</v>
      </c>
      <c r="AJ11" s="8">
        <v>7.25</v>
      </c>
      <c r="AK11" s="8">
        <v>7.25</v>
      </c>
      <c r="AL11" s="8">
        <v>7.25</v>
      </c>
      <c r="AM11" s="8">
        <v>0.0</v>
      </c>
      <c r="AN11" s="8">
        <v>0.5</v>
      </c>
      <c r="AO11" s="8">
        <v>6.5</v>
      </c>
      <c r="AP11" s="6">
        <v>90.0</v>
      </c>
      <c r="AQ11" s="6">
        <v>75.0</v>
      </c>
      <c r="AR11" s="9">
        <v>37.0</v>
      </c>
      <c r="AS11" s="9">
        <v>38.0</v>
      </c>
      <c r="AT11" s="9">
        <v>17.0</v>
      </c>
      <c r="AU11" s="9">
        <v>20.0</v>
      </c>
      <c r="AV11" s="9">
        <v>20.0</v>
      </c>
      <c r="AW11" s="9">
        <v>16.0</v>
      </c>
      <c r="AX11" s="6">
        <v>36.0</v>
      </c>
      <c r="AY11" s="6">
        <v>42.0</v>
      </c>
      <c r="AZ11" s="9">
        <v>14.0</v>
      </c>
    </row>
    <row r="12">
      <c r="A12" s="4">
        <v>1.0</v>
      </c>
      <c r="B12" s="5" t="s">
        <v>102</v>
      </c>
      <c r="C12" s="5" t="s">
        <v>97</v>
      </c>
      <c r="D12" s="6" t="s">
        <v>103</v>
      </c>
      <c r="E12" s="6" t="s">
        <v>77</v>
      </c>
      <c r="F12" s="6" t="s">
        <v>78</v>
      </c>
      <c r="G12" s="6">
        <v>18.2335</v>
      </c>
      <c r="H12" s="6">
        <v>-67.2009</v>
      </c>
      <c r="I12" s="6">
        <v>20.0</v>
      </c>
      <c r="J12" s="6">
        <v>5.0</v>
      </c>
      <c r="K12" s="6">
        <v>24.0</v>
      </c>
      <c r="L12" s="6">
        <v>2023.0</v>
      </c>
      <c r="M12" s="6" t="s">
        <v>99</v>
      </c>
      <c r="N12" s="6" t="s">
        <v>80</v>
      </c>
      <c r="O12" s="6" t="s">
        <v>65</v>
      </c>
      <c r="P12" s="6" t="s">
        <v>60</v>
      </c>
      <c r="Q12" s="6">
        <v>-999.0</v>
      </c>
      <c r="R12" s="7">
        <v>0.49166666666666664</v>
      </c>
      <c r="S12" s="7">
        <v>0.5145833333333333</v>
      </c>
      <c r="T12" s="8">
        <v>28.95</v>
      </c>
      <c r="U12" s="8">
        <v>0.5</v>
      </c>
      <c r="V12" s="8">
        <v>37.14</v>
      </c>
      <c r="W12" s="8">
        <v>0.52</v>
      </c>
      <c r="X12" s="8">
        <v>5.9</v>
      </c>
      <c r="Y12" s="8">
        <v>0.5</v>
      </c>
      <c r="Z12" s="8">
        <v>8.28</v>
      </c>
      <c r="AA12" s="8">
        <v>0.5</v>
      </c>
      <c r="AB12" s="8">
        <v>28.47</v>
      </c>
      <c r="AC12" s="8">
        <v>9.46</v>
      </c>
      <c r="AD12" s="8">
        <v>37.01</v>
      </c>
      <c r="AE12" s="8">
        <v>9.46</v>
      </c>
      <c r="AF12" s="8">
        <v>6.04</v>
      </c>
      <c r="AG12" s="8">
        <v>9.06</v>
      </c>
      <c r="AH12" s="8">
        <v>8.33</v>
      </c>
      <c r="AI12" s="8">
        <v>8.6</v>
      </c>
      <c r="AJ12" s="8">
        <v>10.0</v>
      </c>
      <c r="AK12" s="8">
        <v>10.0</v>
      </c>
      <c r="AL12" s="8">
        <v>10.0</v>
      </c>
      <c r="AM12" s="8">
        <v>0.0</v>
      </c>
      <c r="AN12" s="8">
        <v>0.5</v>
      </c>
      <c r="AO12" s="8">
        <v>11.5</v>
      </c>
      <c r="AP12" s="6">
        <v>88.0</v>
      </c>
      <c r="AQ12" s="6">
        <v>92.0</v>
      </c>
      <c r="AR12" s="9">
        <v>41.0</v>
      </c>
      <c r="AS12" s="9">
        <v>42.0</v>
      </c>
      <c r="AT12" s="9">
        <v>19.0</v>
      </c>
      <c r="AU12" s="9">
        <v>11.0</v>
      </c>
      <c r="AV12" s="9">
        <v>22.0</v>
      </c>
      <c r="AW12" s="9">
        <v>18.0</v>
      </c>
      <c r="AX12" s="6">
        <v>35.0</v>
      </c>
      <c r="AY12" s="6">
        <v>41.0</v>
      </c>
      <c r="AZ12" s="9">
        <v>13.0</v>
      </c>
    </row>
    <row r="13">
      <c r="A13" s="4">
        <v>1.0</v>
      </c>
      <c r="B13" s="5" t="s">
        <v>104</v>
      </c>
      <c r="C13" s="5" t="s">
        <v>75</v>
      </c>
      <c r="D13" s="6" t="s">
        <v>105</v>
      </c>
      <c r="E13" s="6" t="s">
        <v>77</v>
      </c>
      <c r="F13" s="6" t="s">
        <v>78</v>
      </c>
      <c r="G13" s="6">
        <v>18.14658</v>
      </c>
      <c r="H13" s="6">
        <v>-67.2476</v>
      </c>
      <c r="I13" s="6">
        <v>5.0</v>
      </c>
      <c r="J13" s="6">
        <v>5.0</v>
      </c>
      <c r="K13" s="6">
        <v>24.0</v>
      </c>
      <c r="L13" s="6">
        <v>2023.0</v>
      </c>
      <c r="M13" s="6" t="s">
        <v>99</v>
      </c>
      <c r="N13" s="6" t="s">
        <v>80</v>
      </c>
      <c r="O13" s="6" t="s">
        <v>65</v>
      </c>
      <c r="P13" s="6" t="s">
        <v>60</v>
      </c>
      <c r="Q13" s="6">
        <v>-999.0</v>
      </c>
      <c r="R13" s="7">
        <v>0.5791666666666667</v>
      </c>
      <c r="S13" s="7">
        <v>0.6020833333333333</v>
      </c>
      <c r="T13" s="8">
        <v>29.02</v>
      </c>
      <c r="U13" s="8">
        <v>0.49</v>
      </c>
      <c r="V13" s="8">
        <v>36.93</v>
      </c>
      <c r="W13" s="8">
        <v>0.5</v>
      </c>
      <c r="X13" s="8">
        <v>6.1</v>
      </c>
      <c r="Y13" s="8">
        <v>0.5</v>
      </c>
      <c r="Z13" s="8">
        <v>8.21</v>
      </c>
      <c r="AA13" s="8">
        <v>0.49</v>
      </c>
      <c r="AB13" s="8">
        <v>28.89</v>
      </c>
      <c r="AC13" s="8">
        <v>2.82</v>
      </c>
      <c r="AD13" s="8">
        <v>37.35</v>
      </c>
      <c r="AE13" s="8">
        <v>3.7</v>
      </c>
      <c r="AF13" s="8">
        <v>6.11</v>
      </c>
      <c r="AG13" s="8">
        <v>2.8</v>
      </c>
      <c r="AH13" s="8">
        <v>8.35</v>
      </c>
      <c r="AI13" s="8">
        <v>2.84</v>
      </c>
      <c r="AJ13" s="8">
        <v>6.0</v>
      </c>
      <c r="AK13" s="8">
        <v>6.0</v>
      </c>
      <c r="AL13" s="8">
        <v>6.0</v>
      </c>
      <c r="AM13" s="8">
        <v>1.0</v>
      </c>
      <c r="AN13" s="8">
        <v>0.5</v>
      </c>
      <c r="AO13" s="8">
        <v>5.0</v>
      </c>
      <c r="AP13" s="6">
        <v>110.0</v>
      </c>
      <c r="AQ13" s="6">
        <v>111.0</v>
      </c>
      <c r="AR13" s="9">
        <v>40.0</v>
      </c>
      <c r="AS13" s="9">
        <v>39.0</v>
      </c>
      <c r="AT13" s="9">
        <v>18.0</v>
      </c>
      <c r="AU13" s="9">
        <v>12.0</v>
      </c>
      <c r="AV13" s="9">
        <v>21.0</v>
      </c>
      <c r="AW13" s="9">
        <v>17.0</v>
      </c>
      <c r="AX13" s="6">
        <v>34.0</v>
      </c>
      <c r="AY13" s="6">
        <v>40.0</v>
      </c>
      <c r="AZ13" s="9">
        <v>16.0</v>
      </c>
    </row>
    <row r="14">
      <c r="A14" s="4">
        <v>1.0</v>
      </c>
      <c r="B14" s="5" t="s">
        <v>106</v>
      </c>
      <c r="C14" s="5" t="s">
        <v>75</v>
      </c>
      <c r="D14" s="6" t="s">
        <v>107</v>
      </c>
      <c r="E14" s="6" t="s">
        <v>77</v>
      </c>
      <c r="F14" s="6" t="s">
        <v>78</v>
      </c>
      <c r="G14" s="6">
        <v>18.14653</v>
      </c>
      <c r="H14" s="6">
        <v>-67.248</v>
      </c>
      <c r="I14" s="6">
        <v>10.0</v>
      </c>
      <c r="J14" s="6">
        <v>5.0</v>
      </c>
      <c r="K14" s="6">
        <v>24.0</v>
      </c>
      <c r="L14" s="6">
        <v>2023.0</v>
      </c>
      <c r="M14" s="6" t="s">
        <v>99</v>
      </c>
      <c r="N14" s="6" t="s">
        <v>80</v>
      </c>
      <c r="O14" s="6" t="s">
        <v>65</v>
      </c>
      <c r="P14" s="6" t="s">
        <v>60</v>
      </c>
      <c r="Q14" s="6">
        <v>-999.0</v>
      </c>
      <c r="R14" s="7">
        <v>0.5583333333333333</v>
      </c>
      <c r="S14" s="7">
        <v>0.58125</v>
      </c>
      <c r="T14" s="8">
        <v>29.2</v>
      </c>
      <c r="U14" s="8">
        <v>0.47</v>
      </c>
      <c r="V14" s="8">
        <v>37.01</v>
      </c>
      <c r="W14" s="8">
        <v>0.48</v>
      </c>
      <c r="X14" s="8">
        <v>6.4</v>
      </c>
      <c r="Y14" s="8">
        <v>0.5</v>
      </c>
      <c r="Z14" s="8">
        <v>8.2</v>
      </c>
      <c r="AA14" s="8">
        <v>0.47</v>
      </c>
      <c r="AB14" s="8">
        <v>28.71</v>
      </c>
      <c r="AC14" s="8">
        <v>17.43</v>
      </c>
      <c r="AD14" s="8">
        <v>37.1</v>
      </c>
      <c r="AE14" s="8">
        <v>17.03</v>
      </c>
      <c r="AF14" s="8">
        <v>5.96</v>
      </c>
      <c r="AG14" s="8">
        <v>16.34</v>
      </c>
      <c r="AH14" s="8">
        <v>8.36</v>
      </c>
      <c r="AI14" s="8">
        <v>17.35</v>
      </c>
      <c r="AJ14" s="8">
        <v>8.25</v>
      </c>
      <c r="AK14" s="8">
        <v>8.75</v>
      </c>
      <c r="AL14" s="8">
        <v>8.75</v>
      </c>
      <c r="AM14" s="8">
        <v>0.0</v>
      </c>
      <c r="AN14" s="8">
        <v>0.5</v>
      </c>
      <c r="AO14" s="8">
        <v>16.5</v>
      </c>
      <c r="AP14" s="6">
        <v>76.0</v>
      </c>
      <c r="AQ14" s="6">
        <v>89.0</v>
      </c>
      <c r="AR14" s="9">
        <v>35.0</v>
      </c>
      <c r="AS14" s="9">
        <v>36.0</v>
      </c>
      <c r="AT14" s="9">
        <v>16.0</v>
      </c>
      <c r="AU14" s="9">
        <v>13.0</v>
      </c>
      <c r="AV14" s="9">
        <v>19.0</v>
      </c>
      <c r="AW14" s="9">
        <v>15.0</v>
      </c>
      <c r="AX14" s="6">
        <v>33.0</v>
      </c>
      <c r="AY14" s="6">
        <v>39.0</v>
      </c>
      <c r="AZ14" s="9">
        <v>15.0</v>
      </c>
    </row>
    <row r="15">
      <c r="A15" s="4">
        <v>1.0</v>
      </c>
      <c r="B15" s="5" t="s">
        <v>108</v>
      </c>
      <c r="C15" s="5" t="s">
        <v>97</v>
      </c>
      <c r="D15" s="6" t="s">
        <v>109</v>
      </c>
      <c r="E15" s="6" t="s">
        <v>77</v>
      </c>
      <c r="F15" s="6" t="s">
        <v>78</v>
      </c>
      <c r="G15" s="6">
        <v>18.1893</v>
      </c>
      <c r="H15" s="6">
        <v>-67.1919</v>
      </c>
      <c r="I15" s="6">
        <v>5.0</v>
      </c>
      <c r="J15" s="6">
        <v>5.0</v>
      </c>
      <c r="K15" s="6">
        <v>24.0</v>
      </c>
      <c r="L15" s="6">
        <v>2023.0</v>
      </c>
      <c r="M15" s="6" t="s">
        <v>99</v>
      </c>
      <c r="N15" s="6" t="s">
        <v>80</v>
      </c>
      <c r="O15" s="6" t="s">
        <v>65</v>
      </c>
      <c r="P15" s="6" t="s">
        <v>60</v>
      </c>
      <c r="Q15" s="6">
        <v>-999.0</v>
      </c>
      <c r="R15" s="7">
        <v>0.44930555555555557</v>
      </c>
      <c r="S15" s="7">
        <v>0.4652777777777778</v>
      </c>
      <c r="T15" s="8">
        <v>29.7</v>
      </c>
      <c r="U15" s="8">
        <v>0.5</v>
      </c>
      <c r="V15" s="8">
        <v>37.06</v>
      </c>
      <c r="W15" s="8">
        <v>0.5</v>
      </c>
      <c r="X15" s="8">
        <v>6.0</v>
      </c>
      <c r="Y15" s="8">
        <v>0.52</v>
      </c>
      <c r="Z15" s="8">
        <v>8.29</v>
      </c>
      <c r="AA15" s="8">
        <v>0.5</v>
      </c>
      <c r="AB15" s="8">
        <v>29.2</v>
      </c>
      <c r="AC15" s="8">
        <v>3.67</v>
      </c>
      <c r="AD15" s="8">
        <v>37.04</v>
      </c>
      <c r="AE15" s="8">
        <v>3.67</v>
      </c>
      <c r="AF15" s="8">
        <v>6.15</v>
      </c>
      <c r="AG15" s="8">
        <v>3.68</v>
      </c>
      <c r="AH15" s="8">
        <v>8.34</v>
      </c>
      <c r="AI15" s="8">
        <v>3.66</v>
      </c>
      <c r="AJ15" s="8">
        <v>5.0</v>
      </c>
      <c r="AK15" s="8">
        <v>5.0</v>
      </c>
      <c r="AL15" s="8">
        <v>5.0</v>
      </c>
      <c r="AM15" s="8">
        <v>1.0</v>
      </c>
      <c r="AN15" s="8">
        <v>0.5</v>
      </c>
      <c r="AO15" s="8">
        <v>3.5</v>
      </c>
      <c r="AP15" s="6">
        <v>101.0</v>
      </c>
      <c r="AQ15" s="6">
        <v>102.0</v>
      </c>
      <c r="AR15" s="9">
        <v>20.0</v>
      </c>
      <c r="AS15" s="9">
        <v>18.0</v>
      </c>
      <c r="AT15" s="9">
        <v>9.0</v>
      </c>
      <c r="AU15" s="9">
        <v>6.0</v>
      </c>
      <c r="AV15" s="9">
        <v>14.0</v>
      </c>
      <c r="AW15" s="9">
        <v>10.0</v>
      </c>
      <c r="AX15" s="6">
        <v>27.0</v>
      </c>
      <c r="AY15" s="6">
        <v>26.0</v>
      </c>
      <c r="AZ15" s="9">
        <v>12.0</v>
      </c>
    </row>
    <row r="16">
      <c r="A16" s="4">
        <v>1.0</v>
      </c>
      <c r="B16" s="5" t="s">
        <v>110</v>
      </c>
      <c r="C16" s="5" t="s">
        <v>75</v>
      </c>
      <c r="D16" s="6" t="s">
        <v>111</v>
      </c>
      <c r="E16" s="6" t="s">
        <v>77</v>
      </c>
      <c r="F16" s="6" t="s">
        <v>78</v>
      </c>
      <c r="G16" s="6">
        <v>18.16304</v>
      </c>
      <c r="H16" s="6">
        <v>-67.2737</v>
      </c>
      <c r="I16" s="6">
        <v>10.0</v>
      </c>
      <c r="J16" s="6">
        <v>5.0</v>
      </c>
      <c r="K16" s="6">
        <v>24.0</v>
      </c>
      <c r="L16" s="6">
        <v>2023.0</v>
      </c>
      <c r="M16" s="6" t="s">
        <v>99</v>
      </c>
      <c r="N16" s="6" t="s">
        <v>80</v>
      </c>
      <c r="O16" s="6" t="s">
        <v>65</v>
      </c>
      <c r="P16" s="6" t="s">
        <v>60</v>
      </c>
      <c r="Q16" s="6">
        <v>-999.0</v>
      </c>
      <c r="R16" s="7">
        <v>0.3902777777777778</v>
      </c>
      <c r="S16" s="7">
        <v>0.4097222222222222</v>
      </c>
      <c r="T16" s="8">
        <v>28.67</v>
      </c>
      <c r="U16" s="8">
        <v>0.49</v>
      </c>
      <c r="V16" s="8">
        <v>37.23</v>
      </c>
      <c r="W16" s="8">
        <v>0.54</v>
      </c>
      <c r="X16" s="8">
        <v>5.9</v>
      </c>
      <c r="Y16" s="8">
        <v>0.53</v>
      </c>
      <c r="Z16" s="8">
        <v>8.27</v>
      </c>
      <c r="AA16" s="8">
        <v>0.52</v>
      </c>
      <c r="AB16" s="8">
        <v>28.59</v>
      </c>
      <c r="AC16" s="8">
        <v>9.54</v>
      </c>
      <c r="AD16" s="8">
        <v>37.23</v>
      </c>
      <c r="AE16" s="8">
        <v>9.3</v>
      </c>
      <c r="AF16" s="8">
        <v>5.9</v>
      </c>
      <c r="AG16" s="8">
        <v>9.27</v>
      </c>
      <c r="AH16" s="8">
        <v>8.34</v>
      </c>
      <c r="AI16" s="8">
        <v>9.15</v>
      </c>
      <c r="AJ16" s="8">
        <v>14.0</v>
      </c>
      <c r="AK16" s="8">
        <v>14.5</v>
      </c>
      <c r="AL16" s="8">
        <v>14.75</v>
      </c>
      <c r="AM16" s="8">
        <v>0.0</v>
      </c>
      <c r="AN16" s="8">
        <v>0.5</v>
      </c>
      <c r="AO16" s="8">
        <v>9.5</v>
      </c>
      <c r="AP16" s="6">
        <v>98.0</v>
      </c>
      <c r="AQ16" s="6">
        <v>81.0</v>
      </c>
      <c r="AR16" s="9">
        <v>27.0</v>
      </c>
      <c r="AS16" s="9">
        <v>28.0</v>
      </c>
      <c r="AT16" s="9">
        <v>12.0</v>
      </c>
      <c r="AU16" s="9">
        <v>40.0</v>
      </c>
      <c r="AV16" s="9">
        <v>16.0</v>
      </c>
      <c r="AW16" s="9">
        <v>11.0</v>
      </c>
      <c r="AX16" s="6">
        <v>21.0</v>
      </c>
      <c r="AY16" s="6">
        <v>30.0</v>
      </c>
      <c r="AZ16" s="9">
        <v>9.0</v>
      </c>
    </row>
    <row r="17">
      <c r="A17" s="4">
        <v>1.0</v>
      </c>
      <c r="B17" s="5" t="s">
        <v>112</v>
      </c>
      <c r="C17" s="5" t="s">
        <v>75</v>
      </c>
      <c r="D17" s="6" t="s">
        <v>113</v>
      </c>
      <c r="E17" s="6" t="s">
        <v>77</v>
      </c>
      <c r="F17" s="6" t="s">
        <v>78</v>
      </c>
      <c r="G17" s="6">
        <v>18.16517</v>
      </c>
      <c r="H17" s="6">
        <v>-67.2752</v>
      </c>
      <c r="I17" s="6">
        <v>20.0</v>
      </c>
      <c r="J17" s="6">
        <v>5.0</v>
      </c>
      <c r="K17" s="6">
        <v>24.0</v>
      </c>
      <c r="L17" s="6">
        <v>2023.0</v>
      </c>
      <c r="M17" s="6" t="s">
        <v>99</v>
      </c>
      <c r="N17" s="6" t="s">
        <v>80</v>
      </c>
      <c r="O17" s="6" t="s">
        <v>65</v>
      </c>
      <c r="P17" s="6" t="s">
        <v>60</v>
      </c>
      <c r="Q17" s="6">
        <v>-999.0</v>
      </c>
      <c r="R17" s="7">
        <v>0.35833333333333334</v>
      </c>
      <c r="S17" s="7">
        <v>0.38472222222222224</v>
      </c>
      <c r="T17" s="8">
        <v>28.27</v>
      </c>
      <c r="U17" s="8">
        <v>0.64</v>
      </c>
      <c r="V17" s="8">
        <v>37.18</v>
      </c>
      <c r="W17" s="8">
        <v>0.65</v>
      </c>
      <c r="X17" s="8">
        <v>5.77</v>
      </c>
      <c r="Y17" s="8">
        <v>0.6</v>
      </c>
      <c r="Z17" s="8">
        <v>8.26</v>
      </c>
      <c r="AA17" s="8">
        <v>0.63</v>
      </c>
      <c r="AB17" s="8">
        <v>28.2</v>
      </c>
      <c r="AC17" s="8">
        <v>19.3</v>
      </c>
      <c r="AD17" s="8">
        <v>37.21</v>
      </c>
      <c r="AE17" s="8">
        <v>19.48</v>
      </c>
      <c r="AF17" s="8">
        <v>5.77</v>
      </c>
      <c r="AG17" s="8">
        <v>19.42</v>
      </c>
      <c r="AH17" s="8">
        <v>8.34</v>
      </c>
      <c r="AI17" s="8">
        <v>18.92</v>
      </c>
      <c r="AJ17" s="8">
        <v>15.25</v>
      </c>
      <c r="AK17" s="8">
        <v>15.25</v>
      </c>
      <c r="AL17" s="8">
        <v>15.5</v>
      </c>
      <c r="AM17" s="8">
        <v>0.0</v>
      </c>
      <c r="AN17" s="8">
        <v>0.5</v>
      </c>
      <c r="AO17" s="8">
        <v>19.5</v>
      </c>
      <c r="AP17" s="6">
        <v>104.0</v>
      </c>
      <c r="AQ17" s="6">
        <v>103.0</v>
      </c>
      <c r="AR17" s="9">
        <v>14.0</v>
      </c>
      <c r="AS17" s="9">
        <v>13.0</v>
      </c>
      <c r="AT17" s="9">
        <v>14.0</v>
      </c>
      <c r="AU17" s="9">
        <v>16.0</v>
      </c>
      <c r="AV17" s="9">
        <v>15.0</v>
      </c>
      <c r="AW17" s="9">
        <v>28.0</v>
      </c>
      <c r="AX17" s="6">
        <v>25.0</v>
      </c>
      <c r="AY17" s="6">
        <v>22.0</v>
      </c>
      <c r="AZ17" s="9">
        <v>8.0</v>
      </c>
    </row>
    <row r="18">
      <c r="A18" s="4">
        <v>1.0</v>
      </c>
      <c r="B18" s="5" t="s">
        <v>114</v>
      </c>
      <c r="C18" s="5" t="s">
        <v>75</v>
      </c>
      <c r="D18" s="6" t="s">
        <v>115</v>
      </c>
      <c r="E18" s="6" t="s">
        <v>77</v>
      </c>
      <c r="F18" s="6" t="s">
        <v>78</v>
      </c>
      <c r="G18" s="6">
        <v>18.16637</v>
      </c>
      <c r="H18" s="6">
        <v>-67.2763</v>
      </c>
      <c r="I18" s="6">
        <v>30.0</v>
      </c>
      <c r="J18" s="6">
        <v>5.0</v>
      </c>
      <c r="K18" s="6">
        <v>24.0</v>
      </c>
      <c r="L18" s="6">
        <v>2023.0</v>
      </c>
      <c r="M18" s="6" t="s">
        <v>99</v>
      </c>
      <c r="N18" s="6" t="s">
        <v>80</v>
      </c>
      <c r="O18" s="6" t="s">
        <v>65</v>
      </c>
      <c r="P18" s="6" t="s">
        <v>60</v>
      </c>
      <c r="Q18" s="6">
        <v>-999.0</v>
      </c>
      <c r="R18" s="7">
        <v>0.3194444444444444</v>
      </c>
      <c r="S18" s="7">
        <v>0.3506944444444444</v>
      </c>
      <c r="T18" s="8">
        <v>28.09</v>
      </c>
      <c r="U18" s="8">
        <v>0.52</v>
      </c>
      <c r="V18" s="8">
        <v>37.14</v>
      </c>
      <c r="W18" s="8">
        <v>0.52</v>
      </c>
      <c r="X18" s="8">
        <v>5.71</v>
      </c>
      <c r="Y18" s="8">
        <v>0.52</v>
      </c>
      <c r="Z18" s="8">
        <v>8.06</v>
      </c>
      <c r="AA18" s="8">
        <v>0.5</v>
      </c>
      <c r="AB18" s="8">
        <v>28.15</v>
      </c>
      <c r="AC18" s="8">
        <v>26.5</v>
      </c>
      <c r="AD18" s="8">
        <v>37.17</v>
      </c>
      <c r="AE18" s="8">
        <v>26.01</v>
      </c>
      <c r="AF18" s="8">
        <v>5.73</v>
      </c>
      <c r="AG18" s="8">
        <v>25.35</v>
      </c>
      <c r="AH18" s="8">
        <v>8.34</v>
      </c>
      <c r="AI18" s="8">
        <v>24.68</v>
      </c>
      <c r="AJ18" s="8">
        <v>9.25</v>
      </c>
      <c r="AK18" s="8">
        <v>9.25</v>
      </c>
      <c r="AL18" s="8">
        <v>9.5</v>
      </c>
      <c r="AM18" s="8">
        <v>0.0</v>
      </c>
      <c r="AN18" s="8">
        <v>0.5</v>
      </c>
      <c r="AO18" s="8">
        <v>25.5</v>
      </c>
      <c r="AP18" s="6">
        <v>91.0</v>
      </c>
      <c r="AQ18" s="6">
        <v>74.0</v>
      </c>
      <c r="AR18" s="9">
        <v>33.0</v>
      </c>
      <c r="AS18" s="9">
        <v>34.0</v>
      </c>
      <c r="AT18" s="9">
        <v>15.0</v>
      </c>
      <c r="AU18" s="9">
        <v>21.0</v>
      </c>
      <c r="AV18" s="9">
        <v>18.0</v>
      </c>
      <c r="AW18" s="9">
        <v>14.0</v>
      </c>
      <c r="AX18" s="6">
        <v>32.0</v>
      </c>
      <c r="AY18" s="6">
        <v>38.0</v>
      </c>
      <c r="AZ18" s="9">
        <v>7.0</v>
      </c>
    </row>
    <row r="19">
      <c r="A19" s="4">
        <v>1.0</v>
      </c>
      <c r="B19" s="5" t="s">
        <v>116</v>
      </c>
      <c r="C19" s="5" t="s">
        <v>117</v>
      </c>
      <c r="D19" s="6" t="s">
        <v>118</v>
      </c>
      <c r="E19" s="6" t="s">
        <v>55</v>
      </c>
      <c r="F19" s="6" t="s">
        <v>56</v>
      </c>
      <c r="G19" s="6">
        <v>17.9369</v>
      </c>
      <c r="H19" s="6">
        <v>-66.8738</v>
      </c>
      <c r="I19" s="6">
        <v>5.0</v>
      </c>
      <c r="J19" s="6">
        <v>5.0</v>
      </c>
      <c r="K19" s="6">
        <v>25.0</v>
      </c>
      <c r="L19" s="6">
        <v>2023.0</v>
      </c>
      <c r="M19" s="6" t="s">
        <v>119</v>
      </c>
      <c r="N19" s="6" t="s">
        <v>80</v>
      </c>
      <c r="O19" s="6" t="s">
        <v>65</v>
      </c>
      <c r="P19" s="6" t="s">
        <v>81</v>
      </c>
      <c r="Q19" s="6" t="s">
        <v>60</v>
      </c>
      <c r="R19" s="7">
        <v>0.40208333333333335</v>
      </c>
      <c r="S19" s="7">
        <v>0.41875</v>
      </c>
      <c r="T19" s="8">
        <v>29.38</v>
      </c>
      <c r="U19" s="8">
        <v>0.55</v>
      </c>
      <c r="V19" s="8">
        <v>37.0</v>
      </c>
      <c r="W19" s="8">
        <v>0.49</v>
      </c>
      <c r="X19" s="8">
        <v>5.85</v>
      </c>
      <c r="Y19" s="8">
        <v>0.49</v>
      </c>
      <c r="Z19" s="8">
        <v>8.4</v>
      </c>
      <c r="AA19" s="8">
        <v>0.49</v>
      </c>
      <c r="AB19" s="8">
        <v>29.4</v>
      </c>
      <c r="AC19" s="8">
        <v>3.58</v>
      </c>
      <c r="AD19" s="8">
        <v>36.96</v>
      </c>
      <c r="AE19" s="8">
        <v>3.58</v>
      </c>
      <c r="AF19" s="8">
        <v>5.95</v>
      </c>
      <c r="AG19" s="8">
        <v>3.69</v>
      </c>
      <c r="AH19" s="8">
        <v>8.4</v>
      </c>
      <c r="AI19" s="8">
        <v>3.79</v>
      </c>
      <c r="AJ19" s="8">
        <v>3.5</v>
      </c>
      <c r="AK19" s="8">
        <v>3.5</v>
      </c>
      <c r="AL19" s="8">
        <v>3.5</v>
      </c>
      <c r="AM19" s="8">
        <v>1.0</v>
      </c>
      <c r="AN19" s="8">
        <v>0.5</v>
      </c>
      <c r="AO19" s="8">
        <v>2.5</v>
      </c>
      <c r="AP19" s="6">
        <v>112.0</v>
      </c>
      <c r="AQ19" s="6">
        <v>113.0</v>
      </c>
      <c r="AR19" s="9">
        <v>44.0</v>
      </c>
      <c r="AS19" s="9">
        <v>43.0</v>
      </c>
      <c r="AT19" s="9">
        <v>20.0</v>
      </c>
      <c r="AU19" s="9">
        <v>19.0</v>
      </c>
      <c r="AV19" s="9">
        <v>23.0</v>
      </c>
      <c r="AW19" s="9">
        <v>19.0</v>
      </c>
      <c r="AX19" s="6">
        <v>37.0</v>
      </c>
      <c r="AY19" s="6">
        <v>43.0</v>
      </c>
      <c r="AZ19" s="9">
        <v>17.0</v>
      </c>
    </row>
    <row r="20">
      <c r="A20" s="4">
        <v>1.0</v>
      </c>
      <c r="B20" s="5" t="s">
        <v>120</v>
      </c>
      <c r="C20" s="5" t="s">
        <v>117</v>
      </c>
      <c r="D20" s="6" t="s">
        <v>121</v>
      </c>
      <c r="E20" s="6" t="s">
        <v>55</v>
      </c>
      <c r="F20" s="6" t="s">
        <v>56</v>
      </c>
      <c r="G20" s="6">
        <v>17.9362</v>
      </c>
      <c r="H20" s="6">
        <v>-66.8884</v>
      </c>
      <c r="I20" s="6">
        <v>10.0</v>
      </c>
      <c r="J20" s="6">
        <v>5.0</v>
      </c>
      <c r="K20" s="6">
        <v>25.0</v>
      </c>
      <c r="L20" s="6">
        <v>2023.0</v>
      </c>
      <c r="M20" s="6" t="s">
        <v>119</v>
      </c>
      <c r="N20" s="6" t="s">
        <v>80</v>
      </c>
      <c r="O20" s="6" t="s">
        <v>65</v>
      </c>
      <c r="P20" s="6" t="s">
        <v>81</v>
      </c>
      <c r="Q20" s="6" t="s">
        <v>60</v>
      </c>
      <c r="R20" s="7">
        <v>0.4263888888888889</v>
      </c>
      <c r="S20" s="7">
        <v>0.4409722222222222</v>
      </c>
      <c r="T20" s="8">
        <v>29.2</v>
      </c>
      <c r="U20" s="8">
        <v>0.7</v>
      </c>
      <c r="V20" s="8">
        <v>37.15</v>
      </c>
      <c r="W20" s="8">
        <v>0.68</v>
      </c>
      <c r="X20" s="8">
        <v>5.63</v>
      </c>
      <c r="Y20" s="8">
        <v>0.69</v>
      </c>
      <c r="Z20" s="8">
        <v>8.48</v>
      </c>
      <c r="AA20" s="8">
        <v>0.69</v>
      </c>
      <c r="AB20" s="8">
        <v>29.02</v>
      </c>
      <c r="AC20" s="8">
        <v>9.38</v>
      </c>
      <c r="AD20" s="8">
        <v>36.9</v>
      </c>
      <c r="AE20" s="8">
        <v>9.43</v>
      </c>
      <c r="AF20" s="8">
        <v>5.78</v>
      </c>
      <c r="AG20" s="8">
        <v>9.44</v>
      </c>
      <c r="AH20" s="8">
        <v>8.39</v>
      </c>
      <c r="AI20" s="8">
        <v>9.43</v>
      </c>
      <c r="AJ20" s="8">
        <v>9.5</v>
      </c>
      <c r="AK20" s="8">
        <v>9.5</v>
      </c>
      <c r="AL20" s="8">
        <v>9.5</v>
      </c>
      <c r="AM20" s="8">
        <v>1.0</v>
      </c>
      <c r="AN20" s="8">
        <v>0.5</v>
      </c>
      <c r="AO20" s="8">
        <v>9.0</v>
      </c>
      <c r="AP20" s="6">
        <v>114.0</v>
      </c>
      <c r="AQ20" s="6">
        <v>115.0</v>
      </c>
      <c r="AR20" s="9">
        <v>46.0</v>
      </c>
      <c r="AS20" s="9">
        <v>45.0</v>
      </c>
      <c r="AT20" s="9">
        <v>21.0</v>
      </c>
      <c r="AU20" s="9">
        <v>22.0</v>
      </c>
      <c r="AV20" s="9">
        <v>24.0</v>
      </c>
      <c r="AW20" s="9">
        <v>20.0</v>
      </c>
      <c r="AX20" s="6">
        <v>38.0</v>
      </c>
      <c r="AY20" s="6">
        <v>44.0</v>
      </c>
      <c r="AZ20" s="9">
        <v>18.0</v>
      </c>
    </row>
    <row r="21">
      <c r="A21" s="4">
        <v>1.0</v>
      </c>
      <c r="B21" s="5" t="s">
        <v>122</v>
      </c>
      <c r="C21" s="5" t="s">
        <v>88</v>
      </c>
      <c r="D21" s="6" t="s">
        <v>123</v>
      </c>
      <c r="E21" s="6" t="s">
        <v>90</v>
      </c>
      <c r="F21" s="6" t="s">
        <v>91</v>
      </c>
      <c r="G21" s="6">
        <v>17.96488</v>
      </c>
      <c r="H21" s="6">
        <v>-66.7565</v>
      </c>
      <c r="I21" s="6">
        <v>5.0</v>
      </c>
      <c r="J21" s="6">
        <v>5.0</v>
      </c>
      <c r="K21" s="6">
        <v>25.0</v>
      </c>
      <c r="L21" s="6">
        <v>2023.0</v>
      </c>
      <c r="M21" s="6" t="s">
        <v>119</v>
      </c>
      <c r="N21" s="6" t="s">
        <v>80</v>
      </c>
      <c r="O21" s="6" t="s">
        <v>65</v>
      </c>
      <c r="P21" s="6" t="s">
        <v>81</v>
      </c>
      <c r="Q21" s="6" t="s">
        <v>60</v>
      </c>
      <c r="R21" s="7">
        <v>0.36319444444444443</v>
      </c>
      <c r="S21" s="7">
        <v>0.38263888888888886</v>
      </c>
      <c r="T21" s="8">
        <v>29.19</v>
      </c>
      <c r="U21" s="8">
        <v>0.6</v>
      </c>
      <c r="V21" s="8">
        <v>37.19</v>
      </c>
      <c r="W21" s="8">
        <v>0.6</v>
      </c>
      <c r="X21" s="8">
        <v>4.97</v>
      </c>
      <c r="Y21" s="8">
        <v>0.57</v>
      </c>
      <c r="Z21" s="8">
        <v>8.43</v>
      </c>
      <c r="AA21" s="8">
        <v>0.55</v>
      </c>
      <c r="AB21" s="8">
        <v>29.22</v>
      </c>
      <c r="AC21" s="8">
        <v>5.25</v>
      </c>
      <c r="AD21" s="8">
        <v>37.22</v>
      </c>
      <c r="AE21" s="8">
        <v>5.38</v>
      </c>
      <c r="AF21" s="8">
        <v>5.47</v>
      </c>
      <c r="AG21" s="8">
        <v>5.36</v>
      </c>
      <c r="AH21" s="8">
        <v>8.38</v>
      </c>
      <c r="AI21" s="8">
        <v>5.38</v>
      </c>
      <c r="AJ21" s="8">
        <v>6.0</v>
      </c>
      <c r="AK21" s="8">
        <v>6.0</v>
      </c>
      <c r="AL21" s="8">
        <v>6.0</v>
      </c>
      <c r="AM21" s="8">
        <v>1.0</v>
      </c>
      <c r="AN21" s="8">
        <v>0.5</v>
      </c>
      <c r="AO21" s="8">
        <v>5.5</v>
      </c>
      <c r="AP21" s="6">
        <v>119.0</v>
      </c>
      <c r="AQ21" s="6">
        <v>118.0</v>
      </c>
      <c r="AR21" s="9">
        <v>49.0</v>
      </c>
      <c r="AS21" s="9">
        <v>50.0</v>
      </c>
      <c r="AT21" s="9">
        <v>23.0</v>
      </c>
      <c r="AU21" s="9">
        <v>24.0</v>
      </c>
      <c r="AV21" s="9">
        <v>26.0</v>
      </c>
      <c r="AW21" s="9">
        <v>22.0</v>
      </c>
      <c r="AX21" s="6">
        <v>40.0</v>
      </c>
      <c r="AY21" s="6">
        <v>46.0</v>
      </c>
      <c r="AZ21" s="9">
        <v>10.0</v>
      </c>
    </row>
    <row r="22">
      <c r="A22" s="4">
        <v>1.0</v>
      </c>
      <c r="B22" s="5" t="s">
        <v>124</v>
      </c>
      <c r="C22" s="5" t="s">
        <v>125</v>
      </c>
      <c r="D22" s="6" t="s">
        <v>126</v>
      </c>
      <c r="E22" s="6" t="s">
        <v>127</v>
      </c>
      <c r="F22" s="6" t="s">
        <v>91</v>
      </c>
      <c r="G22" s="6">
        <v>17.91533</v>
      </c>
      <c r="H22" s="6">
        <v>-66.2141</v>
      </c>
      <c r="I22" s="6">
        <v>10.0</v>
      </c>
      <c r="J22" s="6">
        <v>6.0</v>
      </c>
      <c r="K22" s="6">
        <v>12.0</v>
      </c>
      <c r="L22" s="6">
        <v>2023.0</v>
      </c>
      <c r="M22" s="6" t="s">
        <v>128</v>
      </c>
      <c r="N22" s="6" t="s">
        <v>58</v>
      </c>
      <c r="O22" s="6" t="s">
        <v>65</v>
      </c>
      <c r="P22" s="6" t="s">
        <v>81</v>
      </c>
      <c r="Q22" s="6" t="s">
        <v>60</v>
      </c>
      <c r="R22" s="7">
        <v>0.42083333333333334</v>
      </c>
      <c r="S22" s="7">
        <v>0.4395833333333333</v>
      </c>
      <c r="T22" s="8">
        <v>30.06</v>
      </c>
      <c r="U22" s="8">
        <v>0.7</v>
      </c>
      <c r="V22" s="8">
        <v>37.31</v>
      </c>
      <c r="W22" s="8">
        <v>0.65</v>
      </c>
      <c r="X22" s="8">
        <v>6.24</v>
      </c>
      <c r="Y22" s="8">
        <v>0.68</v>
      </c>
      <c r="Z22" s="8">
        <v>8.03</v>
      </c>
      <c r="AA22" s="8">
        <v>0.7</v>
      </c>
      <c r="AB22" s="8">
        <v>30.03</v>
      </c>
      <c r="AC22" s="8">
        <v>9.6</v>
      </c>
      <c r="AD22" s="8">
        <v>37.18</v>
      </c>
      <c r="AE22" s="8">
        <v>9.4</v>
      </c>
      <c r="AF22" s="8">
        <v>6.2</v>
      </c>
      <c r="AG22" s="8">
        <v>9.14</v>
      </c>
      <c r="AH22" s="8">
        <v>8.09</v>
      </c>
      <c r="AI22" s="8">
        <v>8.64</v>
      </c>
      <c r="AJ22" s="8">
        <v>4.25</v>
      </c>
      <c r="AK22" s="8">
        <v>4.25</v>
      </c>
      <c r="AL22" s="8">
        <v>4.25</v>
      </c>
      <c r="AM22" s="8">
        <v>0.0</v>
      </c>
      <c r="AN22" s="8">
        <v>1.0</v>
      </c>
      <c r="AO22" s="8">
        <v>9.5</v>
      </c>
      <c r="AP22" s="10">
        <v>122.0</v>
      </c>
      <c r="AQ22" s="10">
        <v>123.0</v>
      </c>
      <c r="AR22" s="11">
        <v>56.0</v>
      </c>
      <c r="AS22" s="11">
        <v>55.0</v>
      </c>
      <c r="AT22" s="11">
        <v>27.0</v>
      </c>
      <c r="AU22" s="11">
        <v>29.0</v>
      </c>
      <c r="AV22" s="11">
        <v>29.0</v>
      </c>
      <c r="AW22" s="11">
        <v>24.0</v>
      </c>
      <c r="AX22" s="10">
        <v>42.0</v>
      </c>
      <c r="AY22" s="10">
        <v>48.0</v>
      </c>
      <c r="AZ22" s="11">
        <v>19.0</v>
      </c>
    </row>
    <row r="23">
      <c r="A23" s="4">
        <v>1.0</v>
      </c>
      <c r="B23" s="5" t="s">
        <v>129</v>
      </c>
      <c r="C23" s="5" t="s">
        <v>130</v>
      </c>
      <c r="D23" s="6" t="s">
        <v>131</v>
      </c>
      <c r="E23" s="6" t="s">
        <v>90</v>
      </c>
      <c r="F23" s="6" t="s">
        <v>91</v>
      </c>
      <c r="G23" s="6">
        <v>17.89502</v>
      </c>
      <c r="H23" s="6">
        <v>-66.5284</v>
      </c>
      <c r="I23" s="6">
        <v>10.0</v>
      </c>
      <c r="J23" s="6">
        <v>6.0</v>
      </c>
      <c r="K23" s="6">
        <v>12.0</v>
      </c>
      <c r="L23" s="6">
        <v>2023.0</v>
      </c>
      <c r="M23" s="6" t="s">
        <v>128</v>
      </c>
      <c r="N23" s="6" t="s">
        <v>58</v>
      </c>
      <c r="O23" s="6" t="s">
        <v>65</v>
      </c>
      <c r="P23" s="6" t="s">
        <v>81</v>
      </c>
      <c r="Q23" s="6" t="s">
        <v>60</v>
      </c>
      <c r="R23" s="7">
        <v>0.5201388888888889</v>
      </c>
      <c r="S23" s="7">
        <v>0.5333333333333333</v>
      </c>
      <c r="T23" s="8">
        <v>29.73</v>
      </c>
      <c r="U23" s="8">
        <v>0.8</v>
      </c>
      <c r="V23" s="8">
        <v>37.17</v>
      </c>
      <c r="W23" s="8">
        <v>0.67</v>
      </c>
      <c r="X23" s="8">
        <v>6.61</v>
      </c>
      <c r="Y23" s="8">
        <v>0.68</v>
      </c>
      <c r="Z23" s="8">
        <v>8.1</v>
      </c>
      <c r="AA23" s="8">
        <v>0.76</v>
      </c>
      <c r="AB23" s="8">
        <v>29.66</v>
      </c>
      <c r="AC23" s="8">
        <v>7.96</v>
      </c>
      <c r="AD23" s="8">
        <v>37.29</v>
      </c>
      <c r="AE23" s="8">
        <v>8.18</v>
      </c>
      <c r="AF23" s="8">
        <v>6.71</v>
      </c>
      <c r="AG23" s="8">
        <v>7.86</v>
      </c>
      <c r="AH23" s="8">
        <v>8.13</v>
      </c>
      <c r="AI23" s="8">
        <v>7.5</v>
      </c>
      <c r="AJ23" s="8">
        <v>8.0</v>
      </c>
      <c r="AK23" s="8">
        <v>8.0</v>
      </c>
      <c r="AL23" s="8">
        <v>8.0</v>
      </c>
      <c r="AM23" s="8">
        <v>1.0</v>
      </c>
      <c r="AN23" s="8">
        <v>1.0</v>
      </c>
      <c r="AO23" s="8">
        <v>7.5</v>
      </c>
      <c r="AP23" s="10">
        <v>128.0</v>
      </c>
      <c r="AQ23" s="10">
        <v>129.0</v>
      </c>
      <c r="AR23" s="11">
        <v>59.0</v>
      </c>
      <c r="AS23" s="11">
        <v>60.0</v>
      </c>
      <c r="AT23" s="11">
        <v>31.0</v>
      </c>
      <c r="AU23" s="11">
        <v>28.0</v>
      </c>
      <c r="AV23" s="11">
        <v>31.0</v>
      </c>
      <c r="AW23" s="11">
        <v>26.0</v>
      </c>
      <c r="AX23" s="10">
        <v>45.0</v>
      </c>
      <c r="AY23" s="10">
        <v>51.0</v>
      </c>
      <c r="AZ23" s="11">
        <v>22.0</v>
      </c>
    </row>
    <row r="24">
      <c r="A24" s="4">
        <v>1.0</v>
      </c>
      <c r="B24" s="5" t="s">
        <v>132</v>
      </c>
      <c r="C24" s="5" t="s">
        <v>130</v>
      </c>
      <c r="D24" s="6" t="s">
        <v>133</v>
      </c>
      <c r="E24" s="6" t="s">
        <v>90</v>
      </c>
      <c r="F24" s="6" t="s">
        <v>91</v>
      </c>
      <c r="G24" s="6">
        <v>17.904</v>
      </c>
      <c r="H24" s="6">
        <v>-66.6086</v>
      </c>
      <c r="I24" s="6">
        <v>20.0</v>
      </c>
      <c r="J24" s="6">
        <v>6.0</v>
      </c>
      <c r="K24" s="6">
        <v>12.0</v>
      </c>
      <c r="L24" s="6">
        <v>2023.0</v>
      </c>
      <c r="M24" s="6" t="s">
        <v>128</v>
      </c>
      <c r="N24" s="6" t="s">
        <v>58</v>
      </c>
      <c r="O24" s="6" t="s">
        <v>65</v>
      </c>
      <c r="P24" s="6" t="s">
        <v>81</v>
      </c>
      <c r="Q24" s="6" t="s">
        <v>60</v>
      </c>
      <c r="R24" s="7">
        <v>0.5923611111111111</v>
      </c>
      <c r="S24" s="7">
        <v>0.6083333333333333</v>
      </c>
      <c r="T24" s="8">
        <v>29.63</v>
      </c>
      <c r="U24" s="8">
        <v>0.71</v>
      </c>
      <c r="V24" s="8">
        <v>37.07</v>
      </c>
      <c r="W24" s="8">
        <v>0.74</v>
      </c>
      <c r="X24" s="8">
        <v>6.44</v>
      </c>
      <c r="Y24" s="8">
        <v>0.73</v>
      </c>
      <c r="Z24" s="8">
        <v>8.14</v>
      </c>
      <c r="AA24" s="8">
        <v>0.73</v>
      </c>
      <c r="AB24" s="8">
        <v>29.54</v>
      </c>
      <c r="AC24" s="8">
        <v>16.5</v>
      </c>
      <c r="AD24" s="8">
        <v>37.16</v>
      </c>
      <c r="AE24" s="8">
        <v>17.1</v>
      </c>
      <c r="AF24" s="8">
        <v>6.58</v>
      </c>
      <c r="AG24" s="8">
        <v>16.65</v>
      </c>
      <c r="AH24" s="8">
        <v>8.14</v>
      </c>
      <c r="AI24" s="8">
        <v>16.65</v>
      </c>
      <c r="AJ24" s="8">
        <v>13.0</v>
      </c>
      <c r="AK24" s="8">
        <v>13.0</v>
      </c>
      <c r="AL24" s="8">
        <v>13.0</v>
      </c>
      <c r="AM24" s="8">
        <v>0.0</v>
      </c>
      <c r="AN24" s="8">
        <v>1.0</v>
      </c>
      <c r="AO24" s="8">
        <v>16.5</v>
      </c>
      <c r="AP24" s="10">
        <v>120.0</v>
      </c>
      <c r="AQ24" s="10">
        <v>121.0</v>
      </c>
      <c r="AR24" s="11">
        <v>62.0</v>
      </c>
      <c r="AS24" s="11">
        <v>61.0</v>
      </c>
      <c r="AT24" s="11">
        <v>32.0</v>
      </c>
      <c r="AU24" s="11">
        <v>32.0</v>
      </c>
      <c r="AV24" s="11">
        <v>32.0</v>
      </c>
      <c r="AW24" s="11">
        <v>29.0</v>
      </c>
      <c r="AX24" s="10">
        <v>41.0</v>
      </c>
      <c r="AY24" s="10">
        <v>47.0</v>
      </c>
      <c r="AZ24" s="11">
        <v>23.0</v>
      </c>
    </row>
    <row r="25">
      <c r="A25" s="4">
        <v>1.0</v>
      </c>
      <c r="B25" s="5" t="s">
        <v>132</v>
      </c>
      <c r="C25" s="5" t="s">
        <v>130</v>
      </c>
      <c r="D25" s="6" t="s">
        <v>134</v>
      </c>
      <c r="E25" s="6" t="s">
        <v>90</v>
      </c>
      <c r="F25" s="6" t="s">
        <v>91</v>
      </c>
      <c r="G25" s="6">
        <v>17.904</v>
      </c>
      <c r="H25" s="6">
        <v>-66.6086</v>
      </c>
      <c r="I25" s="6">
        <v>20.0</v>
      </c>
      <c r="J25" s="6">
        <v>6.0</v>
      </c>
      <c r="K25" s="6">
        <v>12.0</v>
      </c>
      <c r="L25" s="6">
        <v>2023.0</v>
      </c>
      <c r="M25" s="6" t="s">
        <v>128</v>
      </c>
      <c r="N25" s="6" t="s">
        <v>58</v>
      </c>
      <c r="O25" s="6" t="s">
        <v>65</v>
      </c>
      <c r="P25" s="6" t="s">
        <v>81</v>
      </c>
      <c r="Q25" s="6" t="s">
        <v>60</v>
      </c>
      <c r="R25" s="7">
        <v>0.6104166666666667</v>
      </c>
      <c r="S25" s="7">
        <v>0.6236111111111111</v>
      </c>
      <c r="T25" s="8">
        <v>29.64</v>
      </c>
      <c r="U25" s="8">
        <v>0.53</v>
      </c>
      <c r="V25" s="8">
        <v>37.13</v>
      </c>
      <c r="W25" s="8">
        <v>0.58</v>
      </c>
      <c r="X25" s="8">
        <v>6.52</v>
      </c>
      <c r="Y25" s="8">
        <v>0.6</v>
      </c>
      <c r="Z25" s="8">
        <v>8.13</v>
      </c>
      <c r="AA25" s="8">
        <v>0.59</v>
      </c>
      <c r="AB25" s="8">
        <v>29.54</v>
      </c>
      <c r="AC25" s="8">
        <v>16.13</v>
      </c>
      <c r="AD25" s="8">
        <v>37.12</v>
      </c>
      <c r="AE25" s="8">
        <v>16.2</v>
      </c>
      <c r="AF25" s="8">
        <v>6.47</v>
      </c>
      <c r="AG25" s="8">
        <v>16.3</v>
      </c>
      <c r="AH25" s="8">
        <v>8.14</v>
      </c>
      <c r="AI25" s="8">
        <v>16.33</v>
      </c>
      <c r="AJ25" s="8">
        <v>13.0</v>
      </c>
      <c r="AK25" s="8">
        <v>13.0</v>
      </c>
      <c r="AL25" s="8">
        <v>13.0</v>
      </c>
      <c r="AM25" s="8">
        <v>0.0</v>
      </c>
      <c r="AN25" s="8">
        <v>1.0</v>
      </c>
      <c r="AO25" s="8">
        <v>16.0</v>
      </c>
      <c r="AP25" s="10">
        <v>116.0</v>
      </c>
      <c r="AQ25" s="10">
        <v>117.0</v>
      </c>
      <c r="AR25" s="11">
        <v>48.0</v>
      </c>
      <c r="AS25" s="11">
        <v>47.0</v>
      </c>
      <c r="AT25" s="11">
        <v>22.0</v>
      </c>
      <c r="AU25" s="11">
        <v>23.0</v>
      </c>
      <c r="AV25" s="11">
        <v>25.0</v>
      </c>
      <c r="AW25" s="11">
        <v>21.0</v>
      </c>
      <c r="AX25" s="10">
        <v>39.0</v>
      </c>
      <c r="AY25" s="10">
        <v>45.0</v>
      </c>
      <c r="AZ25" s="11">
        <v>24.0</v>
      </c>
    </row>
    <row r="26">
      <c r="A26" s="4">
        <v>1.0</v>
      </c>
      <c r="B26" s="5" t="s">
        <v>135</v>
      </c>
      <c r="C26" s="5" t="s">
        <v>125</v>
      </c>
      <c r="D26" s="6" t="s">
        <v>136</v>
      </c>
      <c r="E26" s="6" t="s">
        <v>127</v>
      </c>
      <c r="F26" s="6" t="s">
        <v>91</v>
      </c>
      <c r="G26" s="6">
        <v>17.9346</v>
      </c>
      <c r="H26" s="6">
        <v>-66.3025</v>
      </c>
      <c r="I26" s="6">
        <v>5.0</v>
      </c>
      <c r="J26" s="6">
        <v>6.0</v>
      </c>
      <c r="K26" s="6">
        <v>12.0</v>
      </c>
      <c r="L26" s="6">
        <v>2023.0</v>
      </c>
      <c r="M26" s="6" t="s">
        <v>128</v>
      </c>
      <c r="N26" s="6" t="s">
        <v>58</v>
      </c>
      <c r="O26" s="6" t="s">
        <v>65</v>
      </c>
      <c r="P26" s="6" t="s">
        <v>81</v>
      </c>
      <c r="Q26" s="6" t="s">
        <v>60</v>
      </c>
      <c r="R26" s="7">
        <v>0.4548611111111111</v>
      </c>
      <c r="S26" s="7">
        <v>0.47152777777777777</v>
      </c>
      <c r="T26" s="8">
        <v>30.41</v>
      </c>
      <c r="U26" s="8">
        <v>0.82</v>
      </c>
      <c r="V26" s="8">
        <v>37.12</v>
      </c>
      <c r="W26" s="8">
        <v>0.8</v>
      </c>
      <c r="X26" s="8">
        <v>6.41</v>
      </c>
      <c r="Y26" s="8">
        <v>0.77</v>
      </c>
      <c r="Z26" s="8">
        <v>8.01</v>
      </c>
      <c r="AA26" s="8">
        <v>0.79</v>
      </c>
      <c r="AB26" s="8">
        <v>30.27</v>
      </c>
      <c r="AC26" s="8">
        <v>4.82</v>
      </c>
      <c r="AD26" s="8">
        <v>37.17</v>
      </c>
      <c r="AE26" s="8">
        <v>4.85</v>
      </c>
      <c r="AF26" s="8">
        <v>6.18</v>
      </c>
      <c r="AG26" s="8">
        <v>4.84</v>
      </c>
      <c r="AH26" s="8">
        <v>8.05</v>
      </c>
      <c r="AI26" s="8">
        <v>4.82</v>
      </c>
      <c r="AJ26" s="8">
        <v>4.0</v>
      </c>
      <c r="AK26" s="8">
        <v>4.0</v>
      </c>
      <c r="AL26" s="8">
        <v>4.0</v>
      </c>
      <c r="AM26" s="8">
        <v>1.0</v>
      </c>
      <c r="AN26" s="8">
        <v>1.0</v>
      </c>
      <c r="AO26" s="8">
        <v>4.5</v>
      </c>
      <c r="AP26" s="10">
        <v>126.0</v>
      </c>
      <c r="AQ26" s="10">
        <v>127.0</v>
      </c>
      <c r="AR26" s="11">
        <v>52.0</v>
      </c>
      <c r="AS26" s="11">
        <v>51.0</v>
      </c>
      <c r="AT26" s="11">
        <v>24.0</v>
      </c>
      <c r="AU26" s="11">
        <v>25.0</v>
      </c>
      <c r="AV26" s="11">
        <v>27.0</v>
      </c>
      <c r="AW26" s="11">
        <v>23.0</v>
      </c>
      <c r="AX26" s="10">
        <v>44.0</v>
      </c>
      <c r="AY26" s="10">
        <v>50.0</v>
      </c>
      <c r="AZ26" s="11">
        <v>20.0</v>
      </c>
    </row>
    <row r="27">
      <c r="A27" s="4">
        <v>1.0</v>
      </c>
      <c r="B27" s="5" t="s">
        <v>135</v>
      </c>
      <c r="C27" s="5" t="s">
        <v>125</v>
      </c>
      <c r="D27" s="6" t="s">
        <v>137</v>
      </c>
      <c r="E27" s="6" t="s">
        <v>127</v>
      </c>
      <c r="F27" s="6" t="s">
        <v>91</v>
      </c>
      <c r="G27" s="6">
        <v>17.9346</v>
      </c>
      <c r="H27" s="6">
        <v>-66.3025</v>
      </c>
      <c r="I27" s="6">
        <v>5.0</v>
      </c>
      <c r="J27" s="6">
        <v>6.0</v>
      </c>
      <c r="K27" s="6">
        <v>12.0</v>
      </c>
      <c r="L27" s="6">
        <v>2023.0</v>
      </c>
      <c r="M27" s="6" t="s">
        <v>128</v>
      </c>
      <c r="N27" s="6" t="s">
        <v>58</v>
      </c>
      <c r="O27" s="6" t="s">
        <v>65</v>
      </c>
      <c r="P27" s="6" t="s">
        <v>81</v>
      </c>
      <c r="Q27" s="6" t="s">
        <v>60</v>
      </c>
      <c r="R27" s="7">
        <v>0.4722222222222222</v>
      </c>
      <c r="S27" s="7">
        <v>0.48541666666666666</v>
      </c>
      <c r="T27" s="8">
        <v>-999.0</v>
      </c>
      <c r="U27" s="8">
        <v>-999.0</v>
      </c>
      <c r="V27" s="8">
        <v>-999.0</v>
      </c>
      <c r="W27" s="8">
        <v>-999.0</v>
      </c>
      <c r="X27" s="8">
        <v>-999.0</v>
      </c>
      <c r="Y27" s="8">
        <v>-999.0</v>
      </c>
      <c r="Z27" s="8">
        <v>-999.0</v>
      </c>
      <c r="AA27" s="8">
        <v>-999.0</v>
      </c>
      <c r="AB27" s="8">
        <v>-999.0</v>
      </c>
      <c r="AC27" s="8">
        <v>-999.0</v>
      </c>
      <c r="AD27" s="8">
        <v>-999.0</v>
      </c>
      <c r="AE27" s="8">
        <v>-999.0</v>
      </c>
      <c r="AF27" s="8">
        <v>-999.0</v>
      </c>
      <c r="AG27" s="8">
        <v>-999.0</v>
      </c>
      <c r="AH27" s="8">
        <v>-999.0</v>
      </c>
      <c r="AI27" s="8">
        <v>-999.0</v>
      </c>
      <c r="AJ27" s="8">
        <v>4.0</v>
      </c>
      <c r="AK27" s="8">
        <v>4.0</v>
      </c>
      <c r="AL27" s="8">
        <v>4.0</v>
      </c>
      <c r="AM27" s="8">
        <v>1.0</v>
      </c>
      <c r="AN27" s="8">
        <v>1.0</v>
      </c>
      <c r="AO27" s="8">
        <v>4.5</v>
      </c>
      <c r="AP27" s="10">
        <v>130.0</v>
      </c>
      <c r="AQ27" s="10">
        <v>131.0</v>
      </c>
      <c r="AR27" s="11">
        <v>57.0</v>
      </c>
      <c r="AS27" s="11">
        <v>58.0</v>
      </c>
      <c r="AT27" s="11">
        <v>29.0</v>
      </c>
      <c r="AU27" s="11">
        <v>27.0</v>
      </c>
      <c r="AV27" s="11">
        <v>30.0</v>
      </c>
      <c r="AW27" s="11">
        <v>25.0</v>
      </c>
      <c r="AX27" s="10">
        <v>46.0</v>
      </c>
      <c r="AY27" s="10">
        <v>52.0</v>
      </c>
      <c r="AZ27" s="11">
        <v>21.0</v>
      </c>
    </row>
    <row r="28">
      <c r="A28" s="4">
        <v>1.0</v>
      </c>
      <c r="B28" s="5" t="s">
        <v>138</v>
      </c>
      <c r="C28" s="5" t="s">
        <v>139</v>
      </c>
      <c r="D28" s="6" t="s">
        <v>140</v>
      </c>
      <c r="E28" s="6" t="s">
        <v>141</v>
      </c>
      <c r="F28" s="6" t="s">
        <v>78</v>
      </c>
      <c r="G28" s="6">
        <v>18.382</v>
      </c>
      <c r="H28" s="6">
        <v>-67.4883</v>
      </c>
      <c r="I28" s="6">
        <v>15.0</v>
      </c>
      <c r="J28" s="6">
        <v>6.0</v>
      </c>
      <c r="K28" s="6">
        <v>14.0</v>
      </c>
      <c r="L28" s="6">
        <v>2023.0</v>
      </c>
      <c r="M28" s="6" t="s">
        <v>142</v>
      </c>
      <c r="N28" s="6" t="s">
        <v>80</v>
      </c>
      <c r="O28" s="6" t="s">
        <v>65</v>
      </c>
      <c r="P28" s="6" t="s">
        <v>143</v>
      </c>
      <c r="Q28" s="6" t="s">
        <v>60</v>
      </c>
      <c r="R28" s="7">
        <v>0.3611111111111111</v>
      </c>
      <c r="S28" s="7">
        <v>0.37083333333333335</v>
      </c>
      <c r="T28" s="8">
        <v>29.03</v>
      </c>
      <c r="U28" s="8">
        <v>0.65</v>
      </c>
      <c r="V28" s="8">
        <v>37.42</v>
      </c>
      <c r="W28" s="8">
        <v>0.6</v>
      </c>
      <c r="X28" s="8">
        <v>6.48</v>
      </c>
      <c r="Y28" s="8">
        <v>0.65</v>
      </c>
      <c r="Z28" s="8">
        <v>7.6</v>
      </c>
      <c r="AA28" s="8">
        <v>0.66</v>
      </c>
      <c r="AB28" s="8">
        <v>29.06</v>
      </c>
      <c r="AC28" s="8">
        <v>12.72</v>
      </c>
      <c r="AD28" s="8">
        <v>37.08</v>
      </c>
      <c r="AE28" s="8">
        <v>12.7</v>
      </c>
      <c r="AF28" s="8">
        <v>6.37</v>
      </c>
      <c r="AG28" s="8">
        <v>12.68</v>
      </c>
      <c r="AH28" s="8">
        <v>8.15</v>
      </c>
      <c r="AI28" s="8">
        <v>12.65</v>
      </c>
      <c r="AJ28" s="8">
        <v>15.0</v>
      </c>
      <c r="AK28" s="8">
        <v>15.0</v>
      </c>
      <c r="AL28" s="8">
        <v>15.0</v>
      </c>
      <c r="AM28" s="8">
        <v>1.0</v>
      </c>
      <c r="AN28" s="8">
        <v>1.0</v>
      </c>
      <c r="AO28" s="8">
        <v>12.5</v>
      </c>
      <c r="AP28" s="10">
        <v>134.0</v>
      </c>
      <c r="AQ28" s="10">
        <v>135.0</v>
      </c>
      <c r="AR28" s="11">
        <v>66.0</v>
      </c>
      <c r="AS28" s="11">
        <v>65.0</v>
      </c>
      <c r="AT28" s="11">
        <v>28.0</v>
      </c>
      <c r="AU28" s="11">
        <v>31.0</v>
      </c>
      <c r="AV28" s="11">
        <v>34.0</v>
      </c>
      <c r="AW28" s="11">
        <v>31.0</v>
      </c>
      <c r="AX28" s="10">
        <v>47.0</v>
      </c>
      <c r="AY28" s="10">
        <v>53.0</v>
      </c>
      <c r="AZ28" s="11">
        <v>25.0</v>
      </c>
    </row>
    <row r="29">
      <c r="A29" s="4">
        <v>1.0</v>
      </c>
      <c r="B29" s="5" t="s">
        <v>144</v>
      </c>
      <c r="C29" s="5" t="s">
        <v>139</v>
      </c>
      <c r="D29" s="6" t="s">
        <v>145</v>
      </c>
      <c r="E29" s="6" t="s">
        <v>141</v>
      </c>
      <c r="F29" s="6" t="s">
        <v>78</v>
      </c>
      <c r="G29" s="6">
        <v>18.38158</v>
      </c>
      <c r="H29" s="6">
        <v>-67.4886</v>
      </c>
      <c r="I29" s="6">
        <v>20.0</v>
      </c>
      <c r="J29" s="6">
        <v>6.0</v>
      </c>
      <c r="K29" s="6">
        <v>14.0</v>
      </c>
      <c r="L29" s="6">
        <v>2023.0</v>
      </c>
      <c r="M29" s="6" t="s">
        <v>142</v>
      </c>
      <c r="N29" s="6" t="s">
        <v>80</v>
      </c>
      <c r="O29" s="6" t="s">
        <v>65</v>
      </c>
      <c r="P29" s="6" t="s">
        <v>143</v>
      </c>
      <c r="Q29" s="6" t="s">
        <v>60</v>
      </c>
      <c r="R29" s="7">
        <v>0.38055555555555554</v>
      </c>
      <c r="S29" s="7">
        <v>0.4</v>
      </c>
      <c r="T29" s="8">
        <v>28.98</v>
      </c>
      <c r="U29" s="8">
        <v>0.73</v>
      </c>
      <c r="V29" s="8">
        <v>37.3</v>
      </c>
      <c r="W29" s="8">
        <v>0.72</v>
      </c>
      <c r="X29" s="8">
        <v>6.51</v>
      </c>
      <c r="Y29" s="8">
        <v>0.74</v>
      </c>
      <c r="Z29" s="8">
        <v>8.1</v>
      </c>
      <c r="AA29" s="8">
        <v>0.73</v>
      </c>
      <c r="AB29" s="8">
        <v>29.07</v>
      </c>
      <c r="AC29" s="8">
        <v>19.5</v>
      </c>
      <c r="AD29" s="8">
        <v>37.03</v>
      </c>
      <c r="AE29" s="8">
        <v>19.5</v>
      </c>
      <c r="AF29" s="8">
        <v>6.31</v>
      </c>
      <c r="AG29" s="8">
        <v>19.48</v>
      </c>
      <c r="AH29" s="8">
        <v>8.2</v>
      </c>
      <c r="AI29" s="8">
        <v>19.4</v>
      </c>
      <c r="AJ29" s="8">
        <v>23.0</v>
      </c>
      <c r="AK29" s="8">
        <v>23.0</v>
      </c>
      <c r="AL29" s="8">
        <v>23.0</v>
      </c>
      <c r="AM29" s="8">
        <v>1.0</v>
      </c>
      <c r="AN29" s="8">
        <v>1.0</v>
      </c>
      <c r="AO29" s="8">
        <v>19.5</v>
      </c>
      <c r="AP29" s="10">
        <v>125.0</v>
      </c>
      <c r="AQ29" s="10">
        <v>124.0</v>
      </c>
      <c r="AR29" s="11">
        <v>53.0</v>
      </c>
      <c r="AS29" s="11">
        <v>54.0</v>
      </c>
      <c r="AT29" s="11">
        <v>26.0</v>
      </c>
      <c r="AU29" s="11">
        <v>26.0</v>
      </c>
      <c r="AV29" s="11">
        <v>28.0</v>
      </c>
      <c r="AW29" s="11">
        <v>27.0</v>
      </c>
      <c r="AX29" s="10">
        <v>43.0</v>
      </c>
      <c r="AY29" s="10">
        <v>49.0</v>
      </c>
      <c r="AZ29" s="11">
        <v>29.0</v>
      </c>
    </row>
    <row r="30">
      <c r="A30" s="4">
        <v>1.0</v>
      </c>
      <c r="B30" s="5" t="s">
        <v>146</v>
      </c>
      <c r="C30" s="5" t="s">
        <v>139</v>
      </c>
      <c r="D30" s="6" t="s">
        <v>147</v>
      </c>
      <c r="E30" s="6" t="s">
        <v>141</v>
      </c>
      <c r="F30" s="6" t="s">
        <v>78</v>
      </c>
      <c r="G30" s="6">
        <v>18.37747</v>
      </c>
      <c r="H30" s="6">
        <v>-67.484</v>
      </c>
      <c r="I30" s="6">
        <v>30.0</v>
      </c>
      <c r="J30" s="6">
        <v>6.0</v>
      </c>
      <c r="K30" s="6">
        <v>14.0</v>
      </c>
      <c r="L30" s="6">
        <v>2023.0</v>
      </c>
      <c r="M30" s="6" t="s">
        <v>142</v>
      </c>
      <c r="N30" s="6" t="s">
        <v>80</v>
      </c>
      <c r="O30" s="6" t="s">
        <v>65</v>
      </c>
      <c r="P30" s="6" t="s">
        <v>143</v>
      </c>
      <c r="Q30" s="6" t="s">
        <v>60</v>
      </c>
      <c r="R30" s="7">
        <v>0.40625</v>
      </c>
      <c r="S30" s="7">
        <v>0.43194444444444446</v>
      </c>
      <c r="T30" s="8">
        <v>29.13</v>
      </c>
      <c r="U30" s="8">
        <v>0.79</v>
      </c>
      <c r="V30" s="8">
        <v>36.98</v>
      </c>
      <c r="W30" s="8">
        <v>0.7</v>
      </c>
      <c r="X30" s="8">
        <v>6.5</v>
      </c>
      <c r="Y30" s="8">
        <v>0.78</v>
      </c>
      <c r="Z30" s="8">
        <v>8.2</v>
      </c>
      <c r="AA30" s="8">
        <v>0.78</v>
      </c>
      <c r="AB30" s="8">
        <v>29.0</v>
      </c>
      <c r="AC30" s="8">
        <v>25.7</v>
      </c>
      <c r="AD30" s="8">
        <v>37.06</v>
      </c>
      <c r="AE30" s="8">
        <v>25.45</v>
      </c>
      <c r="AF30" s="8">
        <v>6.41</v>
      </c>
      <c r="AG30" s="8">
        <v>25.51</v>
      </c>
      <c r="AH30" s="8">
        <v>8.21</v>
      </c>
      <c r="AI30" s="8">
        <v>25.49</v>
      </c>
      <c r="AJ30" s="8">
        <v>31.0</v>
      </c>
      <c r="AK30" s="8">
        <v>31.0</v>
      </c>
      <c r="AL30" s="8">
        <v>31.0</v>
      </c>
      <c r="AM30" s="8">
        <v>1.0</v>
      </c>
      <c r="AN30" s="8">
        <v>1.0</v>
      </c>
      <c r="AO30" s="8">
        <v>25.5</v>
      </c>
      <c r="AP30" s="10">
        <v>136.0</v>
      </c>
      <c r="AQ30" s="10">
        <v>137.0</v>
      </c>
      <c r="AR30" s="11">
        <v>68.0</v>
      </c>
      <c r="AS30" s="11">
        <v>67.0</v>
      </c>
      <c r="AT30" s="11">
        <v>30.0</v>
      </c>
      <c r="AU30" s="11">
        <v>33.0</v>
      </c>
      <c r="AV30" s="11">
        <v>35.0</v>
      </c>
      <c r="AW30" s="11">
        <v>32.0</v>
      </c>
      <c r="AX30" s="10">
        <v>49.0</v>
      </c>
      <c r="AY30" s="10">
        <v>55.0</v>
      </c>
      <c r="AZ30" s="11">
        <v>26.0</v>
      </c>
    </row>
    <row r="31">
      <c r="A31" s="4">
        <v>1.0</v>
      </c>
      <c r="B31" s="5" t="s">
        <v>148</v>
      </c>
      <c r="C31" s="5" t="s">
        <v>149</v>
      </c>
      <c r="D31" s="6" t="s">
        <v>150</v>
      </c>
      <c r="E31" s="6" t="s">
        <v>77</v>
      </c>
      <c r="F31" s="6" t="s">
        <v>78</v>
      </c>
      <c r="G31" s="6">
        <v>18.35072</v>
      </c>
      <c r="H31" s="6">
        <v>-67.2669</v>
      </c>
      <c r="I31" s="6">
        <v>5.0</v>
      </c>
      <c r="J31" s="6">
        <v>6.0</v>
      </c>
      <c r="K31" s="6">
        <v>20.0</v>
      </c>
      <c r="L31" s="6">
        <v>2023.0</v>
      </c>
      <c r="M31" s="6" t="s">
        <v>151</v>
      </c>
      <c r="N31" s="10">
        <v>-999.0</v>
      </c>
      <c r="O31" s="6" t="s">
        <v>60</v>
      </c>
      <c r="P31" s="10">
        <v>-999.0</v>
      </c>
      <c r="Q31" s="10">
        <v>-999.0</v>
      </c>
      <c r="R31" s="7">
        <v>0.3388888888888889</v>
      </c>
      <c r="S31" s="7">
        <v>0.3402777777777778</v>
      </c>
      <c r="T31" s="8">
        <v>29.08</v>
      </c>
      <c r="U31" s="8">
        <v>0.99</v>
      </c>
      <c r="V31" s="8">
        <v>37.19</v>
      </c>
      <c r="W31" s="8">
        <v>0.99</v>
      </c>
      <c r="X31" s="8">
        <v>5.89</v>
      </c>
      <c r="Y31" s="8">
        <v>0.99</v>
      </c>
      <c r="Z31" s="8">
        <v>7.73</v>
      </c>
      <c r="AA31" s="8">
        <v>0.99</v>
      </c>
      <c r="AB31" s="8">
        <v>29.13</v>
      </c>
      <c r="AC31" s="8">
        <v>2.33</v>
      </c>
      <c r="AD31" s="8">
        <v>37.11</v>
      </c>
      <c r="AE31" s="8">
        <v>2.33</v>
      </c>
      <c r="AF31" s="8">
        <v>5.91</v>
      </c>
      <c r="AG31" s="8">
        <v>2.33</v>
      </c>
      <c r="AH31" s="8">
        <v>8.15</v>
      </c>
      <c r="AI31" s="8">
        <v>2.33</v>
      </c>
      <c r="AJ31" s="10">
        <v>-999.0</v>
      </c>
      <c r="AK31" s="10">
        <v>-999.0</v>
      </c>
      <c r="AL31" s="10">
        <v>-999.0</v>
      </c>
      <c r="AM31" s="10">
        <v>-999.0</v>
      </c>
      <c r="AN31" s="10">
        <v>-999.0</v>
      </c>
      <c r="AO31" s="10">
        <v>-999.0</v>
      </c>
      <c r="AP31" s="10">
        <v>-999.0</v>
      </c>
      <c r="AQ31" s="10">
        <v>-999.0</v>
      </c>
      <c r="AR31" s="11">
        <v>-999.0</v>
      </c>
      <c r="AS31" s="11">
        <v>-999.0</v>
      </c>
      <c r="AT31" s="11">
        <v>-999.0</v>
      </c>
      <c r="AU31" s="11">
        <v>-999.0</v>
      </c>
      <c r="AV31" s="11">
        <v>-999.0</v>
      </c>
      <c r="AW31" s="11">
        <v>-999.0</v>
      </c>
      <c r="AX31" s="10">
        <v>-999.0</v>
      </c>
      <c r="AY31" s="10">
        <v>-999.0</v>
      </c>
      <c r="AZ31" s="11">
        <v>-999.0</v>
      </c>
    </row>
    <row r="32">
      <c r="A32" s="4">
        <v>1.0</v>
      </c>
      <c r="B32" s="5" t="s">
        <v>152</v>
      </c>
      <c r="C32" s="5" t="s">
        <v>149</v>
      </c>
      <c r="D32" s="6" t="s">
        <v>153</v>
      </c>
      <c r="E32" s="6" t="s">
        <v>77</v>
      </c>
      <c r="F32" s="6" t="s">
        <v>78</v>
      </c>
      <c r="G32" s="6">
        <v>18.34732</v>
      </c>
      <c r="H32" s="6">
        <v>-67.27</v>
      </c>
      <c r="I32" s="6">
        <v>10.0</v>
      </c>
      <c r="J32" s="6">
        <v>6.0</v>
      </c>
      <c r="K32" s="6">
        <v>20.0</v>
      </c>
      <c r="L32" s="6">
        <v>2023.0</v>
      </c>
      <c r="M32" s="6" t="s">
        <v>151</v>
      </c>
      <c r="N32" s="10">
        <v>-999.0</v>
      </c>
      <c r="O32" s="6" t="s">
        <v>60</v>
      </c>
      <c r="P32" s="10">
        <v>-999.0</v>
      </c>
      <c r="Q32" s="10">
        <v>-999.0</v>
      </c>
      <c r="R32" s="7">
        <v>0.3486111111111111</v>
      </c>
      <c r="S32" s="7">
        <v>0.3506944444444444</v>
      </c>
      <c r="T32" s="8">
        <v>29.07</v>
      </c>
      <c r="U32" s="8">
        <v>0.94</v>
      </c>
      <c r="V32" s="8">
        <v>37.42</v>
      </c>
      <c r="W32" s="8">
        <v>0.94</v>
      </c>
      <c r="X32" s="8">
        <v>6.17</v>
      </c>
      <c r="Y32" s="8">
        <v>0.94</v>
      </c>
      <c r="Z32" s="8">
        <v>8.05</v>
      </c>
      <c r="AA32" s="8">
        <v>0.94</v>
      </c>
      <c r="AB32" s="8">
        <v>29.2</v>
      </c>
      <c r="AC32" s="8">
        <v>13.57</v>
      </c>
      <c r="AD32" s="8">
        <v>37.25</v>
      </c>
      <c r="AE32" s="8">
        <v>13.57</v>
      </c>
      <c r="AF32" s="8">
        <v>6.12</v>
      </c>
      <c r="AG32" s="8">
        <v>13.57</v>
      </c>
      <c r="AH32" s="8">
        <v>8.21</v>
      </c>
      <c r="AI32" s="8">
        <v>13.57</v>
      </c>
      <c r="AJ32" s="10">
        <v>-999.0</v>
      </c>
      <c r="AK32" s="10">
        <v>-999.0</v>
      </c>
      <c r="AL32" s="10">
        <v>-999.0</v>
      </c>
      <c r="AM32" s="10">
        <v>-999.0</v>
      </c>
      <c r="AN32" s="10">
        <v>-999.0</v>
      </c>
      <c r="AO32" s="10">
        <v>-999.0</v>
      </c>
      <c r="AP32" s="10">
        <v>-999.0</v>
      </c>
      <c r="AQ32" s="10">
        <v>-999.0</v>
      </c>
      <c r="AR32" s="11">
        <v>-999.0</v>
      </c>
      <c r="AS32" s="11">
        <v>-999.0</v>
      </c>
      <c r="AT32" s="11">
        <v>-999.0</v>
      </c>
      <c r="AU32" s="11">
        <v>-999.0</v>
      </c>
      <c r="AV32" s="11">
        <v>-999.0</v>
      </c>
      <c r="AW32" s="11">
        <v>-999.0</v>
      </c>
      <c r="AX32" s="10">
        <v>-999.0</v>
      </c>
      <c r="AY32" s="10">
        <v>-999.0</v>
      </c>
      <c r="AZ32" s="11">
        <v>-999.0</v>
      </c>
    </row>
    <row r="33">
      <c r="A33" s="4">
        <v>1.0</v>
      </c>
      <c r="B33" s="5" t="s">
        <v>154</v>
      </c>
      <c r="C33" s="5" t="s">
        <v>149</v>
      </c>
      <c r="D33" s="6" t="s">
        <v>155</v>
      </c>
      <c r="E33" s="6" t="s">
        <v>77</v>
      </c>
      <c r="F33" s="6" t="s">
        <v>78</v>
      </c>
      <c r="G33" s="6">
        <v>18.34652</v>
      </c>
      <c r="H33" s="6">
        <v>-67.2712</v>
      </c>
      <c r="I33" s="6">
        <v>20.0</v>
      </c>
      <c r="J33" s="6">
        <v>6.0</v>
      </c>
      <c r="K33" s="6">
        <v>20.0</v>
      </c>
      <c r="L33" s="6">
        <v>2023.0</v>
      </c>
      <c r="M33" s="6" t="s">
        <v>151</v>
      </c>
      <c r="N33" s="10">
        <v>-999.0</v>
      </c>
      <c r="O33" s="6" t="s">
        <v>60</v>
      </c>
      <c r="P33" s="10">
        <v>-999.0</v>
      </c>
      <c r="Q33" s="10">
        <v>-999.0</v>
      </c>
      <c r="R33" s="7">
        <v>0.3576388888888889</v>
      </c>
      <c r="S33" s="7">
        <v>0.36319444444444443</v>
      </c>
      <c r="T33" s="8">
        <v>29.2</v>
      </c>
      <c r="U33" s="8">
        <v>1.37</v>
      </c>
      <c r="V33" s="8">
        <v>37.36</v>
      </c>
      <c r="W33" s="8">
        <v>1.37</v>
      </c>
      <c r="X33" s="8">
        <v>6.24</v>
      </c>
      <c r="Y33" s="8">
        <v>1.37</v>
      </c>
      <c r="Z33" s="8">
        <v>8.1</v>
      </c>
      <c r="AA33" s="8">
        <v>1.37</v>
      </c>
      <c r="AB33" s="8">
        <v>29.2</v>
      </c>
      <c r="AC33" s="8">
        <v>22.89</v>
      </c>
      <c r="AD33" s="8">
        <v>36.91</v>
      </c>
      <c r="AE33" s="8">
        <v>22.89</v>
      </c>
      <c r="AF33" s="8">
        <v>6.21</v>
      </c>
      <c r="AG33" s="8">
        <v>22.89</v>
      </c>
      <c r="AH33" s="8">
        <v>8.22</v>
      </c>
      <c r="AI33" s="8">
        <v>22.89</v>
      </c>
      <c r="AJ33" s="10">
        <v>-999.0</v>
      </c>
      <c r="AK33" s="10">
        <v>-999.0</v>
      </c>
      <c r="AL33" s="10">
        <v>-999.0</v>
      </c>
      <c r="AM33" s="10">
        <v>-999.0</v>
      </c>
      <c r="AN33" s="10">
        <v>-999.0</v>
      </c>
      <c r="AO33" s="10">
        <v>-999.0</v>
      </c>
      <c r="AP33" s="10">
        <v>-999.0</v>
      </c>
      <c r="AQ33" s="10">
        <v>-999.0</v>
      </c>
      <c r="AR33" s="11">
        <v>-999.0</v>
      </c>
      <c r="AS33" s="11">
        <v>-999.0</v>
      </c>
      <c r="AT33" s="11">
        <v>-999.0</v>
      </c>
      <c r="AU33" s="11">
        <v>-999.0</v>
      </c>
      <c r="AV33" s="11">
        <v>-999.0</v>
      </c>
      <c r="AW33" s="11">
        <v>-999.0</v>
      </c>
      <c r="AX33" s="10">
        <v>-999.0</v>
      </c>
      <c r="AY33" s="10">
        <v>-999.0</v>
      </c>
      <c r="AZ33" s="11">
        <v>-999.0</v>
      </c>
    </row>
    <row r="34">
      <c r="A34" s="4">
        <v>1.0</v>
      </c>
      <c r="B34" s="5" t="s">
        <v>148</v>
      </c>
      <c r="C34" s="5" t="s">
        <v>149</v>
      </c>
      <c r="D34" s="6" t="s">
        <v>150</v>
      </c>
      <c r="E34" s="6" t="s">
        <v>77</v>
      </c>
      <c r="F34" s="6" t="s">
        <v>78</v>
      </c>
      <c r="G34" s="6">
        <v>18.35072</v>
      </c>
      <c r="H34" s="6">
        <v>-67.2669</v>
      </c>
      <c r="I34" s="6">
        <v>5.0</v>
      </c>
      <c r="J34" s="6">
        <v>6.0</v>
      </c>
      <c r="K34" s="6">
        <v>15.0</v>
      </c>
      <c r="L34" s="6">
        <v>2023.0</v>
      </c>
      <c r="M34" s="6" t="s">
        <v>156</v>
      </c>
      <c r="N34" s="6" t="s">
        <v>80</v>
      </c>
      <c r="O34" s="6" t="s">
        <v>157</v>
      </c>
      <c r="P34" s="6" t="s">
        <v>143</v>
      </c>
      <c r="Q34" s="10">
        <v>-999.0</v>
      </c>
      <c r="R34" s="7">
        <v>0.42083333333333334</v>
      </c>
      <c r="S34" s="7">
        <v>0.43472222222222223</v>
      </c>
      <c r="T34" s="10">
        <v>-999.0</v>
      </c>
      <c r="U34" s="10">
        <v>-999.0</v>
      </c>
      <c r="V34" s="10">
        <v>-999.0</v>
      </c>
      <c r="W34" s="10">
        <v>-999.0</v>
      </c>
      <c r="X34" s="10">
        <v>-999.0</v>
      </c>
      <c r="Y34" s="10">
        <v>-999.0</v>
      </c>
      <c r="Z34" s="10">
        <v>-999.0</v>
      </c>
      <c r="AA34" s="10">
        <v>-999.0</v>
      </c>
      <c r="AB34" s="10">
        <v>-999.0</v>
      </c>
      <c r="AC34" s="10">
        <v>-999.0</v>
      </c>
      <c r="AD34" s="10">
        <v>-999.0</v>
      </c>
      <c r="AE34" s="10">
        <v>-999.0</v>
      </c>
      <c r="AF34" s="10">
        <v>-999.0</v>
      </c>
      <c r="AG34" s="10">
        <v>-999.0</v>
      </c>
      <c r="AH34" s="10">
        <v>-999.0</v>
      </c>
      <c r="AI34" s="10">
        <v>-999.0</v>
      </c>
      <c r="AJ34" s="8">
        <v>3.0</v>
      </c>
      <c r="AK34" s="8">
        <v>3.0</v>
      </c>
      <c r="AL34" s="8">
        <v>3.0</v>
      </c>
      <c r="AM34" s="8">
        <v>1.0</v>
      </c>
      <c r="AN34" s="8">
        <v>1.0</v>
      </c>
      <c r="AO34" s="8">
        <v>2.5</v>
      </c>
      <c r="AP34" s="10">
        <v>143.0</v>
      </c>
      <c r="AQ34" s="10">
        <v>142.0</v>
      </c>
      <c r="AR34" s="11">
        <v>73.0</v>
      </c>
      <c r="AS34" s="11">
        <v>74.0</v>
      </c>
      <c r="AT34" s="11">
        <v>35.0</v>
      </c>
      <c r="AU34" s="11">
        <v>36.0</v>
      </c>
      <c r="AV34" s="11">
        <v>38.0</v>
      </c>
      <c r="AW34" s="11">
        <v>35.0</v>
      </c>
      <c r="AX34" s="10">
        <v>52.0</v>
      </c>
      <c r="AY34" s="10">
        <v>58.0</v>
      </c>
      <c r="AZ34" s="11">
        <v>27.0</v>
      </c>
    </row>
    <row r="35">
      <c r="A35" s="4">
        <v>1.0</v>
      </c>
      <c r="B35" s="5" t="s">
        <v>152</v>
      </c>
      <c r="C35" s="5" t="s">
        <v>149</v>
      </c>
      <c r="D35" s="6" t="s">
        <v>153</v>
      </c>
      <c r="E35" s="6" t="s">
        <v>77</v>
      </c>
      <c r="F35" s="6" t="s">
        <v>78</v>
      </c>
      <c r="G35" s="6">
        <v>18.34732</v>
      </c>
      <c r="H35" s="6">
        <v>-67.27</v>
      </c>
      <c r="I35" s="6">
        <v>10.0</v>
      </c>
      <c r="J35" s="6">
        <v>6.0</v>
      </c>
      <c r="K35" s="6">
        <v>15.0</v>
      </c>
      <c r="L35" s="6">
        <v>2023.0</v>
      </c>
      <c r="M35" s="6" t="s">
        <v>156</v>
      </c>
      <c r="N35" s="6" t="s">
        <v>80</v>
      </c>
      <c r="O35" s="6" t="s">
        <v>157</v>
      </c>
      <c r="P35" s="6" t="s">
        <v>143</v>
      </c>
      <c r="Q35" s="10">
        <v>-999.0</v>
      </c>
      <c r="R35" s="7">
        <v>0.46944444444444444</v>
      </c>
      <c r="S35" s="7">
        <v>0.4840277777777778</v>
      </c>
      <c r="T35" s="10">
        <v>-999.0</v>
      </c>
      <c r="U35" s="10">
        <v>-999.0</v>
      </c>
      <c r="V35" s="10">
        <v>-999.0</v>
      </c>
      <c r="W35" s="10">
        <v>-999.0</v>
      </c>
      <c r="X35" s="10">
        <v>-999.0</v>
      </c>
      <c r="Y35" s="10">
        <v>-999.0</v>
      </c>
      <c r="Z35" s="10">
        <v>-999.0</v>
      </c>
      <c r="AA35" s="10">
        <v>-999.0</v>
      </c>
      <c r="AB35" s="10">
        <v>-999.0</v>
      </c>
      <c r="AC35" s="10">
        <v>-999.0</v>
      </c>
      <c r="AD35" s="10">
        <v>-999.0</v>
      </c>
      <c r="AE35" s="10">
        <v>-999.0</v>
      </c>
      <c r="AF35" s="10">
        <v>-999.0</v>
      </c>
      <c r="AG35" s="10">
        <v>-999.0</v>
      </c>
      <c r="AH35" s="10">
        <v>-999.0</v>
      </c>
      <c r="AI35" s="10">
        <v>-999.0</v>
      </c>
      <c r="AJ35" s="8">
        <v>9.5</v>
      </c>
      <c r="AK35" s="8">
        <v>9.5</v>
      </c>
      <c r="AL35" s="8">
        <v>9.5</v>
      </c>
      <c r="AM35" s="8">
        <v>1.0</v>
      </c>
      <c r="AN35" s="8">
        <v>1.0</v>
      </c>
      <c r="AO35" s="8">
        <v>9.0</v>
      </c>
      <c r="AP35" s="10">
        <v>138.0</v>
      </c>
      <c r="AQ35" s="10">
        <v>139.0</v>
      </c>
      <c r="AR35" s="11">
        <v>70.0</v>
      </c>
      <c r="AS35" s="11">
        <v>69.0</v>
      </c>
      <c r="AT35" s="11">
        <v>33.0</v>
      </c>
      <c r="AU35" s="11">
        <v>34.0</v>
      </c>
      <c r="AV35" s="11">
        <v>36.0</v>
      </c>
      <c r="AW35" s="11">
        <v>33.0</v>
      </c>
      <c r="AX35" s="10">
        <v>50.0</v>
      </c>
      <c r="AY35" s="10">
        <v>56.0</v>
      </c>
      <c r="AZ35" s="11">
        <v>30.0</v>
      </c>
    </row>
    <row r="36">
      <c r="A36" s="4">
        <v>1.0</v>
      </c>
      <c r="B36" s="5" t="s">
        <v>154</v>
      </c>
      <c r="C36" s="5" t="s">
        <v>149</v>
      </c>
      <c r="D36" s="6" t="s">
        <v>155</v>
      </c>
      <c r="E36" s="6" t="s">
        <v>77</v>
      </c>
      <c r="F36" s="6" t="s">
        <v>78</v>
      </c>
      <c r="G36" s="6">
        <v>18.34652</v>
      </c>
      <c r="H36" s="6">
        <v>-67.2712</v>
      </c>
      <c r="I36" s="6">
        <v>20.0</v>
      </c>
      <c r="J36" s="6">
        <v>6.0</v>
      </c>
      <c r="K36" s="6">
        <v>15.0</v>
      </c>
      <c r="L36" s="6">
        <v>2023.0</v>
      </c>
      <c r="M36" s="6" t="s">
        <v>156</v>
      </c>
      <c r="N36" s="6" t="s">
        <v>80</v>
      </c>
      <c r="O36" s="6" t="s">
        <v>157</v>
      </c>
      <c r="P36" s="6" t="s">
        <v>143</v>
      </c>
      <c r="Q36" s="10">
        <v>-999.0</v>
      </c>
      <c r="R36" s="7">
        <v>0.44305555555555554</v>
      </c>
      <c r="S36" s="7">
        <v>0.46111111111111114</v>
      </c>
      <c r="T36" s="10">
        <v>-999.0</v>
      </c>
      <c r="U36" s="10">
        <v>-999.0</v>
      </c>
      <c r="V36" s="10">
        <v>-999.0</v>
      </c>
      <c r="W36" s="10">
        <v>-999.0</v>
      </c>
      <c r="X36" s="10">
        <v>-999.0</v>
      </c>
      <c r="Y36" s="10">
        <v>-999.0</v>
      </c>
      <c r="Z36" s="10">
        <v>-999.0</v>
      </c>
      <c r="AA36" s="10">
        <v>-999.0</v>
      </c>
      <c r="AB36" s="10">
        <v>-999.0</v>
      </c>
      <c r="AC36" s="10">
        <v>-999.0</v>
      </c>
      <c r="AD36" s="10">
        <v>-999.0</v>
      </c>
      <c r="AE36" s="10">
        <v>-999.0</v>
      </c>
      <c r="AF36" s="10">
        <v>-999.0</v>
      </c>
      <c r="AG36" s="10">
        <v>-999.0</v>
      </c>
      <c r="AH36" s="10">
        <v>-999.0</v>
      </c>
      <c r="AI36" s="10">
        <v>-999.0</v>
      </c>
      <c r="AJ36" s="8">
        <v>16.0</v>
      </c>
      <c r="AK36" s="8">
        <v>16.0</v>
      </c>
      <c r="AL36" s="8">
        <v>16.0</v>
      </c>
      <c r="AM36" s="8">
        <v>0.0</v>
      </c>
      <c r="AN36" s="8">
        <v>1.0</v>
      </c>
      <c r="AO36" s="8">
        <v>15.5</v>
      </c>
      <c r="AP36" s="10">
        <v>141.0</v>
      </c>
      <c r="AQ36" s="10">
        <v>140.0</v>
      </c>
      <c r="AR36" s="11">
        <v>72.0</v>
      </c>
      <c r="AS36" s="11">
        <v>71.0</v>
      </c>
      <c r="AT36" s="11">
        <v>34.0</v>
      </c>
      <c r="AU36" s="11">
        <v>35.0</v>
      </c>
      <c r="AV36" s="11">
        <v>37.0</v>
      </c>
      <c r="AW36" s="11">
        <v>34.0</v>
      </c>
      <c r="AX36" s="10">
        <v>51.0</v>
      </c>
      <c r="AY36" s="10">
        <v>57.0</v>
      </c>
      <c r="AZ36" s="11">
        <v>28.0</v>
      </c>
    </row>
    <row r="37">
      <c r="A37" s="4">
        <v>1.0</v>
      </c>
      <c r="B37" s="5" t="s">
        <v>158</v>
      </c>
      <c r="C37" s="5" t="s">
        <v>159</v>
      </c>
      <c r="D37" s="6" t="s">
        <v>160</v>
      </c>
      <c r="E37" s="6" t="s">
        <v>161</v>
      </c>
      <c r="F37" s="6" t="s">
        <v>162</v>
      </c>
      <c r="G37" s="6">
        <v>18.38544</v>
      </c>
      <c r="H37" s="6">
        <v>-65.6297</v>
      </c>
      <c r="I37" s="6">
        <v>5.0</v>
      </c>
      <c r="J37" s="6">
        <v>6.0</v>
      </c>
      <c r="K37" s="6">
        <v>21.0</v>
      </c>
      <c r="L37" s="6">
        <v>2023.0</v>
      </c>
      <c r="M37" s="6" t="s">
        <v>163</v>
      </c>
      <c r="N37" s="6" t="s">
        <v>164</v>
      </c>
      <c r="O37" s="6" t="s">
        <v>65</v>
      </c>
      <c r="P37" s="6" t="s">
        <v>81</v>
      </c>
      <c r="Q37" s="6" t="s">
        <v>60</v>
      </c>
      <c r="R37" s="7">
        <v>0.6284722222222222</v>
      </c>
      <c r="S37" s="7">
        <v>0.64375</v>
      </c>
      <c r="T37" s="8">
        <v>29.04</v>
      </c>
      <c r="U37" s="8">
        <v>0.77</v>
      </c>
      <c r="V37" s="8">
        <v>37.73</v>
      </c>
      <c r="W37" s="8">
        <v>0.77</v>
      </c>
      <c r="X37" s="8">
        <v>6.37</v>
      </c>
      <c r="Y37" s="8">
        <v>0.77</v>
      </c>
      <c r="Z37" s="8">
        <v>8.06</v>
      </c>
      <c r="AA37" s="8">
        <v>0.77</v>
      </c>
      <c r="AB37" s="8">
        <v>28.64</v>
      </c>
      <c r="AC37" s="8">
        <v>5.01</v>
      </c>
      <c r="AD37" s="8">
        <v>37.74</v>
      </c>
      <c r="AE37" s="8">
        <v>5.28</v>
      </c>
      <c r="AF37" s="8">
        <v>6.52</v>
      </c>
      <c r="AG37" s="8">
        <v>5.31</v>
      </c>
      <c r="AH37" s="8">
        <v>8.23</v>
      </c>
      <c r="AI37" s="8">
        <v>5.31</v>
      </c>
      <c r="AJ37" s="8">
        <v>5.5</v>
      </c>
      <c r="AK37" s="8">
        <v>5.5</v>
      </c>
      <c r="AL37" s="8">
        <v>5.5</v>
      </c>
      <c r="AM37" s="8">
        <v>1.0</v>
      </c>
      <c r="AN37" s="8">
        <v>1.0</v>
      </c>
      <c r="AO37" s="8">
        <v>5.0</v>
      </c>
      <c r="AP37" s="10">
        <v>150.0</v>
      </c>
      <c r="AQ37" s="10">
        <v>151.0</v>
      </c>
      <c r="AR37" s="11">
        <v>81.0</v>
      </c>
      <c r="AS37" s="11">
        <v>82.0</v>
      </c>
      <c r="AT37" s="11">
        <v>39.0</v>
      </c>
      <c r="AU37" s="11">
        <v>41.0</v>
      </c>
      <c r="AV37" s="11">
        <v>42.0</v>
      </c>
      <c r="AW37" s="11">
        <v>39.0</v>
      </c>
      <c r="AX37" s="10">
        <v>56.0</v>
      </c>
      <c r="AY37" s="10">
        <v>62.0</v>
      </c>
      <c r="AZ37" s="11">
        <v>34.0</v>
      </c>
    </row>
    <row r="38">
      <c r="A38" s="4">
        <v>1.0</v>
      </c>
      <c r="B38" s="5" t="s">
        <v>165</v>
      </c>
      <c r="C38" s="5" t="s">
        <v>159</v>
      </c>
      <c r="D38" s="6" t="s">
        <v>166</v>
      </c>
      <c r="E38" s="6" t="s">
        <v>161</v>
      </c>
      <c r="F38" s="6" t="s">
        <v>162</v>
      </c>
      <c r="G38" s="6">
        <v>18.36033</v>
      </c>
      <c r="H38" s="6">
        <v>-65.5309</v>
      </c>
      <c r="I38" s="6">
        <v>5.0</v>
      </c>
      <c r="J38" s="6">
        <v>6.0</v>
      </c>
      <c r="K38" s="6">
        <v>21.0</v>
      </c>
      <c r="L38" s="6">
        <v>2023.0</v>
      </c>
      <c r="M38" s="6" t="s">
        <v>163</v>
      </c>
      <c r="N38" s="6" t="s">
        <v>164</v>
      </c>
      <c r="O38" s="6" t="s">
        <v>65</v>
      </c>
      <c r="P38" s="6" t="s">
        <v>81</v>
      </c>
      <c r="Q38" s="6" t="s">
        <v>60</v>
      </c>
      <c r="R38" s="7">
        <v>0.5083333333333333</v>
      </c>
      <c r="S38" s="12">
        <v>0.5375</v>
      </c>
      <c r="T38" s="8">
        <v>29.55</v>
      </c>
      <c r="U38" s="8">
        <v>1.02</v>
      </c>
      <c r="V38" s="8">
        <v>37.68</v>
      </c>
      <c r="W38" s="8">
        <v>1.04</v>
      </c>
      <c r="X38" s="8">
        <v>8.24</v>
      </c>
      <c r="Y38" s="8">
        <v>1.05</v>
      </c>
      <c r="Z38" s="8">
        <v>8.07</v>
      </c>
      <c r="AA38" s="8">
        <v>1.06</v>
      </c>
      <c r="AB38" s="8">
        <v>29.31</v>
      </c>
      <c r="AC38" s="8">
        <v>7.25</v>
      </c>
      <c r="AD38" s="8">
        <v>37.57</v>
      </c>
      <c r="AE38" s="8">
        <v>6.71</v>
      </c>
      <c r="AF38" s="8">
        <v>6.72</v>
      </c>
      <c r="AG38" s="8">
        <v>6.7</v>
      </c>
      <c r="AH38" s="8">
        <v>8.24</v>
      </c>
      <c r="AI38" s="8">
        <v>6.74</v>
      </c>
      <c r="AJ38" s="8">
        <v>7.0</v>
      </c>
      <c r="AK38" s="8">
        <v>7.0</v>
      </c>
      <c r="AL38" s="8">
        <v>7.0</v>
      </c>
      <c r="AM38" s="8">
        <v>1.0</v>
      </c>
      <c r="AN38" s="8">
        <v>1.0</v>
      </c>
      <c r="AO38" s="8">
        <v>6.5</v>
      </c>
      <c r="AP38" s="10">
        <v>132.0</v>
      </c>
      <c r="AQ38" s="10">
        <v>133.0</v>
      </c>
      <c r="AR38" s="11">
        <v>63.0</v>
      </c>
      <c r="AS38" s="11">
        <v>64.0</v>
      </c>
      <c r="AT38" s="11">
        <v>25.0</v>
      </c>
      <c r="AU38" s="11">
        <v>30.0</v>
      </c>
      <c r="AV38" s="11">
        <v>33.0</v>
      </c>
      <c r="AW38" s="11">
        <v>30.0</v>
      </c>
      <c r="AX38" s="10">
        <v>48.0</v>
      </c>
      <c r="AY38" s="10">
        <v>54.0</v>
      </c>
      <c r="AZ38" s="11">
        <v>31.0</v>
      </c>
    </row>
    <row r="39">
      <c r="A39" s="4">
        <v>1.0</v>
      </c>
      <c r="B39" s="5" t="s">
        <v>167</v>
      </c>
      <c r="C39" s="5" t="s">
        <v>159</v>
      </c>
      <c r="D39" s="6" t="s">
        <v>168</v>
      </c>
      <c r="E39" s="6" t="s">
        <v>161</v>
      </c>
      <c r="F39" s="6" t="s">
        <v>162</v>
      </c>
      <c r="G39" s="6">
        <v>18.35466</v>
      </c>
      <c r="H39" s="6">
        <v>-65.5671</v>
      </c>
      <c r="I39" s="6">
        <v>20.0</v>
      </c>
      <c r="J39" s="6">
        <v>6.0</v>
      </c>
      <c r="K39" s="6">
        <v>21.0</v>
      </c>
      <c r="L39" s="6">
        <v>2023.0</v>
      </c>
      <c r="M39" s="6" t="s">
        <v>163</v>
      </c>
      <c r="N39" s="6" t="s">
        <v>164</v>
      </c>
      <c r="O39" s="6" t="s">
        <v>65</v>
      </c>
      <c r="P39" s="6" t="s">
        <v>81</v>
      </c>
      <c r="Q39" s="6" t="s">
        <v>60</v>
      </c>
      <c r="R39" s="7">
        <v>0.5555555555555556</v>
      </c>
      <c r="S39" s="7">
        <v>0.5729166666666666</v>
      </c>
      <c r="T39" s="8">
        <v>29.42</v>
      </c>
      <c r="U39" s="8">
        <v>0.74</v>
      </c>
      <c r="V39" s="8">
        <v>37.61</v>
      </c>
      <c r="W39" s="8">
        <v>0.75</v>
      </c>
      <c r="X39" s="8">
        <v>6.3</v>
      </c>
      <c r="Y39" s="8">
        <v>0.76</v>
      </c>
      <c r="Z39" s="8">
        <v>8.17</v>
      </c>
      <c r="AA39" s="8">
        <v>0.71</v>
      </c>
      <c r="AB39" s="8">
        <v>29.29</v>
      </c>
      <c r="AC39" s="8">
        <v>12.94</v>
      </c>
      <c r="AD39" s="8">
        <v>37.52</v>
      </c>
      <c r="AE39" s="8">
        <v>12.77</v>
      </c>
      <c r="AF39" s="8">
        <v>6.45</v>
      </c>
      <c r="AG39" s="8">
        <v>12.75</v>
      </c>
      <c r="AH39" s="8">
        <v>8.24</v>
      </c>
      <c r="AI39" s="8">
        <v>12.58</v>
      </c>
      <c r="AJ39" s="8">
        <v>19.0</v>
      </c>
      <c r="AK39" s="8">
        <v>19.0</v>
      </c>
      <c r="AL39" s="8">
        <v>19.0</v>
      </c>
      <c r="AM39" s="8">
        <v>1.0</v>
      </c>
      <c r="AN39" s="8">
        <v>1.0</v>
      </c>
      <c r="AO39" s="8">
        <v>13.5</v>
      </c>
      <c r="AP39" s="10">
        <v>144.0</v>
      </c>
      <c r="AQ39" s="10">
        <v>145.0</v>
      </c>
      <c r="AR39" s="11">
        <v>75.0</v>
      </c>
      <c r="AS39" s="11">
        <v>76.0</v>
      </c>
      <c r="AT39" s="11">
        <v>36.0</v>
      </c>
      <c r="AU39" s="11">
        <v>37.0</v>
      </c>
      <c r="AV39" s="11">
        <v>39.0</v>
      </c>
      <c r="AW39" s="11">
        <v>36.0</v>
      </c>
      <c r="AX39" s="10">
        <v>53.0</v>
      </c>
      <c r="AY39" s="10">
        <v>59.0</v>
      </c>
      <c r="AZ39" s="11">
        <v>32.0</v>
      </c>
    </row>
    <row r="40">
      <c r="A40" s="4">
        <v>1.0</v>
      </c>
      <c r="B40" s="5" t="s">
        <v>169</v>
      </c>
      <c r="C40" s="5" t="s">
        <v>159</v>
      </c>
      <c r="D40" s="6" t="s">
        <v>170</v>
      </c>
      <c r="E40" s="6" t="s">
        <v>161</v>
      </c>
      <c r="F40" s="6" t="s">
        <v>162</v>
      </c>
      <c r="G40" s="6">
        <v>18.33537</v>
      </c>
      <c r="H40" s="6">
        <v>-65.5656</v>
      </c>
      <c r="I40" s="6">
        <v>10.0</v>
      </c>
      <c r="J40" s="6">
        <v>6.0</v>
      </c>
      <c r="K40" s="6">
        <v>21.0</v>
      </c>
      <c r="L40" s="6">
        <v>2023.0</v>
      </c>
      <c r="M40" s="6" t="s">
        <v>163</v>
      </c>
      <c r="N40" s="6" t="s">
        <v>164</v>
      </c>
      <c r="O40" s="6" t="s">
        <v>65</v>
      </c>
      <c r="P40" s="6" t="s">
        <v>81</v>
      </c>
      <c r="Q40" s="6" t="s">
        <v>60</v>
      </c>
      <c r="R40" s="7">
        <v>0.5868055555555556</v>
      </c>
      <c r="S40" s="7">
        <v>0.6027777777777777</v>
      </c>
      <c r="T40" s="8">
        <v>30.25</v>
      </c>
      <c r="U40" s="8">
        <v>0.76</v>
      </c>
      <c r="V40" s="8">
        <v>37.61</v>
      </c>
      <c r="W40" s="8">
        <v>0.77</v>
      </c>
      <c r="X40" s="8">
        <v>7.51</v>
      </c>
      <c r="Y40" s="8">
        <v>0.76</v>
      </c>
      <c r="Z40" s="8">
        <v>8.15</v>
      </c>
      <c r="AA40" s="8">
        <v>0.74</v>
      </c>
      <c r="AB40" s="8">
        <v>30.34</v>
      </c>
      <c r="AC40" s="8">
        <v>1.83</v>
      </c>
      <c r="AD40" s="8">
        <v>37.77</v>
      </c>
      <c r="AE40" s="8">
        <v>1.84</v>
      </c>
      <c r="AF40" s="8">
        <v>7.51</v>
      </c>
      <c r="AG40" s="8">
        <v>1.82</v>
      </c>
      <c r="AH40" s="8">
        <v>8.26</v>
      </c>
      <c r="AI40" s="8">
        <v>1.81</v>
      </c>
      <c r="AJ40" s="8">
        <v>3.0</v>
      </c>
      <c r="AK40" s="8">
        <v>3.0</v>
      </c>
      <c r="AL40" s="8">
        <v>3.0</v>
      </c>
      <c r="AM40" s="8">
        <v>1.0</v>
      </c>
      <c r="AN40" s="8">
        <v>1.0</v>
      </c>
      <c r="AO40" s="8">
        <v>2.5</v>
      </c>
      <c r="AP40" s="10">
        <v>146.0</v>
      </c>
      <c r="AQ40" s="10">
        <v>147.0</v>
      </c>
      <c r="AR40" s="11">
        <v>78.0</v>
      </c>
      <c r="AS40" s="11">
        <v>77.0</v>
      </c>
      <c r="AT40" s="11">
        <v>37.0</v>
      </c>
      <c r="AU40" s="11">
        <v>38.0</v>
      </c>
      <c r="AV40" s="11">
        <v>40.0</v>
      </c>
      <c r="AW40" s="11">
        <v>37.0</v>
      </c>
      <c r="AX40" s="10">
        <v>54.0</v>
      </c>
      <c r="AY40" s="10">
        <v>60.0</v>
      </c>
      <c r="AZ40" s="11">
        <v>33.0</v>
      </c>
    </row>
    <row r="41">
      <c r="A41" s="4">
        <v>1.0</v>
      </c>
      <c r="B41" s="5" t="s">
        <v>171</v>
      </c>
      <c r="C41" s="5" t="s">
        <v>172</v>
      </c>
      <c r="D41" s="6" t="s">
        <v>173</v>
      </c>
      <c r="E41" s="6" t="s">
        <v>174</v>
      </c>
      <c r="F41" s="6" t="s">
        <v>162</v>
      </c>
      <c r="G41" s="6">
        <v>18.08964</v>
      </c>
      <c r="H41" s="6">
        <v>-65.5901</v>
      </c>
      <c r="I41" s="6">
        <v>15.0</v>
      </c>
      <c r="J41" s="6">
        <v>6.0</v>
      </c>
      <c r="K41" s="6">
        <v>26.0</v>
      </c>
      <c r="L41" s="6">
        <v>2023.0</v>
      </c>
      <c r="M41" s="6" t="s">
        <v>175</v>
      </c>
      <c r="N41" s="6" t="s">
        <v>176</v>
      </c>
      <c r="O41" s="6" t="s">
        <v>65</v>
      </c>
      <c r="P41" s="6" t="s">
        <v>143</v>
      </c>
      <c r="Q41" s="6" t="s">
        <v>60</v>
      </c>
      <c r="R41" s="7">
        <v>0.44513888888888886</v>
      </c>
      <c r="S41" s="7">
        <v>0.46458333333333335</v>
      </c>
      <c r="T41" s="8">
        <v>29.51</v>
      </c>
      <c r="U41" s="8">
        <v>1.21</v>
      </c>
      <c r="V41" s="8">
        <v>37.25</v>
      </c>
      <c r="W41" s="8">
        <v>1.21</v>
      </c>
      <c r="X41" s="8">
        <v>6.31</v>
      </c>
      <c r="Y41" s="8">
        <v>1.2</v>
      </c>
      <c r="Z41" s="8">
        <v>8.24</v>
      </c>
      <c r="AA41" s="8">
        <v>1.21</v>
      </c>
      <c r="AB41" s="8">
        <v>29.45</v>
      </c>
      <c r="AC41" s="8">
        <v>15.26</v>
      </c>
      <c r="AD41" s="8">
        <v>37.46</v>
      </c>
      <c r="AE41" s="8">
        <v>15.27</v>
      </c>
      <c r="AF41" s="8">
        <v>5.8</v>
      </c>
      <c r="AG41" s="8">
        <v>15.24</v>
      </c>
      <c r="AH41" s="8">
        <v>8.26</v>
      </c>
      <c r="AI41" s="8">
        <v>15.23</v>
      </c>
      <c r="AJ41" s="8">
        <v>17.0</v>
      </c>
      <c r="AK41" s="8">
        <v>17.0</v>
      </c>
      <c r="AL41" s="8">
        <v>17.0</v>
      </c>
      <c r="AM41" s="8">
        <v>0.0</v>
      </c>
      <c r="AN41" s="8">
        <v>1.0</v>
      </c>
      <c r="AO41" s="8">
        <v>15.0</v>
      </c>
      <c r="AP41" s="10">
        <v>168.0</v>
      </c>
      <c r="AQ41" s="10">
        <v>169.0</v>
      </c>
      <c r="AR41" s="11">
        <v>99.0</v>
      </c>
      <c r="AS41" s="11">
        <v>100.0</v>
      </c>
      <c r="AT41" s="11">
        <v>48.0</v>
      </c>
      <c r="AU41" s="11">
        <v>50.0</v>
      </c>
      <c r="AV41" s="11">
        <v>51.0</v>
      </c>
      <c r="AW41" s="11">
        <v>48.0</v>
      </c>
      <c r="AX41" s="10">
        <v>65.0</v>
      </c>
      <c r="AY41" s="10">
        <v>71.0</v>
      </c>
      <c r="AZ41" s="11">
        <v>37.0</v>
      </c>
    </row>
    <row r="42">
      <c r="A42" s="4">
        <v>1.0</v>
      </c>
      <c r="B42" s="5" t="s">
        <v>171</v>
      </c>
      <c r="C42" s="5" t="s">
        <v>172</v>
      </c>
      <c r="D42" s="6" t="s">
        <v>177</v>
      </c>
      <c r="E42" s="6" t="s">
        <v>174</v>
      </c>
      <c r="F42" s="6" t="s">
        <v>162</v>
      </c>
      <c r="G42" s="6">
        <v>18.08964</v>
      </c>
      <c r="H42" s="6">
        <v>-65.5901</v>
      </c>
      <c r="I42" s="6">
        <v>15.0</v>
      </c>
      <c r="J42" s="6">
        <v>6.0</v>
      </c>
      <c r="K42" s="6">
        <v>26.0</v>
      </c>
      <c r="L42" s="6">
        <v>2023.0</v>
      </c>
      <c r="M42" s="6" t="s">
        <v>175</v>
      </c>
      <c r="N42" s="6" t="s">
        <v>176</v>
      </c>
      <c r="O42" s="6" t="s">
        <v>65</v>
      </c>
      <c r="P42" s="6" t="s">
        <v>143</v>
      </c>
      <c r="Q42" s="6" t="s">
        <v>60</v>
      </c>
      <c r="R42" s="7">
        <v>0.4666666666666667</v>
      </c>
      <c r="S42" s="7">
        <v>0.49444444444444446</v>
      </c>
      <c r="T42" s="8">
        <v>-999.0</v>
      </c>
      <c r="U42" s="8">
        <v>-999.0</v>
      </c>
      <c r="V42" s="8">
        <v>-999.0</v>
      </c>
      <c r="W42" s="8">
        <v>-999.0</v>
      </c>
      <c r="X42" s="8">
        <v>-999.0</v>
      </c>
      <c r="Y42" s="8">
        <v>-999.0</v>
      </c>
      <c r="Z42" s="8">
        <v>-999.0</v>
      </c>
      <c r="AA42" s="8">
        <v>-999.0</v>
      </c>
      <c r="AB42" s="8">
        <v>-999.0</v>
      </c>
      <c r="AC42" s="8">
        <v>-999.0</v>
      </c>
      <c r="AD42" s="8">
        <v>-999.0</v>
      </c>
      <c r="AE42" s="8">
        <v>-999.0</v>
      </c>
      <c r="AF42" s="8">
        <v>-999.0</v>
      </c>
      <c r="AG42" s="8">
        <v>-999.0</v>
      </c>
      <c r="AH42" s="8">
        <v>-999.0</v>
      </c>
      <c r="AI42" s="8">
        <v>-999.0</v>
      </c>
      <c r="AJ42" s="8">
        <v>17.0</v>
      </c>
      <c r="AK42" s="8">
        <v>17.0</v>
      </c>
      <c r="AL42" s="8">
        <v>17.0</v>
      </c>
      <c r="AM42" s="8">
        <v>0.0</v>
      </c>
      <c r="AN42" s="8">
        <v>1.0</v>
      </c>
      <c r="AO42" s="8">
        <v>15.0</v>
      </c>
      <c r="AP42" s="10">
        <v>166.0</v>
      </c>
      <c r="AQ42" s="10">
        <v>167.0</v>
      </c>
      <c r="AR42" s="11">
        <v>97.0</v>
      </c>
      <c r="AS42" s="11">
        <v>98.0</v>
      </c>
      <c r="AT42" s="11">
        <v>47.0</v>
      </c>
      <c r="AU42" s="11">
        <v>49.0</v>
      </c>
      <c r="AV42" s="11">
        <v>50.0</v>
      </c>
      <c r="AW42" s="11">
        <v>47.0</v>
      </c>
      <c r="AX42" s="10">
        <v>64.0</v>
      </c>
      <c r="AY42" s="10">
        <v>70.0</v>
      </c>
      <c r="AZ42" s="11">
        <v>38.0</v>
      </c>
    </row>
    <row r="43">
      <c r="A43" s="4">
        <v>1.0</v>
      </c>
      <c r="B43" s="5" t="s">
        <v>178</v>
      </c>
      <c r="C43" s="5" t="s">
        <v>172</v>
      </c>
      <c r="D43" s="6" t="s">
        <v>179</v>
      </c>
      <c r="E43" s="6" t="s">
        <v>174</v>
      </c>
      <c r="F43" s="6" t="s">
        <v>162</v>
      </c>
      <c r="G43" s="6">
        <v>18.08057</v>
      </c>
      <c r="H43" s="6">
        <v>-65.4879</v>
      </c>
      <c r="I43" s="6">
        <v>10.0</v>
      </c>
      <c r="J43" s="6">
        <v>6.0</v>
      </c>
      <c r="K43" s="6">
        <v>26.0</v>
      </c>
      <c r="L43" s="6">
        <v>2023.0</v>
      </c>
      <c r="M43" s="6" t="s">
        <v>175</v>
      </c>
      <c r="N43" s="6" t="s">
        <v>176</v>
      </c>
      <c r="O43" s="6" t="s">
        <v>65</v>
      </c>
      <c r="P43" s="6" t="s">
        <v>143</v>
      </c>
      <c r="Q43" s="6" t="s">
        <v>60</v>
      </c>
      <c r="R43" s="7">
        <v>0.4027777777777778</v>
      </c>
      <c r="S43" s="7">
        <v>0.4236111111111111</v>
      </c>
      <c r="T43" s="8">
        <v>29.53</v>
      </c>
      <c r="U43" s="8">
        <v>0.91</v>
      </c>
      <c r="V43" s="8">
        <v>37.28</v>
      </c>
      <c r="W43" s="8">
        <v>0.9</v>
      </c>
      <c r="X43" s="8">
        <v>6.18</v>
      </c>
      <c r="Y43" s="8">
        <v>0.91</v>
      </c>
      <c r="Z43" s="8">
        <v>8.17</v>
      </c>
      <c r="AA43" s="8">
        <v>0.94</v>
      </c>
      <c r="AB43" s="8">
        <v>29.47</v>
      </c>
      <c r="AC43" s="8">
        <v>8.38</v>
      </c>
      <c r="AD43" s="8">
        <v>37.29</v>
      </c>
      <c r="AE43" s="8">
        <v>8.37</v>
      </c>
      <c r="AF43" s="8">
        <v>6.1</v>
      </c>
      <c r="AG43" s="8">
        <v>8.35</v>
      </c>
      <c r="AH43" s="8">
        <v>8.25</v>
      </c>
      <c r="AI43" s="8">
        <v>8.38</v>
      </c>
      <c r="AJ43" s="8">
        <v>11.0</v>
      </c>
      <c r="AK43" s="8">
        <v>11.0</v>
      </c>
      <c r="AL43" s="8">
        <v>11.0</v>
      </c>
      <c r="AM43" s="8">
        <v>1.0</v>
      </c>
      <c r="AN43" s="8">
        <v>1.0</v>
      </c>
      <c r="AO43" s="8">
        <v>8.0</v>
      </c>
      <c r="AP43" s="10">
        <v>174.0</v>
      </c>
      <c r="AQ43" s="10">
        <v>175.0</v>
      </c>
      <c r="AR43" s="11">
        <v>105.0</v>
      </c>
      <c r="AS43" s="11">
        <v>106.0</v>
      </c>
      <c r="AT43" s="11">
        <v>51.0</v>
      </c>
      <c r="AU43" s="11">
        <v>53.0</v>
      </c>
      <c r="AV43" s="11">
        <v>54.0</v>
      </c>
      <c r="AW43" s="11">
        <v>51.0</v>
      </c>
      <c r="AX43" s="10">
        <v>68.0</v>
      </c>
      <c r="AY43" s="10">
        <v>74.0</v>
      </c>
      <c r="AZ43" s="11">
        <v>36.0</v>
      </c>
    </row>
    <row r="44">
      <c r="A44" s="4">
        <v>1.0</v>
      </c>
      <c r="B44" s="5" t="s">
        <v>180</v>
      </c>
      <c r="C44" s="5" t="s">
        <v>172</v>
      </c>
      <c r="D44" s="6" t="s">
        <v>181</v>
      </c>
      <c r="E44" s="6" t="s">
        <v>174</v>
      </c>
      <c r="F44" s="6" t="s">
        <v>162</v>
      </c>
      <c r="G44" s="6">
        <v>18.13869</v>
      </c>
      <c r="H44" s="6">
        <v>-65.1971</v>
      </c>
      <c r="I44" s="6">
        <v>30.0</v>
      </c>
      <c r="J44" s="6">
        <v>6.0</v>
      </c>
      <c r="K44" s="6">
        <v>26.0</v>
      </c>
      <c r="L44" s="6">
        <v>2023.0</v>
      </c>
      <c r="M44" s="6" t="s">
        <v>175</v>
      </c>
      <c r="N44" s="6" t="s">
        <v>176</v>
      </c>
      <c r="O44" s="6" t="s">
        <v>65</v>
      </c>
      <c r="P44" s="6" t="s">
        <v>143</v>
      </c>
      <c r="Q44" s="6" t="s">
        <v>60</v>
      </c>
      <c r="R44" s="7">
        <v>0.3284722222222222</v>
      </c>
      <c r="S44" s="7">
        <v>0.3590277777777778</v>
      </c>
      <c r="T44" s="8">
        <v>29.19</v>
      </c>
      <c r="U44" s="8">
        <v>0.81</v>
      </c>
      <c r="V44" s="8">
        <v>37.48</v>
      </c>
      <c r="W44" s="8">
        <v>0.82</v>
      </c>
      <c r="X44" s="8">
        <v>6.38</v>
      </c>
      <c r="Y44" s="8">
        <v>0.82</v>
      </c>
      <c r="Z44" s="8">
        <v>7.95</v>
      </c>
      <c r="AA44" s="8">
        <v>0.81</v>
      </c>
      <c r="AB44" s="8">
        <v>28.95</v>
      </c>
      <c r="AC44" s="8">
        <v>29.98</v>
      </c>
      <c r="AD44" s="8">
        <v>37.42</v>
      </c>
      <c r="AE44" s="8">
        <v>29.97</v>
      </c>
      <c r="AF44" s="8">
        <v>6.11</v>
      </c>
      <c r="AG44" s="8">
        <v>30.3</v>
      </c>
      <c r="AH44" s="8">
        <v>8.27</v>
      </c>
      <c r="AI44" s="8">
        <v>30.08</v>
      </c>
      <c r="AJ44" s="8">
        <v>23.75</v>
      </c>
      <c r="AK44" s="8">
        <v>23.5</v>
      </c>
      <c r="AL44" s="8">
        <v>23.75</v>
      </c>
      <c r="AM44" s="8">
        <v>0.0</v>
      </c>
      <c r="AN44" s="8">
        <v>1.0</v>
      </c>
      <c r="AO44" s="8">
        <v>29.5</v>
      </c>
      <c r="AP44" s="10">
        <v>173.0</v>
      </c>
      <c r="AQ44" s="10">
        <v>172.0</v>
      </c>
      <c r="AR44" s="11">
        <v>103.0</v>
      </c>
      <c r="AS44" s="11">
        <v>104.0</v>
      </c>
      <c r="AT44" s="11">
        <v>50.0</v>
      </c>
      <c r="AU44" s="11">
        <v>52.0</v>
      </c>
      <c r="AV44" s="11">
        <v>53.0</v>
      </c>
      <c r="AW44" s="11">
        <v>50.0</v>
      </c>
      <c r="AX44" s="10">
        <v>67.0</v>
      </c>
      <c r="AY44" s="10">
        <v>73.0</v>
      </c>
      <c r="AZ44" s="11">
        <v>35.0</v>
      </c>
    </row>
    <row r="45">
      <c r="A45" s="4">
        <v>1.0</v>
      </c>
      <c r="B45" s="5" t="s">
        <v>182</v>
      </c>
      <c r="C45" s="5" t="s">
        <v>183</v>
      </c>
      <c r="D45" s="6" t="s">
        <v>184</v>
      </c>
      <c r="E45" s="6" t="s">
        <v>174</v>
      </c>
      <c r="F45" s="6" t="s">
        <v>162</v>
      </c>
      <c r="G45" s="6">
        <v>18.32779</v>
      </c>
      <c r="H45" s="6">
        <v>-65.332</v>
      </c>
      <c r="I45" s="6">
        <v>10.0</v>
      </c>
      <c r="J45" s="6">
        <v>6.0</v>
      </c>
      <c r="K45" s="6">
        <v>27.0</v>
      </c>
      <c r="L45" s="6">
        <v>2023.0</v>
      </c>
      <c r="M45" s="6" t="s">
        <v>185</v>
      </c>
      <c r="N45" s="6" t="s">
        <v>176</v>
      </c>
      <c r="O45" s="6" t="s">
        <v>65</v>
      </c>
      <c r="P45" s="6" t="s">
        <v>81</v>
      </c>
      <c r="Q45" s="6" t="s">
        <v>60</v>
      </c>
      <c r="R45" s="7">
        <v>0.4263888888888889</v>
      </c>
      <c r="S45" s="7">
        <v>0.44027777777777777</v>
      </c>
      <c r="T45" s="8">
        <v>29.38</v>
      </c>
      <c r="U45" s="8">
        <v>1.28</v>
      </c>
      <c r="V45" s="8">
        <v>37.97</v>
      </c>
      <c r="W45" s="8">
        <v>1.28</v>
      </c>
      <c r="X45" s="8">
        <v>6.19</v>
      </c>
      <c r="Y45" s="8">
        <v>1.28</v>
      </c>
      <c r="Z45" s="8">
        <v>8.11</v>
      </c>
      <c r="AA45" s="8">
        <v>1.28</v>
      </c>
      <c r="AB45" s="8">
        <v>29.23</v>
      </c>
      <c r="AC45" s="8">
        <v>8.72</v>
      </c>
      <c r="AD45" s="8">
        <v>37.97</v>
      </c>
      <c r="AE45" s="8">
        <v>8.72</v>
      </c>
      <c r="AF45" s="8">
        <v>6.19</v>
      </c>
      <c r="AG45" s="8">
        <v>8.72</v>
      </c>
      <c r="AH45" s="8">
        <v>8.14</v>
      </c>
      <c r="AI45" s="8">
        <v>8.72</v>
      </c>
      <c r="AJ45" s="8">
        <v>10.0</v>
      </c>
      <c r="AK45" s="8">
        <v>10.0</v>
      </c>
      <c r="AL45" s="8">
        <v>10.0</v>
      </c>
      <c r="AM45" s="8">
        <v>1.0</v>
      </c>
      <c r="AN45" s="8">
        <v>1.0</v>
      </c>
      <c r="AO45" s="8">
        <v>8.0</v>
      </c>
      <c r="AP45" s="10">
        <v>149.0</v>
      </c>
      <c r="AQ45" s="10">
        <v>148.0</v>
      </c>
      <c r="AR45" s="11">
        <v>79.0</v>
      </c>
      <c r="AS45" s="11">
        <v>80.0</v>
      </c>
      <c r="AT45" s="11">
        <v>38.0</v>
      </c>
      <c r="AU45" s="11">
        <v>39.0</v>
      </c>
      <c r="AV45" s="11">
        <v>41.0</v>
      </c>
      <c r="AW45" s="11">
        <v>38.0</v>
      </c>
      <c r="AX45" s="10">
        <v>55.0</v>
      </c>
      <c r="AY45" s="10">
        <v>61.0</v>
      </c>
      <c r="AZ45" s="11">
        <v>41.0</v>
      </c>
    </row>
    <row r="46">
      <c r="A46" s="4">
        <v>1.0</v>
      </c>
      <c r="B46" s="5" t="s">
        <v>186</v>
      </c>
      <c r="C46" s="5" t="s">
        <v>183</v>
      </c>
      <c r="D46" s="6" t="s">
        <v>187</v>
      </c>
      <c r="E46" s="6" t="s">
        <v>174</v>
      </c>
      <c r="F46" s="6" t="s">
        <v>162</v>
      </c>
      <c r="G46" s="6">
        <v>18.27587</v>
      </c>
      <c r="H46" s="6">
        <v>-65.2773</v>
      </c>
      <c r="I46" s="6">
        <v>20.0</v>
      </c>
      <c r="J46" s="6">
        <v>6.0</v>
      </c>
      <c r="K46" s="6">
        <v>27.0</v>
      </c>
      <c r="L46" s="6">
        <v>2023.0</v>
      </c>
      <c r="M46" s="6" t="s">
        <v>185</v>
      </c>
      <c r="N46" s="6" t="s">
        <v>176</v>
      </c>
      <c r="O46" s="6" t="s">
        <v>65</v>
      </c>
      <c r="P46" s="6" t="s">
        <v>81</v>
      </c>
      <c r="Q46" s="6" t="s">
        <v>60</v>
      </c>
      <c r="R46" s="7">
        <v>0.3090277777777778</v>
      </c>
      <c r="S46" s="7">
        <v>0.33402777777777776</v>
      </c>
      <c r="T46" s="8">
        <v>29.37</v>
      </c>
      <c r="U46" s="8">
        <v>1.31</v>
      </c>
      <c r="V46" s="8">
        <v>37.87</v>
      </c>
      <c r="W46" s="8">
        <v>1.31</v>
      </c>
      <c r="X46" s="8">
        <v>6.16</v>
      </c>
      <c r="Y46" s="8">
        <v>1.31</v>
      </c>
      <c r="Z46" s="8">
        <v>8.12</v>
      </c>
      <c r="AA46" s="8">
        <v>1.31</v>
      </c>
      <c r="AB46" s="8">
        <v>29.1</v>
      </c>
      <c r="AC46" s="8">
        <v>19.5</v>
      </c>
      <c r="AD46" s="8">
        <v>37.96</v>
      </c>
      <c r="AE46" s="8">
        <v>19.5</v>
      </c>
      <c r="AF46" s="8">
        <v>6.14</v>
      </c>
      <c r="AG46" s="8">
        <v>19.5</v>
      </c>
      <c r="AH46" s="8">
        <v>8.07</v>
      </c>
      <c r="AI46" s="8">
        <v>19.5</v>
      </c>
      <c r="AJ46" s="8">
        <v>18.25</v>
      </c>
      <c r="AK46" s="8">
        <v>18.25</v>
      </c>
      <c r="AL46" s="8">
        <v>18.25</v>
      </c>
      <c r="AM46" s="8">
        <v>0.0</v>
      </c>
      <c r="AN46" s="8">
        <v>1.0</v>
      </c>
      <c r="AO46" s="8">
        <v>19.5</v>
      </c>
      <c r="AP46" s="10">
        <v>161.0</v>
      </c>
      <c r="AQ46" s="10">
        <v>160.0</v>
      </c>
      <c r="AR46" s="11">
        <v>91.0</v>
      </c>
      <c r="AS46" s="11">
        <v>92.0</v>
      </c>
      <c r="AT46" s="11">
        <v>44.0</v>
      </c>
      <c r="AU46" s="11">
        <v>46.0</v>
      </c>
      <c r="AV46" s="11">
        <v>47.0</v>
      </c>
      <c r="AW46" s="11">
        <v>44.0</v>
      </c>
      <c r="AX46" s="10">
        <v>61.0</v>
      </c>
      <c r="AY46" s="10">
        <v>67.0</v>
      </c>
      <c r="AZ46" s="11">
        <v>39.0</v>
      </c>
    </row>
    <row r="47">
      <c r="A47" s="4">
        <v>1.0</v>
      </c>
      <c r="B47" s="5" t="s">
        <v>188</v>
      </c>
      <c r="C47" s="5" t="s">
        <v>183</v>
      </c>
      <c r="D47" s="6" t="s">
        <v>189</v>
      </c>
      <c r="E47" s="6" t="s">
        <v>174</v>
      </c>
      <c r="F47" s="6" t="s">
        <v>162</v>
      </c>
      <c r="G47" s="6">
        <v>18.30493</v>
      </c>
      <c r="H47" s="6">
        <v>-65.3277</v>
      </c>
      <c r="I47" s="6">
        <v>5.0</v>
      </c>
      <c r="J47" s="6">
        <v>6.0</v>
      </c>
      <c r="K47" s="6">
        <v>27.0</v>
      </c>
      <c r="L47" s="6">
        <v>2023.0</v>
      </c>
      <c r="M47" s="6" t="s">
        <v>185</v>
      </c>
      <c r="N47" s="6" t="s">
        <v>176</v>
      </c>
      <c r="O47" s="6" t="s">
        <v>65</v>
      </c>
      <c r="P47" s="6" t="s">
        <v>81</v>
      </c>
      <c r="Q47" s="6" t="s">
        <v>60</v>
      </c>
      <c r="R47" s="7">
        <v>0.3541666666666667</v>
      </c>
      <c r="S47" s="7">
        <v>0.38680555555555557</v>
      </c>
      <c r="T47" s="8">
        <v>29.33</v>
      </c>
      <c r="U47" s="8">
        <v>1.05</v>
      </c>
      <c r="V47" s="8">
        <v>38.03</v>
      </c>
      <c r="W47" s="8">
        <v>1.05</v>
      </c>
      <c r="X47" s="8">
        <v>5.72</v>
      </c>
      <c r="Y47" s="8">
        <v>1.05</v>
      </c>
      <c r="Z47" s="8">
        <v>7.89</v>
      </c>
      <c r="AA47" s="8">
        <v>1.05</v>
      </c>
      <c r="AB47" s="8">
        <v>29.3</v>
      </c>
      <c r="AC47" s="8">
        <v>4.49</v>
      </c>
      <c r="AD47" s="8">
        <v>38.03</v>
      </c>
      <c r="AE47" s="8">
        <v>4.49</v>
      </c>
      <c r="AF47" s="8">
        <v>5.55</v>
      </c>
      <c r="AG47" s="8">
        <v>4.49</v>
      </c>
      <c r="AH47" s="8">
        <v>8.05</v>
      </c>
      <c r="AI47" s="8">
        <v>4.49</v>
      </c>
      <c r="AJ47" s="8">
        <v>6.0</v>
      </c>
      <c r="AK47" s="8">
        <v>6.0</v>
      </c>
      <c r="AL47" s="8">
        <v>6.0</v>
      </c>
      <c r="AM47" s="8">
        <v>1.0</v>
      </c>
      <c r="AN47" s="8">
        <v>1.0</v>
      </c>
      <c r="AO47" s="8">
        <v>3.5</v>
      </c>
      <c r="AP47" s="10">
        <v>155.0</v>
      </c>
      <c r="AQ47" s="10">
        <v>154.0</v>
      </c>
      <c r="AR47" s="11">
        <v>85.0</v>
      </c>
      <c r="AS47" s="11">
        <v>86.0</v>
      </c>
      <c r="AT47" s="11">
        <v>41.0</v>
      </c>
      <c r="AU47" s="11">
        <v>43.0</v>
      </c>
      <c r="AV47" s="11">
        <v>44.0</v>
      </c>
      <c r="AW47" s="11">
        <v>41.0</v>
      </c>
      <c r="AX47" s="10">
        <v>58.0</v>
      </c>
      <c r="AY47" s="10">
        <v>64.0</v>
      </c>
      <c r="AZ47" s="11">
        <v>40.0</v>
      </c>
    </row>
    <row r="48">
      <c r="A48" s="4">
        <v>1.0</v>
      </c>
      <c r="B48" s="5" t="s">
        <v>190</v>
      </c>
      <c r="C48" s="5" t="s">
        <v>191</v>
      </c>
      <c r="D48" s="6" t="s">
        <v>192</v>
      </c>
      <c r="E48" s="6" t="s">
        <v>161</v>
      </c>
      <c r="F48" s="6" t="s">
        <v>193</v>
      </c>
      <c r="G48" s="6">
        <v>18.46222</v>
      </c>
      <c r="H48" s="6">
        <v>-66.0517</v>
      </c>
      <c r="I48" s="6">
        <v>5.0</v>
      </c>
      <c r="J48" s="6">
        <v>6.0</v>
      </c>
      <c r="K48" s="6">
        <v>28.0</v>
      </c>
      <c r="L48" s="6">
        <v>2023.0</v>
      </c>
      <c r="M48" s="6" t="s">
        <v>194</v>
      </c>
      <c r="N48" s="6" t="s">
        <v>195</v>
      </c>
      <c r="O48" s="6" t="s">
        <v>81</v>
      </c>
      <c r="P48" s="6" t="s">
        <v>143</v>
      </c>
      <c r="Q48" s="6" t="s">
        <v>60</v>
      </c>
      <c r="R48" s="7">
        <v>0.3326388888888889</v>
      </c>
      <c r="S48" s="7">
        <v>0.35208333333333336</v>
      </c>
      <c r="T48" s="8">
        <v>29.56</v>
      </c>
      <c r="U48" s="8">
        <v>1.08</v>
      </c>
      <c r="V48" s="8">
        <v>37.87</v>
      </c>
      <c r="W48" s="8">
        <v>1.08</v>
      </c>
      <c r="X48" s="8">
        <v>5.69</v>
      </c>
      <c r="Y48" s="8">
        <v>1.08</v>
      </c>
      <c r="Z48" s="13">
        <v>6.42</v>
      </c>
      <c r="AA48" s="8">
        <v>1.08</v>
      </c>
      <c r="AB48" s="8">
        <v>29.52</v>
      </c>
      <c r="AC48" s="8">
        <v>3.87</v>
      </c>
      <c r="AD48" s="8">
        <v>37.84</v>
      </c>
      <c r="AE48" s="8">
        <v>3.87</v>
      </c>
      <c r="AF48" s="8">
        <v>5.47</v>
      </c>
      <c r="AG48" s="8">
        <v>3.87</v>
      </c>
      <c r="AH48" s="8">
        <v>7.88</v>
      </c>
      <c r="AI48" s="8">
        <v>3.87</v>
      </c>
      <c r="AJ48" s="8">
        <v>3.5</v>
      </c>
      <c r="AK48" s="8">
        <v>3.5</v>
      </c>
      <c r="AL48" s="8">
        <v>3.5</v>
      </c>
      <c r="AM48" s="8">
        <v>1.0</v>
      </c>
      <c r="AN48" s="8">
        <v>1.0</v>
      </c>
      <c r="AO48" s="8">
        <v>3.5</v>
      </c>
      <c r="AP48" s="10">
        <v>170.0</v>
      </c>
      <c r="AQ48" s="10">
        <v>171.0</v>
      </c>
      <c r="AR48" s="11">
        <v>102.0</v>
      </c>
      <c r="AS48" s="11">
        <v>101.0</v>
      </c>
      <c r="AT48" s="11">
        <v>49.0</v>
      </c>
      <c r="AU48" s="11">
        <v>51.0</v>
      </c>
      <c r="AV48" s="11">
        <v>52.0</v>
      </c>
      <c r="AW48" s="11">
        <v>49.0</v>
      </c>
      <c r="AX48" s="10">
        <v>99.0</v>
      </c>
      <c r="AY48" s="10">
        <v>72.0</v>
      </c>
      <c r="AZ48" s="11">
        <v>42.0</v>
      </c>
    </row>
    <row r="49">
      <c r="A49" s="4">
        <v>1.0</v>
      </c>
      <c r="B49" s="5" t="s">
        <v>190</v>
      </c>
      <c r="C49" s="5" t="s">
        <v>191</v>
      </c>
      <c r="D49" s="6" t="s">
        <v>196</v>
      </c>
      <c r="E49" s="6" t="s">
        <v>161</v>
      </c>
      <c r="F49" s="6" t="s">
        <v>193</v>
      </c>
      <c r="G49" s="6">
        <v>18.46222</v>
      </c>
      <c r="H49" s="6">
        <v>-66.0517</v>
      </c>
      <c r="I49" s="6">
        <v>5.0</v>
      </c>
      <c r="J49" s="6">
        <v>6.0</v>
      </c>
      <c r="K49" s="6">
        <v>28.0</v>
      </c>
      <c r="L49" s="6">
        <v>2023.0</v>
      </c>
      <c r="M49" s="6" t="s">
        <v>194</v>
      </c>
      <c r="N49" s="6" t="s">
        <v>195</v>
      </c>
      <c r="O49" s="6" t="s">
        <v>81</v>
      </c>
      <c r="P49" s="6" t="s">
        <v>143</v>
      </c>
      <c r="Q49" s="6" t="s">
        <v>60</v>
      </c>
      <c r="R49" s="7">
        <v>0.3541666666666667</v>
      </c>
      <c r="S49" s="7">
        <v>0.3645833333333333</v>
      </c>
      <c r="T49" s="8">
        <v>-999.0</v>
      </c>
      <c r="U49" s="8">
        <v>-999.0</v>
      </c>
      <c r="V49" s="8">
        <v>-999.0</v>
      </c>
      <c r="W49" s="8">
        <v>-999.0</v>
      </c>
      <c r="X49" s="8">
        <v>-999.0</v>
      </c>
      <c r="Y49" s="8">
        <v>-999.0</v>
      </c>
      <c r="Z49" s="8">
        <v>-999.0</v>
      </c>
      <c r="AA49" s="8">
        <v>-999.0</v>
      </c>
      <c r="AB49" s="8">
        <v>-999.0</v>
      </c>
      <c r="AC49" s="8">
        <v>-999.0</v>
      </c>
      <c r="AD49" s="8">
        <v>-999.0</v>
      </c>
      <c r="AE49" s="8">
        <v>-999.0</v>
      </c>
      <c r="AF49" s="8">
        <v>-999.0</v>
      </c>
      <c r="AG49" s="8">
        <v>-999.0</v>
      </c>
      <c r="AH49" s="8">
        <v>-999.0</v>
      </c>
      <c r="AI49" s="8">
        <v>-999.0</v>
      </c>
      <c r="AJ49" s="8">
        <v>3.5</v>
      </c>
      <c r="AK49" s="8">
        <v>3.5</v>
      </c>
      <c r="AL49" s="8">
        <v>3.5</v>
      </c>
      <c r="AM49" s="8">
        <v>1.0</v>
      </c>
      <c r="AN49" s="8">
        <v>1.0</v>
      </c>
      <c r="AO49" s="8">
        <v>3.5</v>
      </c>
      <c r="AP49" s="10">
        <v>152.0</v>
      </c>
      <c r="AQ49" s="10">
        <v>153.0</v>
      </c>
      <c r="AR49" s="11">
        <v>84.0</v>
      </c>
      <c r="AS49" s="11">
        <v>83.0</v>
      </c>
      <c r="AT49" s="11">
        <v>40.0</v>
      </c>
      <c r="AU49" s="11">
        <v>42.0</v>
      </c>
      <c r="AV49" s="11">
        <v>43.0</v>
      </c>
      <c r="AW49" s="11">
        <v>40.0</v>
      </c>
      <c r="AX49" s="10">
        <v>57.0</v>
      </c>
      <c r="AY49" s="10">
        <v>63.0</v>
      </c>
      <c r="AZ49" s="11">
        <v>43.0</v>
      </c>
    </row>
    <row r="50">
      <c r="A50" s="4">
        <v>1.0</v>
      </c>
      <c r="B50" s="5" t="s">
        <v>197</v>
      </c>
      <c r="C50" s="5" t="s">
        <v>198</v>
      </c>
      <c r="D50" s="6" t="s">
        <v>199</v>
      </c>
      <c r="E50" s="6" t="s">
        <v>161</v>
      </c>
      <c r="F50" s="6" t="s">
        <v>193</v>
      </c>
      <c r="G50" s="6">
        <v>18.48955</v>
      </c>
      <c r="H50" s="6">
        <v>-66.3736</v>
      </c>
      <c r="I50" s="6">
        <v>10.0</v>
      </c>
      <c r="J50" s="6">
        <v>6.0</v>
      </c>
      <c r="K50" s="6">
        <v>29.0</v>
      </c>
      <c r="L50" s="6">
        <v>2023.0</v>
      </c>
      <c r="M50" s="6" t="s">
        <v>200</v>
      </c>
      <c r="N50" s="6" t="s">
        <v>195</v>
      </c>
      <c r="O50" s="6" t="s">
        <v>81</v>
      </c>
      <c r="P50" s="6" t="s">
        <v>143</v>
      </c>
      <c r="Q50" s="6" t="s">
        <v>60</v>
      </c>
      <c r="R50" s="7">
        <v>0.2916666666666667</v>
      </c>
      <c r="S50" s="7">
        <v>0.32013888888888886</v>
      </c>
      <c r="T50" s="8">
        <v>27.71</v>
      </c>
      <c r="U50" s="8">
        <v>1.0</v>
      </c>
      <c r="V50" s="8">
        <v>-999.0</v>
      </c>
      <c r="W50" s="8">
        <v>-999.0</v>
      </c>
      <c r="X50" s="8">
        <v>6.58</v>
      </c>
      <c r="Y50" s="8">
        <v>1.0</v>
      </c>
      <c r="Z50" s="8">
        <v>-999.0</v>
      </c>
      <c r="AA50" s="8">
        <v>-999.0</v>
      </c>
      <c r="AB50" s="8">
        <v>27.02</v>
      </c>
      <c r="AC50" s="8">
        <v>3.0</v>
      </c>
      <c r="AD50" s="8">
        <v>-999.0</v>
      </c>
      <c r="AE50" s="8">
        <v>-999.0</v>
      </c>
      <c r="AF50" s="8">
        <v>7.13</v>
      </c>
      <c r="AG50" s="8">
        <v>3.0</v>
      </c>
      <c r="AH50" s="8">
        <v>-999.0</v>
      </c>
      <c r="AI50" s="8">
        <v>-999.0</v>
      </c>
      <c r="AJ50" s="8">
        <v>3.5</v>
      </c>
      <c r="AK50" s="8">
        <v>3.5</v>
      </c>
      <c r="AL50" s="8">
        <v>3.5</v>
      </c>
      <c r="AM50" s="8">
        <v>1.0</v>
      </c>
      <c r="AN50" s="8">
        <v>1.0</v>
      </c>
      <c r="AO50" s="8">
        <v>3.0</v>
      </c>
      <c r="AP50" s="10">
        <v>156.0</v>
      </c>
      <c r="AQ50" s="10">
        <v>158.0</v>
      </c>
      <c r="AR50" s="11">
        <v>87.0</v>
      </c>
      <c r="AS50" s="11">
        <v>88.0</v>
      </c>
      <c r="AT50" s="11">
        <v>42.0</v>
      </c>
      <c r="AU50" s="11">
        <v>44.0</v>
      </c>
      <c r="AV50" s="11">
        <v>45.0</v>
      </c>
      <c r="AW50" s="11">
        <v>42.0</v>
      </c>
      <c r="AX50" s="10">
        <v>59.0</v>
      </c>
      <c r="AY50" s="10">
        <v>65.0</v>
      </c>
      <c r="AZ50" s="11">
        <v>46.0</v>
      </c>
    </row>
    <row r="51">
      <c r="A51" s="4">
        <v>1.0</v>
      </c>
      <c r="B51" s="5" t="s">
        <v>197</v>
      </c>
      <c r="C51" s="5" t="s">
        <v>198</v>
      </c>
      <c r="D51" s="6" t="s">
        <v>201</v>
      </c>
      <c r="E51" s="6" t="s">
        <v>161</v>
      </c>
      <c r="F51" s="6" t="s">
        <v>193</v>
      </c>
      <c r="G51" s="6">
        <v>18.48955</v>
      </c>
      <c r="H51" s="6">
        <v>-66.3736</v>
      </c>
      <c r="I51" s="6">
        <v>10.0</v>
      </c>
      <c r="J51" s="6">
        <v>6.0</v>
      </c>
      <c r="K51" s="6">
        <v>29.0</v>
      </c>
      <c r="L51" s="6">
        <v>2023.0</v>
      </c>
      <c r="M51" s="6" t="s">
        <v>200</v>
      </c>
      <c r="N51" s="6" t="s">
        <v>195</v>
      </c>
      <c r="O51" s="6" t="s">
        <v>81</v>
      </c>
      <c r="P51" s="6" t="s">
        <v>143</v>
      </c>
      <c r="Q51" s="6" t="s">
        <v>60</v>
      </c>
      <c r="R51" s="7">
        <v>0.32569444444444445</v>
      </c>
      <c r="S51" s="7">
        <v>0.3402777777777778</v>
      </c>
      <c r="T51" s="8">
        <v>28.48</v>
      </c>
      <c r="U51" s="8">
        <v>1.0</v>
      </c>
      <c r="V51" s="8">
        <v>-999.0</v>
      </c>
      <c r="W51" s="8">
        <v>-999.0</v>
      </c>
      <c r="X51" s="8">
        <v>5.99</v>
      </c>
      <c r="Y51" s="8">
        <v>1.0</v>
      </c>
      <c r="Z51" s="8">
        <v>-999.0</v>
      </c>
      <c r="AA51" s="8">
        <v>-999.0</v>
      </c>
      <c r="AB51" s="8">
        <v>28.65</v>
      </c>
      <c r="AC51" s="8">
        <v>3.0</v>
      </c>
      <c r="AD51" s="8">
        <v>-999.0</v>
      </c>
      <c r="AE51" s="8">
        <v>-999.0</v>
      </c>
      <c r="AF51" s="8">
        <v>4.0</v>
      </c>
      <c r="AG51" s="8">
        <v>3.0</v>
      </c>
      <c r="AH51" s="8">
        <v>-999.0</v>
      </c>
      <c r="AI51" s="8">
        <v>-999.0</v>
      </c>
      <c r="AJ51" s="8">
        <v>3.5</v>
      </c>
      <c r="AK51" s="8">
        <v>3.5</v>
      </c>
      <c r="AL51" s="8">
        <v>3.5</v>
      </c>
      <c r="AM51" s="8">
        <v>1.0</v>
      </c>
      <c r="AN51" s="8">
        <v>1.0</v>
      </c>
      <c r="AO51" s="8">
        <v>3.0</v>
      </c>
      <c r="AP51" s="10">
        <v>162.0</v>
      </c>
      <c r="AQ51" s="10">
        <v>163.0</v>
      </c>
      <c r="AR51" s="11">
        <v>94.0</v>
      </c>
      <c r="AS51" s="11">
        <v>93.0</v>
      </c>
      <c r="AT51" s="11">
        <v>45.0</v>
      </c>
      <c r="AU51" s="11">
        <v>47.0</v>
      </c>
      <c r="AV51" s="11">
        <v>48.0</v>
      </c>
      <c r="AW51" s="11">
        <v>45.0</v>
      </c>
      <c r="AX51" s="10">
        <v>62.0</v>
      </c>
      <c r="AY51" s="10">
        <v>68.0</v>
      </c>
      <c r="AZ51" s="11">
        <v>45.0</v>
      </c>
    </row>
    <row r="52">
      <c r="A52" s="14"/>
      <c r="B52" s="15"/>
      <c r="C52" s="15"/>
      <c r="D52" s="16"/>
      <c r="E52" s="17"/>
      <c r="F52" s="17"/>
      <c r="G52" s="17"/>
      <c r="H52" s="17"/>
      <c r="I52" s="17"/>
      <c r="J52" s="18"/>
      <c r="K52" s="18"/>
      <c r="L52" s="16"/>
      <c r="M52" s="16"/>
      <c r="N52" s="16"/>
      <c r="O52" s="16"/>
      <c r="P52" s="16"/>
      <c r="Q52" s="16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</row>
    <row r="53">
      <c r="A53" s="14"/>
      <c r="B53" s="15"/>
      <c r="C53" s="15"/>
      <c r="D53" s="16"/>
      <c r="E53" s="17"/>
      <c r="F53" s="17"/>
      <c r="G53" s="17"/>
      <c r="H53" s="17"/>
      <c r="I53" s="17"/>
      <c r="J53" s="18"/>
      <c r="K53" s="18"/>
      <c r="L53" s="16"/>
      <c r="M53" s="16"/>
      <c r="N53" s="16"/>
      <c r="O53" s="16"/>
      <c r="P53" s="16"/>
      <c r="Q53" s="16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</row>
    <row r="54">
      <c r="A54" s="21"/>
      <c r="B54" s="22"/>
      <c r="C54" s="22"/>
      <c r="D54" s="18"/>
      <c r="E54" s="17"/>
      <c r="F54" s="17"/>
      <c r="G54" s="17"/>
      <c r="H54" s="17"/>
      <c r="I54" s="17"/>
      <c r="J54" s="18"/>
      <c r="K54" s="18"/>
      <c r="L54" s="16"/>
      <c r="M54" s="18"/>
      <c r="N54" s="18"/>
      <c r="O54" s="18"/>
      <c r="P54" s="18"/>
      <c r="Q54" s="18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</row>
    <row r="55">
      <c r="A55" s="21"/>
      <c r="B55" s="22"/>
      <c r="C55" s="22"/>
      <c r="D55" s="18"/>
      <c r="E55" s="17"/>
      <c r="F55" s="17"/>
      <c r="G55" s="17"/>
      <c r="H55" s="17"/>
      <c r="I55" s="17"/>
      <c r="J55" s="18"/>
      <c r="K55" s="18"/>
      <c r="L55" s="16"/>
      <c r="M55" s="18"/>
      <c r="N55" s="18"/>
      <c r="O55" s="18"/>
      <c r="P55" s="18"/>
      <c r="Q55" s="18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60">
      <c r="A60" s="21"/>
      <c r="B60" s="22"/>
      <c r="C60" s="22"/>
      <c r="D60" s="18"/>
      <c r="E60" s="17"/>
      <c r="F60" s="17"/>
      <c r="G60" s="17"/>
      <c r="H60" s="17"/>
      <c r="I60" s="17"/>
      <c r="J60" s="18"/>
      <c r="K60" s="18"/>
      <c r="L60" s="18"/>
      <c r="M60" s="18"/>
      <c r="N60" s="18"/>
      <c r="O60" s="18"/>
      <c r="P60" s="18"/>
      <c r="Q60" s="18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>
      <c r="A61" s="21"/>
      <c r="B61" s="22"/>
      <c r="C61" s="22"/>
      <c r="D61" s="18"/>
      <c r="E61" s="17"/>
      <c r="F61" s="17"/>
      <c r="G61" s="17"/>
      <c r="H61" s="17"/>
      <c r="I61" s="17"/>
      <c r="J61" s="18"/>
      <c r="K61" s="18"/>
      <c r="L61" s="18"/>
      <c r="M61" s="18"/>
      <c r="N61" s="18"/>
      <c r="O61" s="18"/>
      <c r="P61" s="18"/>
      <c r="Q61" s="18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>
      <c r="A62" s="21"/>
      <c r="B62" s="22"/>
      <c r="C62" s="22"/>
      <c r="D62" s="18"/>
      <c r="E62" s="17"/>
      <c r="F62" s="17"/>
      <c r="G62" s="17"/>
      <c r="H62" s="17"/>
      <c r="I62" s="17"/>
      <c r="J62" s="18"/>
      <c r="K62" s="18"/>
      <c r="L62" s="18"/>
      <c r="M62" s="18"/>
      <c r="N62" s="18"/>
      <c r="O62" s="18"/>
      <c r="P62" s="18"/>
      <c r="Q62" s="18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>
      <c r="A63" s="21"/>
      <c r="B63" s="22"/>
      <c r="C63" s="22"/>
      <c r="D63" s="18"/>
      <c r="E63" s="17"/>
      <c r="F63" s="17"/>
      <c r="G63" s="17"/>
      <c r="H63" s="17"/>
      <c r="I63" s="17"/>
      <c r="J63" s="18"/>
      <c r="K63" s="18"/>
      <c r="L63" s="18"/>
      <c r="M63" s="18"/>
      <c r="N63" s="18"/>
      <c r="O63" s="18"/>
      <c r="P63" s="18"/>
      <c r="Q63" s="18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>
      <c r="A64" s="21"/>
      <c r="B64" s="22"/>
      <c r="C64" s="22"/>
      <c r="D64" s="18"/>
      <c r="E64" s="17"/>
      <c r="F64" s="17"/>
      <c r="G64" s="17"/>
      <c r="H64" s="17"/>
      <c r="I64" s="17"/>
      <c r="J64" s="18"/>
      <c r="K64" s="18"/>
      <c r="L64" s="18"/>
      <c r="M64" s="18"/>
      <c r="N64" s="18"/>
      <c r="O64" s="18"/>
      <c r="P64" s="18"/>
      <c r="Q64" s="18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>
      <c r="A65" s="21"/>
      <c r="B65" s="22"/>
      <c r="C65" s="22"/>
      <c r="D65" s="18"/>
      <c r="E65" s="17"/>
      <c r="F65" s="17"/>
      <c r="G65" s="17"/>
      <c r="H65" s="17"/>
      <c r="I65" s="17"/>
      <c r="J65" s="18"/>
      <c r="K65" s="18"/>
      <c r="L65" s="18"/>
      <c r="M65" s="18"/>
      <c r="N65" s="18"/>
      <c r="O65" s="18"/>
      <c r="P65" s="18"/>
      <c r="Q65" s="18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</row>
    <row r="66">
      <c r="A66" s="21"/>
      <c r="B66" s="22"/>
      <c r="C66" s="22"/>
      <c r="D66" s="18"/>
      <c r="E66" s="17"/>
      <c r="F66" s="17"/>
      <c r="G66" s="17"/>
      <c r="H66" s="17"/>
      <c r="I66" s="17"/>
      <c r="J66" s="18"/>
      <c r="K66" s="18"/>
      <c r="L66" s="18"/>
      <c r="M66" s="18"/>
      <c r="N66" s="18"/>
      <c r="O66" s="18"/>
      <c r="P66" s="18"/>
      <c r="Q66" s="18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</row>
    <row r="67">
      <c r="A67" s="21"/>
      <c r="B67" s="22"/>
      <c r="C67" s="22"/>
      <c r="D67" s="18"/>
      <c r="E67" s="17"/>
      <c r="F67" s="17"/>
      <c r="G67" s="17"/>
      <c r="H67" s="17"/>
      <c r="I67" s="17"/>
      <c r="J67" s="18"/>
      <c r="K67" s="18"/>
      <c r="L67" s="18"/>
      <c r="M67" s="18"/>
      <c r="N67" s="18"/>
      <c r="O67" s="18"/>
      <c r="P67" s="18"/>
      <c r="Q67" s="18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</row>
    <row r="68">
      <c r="A68" s="21"/>
      <c r="B68" s="22"/>
      <c r="C68" s="22"/>
      <c r="D68" s="18"/>
      <c r="E68" s="17"/>
      <c r="F68" s="17"/>
      <c r="G68" s="17"/>
      <c r="H68" s="17"/>
      <c r="I68" s="17"/>
      <c r="J68" s="18"/>
      <c r="K68" s="18"/>
      <c r="L68" s="18"/>
      <c r="M68" s="18"/>
      <c r="N68" s="18"/>
      <c r="O68" s="18"/>
      <c r="P68" s="18"/>
      <c r="Q68" s="18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</row>
    <row r="69">
      <c r="A69" s="21"/>
      <c r="B69" s="22"/>
      <c r="C69" s="22"/>
      <c r="D69" s="18"/>
      <c r="E69" s="17"/>
      <c r="F69" s="17"/>
      <c r="G69" s="17"/>
      <c r="H69" s="17"/>
      <c r="I69" s="17"/>
      <c r="J69" s="18"/>
      <c r="K69" s="18"/>
      <c r="L69" s="18"/>
      <c r="M69" s="18"/>
      <c r="N69" s="18"/>
      <c r="O69" s="18"/>
      <c r="P69" s="18"/>
      <c r="Q69" s="18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</row>
    <row r="70">
      <c r="A70" s="21"/>
      <c r="B70" s="22"/>
      <c r="C70" s="22"/>
      <c r="D70" s="18"/>
      <c r="E70" s="17"/>
      <c r="F70" s="17"/>
      <c r="G70" s="17"/>
      <c r="H70" s="17"/>
      <c r="I70" s="17"/>
      <c r="J70" s="18"/>
      <c r="K70" s="18"/>
      <c r="L70" s="18"/>
      <c r="M70" s="18"/>
      <c r="N70" s="18"/>
      <c r="O70" s="18"/>
      <c r="P70" s="18"/>
      <c r="Q70" s="18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</row>
    <row r="71">
      <c r="A71" s="21"/>
      <c r="B71" s="22"/>
      <c r="C71" s="22"/>
      <c r="D71" s="18"/>
      <c r="E71" s="17"/>
      <c r="F71" s="17"/>
      <c r="G71" s="17"/>
      <c r="H71" s="17"/>
      <c r="I71" s="17"/>
      <c r="J71" s="18"/>
      <c r="K71" s="18"/>
      <c r="L71" s="18"/>
      <c r="M71" s="18"/>
      <c r="N71" s="18"/>
      <c r="O71" s="18"/>
      <c r="P71" s="18"/>
      <c r="Q71" s="18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</row>
    <row r="72">
      <c r="A72" s="21"/>
      <c r="B72" s="22"/>
      <c r="C72" s="22"/>
      <c r="D72" s="18"/>
      <c r="E72" s="17"/>
      <c r="F72" s="17"/>
      <c r="G72" s="17"/>
      <c r="H72" s="17"/>
      <c r="I72" s="17"/>
      <c r="J72" s="18"/>
      <c r="K72" s="18"/>
      <c r="L72" s="18"/>
      <c r="M72" s="18"/>
      <c r="N72" s="18"/>
      <c r="O72" s="18"/>
      <c r="P72" s="18"/>
      <c r="Q72" s="18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</row>
    <row r="73">
      <c r="A73" s="21"/>
      <c r="B73" s="22"/>
      <c r="C73" s="22"/>
      <c r="D73" s="18"/>
      <c r="E73" s="17"/>
      <c r="F73" s="17"/>
      <c r="G73" s="17"/>
      <c r="H73" s="17"/>
      <c r="I73" s="17"/>
      <c r="J73" s="18"/>
      <c r="K73" s="18"/>
      <c r="L73" s="18"/>
      <c r="M73" s="18"/>
      <c r="N73" s="18"/>
      <c r="O73" s="18"/>
      <c r="P73" s="18"/>
      <c r="Q73" s="18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</row>
    <row r="74">
      <c r="A74" s="21"/>
      <c r="B74" s="22"/>
      <c r="C74" s="22"/>
      <c r="D74" s="18"/>
      <c r="E74" s="17"/>
      <c r="F74" s="17"/>
      <c r="G74" s="17"/>
      <c r="H74" s="17"/>
      <c r="I74" s="17"/>
      <c r="J74" s="18"/>
      <c r="K74" s="18"/>
      <c r="L74" s="18"/>
      <c r="M74" s="18"/>
      <c r="N74" s="18"/>
      <c r="O74" s="18"/>
      <c r="P74" s="18"/>
      <c r="Q74" s="18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</row>
    <row r="75">
      <c r="A75" s="21"/>
      <c r="B75" s="22"/>
      <c r="C75" s="22"/>
      <c r="D75" s="18"/>
      <c r="E75" s="17"/>
      <c r="F75" s="17"/>
      <c r="G75" s="17"/>
      <c r="H75" s="17"/>
      <c r="I75" s="17"/>
      <c r="J75" s="18"/>
      <c r="K75" s="18"/>
      <c r="L75" s="18"/>
      <c r="M75" s="18"/>
      <c r="N75" s="18"/>
      <c r="O75" s="18"/>
      <c r="P75" s="18"/>
      <c r="Q75" s="18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</row>
    <row r="76">
      <c r="A76" s="21"/>
      <c r="B76" s="22"/>
      <c r="C76" s="22"/>
      <c r="D76" s="18"/>
      <c r="E76" s="17"/>
      <c r="F76" s="17"/>
      <c r="G76" s="17"/>
      <c r="H76" s="17"/>
      <c r="I76" s="17"/>
      <c r="J76" s="18"/>
      <c r="K76" s="18"/>
      <c r="L76" s="18"/>
      <c r="M76" s="18"/>
      <c r="N76" s="18"/>
      <c r="O76" s="18"/>
      <c r="P76" s="18"/>
      <c r="Q76" s="18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</row>
    <row r="77">
      <c r="A77" s="21"/>
      <c r="B77" s="22"/>
      <c r="C77" s="22"/>
      <c r="D77" s="18"/>
      <c r="E77" s="17"/>
      <c r="F77" s="17"/>
      <c r="G77" s="17"/>
      <c r="H77" s="17"/>
      <c r="I77" s="17"/>
      <c r="J77" s="18"/>
      <c r="K77" s="18"/>
      <c r="L77" s="18"/>
      <c r="M77" s="18"/>
      <c r="N77" s="18"/>
      <c r="O77" s="18"/>
      <c r="P77" s="18"/>
      <c r="Q77" s="18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</row>
    <row r="78">
      <c r="A78" s="21"/>
      <c r="B78" s="22"/>
      <c r="C78" s="22"/>
      <c r="D78" s="18"/>
      <c r="E78" s="17"/>
      <c r="F78" s="17"/>
      <c r="G78" s="17"/>
      <c r="H78" s="17"/>
      <c r="I78" s="17"/>
      <c r="J78" s="18"/>
      <c r="K78" s="18"/>
      <c r="L78" s="18"/>
      <c r="M78" s="18"/>
      <c r="N78" s="18"/>
      <c r="O78" s="18"/>
      <c r="P78" s="18"/>
      <c r="Q78" s="18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</row>
    <row r="79">
      <c r="A79" s="21"/>
      <c r="B79" s="22"/>
      <c r="C79" s="22"/>
      <c r="D79" s="18"/>
      <c r="E79" s="17"/>
      <c r="F79" s="17"/>
      <c r="G79" s="17"/>
      <c r="H79" s="17"/>
      <c r="I79" s="17"/>
      <c r="J79" s="18"/>
      <c r="K79" s="18"/>
      <c r="L79" s="18"/>
      <c r="M79" s="18"/>
      <c r="N79" s="18"/>
      <c r="O79" s="18"/>
      <c r="P79" s="18"/>
      <c r="Q79" s="18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</row>
    <row r="80">
      <c r="A80" s="21"/>
      <c r="B80" s="22"/>
      <c r="C80" s="22"/>
      <c r="D80" s="18"/>
      <c r="E80" s="17"/>
      <c r="F80" s="17"/>
      <c r="G80" s="17"/>
      <c r="H80" s="17"/>
      <c r="I80" s="17"/>
      <c r="J80" s="18"/>
      <c r="K80" s="18"/>
      <c r="L80" s="18"/>
      <c r="M80" s="18"/>
      <c r="N80" s="18"/>
      <c r="O80" s="18"/>
      <c r="P80" s="18"/>
      <c r="Q80" s="18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</row>
    <row r="81">
      <c r="A81" s="21"/>
      <c r="B81" s="22"/>
      <c r="C81" s="22"/>
      <c r="D81" s="18"/>
      <c r="E81" s="17"/>
      <c r="F81" s="17"/>
      <c r="G81" s="17"/>
      <c r="H81" s="17"/>
      <c r="I81" s="17"/>
      <c r="J81" s="18"/>
      <c r="K81" s="18"/>
      <c r="L81" s="18"/>
      <c r="M81" s="18"/>
      <c r="N81" s="18"/>
      <c r="O81" s="18"/>
      <c r="P81" s="18"/>
      <c r="Q81" s="18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</row>
    <row r="82">
      <c r="A82" s="21"/>
      <c r="B82" s="22"/>
      <c r="C82" s="22"/>
      <c r="D82" s="18"/>
      <c r="E82" s="17"/>
      <c r="F82" s="17"/>
      <c r="G82" s="17"/>
      <c r="H82" s="17"/>
      <c r="I82" s="17"/>
      <c r="J82" s="18"/>
      <c r="K82" s="18"/>
      <c r="L82" s="18"/>
      <c r="M82" s="18"/>
      <c r="N82" s="18"/>
      <c r="O82" s="18"/>
      <c r="P82" s="18"/>
      <c r="Q82" s="18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</row>
    <row r="83">
      <c r="A83" s="21"/>
      <c r="B83" s="22"/>
      <c r="C83" s="22"/>
      <c r="D83" s="18"/>
      <c r="E83" s="17"/>
      <c r="F83" s="17"/>
      <c r="G83" s="17"/>
      <c r="H83" s="17"/>
      <c r="I83" s="17"/>
      <c r="J83" s="18"/>
      <c r="K83" s="18"/>
      <c r="L83" s="18"/>
      <c r="M83" s="18"/>
      <c r="N83" s="18"/>
      <c r="O83" s="18"/>
      <c r="P83" s="18"/>
      <c r="Q83" s="18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</row>
    <row r="84">
      <c r="A84" s="21"/>
      <c r="B84" s="22"/>
      <c r="C84" s="22"/>
      <c r="D84" s="18"/>
      <c r="E84" s="17"/>
      <c r="F84" s="17"/>
      <c r="G84" s="17"/>
      <c r="H84" s="17"/>
      <c r="I84" s="17"/>
      <c r="J84" s="18"/>
      <c r="K84" s="18"/>
      <c r="L84" s="18"/>
      <c r="M84" s="18"/>
      <c r="N84" s="18"/>
      <c r="O84" s="18"/>
      <c r="P84" s="18"/>
      <c r="Q84" s="18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</row>
    <row r="85">
      <c r="A85" s="21"/>
      <c r="B85" s="22"/>
      <c r="C85" s="22"/>
      <c r="D85" s="18"/>
      <c r="E85" s="17"/>
      <c r="F85" s="17"/>
      <c r="G85" s="17"/>
      <c r="H85" s="17"/>
      <c r="I85" s="17"/>
      <c r="J85" s="18"/>
      <c r="K85" s="18"/>
      <c r="L85" s="18"/>
      <c r="M85" s="18"/>
      <c r="N85" s="18"/>
      <c r="O85" s="18"/>
      <c r="P85" s="18"/>
      <c r="Q85" s="18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</row>
    <row r="86">
      <c r="A86" s="21"/>
      <c r="B86" s="22"/>
      <c r="C86" s="22"/>
      <c r="D86" s="18"/>
      <c r="E86" s="17"/>
      <c r="F86" s="17"/>
      <c r="G86" s="17"/>
      <c r="H86" s="17"/>
      <c r="I86" s="17"/>
      <c r="J86" s="18"/>
      <c r="K86" s="18"/>
      <c r="L86" s="18"/>
      <c r="M86" s="18"/>
      <c r="N86" s="18"/>
      <c r="O86" s="18"/>
      <c r="P86" s="18"/>
      <c r="Q86" s="18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</row>
    <row r="87">
      <c r="A87" s="21"/>
      <c r="B87" s="22"/>
      <c r="C87" s="22"/>
      <c r="D87" s="18"/>
      <c r="E87" s="17"/>
      <c r="F87" s="17"/>
      <c r="G87" s="17"/>
      <c r="H87" s="17"/>
      <c r="I87" s="17"/>
      <c r="J87" s="18"/>
      <c r="K87" s="18"/>
      <c r="L87" s="18"/>
      <c r="M87" s="18"/>
      <c r="N87" s="18"/>
      <c r="O87" s="18"/>
      <c r="P87" s="18"/>
      <c r="Q87" s="18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</row>
    <row r="88">
      <c r="A88" s="21"/>
      <c r="B88" s="22"/>
      <c r="C88" s="22"/>
      <c r="D88" s="18"/>
      <c r="E88" s="17"/>
      <c r="F88" s="17"/>
      <c r="G88" s="17"/>
      <c r="H88" s="17"/>
      <c r="I88" s="17"/>
      <c r="J88" s="18"/>
      <c r="K88" s="18"/>
      <c r="L88" s="18"/>
      <c r="M88" s="18"/>
      <c r="N88" s="18"/>
      <c r="O88" s="18"/>
      <c r="P88" s="18"/>
      <c r="Q88" s="18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</row>
    <row r="89">
      <c r="A89" s="21"/>
      <c r="B89" s="22"/>
      <c r="C89" s="22"/>
      <c r="D89" s="18"/>
      <c r="E89" s="17"/>
      <c r="F89" s="17"/>
      <c r="G89" s="17"/>
      <c r="H89" s="17"/>
      <c r="I89" s="17"/>
      <c r="J89" s="18"/>
      <c r="K89" s="18"/>
      <c r="L89" s="18"/>
      <c r="M89" s="18"/>
      <c r="N89" s="18"/>
      <c r="O89" s="18"/>
      <c r="P89" s="18"/>
      <c r="Q89" s="18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</row>
    <row r="90">
      <c r="A90" s="21"/>
      <c r="B90" s="22"/>
      <c r="C90" s="22"/>
      <c r="D90" s="18"/>
      <c r="E90" s="17"/>
      <c r="F90" s="17"/>
      <c r="G90" s="17"/>
      <c r="H90" s="17"/>
      <c r="I90" s="17"/>
      <c r="J90" s="18"/>
      <c r="K90" s="18"/>
      <c r="L90" s="18"/>
      <c r="M90" s="18"/>
      <c r="N90" s="18"/>
      <c r="O90" s="18"/>
      <c r="P90" s="18"/>
      <c r="Q90" s="18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</row>
    <row r="91">
      <c r="A91" s="21"/>
      <c r="B91" s="22"/>
      <c r="C91" s="22"/>
      <c r="D91" s="18"/>
      <c r="E91" s="17"/>
      <c r="F91" s="17"/>
      <c r="G91" s="17"/>
      <c r="H91" s="17"/>
      <c r="I91" s="17"/>
      <c r="J91" s="18"/>
      <c r="K91" s="18"/>
      <c r="L91" s="18"/>
      <c r="M91" s="18"/>
      <c r="N91" s="18"/>
      <c r="O91" s="18"/>
      <c r="P91" s="18"/>
      <c r="Q91" s="18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</row>
    <row r="92">
      <c r="A92" s="21"/>
      <c r="B92" s="22"/>
      <c r="C92" s="22"/>
      <c r="D92" s="18"/>
      <c r="E92" s="17"/>
      <c r="F92" s="17"/>
      <c r="G92" s="17"/>
      <c r="H92" s="17"/>
      <c r="I92" s="17"/>
      <c r="J92" s="18"/>
      <c r="K92" s="18"/>
      <c r="L92" s="18"/>
      <c r="M92" s="18"/>
      <c r="N92" s="18"/>
      <c r="O92" s="18"/>
      <c r="P92" s="18"/>
      <c r="Q92" s="18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</row>
    <row r="93">
      <c r="A93" s="21"/>
      <c r="B93" s="22"/>
      <c r="C93" s="22"/>
      <c r="D93" s="18"/>
      <c r="E93" s="17"/>
      <c r="F93" s="17"/>
      <c r="G93" s="17"/>
      <c r="H93" s="17"/>
      <c r="I93" s="17"/>
      <c r="J93" s="18"/>
      <c r="K93" s="18"/>
      <c r="L93" s="18"/>
      <c r="M93" s="18"/>
      <c r="N93" s="18"/>
      <c r="O93" s="18"/>
      <c r="P93" s="18"/>
      <c r="Q93" s="18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</row>
    <row r="94">
      <c r="A94" s="21"/>
      <c r="B94" s="22"/>
      <c r="C94" s="22"/>
      <c r="D94" s="18"/>
      <c r="E94" s="17"/>
      <c r="F94" s="17"/>
      <c r="G94" s="17"/>
      <c r="H94" s="17"/>
      <c r="I94" s="17"/>
      <c r="J94" s="18"/>
      <c r="K94" s="18"/>
      <c r="L94" s="18"/>
      <c r="M94" s="18"/>
      <c r="N94" s="18"/>
      <c r="O94" s="18"/>
      <c r="P94" s="18"/>
      <c r="Q94" s="18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</row>
    <row r="95">
      <c r="A95" s="21"/>
      <c r="B95" s="22"/>
      <c r="C95" s="22"/>
      <c r="D95" s="18"/>
      <c r="E95" s="17"/>
      <c r="F95" s="17"/>
      <c r="G95" s="17"/>
      <c r="H95" s="17"/>
      <c r="I95" s="17"/>
      <c r="J95" s="18"/>
      <c r="K95" s="18"/>
      <c r="L95" s="18"/>
      <c r="M95" s="18"/>
      <c r="N95" s="18"/>
      <c r="O95" s="18"/>
      <c r="P95" s="18"/>
      <c r="Q95" s="18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</row>
    <row r="96">
      <c r="A96" s="21"/>
      <c r="B96" s="22"/>
      <c r="C96" s="22"/>
      <c r="D96" s="18"/>
      <c r="E96" s="17"/>
      <c r="F96" s="17"/>
      <c r="G96" s="17"/>
      <c r="H96" s="17"/>
      <c r="I96" s="17"/>
      <c r="J96" s="18"/>
      <c r="K96" s="18"/>
      <c r="L96" s="18"/>
      <c r="M96" s="18"/>
      <c r="N96" s="18"/>
      <c r="O96" s="18"/>
      <c r="P96" s="18"/>
      <c r="Q96" s="18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>
      <c r="A97" s="21"/>
      <c r="B97" s="22"/>
      <c r="C97" s="22"/>
      <c r="D97" s="18"/>
      <c r="E97" s="17"/>
      <c r="F97" s="17"/>
      <c r="G97" s="17"/>
      <c r="H97" s="17"/>
      <c r="I97" s="17"/>
      <c r="J97" s="18"/>
      <c r="K97" s="18"/>
      <c r="L97" s="18"/>
      <c r="M97" s="18"/>
      <c r="N97" s="18"/>
      <c r="O97" s="18"/>
      <c r="P97" s="18"/>
      <c r="Q97" s="18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>
      <c r="A98" s="21"/>
      <c r="B98" s="22"/>
      <c r="C98" s="22"/>
      <c r="D98" s="18"/>
      <c r="E98" s="17"/>
      <c r="F98" s="17"/>
      <c r="G98" s="17"/>
      <c r="H98" s="17"/>
      <c r="I98" s="17"/>
      <c r="J98" s="18"/>
      <c r="K98" s="18"/>
      <c r="L98" s="18"/>
      <c r="M98" s="18"/>
      <c r="N98" s="18"/>
      <c r="O98" s="18"/>
      <c r="P98" s="18"/>
      <c r="Q98" s="18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</row>
    <row r="99">
      <c r="A99" s="21"/>
      <c r="B99" s="22"/>
      <c r="C99" s="22"/>
      <c r="D99" s="18"/>
      <c r="E99" s="17"/>
      <c r="F99" s="17"/>
      <c r="G99" s="17"/>
      <c r="H99" s="17"/>
      <c r="I99" s="17"/>
      <c r="J99" s="18"/>
      <c r="K99" s="18"/>
      <c r="L99" s="18"/>
      <c r="M99" s="18"/>
      <c r="N99" s="18"/>
      <c r="O99" s="18"/>
      <c r="P99" s="18"/>
      <c r="Q99" s="18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</row>
    <row r="100">
      <c r="A100" s="21"/>
      <c r="B100" s="22"/>
      <c r="C100" s="22"/>
      <c r="D100" s="18"/>
      <c r="E100" s="17"/>
      <c r="F100" s="17"/>
      <c r="G100" s="17"/>
      <c r="H100" s="17"/>
      <c r="I100" s="17"/>
      <c r="J100" s="18"/>
      <c r="K100" s="18"/>
      <c r="L100" s="18"/>
      <c r="M100" s="18"/>
      <c r="N100" s="18"/>
      <c r="O100" s="18"/>
      <c r="P100" s="18"/>
      <c r="Q100" s="18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</row>
    <row r="101">
      <c r="A101" s="21"/>
      <c r="B101" s="22"/>
      <c r="C101" s="22"/>
      <c r="D101" s="18"/>
      <c r="E101" s="17"/>
      <c r="F101" s="17"/>
      <c r="G101" s="17"/>
      <c r="H101" s="17"/>
      <c r="I101" s="17"/>
      <c r="J101" s="18"/>
      <c r="K101" s="18"/>
      <c r="L101" s="18"/>
      <c r="M101" s="18"/>
      <c r="N101" s="18"/>
      <c r="O101" s="18"/>
      <c r="P101" s="18"/>
      <c r="Q101" s="18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3" max="3" width="16.88"/>
    <col customWidth="1" min="4" max="4" width="19.25"/>
  </cols>
  <sheetData>
    <row r="1">
      <c r="A1" s="23" t="s">
        <v>1</v>
      </c>
      <c r="B1" s="24" t="s">
        <v>3</v>
      </c>
      <c r="C1" s="24" t="s">
        <v>12</v>
      </c>
      <c r="D1" s="25" t="s">
        <v>202</v>
      </c>
      <c r="E1" s="24" t="s">
        <v>203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</row>
    <row r="2">
      <c r="A2" s="27" t="s">
        <v>52</v>
      </c>
      <c r="B2" s="28" t="s">
        <v>54</v>
      </c>
      <c r="C2" s="29" t="s">
        <v>57</v>
      </c>
      <c r="D2" s="30">
        <f>32-COUNTIF('Raw Data'!T2:AZ2,"-999.00")</f>
        <v>32</v>
      </c>
      <c r="E2" s="31">
        <f t="shared" ref="E2:E51" si="1">D2/32</f>
        <v>1</v>
      </c>
      <c r="G2" s="19"/>
      <c r="H2" s="19"/>
      <c r="I2" s="32"/>
      <c r="J2" s="32"/>
      <c r="K2" s="19"/>
      <c r="L2" s="19"/>
      <c r="M2" s="32"/>
      <c r="N2" s="32"/>
      <c r="O2" s="19"/>
      <c r="P2" s="19"/>
      <c r="Q2" s="32"/>
      <c r="R2" s="32"/>
      <c r="S2" s="19"/>
      <c r="T2" s="19"/>
      <c r="U2" s="32"/>
      <c r="V2" s="32"/>
      <c r="W2" s="32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3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</row>
    <row r="3">
      <c r="A3" s="22" t="s">
        <v>61</v>
      </c>
      <c r="B3" s="28" t="s">
        <v>62</v>
      </c>
      <c r="C3" s="29" t="s">
        <v>63</v>
      </c>
      <c r="D3" s="30">
        <f>32-COUNTIF('Raw Data'!T3:AZ3,"-999.00")</f>
        <v>32</v>
      </c>
      <c r="E3" s="31">
        <f t="shared" si="1"/>
        <v>1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33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</row>
    <row r="4">
      <c r="A4" s="27" t="s">
        <v>68</v>
      </c>
      <c r="B4" s="28" t="s">
        <v>69</v>
      </c>
      <c r="C4" s="29" t="s">
        <v>63</v>
      </c>
      <c r="D4" s="30">
        <f>32-COUNTIF('Raw Data'!T4:AZ4,"-999.00")</f>
        <v>32</v>
      </c>
      <c r="E4" s="31">
        <f t="shared" si="1"/>
        <v>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33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</row>
    <row r="5">
      <c r="A5" s="27" t="s">
        <v>71</v>
      </c>
      <c r="B5" s="28" t="s">
        <v>72</v>
      </c>
      <c r="C5" s="29" t="s">
        <v>63</v>
      </c>
      <c r="D5" s="30">
        <f>32-COUNTIF('Raw Data'!T5:AZ5,"-999.00")</f>
        <v>32</v>
      </c>
      <c r="E5" s="31">
        <f t="shared" si="1"/>
        <v>1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33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</row>
    <row r="6">
      <c r="A6" s="27" t="s">
        <v>74</v>
      </c>
      <c r="B6" s="28" t="s">
        <v>76</v>
      </c>
      <c r="C6" s="29" t="s">
        <v>79</v>
      </c>
      <c r="D6" s="30">
        <f>32-COUNTIF('Raw Data'!T6:AZ6,"-999.00")</f>
        <v>32</v>
      </c>
      <c r="E6" s="31">
        <f t="shared" si="1"/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</row>
    <row r="7">
      <c r="A7" s="22" t="s">
        <v>84</v>
      </c>
      <c r="B7" s="28" t="s">
        <v>85</v>
      </c>
      <c r="C7" s="29" t="s">
        <v>79</v>
      </c>
      <c r="D7" s="30">
        <f>32-COUNTIF('Raw Data'!T7:AZ7,"-999.00")</f>
        <v>32</v>
      </c>
      <c r="E7" s="31">
        <f t="shared" si="1"/>
        <v>1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3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</row>
    <row r="8">
      <c r="A8" s="27" t="s">
        <v>87</v>
      </c>
      <c r="B8" s="28" t="s">
        <v>89</v>
      </c>
      <c r="C8" s="29" t="s">
        <v>92</v>
      </c>
      <c r="D8" s="30">
        <f>32-COUNTIF('Raw Data'!T8:AZ8,"-999.00")</f>
        <v>32</v>
      </c>
      <c r="E8" s="31">
        <f t="shared" si="1"/>
        <v>1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33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</row>
    <row r="9">
      <c r="A9" s="27" t="s">
        <v>93</v>
      </c>
      <c r="B9" s="28" t="s">
        <v>94</v>
      </c>
      <c r="C9" s="29" t="s">
        <v>92</v>
      </c>
      <c r="D9" s="30">
        <f>32-COUNTIF('Raw Data'!T9:AZ9,"-999.00")</f>
        <v>32</v>
      </c>
      <c r="E9" s="31">
        <f t="shared" si="1"/>
        <v>1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33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</row>
    <row r="10">
      <c r="A10" s="22" t="s">
        <v>96</v>
      </c>
      <c r="B10" s="28" t="s">
        <v>98</v>
      </c>
      <c r="C10" s="29" t="s">
        <v>99</v>
      </c>
      <c r="D10" s="30">
        <f>32-COUNTIF('Raw Data'!T10:AZ10,"-999.00")</f>
        <v>32</v>
      </c>
      <c r="E10" s="31">
        <f t="shared" si="1"/>
        <v>1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33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</row>
    <row r="11">
      <c r="A11" s="22" t="s">
        <v>100</v>
      </c>
      <c r="B11" s="28" t="s">
        <v>101</v>
      </c>
      <c r="C11" s="29" t="s">
        <v>99</v>
      </c>
      <c r="D11" s="30">
        <f>32-COUNTIF('Raw Data'!T11:AZ11,"-999.00")</f>
        <v>32</v>
      </c>
      <c r="E11" s="31">
        <f t="shared" si="1"/>
        <v>1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33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</row>
    <row r="12">
      <c r="A12" s="22" t="s">
        <v>102</v>
      </c>
      <c r="B12" s="28" t="s">
        <v>103</v>
      </c>
      <c r="C12" s="29" t="s">
        <v>99</v>
      </c>
      <c r="D12" s="30">
        <f>32-COUNTIF('Raw Data'!T12:AZ12,"-999.00")</f>
        <v>32</v>
      </c>
      <c r="E12" s="31">
        <f t="shared" si="1"/>
        <v>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33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</row>
    <row r="13">
      <c r="A13" s="22" t="s">
        <v>104</v>
      </c>
      <c r="B13" s="28" t="s">
        <v>105</v>
      </c>
      <c r="C13" s="29" t="s">
        <v>99</v>
      </c>
      <c r="D13" s="30">
        <f>32-COUNTIF('Raw Data'!T13:AZ13,"-999.00")</f>
        <v>32</v>
      </c>
      <c r="E13" s="31">
        <f t="shared" si="1"/>
        <v>1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3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</row>
    <row r="14">
      <c r="A14" s="22" t="s">
        <v>106</v>
      </c>
      <c r="B14" s="28" t="s">
        <v>107</v>
      </c>
      <c r="C14" s="29" t="s">
        <v>99</v>
      </c>
      <c r="D14" s="30">
        <f>32-COUNTIF('Raw Data'!T14:AZ14,"-999.00")</f>
        <v>32</v>
      </c>
      <c r="E14" s="31">
        <f t="shared" si="1"/>
        <v>1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</row>
    <row r="15">
      <c r="A15" s="22" t="s">
        <v>108</v>
      </c>
      <c r="B15" s="28" t="s">
        <v>109</v>
      </c>
      <c r="C15" s="29" t="s">
        <v>99</v>
      </c>
      <c r="D15" s="30">
        <f>32-COUNTIF('Raw Data'!T15:AZ15,"-999.00")</f>
        <v>32</v>
      </c>
      <c r="E15" s="31">
        <f t="shared" si="1"/>
        <v>1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3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</row>
    <row r="16">
      <c r="A16" s="22" t="s">
        <v>110</v>
      </c>
      <c r="B16" s="28" t="s">
        <v>111</v>
      </c>
      <c r="C16" s="29" t="s">
        <v>99</v>
      </c>
      <c r="D16" s="30">
        <f>32-COUNTIF('Raw Data'!T16:AZ16,"-999.00")</f>
        <v>32</v>
      </c>
      <c r="E16" s="31">
        <f t="shared" si="1"/>
        <v>1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33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</row>
    <row r="17">
      <c r="A17" s="22" t="s">
        <v>112</v>
      </c>
      <c r="B17" s="28" t="s">
        <v>113</v>
      </c>
      <c r="C17" s="29" t="s">
        <v>99</v>
      </c>
      <c r="D17" s="30">
        <f>32-COUNTIF('Raw Data'!T17:AZ17,"-999.00")</f>
        <v>32</v>
      </c>
      <c r="E17" s="31">
        <f t="shared" si="1"/>
        <v>1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33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</row>
    <row r="18">
      <c r="A18" s="22" t="s">
        <v>114</v>
      </c>
      <c r="B18" s="28" t="s">
        <v>115</v>
      </c>
      <c r="C18" s="29" t="s">
        <v>99</v>
      </c>
      <c r="D18" s="30">
        <f>32-COUNTIF('Raw Data'!T18:AZ18,"-999.00")</f>
        <v>32</v>
      </c>
      <c r="E18" s="31">
        <f t="shared" si="1"/>
        <v>1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33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</row>
    <row r="19">
      <c r="A19" s="22" t="s">
        <v>116</v>
      </c>
      <c r="B19" s="28" t="s">
        <v>118</v>
      </c>
      <c r="C19" s="29" t="s">
        <v>119</v>
      </c>
      <c r="D19" s="30">
        <f>32-COUNTIF('Raw Data'!T19:AZ19,"-999.00")</f>
        <v>32</v>
      </c>
      <c r="E19" s="31">
        <f t="shared" si="1"/>
        <v>1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33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</row>
    <row r="20">
      <c r="A20" s="22" t="s">
        <v>120</v>
      </c>
      <c r="B20" s="28" t="s">
        <v>121</v>
      </c>
      <c r="C20" s="29" t="s">
        <v>119</v>
      </c>
      <c r="D20" s="30">
        <f>32-COUNTIF('Raw Data'!T20:AZ20,"-999.00")</f>
        <v>32</v>
      </c>
      <c r="E20" s="31">
        <f t="shared" si="1"/>
        <v>1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3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</row>
    <row r="21">
      <c r="A21" s="22" t="s">
        <v>122</v>
      </c>
      <c r="B21" s="28" t="s">
        <v>123</v>
      </c>
      <c r="C21" s="29" t="s">
        <v>119</v>
      </c>
      <c r="D21" s="30">
        <f>32-COUNTIF('Raw Data'!T21:AZ21,"-999.00")</f>
        <v>32</v>
      </c>
      <c r="E21" s="31">
        <f t="shared" si="1"/>
        <v>1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33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</row>
    <row r="22">
      <c r="A22" s="27" t="s">
        <v>124</v>
      </c>
      <c r="B22" s="28" t="s">
        <v>126</v>
      </c>
      <c r="C22" s="29" t="s">
        <v>128</v>
      </c>
      <c r="D22" s="30">
        <f>32-COUNTIF('Raw Data'!T22:AZ22,"-999.00")</f>
        <v>32</v>
      </c>
      <c r="E22" s="31">
        <f t="shared" si="1"/>
        <v>1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33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</row>
    <row r="23">
      <c r="A23" s="22" t="s">
        <v>129</v>
      </c>
      <c r="B23" s="28" t="s">
        <v>131</v>
      </c>
      <c r="C23" s="29" t="s">
        <v>128</v>
      </c>
      <c r="D23" s="30">
        <f>32-COUNTIF('Raw Data'!T23:AZ23,"-999.00")</f>
        <v>32</v>
      </c>
      <c r="E23" s="31">
        <f t="shared" si="1"/>
        <v>1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3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</row>
    <row r="24">
      <c r="A24" s="22" t="s">
        <v>132</v>
      </c>
      <c r="B24" s="28" t="s">
        <v>133</v>
      </c>
      <c r="C24" s="29" t="s">
        <v>128</v>
      </c>
      <c r="D24" s="30">
        <f>32-COUNTIF('Raw Data'!T24:AZ24,"-999.00")</f>
        <v>32</v>
      </c>
      <c r="E24" s="31">
        <f t="shared" si="1"/>
        <v>1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3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</row>
    <row r="25">
      <c r="A25" s="22" t="s">
        <v>132</v>
      </c>
      <c r="B25" s="28" t="s">
        <v>134</v>
      </c>
      <c r="C25" s="29" t="s">
        <v>128</v>
      </c>
      <c r="D25" s="30">
        <f>32-COUNTIF('Raw Data'!T25:AZ25,"-999.00")</f>
        <v>32</v>
      </c>
      <c r="E25" s="31">
        <f t="shared" si="1"/>
        <v>1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33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>
      <c r="A26" s="22" t="s">
        <v>135</v>
      </c>
      <c r="B26" s="28" t="s">
        <v>136</v>
      </c>
      <c r="C26" s="29" t="s">
        <v>128</v>
      </c>
      <c r="D26" s="30">
        <f>32-COUNTIF('Raw Data'!T26:AZ26,"-999.00")</f>
        <v>32</v>
      </c>
      <c r="E26" s="31">
        <f t="shared" si="1"/>
        <v>1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3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</row>
    <row r="27">
      <c r="A27" s="22" t="s">
        <v>135</v>
      </c>
      <c r="B27" s="28" t="s">
        <v>137</v>
      </c>
      <c r="C27" s="29" t="s">
        <v>128</v>
      </c>
      <c r="D27" s="30">
        <f>32-COUNTIF('Raw Data'!T27:AZ27,"-999.00")</f>
        <v>16</v>
      </c>
      <c r="E27" s="31">
        <f t="shared" si="1"/>
        <v>0.5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33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</row>
    <row r="28">
      <c r="A28" s="35" t="s">
        <v>138</v>
      </c>
      <c r="B28" s="36" t="s">
        <v>140</v>
      </c>
      <c r="C28" s="37" t="s">
        <v>142</v>
      </c>
      <c r="D28" s="38">
        <f>32-COUNTIF('Raw Data'!T28:AZ28,"-999.00")</f>
        <v>32</v>
      </c>
      <c r="E28" s="39">
        <f t="shared" si="1"/>
        <v>1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41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</row>
    <row r="29">
      <c r="A29" s="35" t="s">
        <v>144</v>
      </c>
      <c r="B29" s="36" t="s">
        <v>145</v>
      </c>
      <c r="C29" s="37" t="s">
        <v>142</v>
      </c>
      <c r="D29" s="38">
        <f>32-COUNTIF('Raw Data'!T29:AZ29,"-999.00")</f>
        <v>32</v>
      </c>
      <c r="E29" s="39">
        <f t="shared" si="1"/>
        <v>1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41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</row>
    <row r="30">
      <c r="A30" s="35" t="s">
        <v>146</v>
      </c>
      <c r="B30" s="36" t="s">
        <v>147</v>
      </c>
      <c r="C30" s="37" t="s">
        <v>142</v>
      </c>
      <c r="D30" s="38">
        <f>32-COUNTIF('Raw Data'!T30:AZ30,"-999.00")</f>
        <v>32</v>
      </c>
      <c r="E30" s="39">
        <f t="shared" si="1"/>
        <v>1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41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</row>
    <row r="31">
      <c r="A31" s="35" t="s">
        <v>148</v>
      </c>
      <c r="B31" s="36" t="s">
        <v>150</v>
      </c>
      <c r="C31" s="37" t="s">
        <v>151</v>
      </c>
      <c r="D31" s="38">
        <f>32-COUNTIF('Raw Data'!T31:AZ31,"-999.00")</f>
        <v>15</v>
      </c>
      <c r="E31" s="39">
        <f t="shared" si="1"/>
        <v>0.46875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41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</row>
    <row r="32">
      <c r="A32" s="35" t="s">
        <v>152</v>
      </c>
      <c r="B32" s="36" t="s">
        <v>153</v>
      </c>
      <c r="C32" s="37" t="s">
        <v>151</v>
      </c>
      <c r="D32" s="38">
        <f>32-COUNTIF('Raw Data'!T32:AZ32,"-999.00")</f>
        <v>15</v>
      </c>
      <c r="E32" s="39">
        <f t="shared" si="1"/>
        <v>0.46875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1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</row>
    <row r="33">
      <c r="A33" s="35" t="s">
        <v>154</v>
      </c>
      <c r="B33" s="36" t="s">
        <v>155</v>
      </c>
      <c r="C33" s="37" t="s">
        <v>151</v>
      </c>
      <c r="D33" s="38">
        <f>32-COUNTIF('Raw Data'!T33:AZ33,"-999.00")</f>
        <v>15</v>
      </c>
      <c r="E33" s="39">
        <f t="shared" si="1"/>
        <v>0.46875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41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</row>
    <row r="34">
      <c r="A34" s="35" t="s">
        <v>148</v>
      </c>
      <c r="B34" s="36" t="s">
        <v>150</v>
      </c>
      <c r="C34" s="37" t="s">
        <v>156</v>
      </c>
      <c r="D34" s="38">
        <f>32-COUNTIF('Raw Data'!T34:AZ34,"-999.00")</f>
        <v>16</v>
      </c>
      <c r="E34" s="39">
        <f t="shared" si="1"/>
        <v>0.5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1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</row>
    <row r="35">
      <c r="A35" s="35" t="s">
        <v>152</v>
      </c>
      <c r="B35" s="36" t="s">
        <v>153</v>
      </c>
      <c r="C35" s="37" t="s">
        <v>156</v>
      </c>
      <c r="D35" s="38">
        <f>32-COUNTIF('Raw Data'!T35:AZ35,"-999.00")</f>
        <v>16</v>
      </c>
      <c r="E35" s="39">
        <f t="shared" si="1"/>
        <v>0.5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41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</row>
    <row r="36">
      <c r="A36" s="35" t="s">
        <v>154</v>
      </c>
      <c r="B36" s="36" t="s">
        <v>155</v>
      </c>
      <c r="C36" s="37" t="s">
        <v>156</v>
      </c>
      <c r="D36" s="38">
        <f>32-COUNTIF('Raw Data'!T36:AZ36,"-999.00")</f>
        <v>16</v>
      </c>
      <c r="E36" s="39">
        <f t="shared" si="1"/>
        <v>0.5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41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</row>
    <row r="37">
      <c r="A37" s="35" t="s">
        <v>158</v>
      </c>
      <c r="B37" s="36" t="s">
        <v>160</v>
      </c>
      <c r="C37" s="37" t="s">
        <v>163</v>
      </c>
      <c r="D37" s="38">
        <f>32-COUNTIF('Raw Data'!T37:AZ37,"-999.00")</f>
        <v>32</v>
      </c>
      <c r="E37" s="39">
        <f t="shared" si="1"/>
        <v>1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41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</row>
    <row r="38">
      <c r="A38" s="44" t="s">
        <v>165</v>
      </c>
      <c r="B38" s="36" t="s">
        <v>166</v>
      </c>
      <c r="C38" s="37" t="s">
        <v>163</v>
      </c>
      <c r="D38" s="38">
        <f>32-COUNTIF('Raw Data'!T38:AZ38,"-999.00")</f>
        <v>32</v>
      </c>
      <c r="E38" s="39">
        <f t="shared" si="1"/>
        <v>1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41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</row>
    <row r="39">
      <c r="A39" s="44" t="s">
        <v>167</v>
      </c>
      <c r="B39" s="36" t="s">
        <v>168</v>
      </c>
      <c r="C39" s="37" t="s">
        <v>163</v>
      </c>
      <c r="D39" s="38">
        <f>32-COUNTIF('Raw Data'!T39:AZ39,"-999.00")</f>
        <v>32</v>
      </c>
      <c r="E39" s="39">
        <f t="shared" si="1"/>
        <v>1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41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</row>
    <row r="40">
      <c r="A40" s="44" t="s">
        <v>169</v>
      </c>
      <c r="B40" s="36" t="s">
        <v>170</v>
      </c>
      <c r="C40" s="37" t="s">
        <v>163</v>
      </c>
      <c r="D40" s="38">
        <f>32-COUNTIF('Raw Data'!T40:AZ40,"-999.00")</f>
        <v>32</v>
      </c>
      <c r="E40" s="39">
        <f t="shared" si="1"/>
        <v>1</v>
      </c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41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</row>
    <row r="41">
      <c r="A41" s="44" t="s">
        <v>171</v>
      </c>
      <c r="B41" s="25" t="s">
        <v>173</v>
      </c>
      <c r="C41" s="37" t="s">
        <v>175</v>
      </c>
      <c r="D41" s="38">
        <f>32-COUNTIF('Raw Data'!T41:AZ41,"-999.00")</f>
        <v>32</v>
      </c>
      <c r="E41" s="39">
        <f t="shared" si="1"/>
        <v>1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1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</row>
    <row r="42">
      <c r="A42" s="44" t="s">
        <v>171</v>
      </c>
      <c r="B42" s="25" t="s">
        <v>177</v>
      </c>
      <c r="C42" s="37" t="s">
        <v>175</v>
      </c>
      <c r="D42" s="38">
        <f>32-COUNTIF('Raw Data'!T42:AZ42,"-999.00")</f>
        <v>16</v>
      </c>
      <c r="E42" s="39">
        <f t="shared" si="1"/>
        <v>0.5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41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</row>
    <row r="43">
      <c r="A43" s="35" t="s">
        <v>178</v>
      </c>
      <c r="B43" s="36" t="s">
        <v>179</v>
      </c>
      <c r="C43" s="37" t="s">
        <v>175</v>
      </c>
      <c r="D43" s="38">
        <f>32-COUNTIF('Raw Data'!T43:AZ43,"-999.00")</f>
        <v>32</v>
      </c>
      <c r="E43" s="39">
        <f t="shared" si="1"/>
        <v>1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41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</row>
    <row r="44">
      <c r="A44" s="35" t="s">
        <v>180</v>
      </c>
      <c r="B44" s="36" t="s">
        <v>181</v>
      </c>
      <c r="C44" s="37" t="s">
        <v>175</v>
      </c>
      <c r="D44" s="38">
        <f>32-COUNTIF('Raw Data'!T44:AZ44,"-999.00")</f>
        <v>32</v>
      </c>
      <c r="E44" s="39">
        <f t="shared" si="1"/>
        <v>1</v>
      </c>
      <c r="F44" s="40"/>
      <c r="G44" s="45"/>
      <c r="H44" s="45"/>
      <c r="I44" s="40"/>
      <c r="J44" s="40"/>
      <c r="K44" s="45"/>
      <c r="L44" s="45"/>
      <c r="M44" s="40"/>
      <c r="N44" s="40"/>
      <c r="O44" s="45"/>
      <c r="P44" s="45"/>
      <c r="Q44" s="40"/>
      <c r="R44" s="40"/>
      <c r="S44" s="45"/>
      <c r="T44" s="45"/>
      <c r="U44" s="40"/>
      <c r="V44" s="40"/>
      <c r="W44" s="40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41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</row>
    <row r="45">
      <c r="A45" s="35" t="s">
        <v>182</v>
      </c>
      <c r="B45" s="36" t="s">
        <v>184</v>
      </c>
      <c r="C45" s="37" t="s">
        <v>185</v>
      </c>
      <c r="D45" s="38">
        <f>32-COUNTIF('Raw Data'!T45:AZ45,"-999.00")</f>
        <v>32</v>
      </c>
      <c r="E45" s="39">
        <f t="shared" si="1"/>
        <v>1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41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</row>
    <row r="46">
      <c r="A46" s="35" t="s">
        <v>186</v>
      </c>
      <c r="B46" s="36" t="s">
        <v>187</v>
      </c>
      <c r="C46" s="37" t="s">
        <v>185</v>
      </c>
      <c r="D46" s="38">
        <f>32-COUNTIF('Raw Data'!T46:AZ46,"-999.00")</f>
        <v>32</v>
      </c>
      <c r="E46" s="39">
        <f t="shared" si="1"/>
        <v>1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41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</row>
    <row r="47">
      <c r="A47" s="35" t="s">
        <v>188</v>
      </c>
      <c r="B47" s="36" t="s">
        <v>189</v>
      </c>
      <c r="C47" s="37" t="s">
        <v>185</v>
      </c>
      <c r="D47" s="38">
        <f>32-COUNTIF('Raw Data'!T47:AZ47,"-999.00")</f>
        <v>32</v>
      </c>
      <c r="E47" s="39">
        <f t="shared" si="1"/>
        <v>1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41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</row>
    <row r="48">
      <c r="A48" s="22" t="s">
        <v>190</v>
      </c>
      <c r="B48" s="28" t="s">
        <v>192</v>
      </c>
      <c r="C48" s="29" t="s">
        <v>194</v>
      </c>
      <c r="D48" s="30">
        <f>32-COUNTIF('Raw Data'!T48:AZ48,"-999.00")</f>
        <v>32</v>
      </c>
      <c r="E48" s="31">
        <f t="shared" si="1"/>
        <v>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32"/>
      <c r="V48" s="32"/>
      <c r="W48" s="32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3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</row>
    <row r="49">
      <c r="A49" s="22" t="s">
        <v>190</v>
      </c>
      <c r="B49" s="21" t="s">
        <v>196</v>
      </c>
      <c r="C49" s="29" t="s">
        <v>194</v>
      </c>
      <c r="D49" s="30">
        <f>32-COUNTIF('Raw Data'!T49:AZ49,"-999.00")</f>
        <v>16</v>
      </c>
      <c r="E49" s="31">
        <f t="shared" si="1"/>
        <v>0.5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>
      <c r="A50" s="27" t="s">
        <v>197</v>
      </c>
      <c r="B50" s="21" t="s">
        <v>199</v>
      </c>
      <c r="C50" s="29" t="s">
        <v>200</v>
      </c>
      <c r="D50" s="30">
        <f>32-COUNTIF('Raw Data'!T50:AZ50,"-999.00")</f>
        <v>24</v>
      </c>
      <c r="E50" s="31">
        <f t="shared" si="1"/>
        <v>0.75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>
      <c r="A51" s="27" t="s">
        <v>197</v>
      </c>
      <c r="B51" s="21" t="s">
        <v>201</v>
      </c>
      <c r="C51" s="29" t="s">
        <v>200</v>
      </c>
      <c r="D51" s="30">
        <f>32-COUNTIF('Raw Data'!T51:AZ51,"-999.00")</f>
        <v>24</v>
      </c>
      <c r="E51" s="31">
        <f t="shared" si="1"/>
        <v>0.75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>
      <c r="A52" s="26"/>
      <c r="B52" s="46"/>
      <c r="C52" s="47"/>
      <c r="D52" s="47"/>
      <c r="E52" s="47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>
      <c r="A53" s="26"/>
      <c r="B53" s="46"/>
      <c r="C53" s="46"/>
      <c r="D53" s="46"/>
      <c r="E53" s="46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>
      <c r="A54" s="26"/>
      <c r="B54" s="46"/>
      <c r="C54" s="46"/>
      <c r="D54" s="46"/>
      <c r="E54" s="46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>
      <c r="A55" s="26"/>
      <c r="B55" s="46"/>
      <c r="C55" s="46"/>
      <c r="D55" s="46"/>
      <c r="E55" s="4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>
      <c r="A56" s="26"/>
      <c r="B56" s="46"/>
      <c r="C56" s="46"/>
      <c r="D56" s="46"/>
      <c r="E56" s="46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>
      <c r="A57" s="26"/>
      <c r="B57" s="46"/>
      <c r="C57" s="47"/>
      <c r="D57" s="47"/>
      <c r="E57" s="47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>
      <c r="A58" s="26"/>
      <c r="B58" s="46"/>
      <c r="C58" s="47"/>
      <c r="D58" s="47"/>
      <c r="E58" s="47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>
      <c r="A59" s="26"/>
      <c r="B59" s="46"/>
      <c r="C59" s="47"/>
      <c r="D59" s="47"/>
      <c r="E59" s="47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>
      <c r="A60" s="26"/>
      <c r="B60" s="46"/>
      <c r="C60" s="47"/>
      <c r="D60" s="47"/>
      <c r="E60" s="47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>
      <c r="A61" s="26"/>
      <c r="B61" s="46"/>
      <c r="C61" s="47"/>
      <c r="D61" s="47"/>
      <c r="E61" s="47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>
      <c r="A62" s="26"/>
      <c r="B62" s="46"/>
      <c r="C62" s="47"/>
      <c r="D62" s="47"/>
      <c r="E62" s="47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>
      <c r="A63" s="26"/>
      <c r="B63" s="46"/>
      <c r="C63" s="47"/>
      <c r="D63" s="47"/>
      <c r="E63" s="47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>
      <c r="A64" s="26"/>
      <c r="B64" s="46"/>
      <c r="C64" s="47"/>
      <c r="D64" s="47"/>
      <c r="E64" s="47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>
      <c r="A65" s="26"/>
      <c r="B65" s="46"/>
      <c r="C65" s="47"/>
      <c r="D65" s="47"/>
      <c r="E65" s="47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>
      <c r="A66" s="26"/>
      <c r="B66" s="46"/>
      <c r="C66" s="47"/>
      <c r="D66" s="47"/>
      <c r="E66" s="47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>
      <c r="A67" s="26"/>
      <c r="B67" s="46"/>
      <c r="C67" s="47"/>
      <c r="D67" s="47"/>
      <c r="E67" s="47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>
      <c r="A68" s="26"/>
      <c r="B68" s="46"/>
      <c r="C68" s="47"/>
      <c r="D68" s="47"/>
      <c r="E68" s="47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>
      <c r="A69" s="26"/>
      <c r="B69" s="46"/>
      <c r="C69" s="47"/>
      <c r="D69" s="47"/>
      <c r="E69" s="47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>
      <c r="A70" s="26"/>
      <c r="B70" s="46"/>
      <c r="C70" s="47"/>
      <c r="D70" s="47"/>
      <c r="E70" s="47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>
      <c r="A71" s="26"/>
      <c r="B71" s="46"/>
      <c r="C71" s="47"/>
      <c r="D71" s="47"/>
      <c r="E71" s="47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>
      <c r="A72" s="26"/>
      <c r="B72" s="46"/>
      <c r="C72" s="47"/>
      <c r="D72" s="47"/>
      <c r="E72" s="47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>
      <c r="A73" s="26"/>
      <c r="B73" s="46"/>
      <c r="C73" s="47"/>
      <c r="D73" s="47"/>
      <c r="E73" s="47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>
      <c r="A74" s="26"/>
      <c r="B74" s="46"/>
      <c r="C74" s="47"/>
      <c r="D74" s="47"/>
      <c r="E74" s="47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>
      <c r="A75" s="26"/>
      <c r="B75" s="46"/>
      <c r="C75" s="47"/>
      <c r="D75" s="47"/>
      <c r="E75" s="47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>
      <c r="A76" s="26"/>
      <c r="B76" s="46"/>
      <c r="C76" s="47"/>
      <c r="D76" s="47"/>
      <c r="E76" s="47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>
      <c r="A77" s="26"/>
      <c r="B77" s="46"/>
      <c r="C77" s="47"/>
      <c r="D77" s="47"/>
      <c r="E77" s="47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>
      <c r="A78" s="26"/>
      <c r="B78" s="46"/>
      <c r="C78" s="47"/>
      <c r="D78" s="47"/>
      <c r="E78" s="47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>
      <c r="A79" s="26"/>
      <c r="B79" s="46"/>
      <c r="C79" s="47"/>
      <c r="D79" s="47"/>
      <c r="E79" s="47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>
      <c r="A80" s="26"/>
      <c r="B80" s="46"/>
      <c r="C80" s="47"/>
      <c r="D80" s="47"/>
      <c r="E80" s="47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>
      <c r="A81" s="26"/>
      <c r="B81" s="46"/>
      <c r="C81" s="47"/>
      <c r="D81" s="47"/>
      <c r="E81" s="47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>
      <c r="A82" s="26"/>
      <c r="B82" s="46"/>
      <c r="C82" s="47"/>
      <c r="D82" s="47"/>
      <c r="E82" s="4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>
      <c r="A83" s="26"/>
      <c r="B83" s="46"/>
      <c r="C83" s="47"/>
      <c r="D83" s="47"/>
      <c r="E83" s="47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>
      <c r="A84" s="26"/>
      <c r="B84" s="46"/>
      <c r="C84" s="47"/>
      <c r="D84" s="47"/>
      <c r="E84" s="47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>
      <c r="A85" s="26"/>
      <c r="B85" s="46"/>
      <c r="C85" s="47"/>
      <c r="D85" s="47"/>
      <c r="E85" s="47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>
      <c r="A86" s="26"/>
      <c r="B86" s="46"/>
      <c r="C86" s="47"/>
      <c r="D86" s="47"/>
      <c r="E86" s="47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>
      <c r="A87" s="26"/>
      <c r="B87" s="46"/>
      <c r="C87" s="47"/>
      <c r="D87" s="47"/>
      <c r="E87" s="47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>
      <c r="A88" s="26"/>
      <c r="B88" s="46"/>
      <c r="C88" s="47"/>
      <c r="D88" s="47"/>
      <c r="E88" s="47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>
      <c r="A89" s="26"/>
      <c r="B89" s="46"/>
      <c r="C89" s="47"/>
      <c r="D89" s="47"/>
      <c r="E89" s="47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>
      <c r="A90" s="26"/>
      <c r="B90" s="46"/>
      <c r="C90" s="47"/>
      <c r="D90" s="47"/>
      <c r="E90" s="47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>
      <c r="A91" s="26"/>
      <c r="B91" s="46"/>
      <c r="C91" s="47"/>
      <c r="D91" s="47"/>
      <c r="E91" s="47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>
      <c r="A92" s="26"/>
      <c r="B92" s="46"/>
      <c r="C92" s="47"/>
      <c r="D92" s="47"/>
      <c r="E92" s="47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>
      <c r="A93" s="26"/>
      <c r="B93" s="46"/>
      <c r="C93" s="47"/>
      <c r="D93" s="47"/>
      <c r="E93" s="47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>
      <c r="A94" s="26"/>
      <c r="B94" s="46"/>
      <c r="C94" s="47"/>
      <c r="D94" s="47"/>
      <c r="E94" s="47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>
      <c r="A95" s="26"/>
      <c r="B95" s="46"/>
      <c r="C95" s="47"/>
      <c r="D95" s="47"/>
      <c r="E95" s="47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>
      <c r="A96" s="26"/>
      <c r="B96" s="46"/>
      <c r="C96" s="47"/>
      <c r="D96" s="47"/>
      <c r="E96" s="47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>
      <c r="A97" s="26"/>
      <c r="B97" s="46"/>
      <c r="C97" s="47"/>
      <c r="D97" s="47"/>
      <c r="E97" s="47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>
      <c r="A98" s="26"/>
      <c r="B98" s="46"/>
      <c r="C98" s="47"/>
      <c r="D98" s="47"/>
      <c r="E98" s="47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>
      <c r="A99" s="26"/>
      <c r="B99" s="46"/>
      <c r="C99" s="46"/>
      <c r="D99" s="46"/>
      <c r="E99" s="46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>
      <c r="A100" s="26"/>
      <c r="B100" s="46"/>
      <c r="C100" s="46"/>
      <c r="D100" s="46"/>
      <c r="E100" s="46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>
      <c r="A101" s="26"/>
      <c r="B101" s="46"/>
      <c r="C101" s="46"/>
      <c r="D101" s="46"/>
      <c r="E101" s="46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>
      <c r="A102" s="26"/>
      <c r="B102" s="46"/>
      <c r="C102" s="46"/>
      <c r="D102" s="46"/>
      <c r="E102" s="46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>
      <c r="A103" s="26"/>
      <c r="B103" s="46"/>
      <c r="C103" s="46"/>
      <c r="D103" s="46"/>
      <c r="E103" s="46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>
      <c r="A104" s="26"/>
      <c r="B104" s="46"/>
      <c r="C104" s="46"/>
      <c r="D104" s="46"/>
      <c r="E104" s="46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>
      <c r="A105" s="26"/>
      <c r="B105" s="46"/>
      <c r="C105" s="46"/>
      <c r="D105" s="46"/>
      <c r="E105" s="46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>
      <c r="A106" s="26"/>
      <c r="B106" s="46"/>
      <c r="C106" s="46"/>
      <c r="D106" s="46"/>
      <c r="E106" s="46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>
      <c r="A107" s="26"/>
      <c r="B107" s="46"/>
      <c r="C107" s="46"/>
      <c r="D107" s="46"/>
      <c r="E107" s="46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>
      <c r="A108" s="26"/>
      <c r="B108" s="46"/>
      <c r="C108" s="46"/>
      <c r="D108" s="46"/>
      <c r="E108" s="46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>
      <c r="A109" s="26"/>
      <c r="B109" s="46"/>
      <c r="C109" s="46"/>
      <c r="D109" s="46"/>
      <c r="E109" s="4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>
      <c r="A110" s="26"/>
      <c r="B110" s="46"/>
      <c r="C110" s="46"/>
      <c r="D110" s="46"/>
      <c r="E110" s="46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>
      <c r="A111" s="26"/>
      <c r="B111" s="46"/>
      <c r="C111" s="46"/>
      <c r="D111" s="46"/>
      <c r="E111" s="46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>
      <c r="A112" s="26"/>
      <c r="B112" s="46"/>
      <c r="C112" s="46"/>
      <c r="D112" s="46"/>
      <c r="E112" s="46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>
      <c r="A113" s="26"/>
      <c r="B113" s="46"/>
      <c r="C113" s="46"/>
      <c r="D113" s="46"/>
      <c r="E113" s="46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>
      <c r="A114" s="26"/>
      <c r="B114" s="46"/>
      <c r="C114" s="46"/>
      <c r="D114" s="46"/>
      <c r="E114" s="46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>
      <c r="A115" s="26"/>
      <c r="B115" s="46"/>
      <c r="C115" s="46"/>
      <c r="D115" s="46"/>
      <c r="E115" s="46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>
      <c r="A116" s="26"/>
      <c r="B116" s="46"/>
      <c r="C116" s="46"/>
      <c r="D116" s="46"/>
      <c r="E116" s="4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>
      <c r="A117" s="26"/>
      <c r="B117" s="46"/>
      <c r="C117" s="46"/>
      <c r="D117" s="46"/>
      <c r="E117" s="4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>
      <c r="A118" s="26"/>
      <c r="B118" s="46"/>
      <c r="C118" s="46"/>
      <c r="D118" s="46"/>
      <c r="E118" s="46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>
      <c r="A119" s="26"/>
      <c r="B119" s="46"/>
      <c r="C119" s="46"/>
      <c r="D119" s="46"/>
      <c r="E119" s="46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>
      <c r="A120" s="26"/>
      <c r="B120" s="46"/>
      <c r="C120" s="46"/>
      <c r="D120" s="46"/>
      <c r="E120" s="46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>
      <c r="A121" s="26"/>
      <c r="B121" s="46"/>
      <c r="C121" s="46"/>
      <c r="D121" s="46"/>
      <c r="E121" s="46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>
      <c r="A122" s="26"/>
      <c r="B122" s="46"/>
      <c r="C122" s="46"/>
      <c r="D122" s="46"/>
      <c r="E122" s="46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>
      <c r="A123" s="26"/>
      <c r="B123" s="46"/>
      <c r="C123" s="46"/>
      <c r="D123" s="46"/>
      <c r="E123" s="46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>
      <c r="A124" s="26"/>
      <c r="B124" s="46"/>
      <c r="C124" s="46"/>
      <c r="D124" s="46"/>
      <c r="E124" s="46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>
      <c r="A125" s="26"/>
      <c r="B125" s="46"/>
      <c r="C125" s="46"/>
      <c r="D125" s="46"/>
      <c r="E125" s="46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>
      <c r="A126" s="26"/>
      <c r="B126" s="46"/>
      <c r="C126" s="46"/>
      <c r="D126" s="46"/>
      <c r="E126" s="46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>
      <c r="A127" s="26"/>
      <c r="B127" s="46"/>
      <c r="C127" s="46"/>
      <c r="D127" s="46"/>
      <c r="E127" s="46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</row>
    <row r="128">
      <c r="A128" s="26"/>
      <c r="B128" s="46"/>
      <c r="C128" s="46"/>
      <c r="D128" s="46"/>
      <c r="E128" s="4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>
      <c r="A129" s="26"/>
      <c r="B129" s="46"/>
      <c r="C129" s="46"/>
      <c r="D129" s="46"/>
      <c r="E129" s="4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</row>
    <row r="130">
      <c r="A130" s="26"/>
      <c r="B130" s="46"/>
      <c r="C130" s="46"/>
      <c r="D130" s="46"/>
      <c r="E130" s="46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>
      <c r="A131" s="26"/>
      <c r="B131" s="46"/>
      <c r="C131" s="46"/>
      <c r="D131" s="46"/>
      <c r="E131" s="46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</row>
    <row r="132">
      <c r="A132" s="26"/>
      <c r="B132" s="46"/>
      <c r="C132" s="46"/>
      <c r="D132" s="46"/>
      <c r="E132" s="46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>
      <c r="A133" s="26"/>
      <c r="B133" s="46"/>
      <c r="C133" s="46"/>
      <c r="D133" s="46"/>
      <c r="E133" s="46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</row>
    <row r="134">
      <c r="A134" s="26"/>
      <c r="B134" s="46"/>
      <c r="C134" s="46"/>
      <c r="D134" s="46"/>
      <c r="E134" s="46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>
      <c r="A135" s="26"/>
      <c r="B135" s="46"/>
      <c r="C135" s="46"/>
      <c r="D135" s="46"/>
      <c r="E135" s="4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</row>
    <row r="136">
      <c r="A136" s="26"/>
      <c r="B136" s="46"/>
      <c r="C136" s="46"/>
      <c r="D136" s="46"/>
      <c r="E136" s="46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>
      <c r="A137" s="26"/>
      <c r="B137" s="46"/>
      <c r="C137" s="46"/>
      <c r="D137" s="46"/>
      <c r="E137" s="46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</row>
    <row r="138">
      <c r="A138" s="26"/>
      <c r="B138" s="46"/>
      <c r="C138" s="46"/>
      <c r="D138" s="46"/>
      <c r="E138" s="46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>
      <c r="A139" s="26"/>
      <c r="B139" s="46"/>
      <c r="C139" s="46"/>
      <c r="D139" s="46"/>
      <c r="E139" s="46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</row>
    <row r="140">
      <c r="A140" s="26"/>
      <c r="B140" s="46"/>
      <c r="C140" s="46"/>
      <c r="D140" s="46"/>
      <c r="E140" s="4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>
      <c r="A141" s="26"/>
      <c r="B141" s="46"/>
      <c r="C141" s="46"/>
      <c r="D141" s="46"/>
      <c r="E141" s="46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</row>
    <row r="142">
      <c r="A142" s="26"/>
      <c r="B142" s="46"/>
      <c r="C142" s="46"/>
      <c r="D142" s="46"/>
      <c r="E142" s="46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>
      <c r="A143" s="26"/>
      <c r="B143" s="46"/>
      <c r="C143" s="46"/>
      <c r="D143" s="46"/>
      <c r="E143" s="46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</row>
    <row r="144">
      <c r="A144" s="26"/>
      <c r="B144" s="46"/>
      <c r="C144" s="46"/>
      <c r="D144" s="46"/>
      <c r="E144" s="46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>
      <c r="A145" s="26"/>
      <c r="B145" s="46"/>
      <c r="C145" s="46"/>
      <c r="D145" s="46"/>
      <c r="E145" s="4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</row>
    <row r="146">
      <c r="A146" s="26"/>
      <c r="B146" s="46"/>
      <c r="C146" s="46"/>
      <c r="D146" s="46"/>
      <c r="E146" s="46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>
      <c r="A147" s="26"/>
      <c r="B147" s="46"/>
      <c r="C147" s="46"/>
      <c r="D147" s="46"/>
      <c r="E147" s="46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</row>
    <row r="148">
      <c r="A148" s="26"/>
      <c r="B148" s="46"/>
      <c r="C148" s="46"/>
      <c r="D148" s="46"/>
      <c r="E148" s="46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>
      <c r="A149" s="26"/>
      <c r="B149" s="46"/>
      <c r="C149" s="46"/>
      <c r="D149" s="46"/>
      <c r="E149" s="4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</row>
    <row r="150">
      <c r="A150" s="26"/>
      <c r="B150" s="46"/>
      <c r="C150" s="46"/>
      <c r="D150" s="46"/>
      <c r="E150" s="46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>
      <c r="A151" s="26"/>
      <c r="B151" s="46"/>
      <c r="C151" s="46"/>
      <c r="D151" s="46"/>
      <c r="E151" s="46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</row>
    <row r="152">
      <c r="A152" s="26"/>
      <c r="B152" s="46"/>
      <c r="C152" s="46"/>
      <c r="D152" s="46"/>
      <c r="E152" s="4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>
      <c r="A153" s="26"/>
      <c r="B153" s="46"/>
      <c r="C153" s="46"/>
      <c r="D153" s="46"/>
      <c r="E153" s="46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</row>
    <row r="154">
      <c r="A154" s="26"/>
      <c r="B154" s="46"/>
      <c r="C154" s="46"/>
      <c r="D154" s="46"/>
      <c r="E154" s="46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>
      <c r="A155" s="26"/>
      <c r="B155" s="46"/>
      <c r="C155" s="46"/>
      <c r="D155" s="46"/>
      <c r="E155" s="46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</row>
    <row r="156">
      <c r="A156" s="26"/>
      <c r="B156" s="46"/>
      <c r="C156" s="46"/>
      <c r="D156" s="46"/>
      <c r="E156" s="46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>
      <c r="A157" s="26"/>
      <c r="B157" s="46"/>
      <c r="C157" s="46"/>
      <c r="D157" s="46"/>
      <c r="E157" s="46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</row>
    <row r="158">
      <c r="A158" s="26"/>
      <c r="B158" s="46"/>
      <c r="C158" s="46"/>
      <c r="D158" s="46"/>
      <c r="E158" s="46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</row>
    <row r="159">
      <c r="A159" s="26"/>
      <c r="B159" s="46"/>
      <c r="C159" s="46"/>
      <c r="D159" s="46"/>
      <c r="E159" s="46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>
      <c r="A160" s="26"/>
      <c r="B160" s="46"/>
      <c r="C160" s="46"/>
      <c r="D160" s="46"/>
      <c r="E160" s="46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</row>
    <row r="161">
      <c r="A161" s="26"/>
      <c r="B161" s="46"/>
      <c r="C161" s="46"/>
      <c r="D161" s="46"/>
      <c r="E161" s="4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>
      <c r="A162" s="26"/>
      <c r="B162" s="46"/>
      <c r="C162" s="46"/>
      <c r="D162" s="46"/>
      <c r="E162" s="46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</row>
    <row r="163">
      <c r="A163" s="26"/>
      <c r="B163" s="46"/>
      <c r="C163" s="46"/>
      <c r="D163" s="46"/>
      <c r="E163" s="46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>
      <c r="A164" s="26"/>
      <c r="B164" s="46"/>
      <c r="C164" s="46"/>
      <c r="D164" s="46"/>
      <c r="E164" s="4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</row>
    <row r="165">
      <c r="A165" s="26"/>
      <c r="B165" s="46"/>
      <c r="C165" s="46"/>
      <c r="D165" s="46"/>
      <c r="E165" s="46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>
      <c r="A166" s="26"/>
      <c r="B166" s="46"/>
      <c r="C166" s="46"/>
      <c r="D166" s="46"/>
      <c r="E166" s="46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</row>
    <row r="167">
      <c r="A167" s="26"/>
      <c r="B167" s="46"/>
      <c r="C167" s="46"/>
      <c r="D167" s="46"/>
      <c r="E167" s="46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>
      <c r="A168" s="26"/>
      <c r="B168" s="46"/>
      <c r="C168" s="46"/>
      <c r="D168" s="46"/>
      <c r="E168" s="46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</row>
    <row r="169">
      <c r="A169" s="26"/>
      <c r="B169" s="46"/>
      <c r="C169" s="46"/>
      <c r="D169" s="46"/>
      <c r="E169" s="46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>
      <c r="A170" s="26"/>
      <c r="B170" s="46"/>
      <c r="C170" s="46"/>
      <c r="D170" s="46"/>
      <c r="E170" s="46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</row>
    <row r="171">
      <c r="A171" s="26"/>
      <c r="B171" s="46"/>
      <c r="C171" s="46"/>
      <c r="D171" s="46"/>
      <c r="E171" s="46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>
      <c r="A172" s="26"/>
      <c r="B172" s="46"/>
      <c r="C172" s="46"/>
      <c r="D172" s="46"/>
      <c r="E172" s="46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</row>
    <row r="173">
      <c r="A173" s="26"/>
      <c r="B173" s="46"/>
      <c r="C173" s="46"/>
      <c r="D173" s="46"/>
      <c r="E173" s="4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>
      <c r="A174" s="26"/>
      <c r="B174" s="46"/>
      <c r="C174" s="46"/>
      <c r="D174" s="46"/>
      <c r="E174" s="46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</row>
    <row r="175">
      <c r="A175" s="26"/>
      <c r="B175" s="46"/>
      <c r="C175" s="46"/>
      <c r="D175" s="46"/>
      <c r="E175" s="46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>
      <c r="A176" s="26"/>
      <c r="B176" s="46"/>
      <c r="C176" s="46"/>
      <c r="D176" s="46"/>
      <c r="E176" s="4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</row>
    <row r="177">
      <c r="A177" s="26"/>
      <c r="B177" s="46"/>
      <c r="C177" s="46"/>
      <c r="D177" s="46"/>
      <c r="E177" s="46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>
      <c r="A178" s="26"/>
      <c r="B178" s="46"/>
      <c r="C178" s="46"/>
      <c r="D178" s="46"/>
      <c r="E178" s="46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</row>
    <row r="179">
      <c r="A179" s="26"/>
      <c r="B179" s="46"/>
      <c r="C179" s="46"/>
      <c r="D179" s="46"/>
      <c r="E179" s="46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>
      <c r="A180" s="26"/>
      <c r="B180" s="46"/>
      <c r="C180" s="46"/>
      <c r="D180" s="46"/>
      <c r="E180" s="46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</row>
    <row r="181">
      <c r="A181" s="26"/>
      <c r="B181" s="46"/>
      <c r="C181" s="46"/>
      <c r="D181" s="46"/>
      <c r="E181" s="46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>
      <c r="A182" s="26"/>
      <c r="B182" s="46"/>
      <c r="C182" s="46"/>
      <c r="D182" s="46"/>
      <c r="E182" s="46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</row>
    <row r="183">
      <c r="A183" s="26"/>
      <c r="B183" s="46"/>
      <c r="C183" s="46"/>
      <c r="D183" s="46"/>
      <c r="E183" s="46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>
      <c r="A184" s="26"/>
      <c r="B184" s="46"/>
      <c r="C184" s="46"/>
      <c r="D184" s="46"/>
      <c r="E184" s="46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</row>
    <row r="185">
      <c r="A185" s="26"/>
      <c r="B185" s="46"/>
      <c r="C185" s="46"/>
      <c r="D185" s="46"/>
      <c r="E185" s="4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>
      <c r="A186" s="26"/>
      <c r="B186" s="46"/>
      <c r="C186" s="46"/>
      <c r="D186" s="46"/>
      <c r="E186" s="46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>
      <c r="A187" s="26"/>
      <c r="B187" s="46"/>
      <c r="C187" s="46"/>
      <c r="D187" s="46"/>
      <c r="E187" s="46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>
      <c r="A188" s="26"/>
      <c r="B188" s="46"/>
      <c r="C188" s="46"/>
      <c r="D188" s="46"/>
      <c r="E188" s="4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>
      <c r="A189" s="26"/>
      <c r="B189" s="46"/>
      <c r="C189" s="46"/>
      <c r="D189" s="46"/>
      <c r="E189" s="46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>
      <c r="A190" s="26"/>
      <c r="B190" s="46"/>
      <c r="C190" s="46"/>
      <c r="D190" s="46"/>
      <c r="E190" s="46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>
      <c r="A191" s="26"/>
      <c r="B191" s="46"/>
      <c r="C191" s="46"/>
      <c r="D191" s="46"/>
      <c r="E191" s="4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>
      <c r="A192" s="26"/>
      <c r="B192" s="46"/>
      <c r="C192" s="46"/>
      <c r="D192" s="46"/>
      <c r="E192" s="46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>
      <c r="A193" s="26"/>
      <c r="B193" s="46"/>
      <c r="C193" s="46"/>
      <c r="D193" s="46"/>
      <c r="E193" s="46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>
      <c r="A194" s="26"/>
      <c r="B194" s="46"/>
      <c r="C194" s="46"/>
      <c r="D194" s="46"/>
      <c r="E194" s="46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>
      <c r="A195" s="26"/>
      <c r="B195" s="46"/>
      <c r="C195" s="46"/>
      <c r="D195" s="46"/>
      <c r="E195" s="46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>
      <c r="A196" s="26"/>
      <c r="B196" s="46"/>
      <c r="C196" s="46"/>
      <c r="D196" s="46"/>
      <c r="E196" s="46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>
      <c r="A197" s="26"/>
      <c r="B197" s="46"/>
      <c r="C197" s="46"/>
      <c r="D197" s="46"/>
      <c r="E197" s="46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>
      <c r="A198" s="26"/>
      <c r="B198" s="46"/>
      <c r="C198" s="46"/>
      <c r="D198" s="46"/>
      <c r="E198" s="4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>
      <c r="A199" s="26"/>
      <c r="B199" s="46"/>
      <c r="C199" s="46"/>
      <c r="D199" s="46"/>
      <c r="E199" s="46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>
      <c r="A200" s="26"/>
      <c r="B200" s="46"/>
      <c r="C200" s="46"/>
      <c r="D200" s="46"/>
      <c r="E200" s="4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>
      <c r="A201" s="26"/>
      <c r="B201" s="46"/>
      <c r="C201" s="46"/>
      <c r="D201" s="46"/>
      <c r="E201" s="46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>
      <c r="A202" s="26"/>
      <c r="B202" s="46"/>
      <c r="C202" s="46"/>
      <c r="D202" s="46"/>
      <c r="E202" s="46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>
      <c r="A203" s="26"/>
      <c r="B203" s="46"/>
      <c r="C203" s="46"/>
      <c r="D203" s="46"/>
      <c r="E203" s="46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>
      <c r="A204" s="26"/>
      <c r="B204" s="46"/>
      <c r="C204" s="46"/>
      <c r="D204" s="46"/>
      <c r="E204" s="46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>
      <c r="A205" s="26"/>
      <c r="B205" s="46"/>
      <c r="C205" s="46"/>
      <c r="D205" s="46"/>
      <c r="E205" s="46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>
      <c r="A206" s="26"/>
      <c r="B206" s="46"/>
      <c r="C206" s="46"/>
      <c r="D206" s="46"/>
      <c r="E206" s="46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>
      <c r="A207" s="26"/>
      <c r="B207" s="46"/>
      <c r="C207" s="46"/>
      <c r="D207" s="46"/>
      <c r="E207" s="46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>
      <c r="A208" s="26"/>
      <c r="B208" s="46"/>
      <c r="C208" s="46"/>
      <c r="D208" s="46"/>
      <c r="E208" s="46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>
      <c r="A209" s="26"/>
      <c r="B209" s="46"/>
      <c r="C209" s="46"/>
      <c r="D209" s="46"/>
      <c r="E209" s="46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>
      <c r="A210" s="26"/>
      <c r="B210" s="46"/>
      <c r="C210" s="46"/>
      <c r="D210" s="46"/>
      <c r="E210" s="46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>
      <c r="A211" s="26"/>
      <c r="B211" s="46"/>
      <c r="C211" s="46"/>
      <c r="D211" s="46"/>
      <c r="E211" s="46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>
      <c r="A212" s="26"/>
      <c r="B212" s="46"/>
      <c r="C212" s="46"/>
      <c r="D212" s="46"/>
      <c r="E212" s="4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>
      <c r="A213" s="26"/>
      <c r="B213" s="46"/>
      <c r="C213" s="46"/>
      <c r="D213" s="46"/>
      <c r="E213" s="46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>
      <c r="A214" s="26"/>
      <c r="B214" s="46"/>
      <c r="C214" s="46"/>
      <c r="D214" s="46"/>
      <c r="E214" s="46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>
      <c r="A215" s="26"/>
      <c r="B215" s="46"/>
      <c r="C215" s="46"/>
      <c r="D215" s="46"/>
      <c r="E215" s="46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>
      <c r="A216" s="26"/>
      <c r="B216" s="46"/>
      <c r="C216" s="46"/>
      <c r="D216" s="46"/>
      <c r="E216" s="46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>
      <c r="A217" s="26"/>
      <c r="B217" s="46"/>
      <c r="C217" s="46"/>
      <c r="D217" s="46"/>
      <c r="E217" s="46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>
      <c r="A218" s="26"/>
      <c r="B218" s="46"/>
      <c r="C218" s="46"/>
      <c r="D218" s="46"/>
      <c r="E218" s="46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>
      <c r="A219" s="26"/>
      <c r="B219" s="46"/>
      <c r="C219" s="46"/>
      <c r="D219" s="46"/>
      <c r="E219" s="46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>
      <c r="A220" s="26"/>
      <c r="B220" s="46"/>
      <c r="C220" s="46"/>
      <c r="D220" s="46"/>
      <c r="E220" s="46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>
      <c r="A221" s="26"/>
      <c r="B221" s="46"/>
      <c r="C221" s="46"/>
      <c r="D221" s="46"/>
      <c r="E221" s="46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>
      <c r="A222" s="26"/>
      <c r="B222" s="46"/>
      <c r="C222" s="46"/>
      <c r="D222" s="46"/>
      <c r="E222" s="46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>
      <c r="A223" s="26"/>
      <c r="B223" s="46"/>
      <c r="C223" s="46"/>
      <c r="D223" s="46"/>
      <c r="E223" s="46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>
      <c r="A224" s="26"/>
      <c r="B224" s="46"/>
      <c r="C224" s="46"/>
      <c r="D224" s="46"/>
      <c r="E224" s="4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>
      <c r="A225" s="26"/>
      <c r="B225" s="46"/>
      <c r="C225" s="46"/>
      <c r="D225" s="46"/>
      <c r="E225" s="46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>
      <c r="A226" s="26"/>
      <c r="B226" s="46"/>
      <c r="C226" s="46"/>
      <c r="D226" s="46"/>
      <c r="E226" s="46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>
      <c r="A227" s="26"/>
      <c r="B227" s="46"/>
      <c r="C227" s="46"/>
      <c r="D227" s="46"/>
      <c r="E227" s="46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>
      <c r="A228" s="26"/>
      <c r="B228" s="46"/>
      <c r="C228" s="46"/>
      <c r="D228" s="46"/>
      <c r="E228" s="46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>
      <c r="A229" s="26"/>
      <c r="B229" s="46"/>
      <c r="C229" s="46"/>
      <c r="D229" s="46"/>
      <c r="E229" s="46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>
      <c r="A230" s="26"/>
      <c r="B230" s="46"/>
      <c r="C230" s="46"/>
      <c r="D230" s="46"/>
      <c r="E230" s="46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>
      <c r="A231" s="26"/>
      <c r="B231" s="46"/>
      <c r="C231" s="46"/>
      <c r="D231" s="46"/>
      <c r="E231" s="46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>
      <c r="A232" s="26"/>
      <c r="B232" s="46"/>
      <c r="C232" s="46"/>
      <c r="D232" s="46"/>
      <c r="E232" s="46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>
      <c r="A233" s="26"/>
      <c r="B233" s="46"/>
      <c r="C233" s="46"/>
      <c r="D233" s="46"/>
      <c r="E233" s="46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>
      <c r="A234" s="26"/>
      <c r="B234" s="46"/>
      <c r="C234" s="46"/>
      <c r="D234" s="46"/>
      <c r="E234" s="46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>
      <c r="A235" s="26"/>
      <c r="B235" s="46"/>
      <c r="C235" s="46"/>
      <c r="D235" s="46"/>
      <c r="E235" s="46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>
      <c r="A236" s="26"/>
      <c r="B236" s="46"/>
      <c r="C236" s="46"/>
      <c r="D236" s="46"/>
      <c r="E236" s="4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>
      <c r="A237" s="26"/>
      <c r="B237" s="46"/>
      <c r="C237" s="46"/>
      <c r="D237" s="46"/>
      <c r="E237" s="46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>
      <c r="A238" s="26"/>
      <c r="B238" s="46"/>
      <c r="C238" s="46"/>
      <c r="D238" s="46"/>
      <c r="E238" s="46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>
      <c r="A239" s="26"/>
      <c r="B239" s="46"/>
      <c r="C239" s="46"/>
      <c r="D239" s="46"/>
      <c r="E239" s="46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</row>
    <row r="240">
      <c r="A240" s="26"/>
      <c r="B240" s="46"/>
      <c r="C240" s="46"/>
      <c r="D240" s="46"/>
      <c r="E240" s="46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</row>
    <row r="241">
      <c r="A241" s="26"/>
      <c r="B241" s="46"/>
      <c r="C241" s="46"/>
      <c r="D241" s="46"/>
      <c r="E241" s="46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</row>
    <row r="242">
      <c r="A242" s="26"/>
      <c r="B242" s="46"/>
      <c r="C242" s="46"/>
      <c r="D242" s="46"/>
      <c r="E242" s="46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</row>
    <row r="243">
      <c r="A243" s="26"/>
      <c r="B243" s="46"/>
      <c r="C243" s="46"/>
      <c r="D243" s="46"/>
      <c r="E243" s="46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</row>
    <row r="244">
      <c r="A244" s="26"/>
      <c r="B244" s="46"/>
      <c r="C244" s="46"/>
      <c r="D244" s="46"/>
      <c r="E244" s="46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</row>
    <row r="245">
      <c r="A245" s="26"/>
      <c r="B245" s="46"/>
      <c r="C245" s="46"/>
      <c r="D245" s="46"/>
      <c r="E245" s="46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</row>
    <row r="246">
      <c r="A246" s="26"/>
      <c r="B246" s="46"/>
      <c r="C246" s="46"/>
      <c r="D246" s="46"/>
      <c r="E246" s="46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</row>
    <row r="247">
      <c r="A247" s="26"/>
      <c r="B247" s="46"/>
      <c r="C247" s="46"/>
      <c r="D247" s="46"/>
      <c r="E247" s="46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</row>
    <row r="248">
      <c r="A248" s="26"/>
      <c r="B248" s="46"/>
      <c r="C248" s="46"/>
      <c r="D248" s="46"/>
      <c r="E248" s="46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</row>
    <row r="249">
      <c r="A249" s="26"/>
      <c r="B249" s="46"/>
      <c r="C249" s="46"/>
      <c r="D249" s="46"/>
      <c r="E249" s="46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</row>
    <row r="250">
      <c r="A250" s="26"/>
      <c r="B250" s="46"/>
      <c r="C250" s="46"/>
      <c r="D250" s="46"/>
      <c r="E250" s="46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</row>
    <row r="251">
      <c r="A251" s="26"/>
      <c r="B251" s="46"/>
      <c r="C251" s="46"/>
      <c r="D251" s="46"/>
      <c r="E251" s="46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</row>
    <row r="252">
      <c r="A252" s="26"/>
      <c r="B252" s="46"/>
      <c r="C252" s="46"/>
      <c r="D252" s="46"/>
      <c r="E252" s="46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</row>
    <row r="253">
      <c r="A253" s="26"/>
      <c r="B253" s="46"/>
      <c r="C253" s="46"/>
      <c r="D253" s="46"/>
      <c r="E253" s="46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</row>
    <row r="254">
      <c r="A254" s="26"/>
      <c r="B254" s="46"/>
      <c r="C254" s="46"/>
      <c r="D254" s="46"/>
      <c r="E254" s="46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</row>
    <row r="255">
      <c r="A255" s="26"/>
      <c r="B255" s="46"/>
      <c r="C255" s="46"/>
      <c r="D255" s="46"/>
      <c r="E255" s="46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</row>
    <row r="256">
      <c r="A256" s="26"/>
      <c r="B256" s="46"/>
      <c r="C256" s="46"/>
      <c r="D256" s="46"/>
      <c r="E256" s="46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</row>
    <row r="257">
      <c r="A257" s="26"/>
      <c r="B257" s="46"/>
      <c r="C257" s="46"/>
      <c r="D257" s="46"/>
      <c r="E257" s="46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</row>
    <row r="258">
      <c r="A258" s="26"/>
      <c r="B258" s="46"/>
      <c r="C258" s="46"/>
      <c r="D258" s="46"/>
      <c r="E258" s="46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</row>
    <row r="259">
      <c r="A259" s="26"/>
      <c r="B259" s="46"/>
      <c r="C259" s="46"/>
      <c r="D259" s="46"/>
      <c r="E259" s="46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</row>
    <row r="260">
      <c r="A260" s="26"/>
      <c r="B260" s="46"/>
      <c r="C260" s="46"/>
      <c r="D260" s="46"/>
      <c r="E260" s="46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</row>
    <row r="261">
      <c r="A261" s="26"/>
      <c r="B261" s="46"/>
      <c r="C261" s="46"/>
      <c r="D261" s="46"/>
      <c r="E261" s="46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</row>
    <row r="262">
      <c r="A262" s="26"/>
      <c r="B262" s="46"/>
      <c r="C262" s="46"/>
      <c r="D262" s="46"/>
      <c r="E262" s="46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</row>
    <row r="263">
      <c r="A263" s="26"/>
      <c r="B263" s="46"/>
      <c r="C263" s="46"/>
      <c r="D263" s="46"/>
      <c r="E263" s="46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</row>
    <row r="264">
      <c r="A264" s="26"/>
      <c r="B264" s="46"/>
      <c r="C264" s="46"/>
      <c r="D264" s="46"/>
      <c r="E264" s="46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</row>
    <row r="265">
      <c r="A265" s="26"/>
      <c r="B265" s="46"/>
      <c r="C265" s="46"/>
      <c r="D265" s="46"/>
      <c r="E265" s="46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</row>
    <row r="266">
      <c r="A266" s="26"/>
      <c r="B266" s="46"/>
      <c r="C266" s="46"/>
      <c r="D266" s="46"/>
      <c r="E266" s="46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</row>
    <row r="267">
      <c r="A267" s="26"/>
      <c r="B267" s="46"/>
      <c r="C267" s="46"/>
      <c r="D267" s="46"/>
      <c r="E267" s="46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</row>
    <row r="268">
      <c r="A268" s="26"/>
      <c r="B268" s="46"/>
      <c r="C268" s="46"/>
      <c r="D268" s="46"/>
      <c r="E268" s="46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</row>
    <row r="269">
      <c r="A269" s="26"/>
      <c r="B269" s="46"/>
      <c r="C269" s="46"/>
      <c r="D269" s="46"/>
      <c r="E269" s="46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</row>
    <row r="270">
      <c r="A270" s="26"/>
      <c r="B270" s="46"/>
      <c r="C270" s="46"/>
      <c r="D270" s="46"/>
      <c r="E270" s="46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</row>
    <row r="271">
      <c r="A271" s="26"/>
      <c r="B271" s="46"/>
      <c r="C271" s="46"/>
      <c r="D271" s="46"/>
      <c r="E271" s="46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</row>
    <row r="272">
      <c r="A272" s="26"/>
      <c r="B272" s="46"/>
      <c r="C272" s="46"/>
      <c r="D272" s="46"/>
      <c r="E272" s="46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</row>
    <row r="273">
      <c r="A273" s="26"/>
      <c r="B273" s="46"/>
      <c r="C273" s="46"/>
      <c r="D273" s="46"/>
      <c r="E273" s="46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</row>
    <row r="274">
      <c r="A274" s="26"/>
      <c r="B274" s="46"/>
      <c r="C274" s="46"/>
      <c r="D274" s="46"/>
      <c r="E274" s="46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</row>
    <row r="275">
      <c r="A275" s="26"/>
      <c r="B275" s="46"/>
      <c r="C275" s="46"/>
      <c r="D275" s="46"/>
      <c r="E275" s="46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</row>
    <row r="276">
      <c r="A276" s="26"/>
      <c r="B276" s="46"/>
      <c r="C276" s="46"/>
      <c r="D276" s="46"/>
      <c r="E276" s="46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</row>
    <row r="277">
      <c r="A277" s="26"/>
      <c r="B277" s="46"/>
      <c r="C277" s="46"/>
      <c r="D277" s="46"/>
      <c r="E277" s="46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</row>
    <row r="278">
      <c r="A278" s="26"/>
      <c r="B278" s="46"/>
      <c r="C278" s="46"/>
      <c r="D278" s="46"/>
      <c r="E278" s="46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</row>
    <row r="279">
      <c r="A279" s="26"/>
      <c r="B279" s="46"/>
      <c r="C279" s="46"/>
      <c r="D279" s="46"/>
      <c r="E279" s="46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</row>
    <row r="280">
      <c r="A280" s="26"/>
      <c r="B280" s="46"/>
      <c r="C280" s="46"/>
      <c r="D280" s="46"/>
      <c r="E280" s="46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</row>
    <row r="281">
      <c r="A281" s="26"/>
      <c r="B281" s="46"/>
      <c r="C281" s="46"/>
      <c r="D281" s="46"/>
      <c r="E281" s="46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</row>
    <row r="282">
      <c r="A282" s="26"/>
      <c r="B282" s="46"/>
      <c r="C282" s="46"/>
      <c r="D282" s="46"/>
      <c r="E282" s="46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</row>
    <row r="283">
      <c r="A283" s="26"/>
      <c r="B283" s="46"/>
      <c r="C283" s="46"/>
      <c r="D283" s="46"/>
      <c r="E283" s="46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</row>
    <row r="284">
      <c r="A284" s="26"/>
      <c r="B284" s="46"/>
      <c r="C284" s="46"/>
      <c r="D284" s="46"/>
      <c r="E284" s="46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</row>
    <row r="285">
      <c r="A285" s="26"/>
      <c r="B285" s="46"/>
      <c r="C285" s="46"/>
      <c r="D285" s="46"/>
      <c r="E285" s="46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</row>
    <row r="286">
      <c r="A286" s="26"/>
      <c r="B286" s="46"/>
      <c r="C286" s="46"/>
      <c r="D286" s="46"/>
      <c r="E286" s="46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</row>
    <row r="287">
      <c r="A287" s="26"/>
      <c r="B287" s="46"/>
      <c r="C287" s="46"/>
      <c r="D287" s="46"/>
      <c r="E287" s="46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</row>
    <row r="288">
      <c r="A288" s="26"/>
      <c r="B288" s="46"/>
      <c r="C288" s="46"/>
      <c r="D288" s="46"/>
      <c r="E288" s="46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</row>
    <row r="289">
      <c r="A289" s="26"/>
      <c r="B289" s="46"/>
      <c r="C289" s="46"/>
      <c r="D289" s="46"/>
      <c r="E289" s="46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</row>
    <row r="290">
      <c r="A290" s="26"/>
      <c r="B290" s="46"/>
      <c r="C290" s="46"/>
      <c r="D290" s="46"/>
      <c r="E290" s="46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</row>
    <row r="291">
      <c r="A291" s="26"/>
      <c r="B291" s="46"/>
      <c r="C291" s="46"/>
      <c r="D291" s="46"/>
      <c r="E291" s="46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</row>
    <row r="292">
      <c r="A292" s="26"/>
      <c r="B292" s="46"/>
      <c r="C292" s="46"/>
      <c r="D292" s="46"/>
      <c r="E292" s="46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</row>
    <row r="293">
      <c r="A293" s="26"/>
      <c r="B293" s="46"/>
      <c r="C293" s="46"/>
      <c r="D293" s="46"/>
      <c r="E293" s="46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</row>
    <row r="294">
      <c r="A294" s="26"/>
      <c r="B294" s="46"/>
      <c r="C294" s="46"/>
      <c r="D294" s="46"/>
      <c r="E294" s="46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</row>
    <row r="295">
      <c r="A295" s="26"/>
      <c r="B295" s="46"/>
      <c r="C295" s="46"/>
      <c r="D295" s="46"/>
      <c r="E295" s="46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</row>
    <row r="296">
      <c r="A296" s="26"/>
      <c r="B296" s="46"/>
      <c r="C296" s="46"/>
      <c r="D296" s="46"/>
      <c r="E296" s="46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</row>
    <row r="297">
      <c r="A297" s="26"/>
      <c r="B297" s="46"/>
      <c r="C297" s="46"/>
      <c r="D297" s="46"/>
      <c r="E297" s="46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</row>
    <row r="298">
      <c r="A298" s="26"/>
      <c r="B298" s="46"/>
      <c r="C298" s="46"/>
      <c r="D298" s="46"/>
      <c r="E298" s="46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</row>
    <row r="299">
      <c r="A299" s="26"/>
      <c r="B299" s="46"/>
      <c r="C299" s="46"/>
      <c r="D299" s="46"/>
      <c r="E299" s="46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</row>
    <row r="300">
      <c r="A300" s="26"/>
      <c r="B300" s="46"/>
      <c r="C300" s="46"/>
      <c r="D300" s="46"/>
      <c r="E300" s="46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</row>
    <row r="301">
      <c r="A301" s="26"/>
      <c r="B301" s="46"/>
      <c r="C301" s="46"/>
      <c r="D301" s="46"/>
      <c r="E301" s="46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</row>
    <row r="302">
      <c r="A302" s="26"/>
      <c r="B302" s="46"/>
      <c r="C302" s="46"/>
      <c r="D302" s="46"/>
      <c r="E302" s="46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</row>
    <row r="303">
      <c r="A303" s="26"/>
      <c r="B303" s="46"/>
      <c r="C303" s="46"/>
      <c r="D303" s="46"/>
      <c r="E303" s="46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</row>
    <row r="304">
      <c r="A304" s="26"/>
      <c r="B304" s="46"/>
      <c r="C304" s="46"/>
      <c r="D304" s="46"/>
      <c r="E304" s="46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</row>
    <row r="305">
      <c r="A305" s="26"/>
      <c r="B305" s="46"/>
      <c r="C305" s="46"/>
      <c r="D305" s="46"/>
      <c r="E305" s="46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</row>
    <row r="306">
      <c r="A306" s="26"/>
      <c r="B306" s="46"/>
      <c r="C306" s="46"/>
      <c r="D306" s="46"/>
      <c r="E306" s="46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</row>
    <row r="307">
      <c r="A307" s="26"/>
      <c r="B307" s="46"/>
      <c r="C307" s="46"/>
      <c r="D307" s="46"/>
      <c r="E307" s="46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</row>
    <row r="308">
      <c r="A308" s="26"/>
      <c r="B308" s="46"/>
      <c r="C308" s="46"/>
      <c r="D308" s="46"/>
      <c r="E308" s="46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</row>
    <row r="309">
      <c r="A309" s="26"/>
      <c r="B309" s="46"/>
      <c r="C309" s="46"/>
      <c r="D309" s="46"/>
      <c r="E309" s="46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</row>
    <row r="310">
      <c r="A310" s="26"/>
      <c r="B310" s="46"/>
      <c r="C310" s="46"/>
      <c r="D310" s="46"/>
      <c r="E310" s="46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</row>
    <row r="311">
      <c r="A311" s="26"/>
      <c r="B311" s="46"/>
      <c r="C311" s="46"/>
      <c r="D311" s="46"/>
      <c r="E311" s="46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</row>
    <row r="312">
      <c r="A312" s="26"/>
      <c r="B312" s="46"/>
      <c r="C312" s="46"/>
      <c r="D312" s="46"/>
      <c r="E312" s="46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</row>
    <row r="313">
      <c r="A313" s="26"/>
      <c r="B313" s="46"/>
      <c r="C313" s="46"/>
      <c r="D313" s="46"/>
      <c r="E313" s="46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</row>
    <row r="314">
      <c r="A314" s="26"/>
      <c r="B314" s="46"/>
      <c r="C314" s="46"/>
      <c r="D314" s="46"/>
      <c r="E314" s="46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</row>
    <row r="315">
      <c r="A315" s="26"/>
      <c r="B315" s="46"/>
      <c r="C315" s="46"/>
      <c r="D315" s="46"/>
      <c r="E315" s="46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</row>
    <row r="316">
      <c r="A316" s="26"/>
      <c r="B316" s="46"/>
      <c r="C316" s="46"/>
      <c r="D316" s="46"/>
      <c r="E316" s="46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</row>
    <row r="317">
      <c r="A317" s="26"/>
      <c r="B317" s="46"/>
      <c r="C317" s="46"/>
      <c r="D317" s="46"/>
      <c r="E317" s="46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</row>
    <row r="318">
      <c r="A318" s="26"/>
      <c r="B318" s="46"/>
      <c r="C318" s="46"/>
      <c r="D318" s="46"/>
      <c r="E318" s="46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</row>
    <row r="319">
      <c r="A319" s="26"/>
      <c r="B319" s="46"/>
      <c r="C319" s="46"/>
      <c r="D319" s="46"/>
      <c r="E319" s="46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</row>
    <row r="320">
      <c r="A320" s="26"/>
      <c r="B320" s="46"/>
      <c r="C320" s="46"/>
      <c r="D320" s="46"/>
      <c r="E320" s="46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</row>
    <row r="321">
      <c r="A321" s="26"/>
      <c r="B321" s="46"/>
      <c r="C321" s="46"/>
      <c r="D321" s="46"/>
      <c r="E321" s="46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</row>
    <row r="322">
      <c r="A322" s="26"/>
      <c r="B322" s="46"/>
      <c r="C322" s="46"/>
      <c r="D322" s="46"/>
      <c r="E322" s="46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</row>
    <row r="323">
      <c r="A323" s="26"/>
      <c r="B323" s="46"/>
      <c r="C323" s="46"/>
      <c r="D323" s="46"/>
      <c r="E323" s="46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</row>
    <row r="324">
      <c r="A324" s="26"/>
      <c r="B324" s="46"/>
      <c r="C324" s="46"/>
      <c r="D324" s="46"/>
      <c r="E324" s="46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</row>
    <row r="325">
      <c r="A325" s="26"/>
      <c r="B325" s="46"/>
      <c r="C325" s="46"/>
      <c r="D325" s="46"/>
      <c r="E325" s="46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</row>
    <row r="326">
      <c r="A326" s="26"/>
      <c r="B326" s="46"/>
      <c r="C326" s="46"/>
      <c r="D326" s="46"/>
      <c r="E326" s="46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</row>
    <row r="327">
      <c r="A327" s="26"/>
      <c r="B327" s="46"/>
      <c r="C327" s="46"/>
      <c r="D327" s="46"/>
      <c r="E327" s="46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</row>
    <row r="328">
      <c r="A328" s="26"/>
      <c r="B328" s="46"/>
      <c r="C328" s="46"/>
      <c r="D328" s="46"/>
      <c r="E328" s="46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</row>
    <row r="329">
      <c r="A329" s="26"/>
      <c r="B329" s="46"/>
      <c r="C329" s="46"/>
      <c r="D329" s="46"/>
      <c r="E329" s="46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</row>
    <row r="330">
      <c r="A330" s="26"/>
      <c r="B330" s="46"/>
      <c r="C330" s="46"/>
      <c r="D330" s="46"/>
      <c r="E330" s="46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</row>
    <row r="331">
      <c r="A331" s="26"/>
      <c r="B331" s="46"/>
      <c r="C331" s="46"/>
      <c r="D331" s="46"/>
      <c r="E331" s="46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</row>
    <row r="332">
      <c r="A332" s="26"/>
      <c r="B332" s="46"/>
      <c r="C332" s="46"/>
      <c r="D332" s="46"/>
      <c r="E332" s="46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</row>
    <row r="333">
      <c r="A333" s="26"/>
      <c r="B333" s="46"/>
      <c r="C333" s="46"/>
      <c r="D333" s="46"/>
      <c r="E333" s="46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</row>
    <row r="334">
      <c r="A334" s="26"/>
      <c r="B334" s="46"/>
      <c r="C334" s="46"/>
      <c r="D334" s="46"/>
      <c r="E334" s="46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</row>
    <row r="335">
      <c r="A335" s="26"/>
      <c r="B335" s="46"/>
      <c r="C335" s="46"/>
      <c r="D335" s="46"/>
      <c r="E335" s="46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</row>
    <row r="336">
      <c r="A336" s="26"/>
      <c r="B336" s="46"/>
      <c r="C336" s="46"/>
      <c r="D336" s="46"/>
      <c r="E336" s="46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</row>
    <row r="337">
      <c r="A337" s="26"/>
      <c r="B337" s="46"/>
      <c r="C337" s="46"/>
      <c r="D337" s="46"/>
      <c r="E337" s="46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</row>
    <row r="338">
      <c r="A338" s="26"/>
      <c r="B338" s="46"/>
      <c r="C338" s="46"/>
      <c r="D338" s="46"/>
      <c r="E338" s="46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</row>
    <row r="339">
      <c r="A339" s="26"/>
      <c r="B339" s="46"/>
      <c r="C339" s="46"/>
      <c r="D339" s="46"/>
      <c r="E339" s="46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</row>
    <row r="340">
      <c r="A340" s="26"/>
      <c r="B340" s="46"/>
      <c r="C340" s="46"/>
      <c r="D340" s="46"/>
      <c r="E340" s="46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</row>
    <row r="341">
      <c r="A341" s="26"/>
      <c r="B341" s="46"/>
      <c r="C341" s="46"/>
      <c r="D341" s="46"/>
      <c r="E341" s="46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</row>
    <row r="342">
      <c r="A342" s="26"/>
      <c r="B342" s="46"/>
      <c r="C342" s="46"/>
      <c r="D342" s="46"/>
      <c r="E342" s="46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</row>
    <row r="343">
      <c r="A343" s="26"/>
      <c r="B343" s="46"/>
      <c r="C343" s="46"/>
      <c r="D343" s="46"/>
      <c r="E343" s="46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</row>
    <row r="344">
      <c r="A344" s="26"/>
      <c r="B344" s="46"/>
      <c r="C344" s="46"/>
      <c r="D344" s="46"/>
      <c r="E344" s="46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</row>
    <row r="345">
      <c r="A345" s="26"/>
      <c r="B345" s="46"/>
      <c r="C345" s="46"/>
      <c r="D345" s="46"/>
      <c r="E345" s="46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</row>
    <row r="346">
      <c r="A346" s="26"/>
      <c r="B346" s="46"/>
      <c r="C346" s="46"/>
      <c r="D346" s="46"/>
      <c r="E346" s="46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</row>
    <row r="347">
      <c r="A347" s="26"/>
      <c r="B347" s="46"/>
      <c r="C347" s="46"/>
      <c r="D347" s="46"/>
      <c r="E347" s="46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</row>
    <row r="348">
      <c r="A348" s="26"/>
      <c r="B348" s="46"/>
      <c r="C348" s="46"/>
      <c r="D348" s="46"/>
      <c r="E348" s="46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</row>
    <row r="349">
      <c r="A349" s="26"/>
      <c r="B349" s="46"/>
      <c r="C349" s="46"/>
      <c r="D349" s="46"/>
      <c r="E349" s="46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</row>
    <row r="350">
      <c r="A350" s="26"/>
      <c r="B350" s="46"/>
      <c r="C350" s="46"/>
      <c r="D350" s="46"/>
      <c r="E350" s="46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</row>
    <row r="351">
      <c r="A351" s="26"/>
      <c r="B351" s="46"/>
      <c r="C351" s="46"/>
      <c r="D351" s="46"/>
      <c r="E351" s="46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</row>
    <row r="352">
      <c r="A352" s="26"/>
      <c r="B352" s="46"/>
      <c r="C352" s="46"/>
      <c r="D352" s="46"/>
      <c r="E352" s="46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</row>
    <row r="353">
      <c r="A353" s="26"/>
      <c r="B353" s="46"/>
      <c r="C353" s="46"/>
      <c r="D353" s="46"/>
      <c r="E353" s="46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</row>
    <row r="354">
      <c r="A354" s="26"/>
      <c r="B354" s="46"/>
      <c r="C354" s="46"/>
      <c r="D354" s="46"/>
      <c r="E354" s="46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</row>
    <row r="355">
      <c r="A355" s="26"/>
      <c r="B355" s="46"/>
      <c r="C355" s="46"/>
      <c r="D355" s="46"/>
      <c r="E355" s="46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</row>
    <row r="356">
      <c r="A356" s="26"/>
      <c r="B356" s="46"/>
      <c r="C356" s="46"/>
      <c r="D356" s="46"/>
      <c r="E356" s="46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</row>
    <row r="357">
      <c r="A357" s="26"/>
      <c r="B357" s="46"/>
      <c r="C357" s="46"/>
      <c r="D357" s="46"/>
      <c r="E357" s="46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</row>
    <row r="358">
      <c r="A358" s="26"/>
      <c r="B358" s="46"/>
      <c r="C358" s="46"/>
      <c r="D358" s="46"/>
      <c r="E358" s="46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</row>
    <row r="359">
      <c r="A359" s="26"/>
      <c r="B359" s="46"/>
      <c r="C359" s="46"/>
      <c r="D359" s="46"/>
      <c r="E359" s="46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</row>
    <row r="360">
      <c r="A360" s="26"/>
      <c r="B360" s="46"/>
      <c r="C360" s="46"/>
      <c r="D360" s="46"/>
      <c r="E360" s="46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</row>
    <row r="361">
      <c r="A361" s="26"/>
      <c r="B361" s="46"/>
      <c r="C361" s="46"/>
      <c r="D361" s="46"/>
      <c r="E361" s="46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</row>
    <row r="362">
      <c r="A362" s="26"/>
      <c r="B362" s="46"/>
      <c r="C362" s="46"/>
      <c r="D362" s="46"/>
      <c r="E362" s="46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</row>
    <row r="363">
      <c r="A363" s="26"/>
      <c r="B363" s="46"/>
      <c r="C363" s="46"/>
      <c r="D363" s="46"/>
      <c r="E363" s="46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</row>
    <row r="364">
      <c r="A364" s="26"/>
      <c r="B364" s="46"/>
      <c r="C364" s="46"/>
      <c r="D364" s="46"/>
      <c r="E364" s="46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</row>
    <row r="365">
      <c r="A365" s="26"/>
      <c r="B365" s="46"/>
      <c r="C365" s="46"/>
      <c r="D365" s="46"/>
      <c r="E365" s="46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</row>
    <row r="366">
      <c r="A366" s="26"/>
      <c r="B366" s="46"/>
      <c r="C366" s="46"/>
      <c r="D366" s="46"/>
      <c r="E366" s="46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</row>
    <row r="367">
      <c r="A367" s="26"/>
      <c r="B367" s="46"/>
      <c r="C367" s="46"/>
      <c r="D367" s="46"/>
      <c r="E367" s="46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</row>
    <row r="368">
      <c r="A368" s="26"/>
      <c r="B368" s="46"/>
      <c r="C368" s="46"/>
      <c r="D368" s="46"/>
      <c r="E368" s="46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</row>
    <row r="369">
      <c r="A369" s="26"/>
      <c r="B369" s="46"/>
      <c r="C369" s="46"/>
      <c r="D369" s="46"/>
      <c r="E369" s="46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</row>
    <row r="370">
      <c r="A370" s="26"/>
      <c r="B370" s="46"/>
      <c r="C370" s="46"/>
      <c r="D370" s="46"/>
      <c r="E370" s="46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</row>
    <row r="371">
      <c r="A371" s="26"/>
      <c r="B371" s="46"/>
      <c r="C371" s="46"/>
      <c r="D371" s="46"/>
      <c r="E371" s="46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</row>
    <row r="372">
      <c r="A372" s="26"/>
      <c r="B372" s="46"/>
      <c r="C372" s="46"/>
      <c r="D372" s="46"/>
      <c r="E372" s="46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</row>
    <row r="373">
      <c r="A373" s="26"/>
      <c r="B373" s="46"/>
      <c r="C373" s="46"/>
      <c r="D373" s="46"/>
      <c r="E373" s="46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</row>
    <row r="374">
      <c r="A374" s="26"/>
      <c r="B374" s="46"/>
      <c r="C374" s="46"/>
      <c r="D374" s="46"/>
      <c r="E374" s="46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</row>
    <row r="375">
      <c r="A375" s="26"/>
      <c r="B375" s="46"/>
      <c r="C375" s="46"/>
      <c r="D375" s="46"/>
      <c r="E375" s="46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</row>
    <row r="376">
      <c r="A376" s="26"/>
      <c r="B376" s="46"/>
      <c r="C376" s="46"/>
      <c r="D376" s="46"/>
      <c r="E376" s="46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</row>
    <row r="377">
      <c r="A377" s="26"/>
      <c r="B377" s="46"/>
      <c r="C377" s="46"/>
      <c r="D377" s="46"/>
      <c r="E377" s="46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</row>
    <row r="378">
      <c r="A378" s="26"/>
      <c r="B378" s="46"/>
      <c r="C378" s="46"/>
      <c r="D378" s="46"/>
      <c r="E378" s="46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</row>
    <row r="379">
      <c r="A379" s="26"/>
      <c r="B379" s="46"/>
      <c r="C379" s="46"/>
      <c r="D379" s="46"/>
      <c r="E379" s="46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</row>
    <row r="380">
      <c r="A380" s="26"/>
      <c r="B380" s="46"/>
      <c r="C380" s="46"/>
      <c r="D380" s="46"/>
      <c r="E380" s="46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</row>
    <row r="381">
      <c r="A381" s="26"/>
      <c r="B381" s="46"/>
      <c r="C381" s="46"/>
      <c r="D381" s="46"/>
      <c r="E381" s="46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</row>
    <row r="382">
      <c r="A382" s="26"/>
      <c r="B382" s="46"/>
      <c r="C382" s="46"/>
      <c r="D382" s="46"/>
      <c r="E382" s="46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</row>
    <row r="383">
      <c r="A383" s="26"/>
      <c r="B383" s="46"/>
      <c r="C383" s="46"/>
      <c r="D383" s="46"/>
      <c r="E383" s="46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</row>
    <row r="384">
      <c r="A384" s="26"/>
      <c r="B384" s="46"/>
      <c r="C384" s="46"/>
      <c r="D384" s="46"/>
      <c r="E384" s="46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</row>
    <row r="385">
      <c r="A385" s="26"/>
      <c r="B385" s="46"/>
      <c r="C385" s="46"/>
      <c r="D385" s="46"/>
      <c r="E385" s="46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</row>
    <row r="386">
      <c r="A386" s="26"/>
      <c r="B386" s="46"/>
      <c r="C386" s="46"/>
      <c r="D386" s="46"/>
      <c r="E386" s="46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</row>
    <row r="387">
      <c r="A387" s="26"/>
      <c r="B387" s="46"/>
      <c r="C387" s="46"/>
      <c r="D387" s="46"/>
      <c r="E387" s="46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</row>
    <row r="388">
      <c r="A388" s="26"/>
      <c r="B388" s="46"/>
      <c r="C388" s="46"/>
      <c r="D388" s="46"/>
      <c r="E388" s="46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</row>
    <row r="389">
      <c r="A389" s="26"/>
      <c r="B389" s="46"/>
      <c r="C389" s="46"/>
      <c r="D389" s="46"/>
      <c r="E389" s="46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</row>
    <row r="390">
      <c r="A390" s="26"/>
      <c r="B390" s="46"/>
      <c r="C390" s="46"/>
      <c r="D390" s="46"/>
      <c r="E390" s="46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</row>
    <row r="391">
      <c r="A391" s="26"/>
      <c r="B391" s="46"/>
      <c r="C391" s="46"/>
      <c r="D391" s="46"/>
      <c r="E391" s="46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</row>
    <row r="392">
      <c r="A392" s="26"/>
      <c r="B392" s="46"/>
      <c r="C392" s="46"/>
      <c r="D392" s="46"/>
      <c r="E392" s="46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</row>
    <row r="393">
      <c r="A393" s="26"/>
      <c r="B393" s="46"/>
      <c r="C393" s="46"/>
      <c r="D393" s="46"/>
      <c r="E393" s="46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</row>
    <row r="394">
      <c r="A394" s="26"/>
      <c r="B394" s="46"/>
      <c r="C394" s="46"/>
      <c r="D394" s="46"/>
      <c r="E394" s="46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</row>
    <row r="395">
      <c r="A395" s="26"/>
      <c r="B395" s="46"/>
      <c r="C395" s="46"/>
      <c r="D395" s="46"/>
      <c r="E395" s="46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</row>
    <row r="396">
      <c r="A396" s="26"/>
      <c r="B396" s="46"/>
      <c r="C396" s="46"/>
      <c r="D396" s="46"/>
      <c r="E396" s="46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</row>
    <row r="397">
      <c r="A397" s="26"/>
      <c r="B397" s="46"/>
      <c r="C397" s="46"/>
      <c r="D397" s="46"/>
      <c r="E397" s="46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</row>
    <row r="398">
      <c r="A398" s="26"/>
      <c r="B398" s="46"/>
      <c r="C398" s="46"/>
      <c r="D398" s="46"/>
      <c r="E398" s="46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</row>
    <row r="399">
      <c r="A399" s="26"/>
      <c r="B399" s="46"/>
      <c r="C399" s="46"/>
      <c r="D399" s="46"/>
      <c r="E399" s="46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</row>
    <row r="400">
      <c r="A400" s="26"/>
      <c r="B400" s="46"/>
      <c r="C400" s="46"/>
      <c r="D400" s="46"/>
      <c r="E400" s="46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</row>
    <row r="401">
      <c r="A401" s="26"/>
      <c r="B401" s="46"/>
      <c r="C401" s="46"/>
      <c r="D401" s="46"/>
      <c r="E401" s="46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</row>
    <row r="402">
      <c r="A402" s="26"/>
      <c r="B402" s="46"/>
      <c r="C402" s="46"/>
      <c r="D402" s="46"/>
      <c r="E402" s="46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</row>
    <row r="403">
      <c r="A403" s="26"/>
      <c r="B403" s="46"/>
      <c r="C403" s="46"/>
      <c r="D403" s="46"/>
      <c r="E403" s="46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</row>
    <row r="404">
      <c r="A404" s="26"/>
      <c r="B404" s="46"/>
      <c r="C404" s="46"/>
      <c r="D404" s="46"/>
      <c r="E404" s="46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</row>
    <row r="405">
      <c r="A405" s="26"/>
      <c r="B405" s="46"/>
      <c r="C405" s="46"/>
      <c r="D405" s="46"/>
      <c r="E405" s="46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</row>
    <row r="406">
      <c r="A406" s="26"/>
      <c r="B406" s="46"/>
      <c r="C406" s="46"/>
      <c r="D406" s="46"/>
      <c r="E406" s="46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</row>
    <row r="407">
      <c r="A407" s="26"/>
      <c r="B407" s="46"/>
      <c r="C407" s="46"/>
      <c r="D407" s="46"/>
      <c r="E407" s="46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</row>
    <row r="408">
      <c r="A408" s="26"/>
      <c r="B408" s="46"/>
      <c r="C408" s="46"/>
      <c r="D408" s="46"/>
      <c r="E408" s="46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</row>
    <row r="409">
      <c r="A409" s="26"/>
      <c r="B409" s="46"/>
      <c r="C409" s="46"/>
      <c r="D409" s="46"/>
      <c r="E409" s="46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</row>
    <row r="410">
      <c r="A410" s="26"/>
      <c r="B410" s="46"/>
      <c r="C410" s="46"/>
      <c r="D410" s="46"/>
      <c r="E410" s="46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</row>
    <row r="411">
      <c r="A411" s="26"/>
      <c r="B411" s="46"/>
      <c r="C411" s="46"/>
      <c r="D411" s="46"/>
      <c r="E411" s="46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</row>
    <row r="412">
      <c r="A412" s="26"/>
      <c r="B412" s="46"/>
      <c r="C412" s="46"/>
      <c r="D412" s="46"/>
      <c r="E412" s="46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</row>
    <row r="413">
      <c r="A413" s="26"/>
      <c r="B413" s="46"/>
      <c r="C413" s="46"/>
      <c r="D413" s="46"/>
      <c r="E413" s="46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</row>
    <row r="414">
      <c r="A414" s="26"/>
      <c r="B414" s="46"/>
      <c r="C414" s="46"/>
      <c r="D414" s="46"/>
      <c r="E414" s="46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</row>
    <row r="415">
      <c r="A415" s="26"/>
      <c r="B415" s="46"/>
      <c r="C415" s="46"/>
      <c r="D415" s="46"/>
      <c r="E415" s="46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</row>
    <row r="416">
      <c r="A416" s="26"/>
      <c r="B416" s="46"/>
      <c r="C416" s="46"/>
      <c r="D416" s="46"/>
      <c r="E416" s="46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</row>
    <row r="417">
      <c r="A417" s="26"/>
      <c r="B417" s="46"/>
      <c r="C417" s="46"/>
      <c r="D417" s="46"/>
      <c r="E417" s="46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</row>
    <row r="418">
      <c r="A418" s="26"/>
      <c r="B418" s="46"/>
      <c r="C418" s="46"/>
      <c r="D418" s="46"/>
      <c r="E418" s="46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</row>
    <row r="419">
      <c r="A419" s="26"/>
      <c r="B419" s="46"/>
      <c r="C419" s="46"/>
      <c r="D419" s="46"/>
      <c r="E419" s="46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</row>
    <row r="420">
      <c r="A420" s="26"/>
      <c r="B420" s="46"/>
      <c r="C420" s="46"/>
      <c r="D420" s="46"/>
      <c r="E420" s="46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</row>
    <row r="421">
      <c r="A421" s="26"/>
      <c r="B421" s="46"/>
      <c r="C421" s="46"/>
      <c r="D421" s="46"/>
      <c r="E421" s="46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</row>
    <row r="422">
      <c r="A422" s="26"/>
      <c r="B422" s="46"/>
      <c r="C422" s="46"/>
      <c r="D422" s="46"/>
      <c r="E422" s="46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</row>
    <row r="423">
      <c r="A423" s="26"/>
      <c r="B423" s="46"/>
      <c r="C423" s="46"/>
      <c r="D423" s="46"/>
      <c r="E423" s="46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</row>
    <row r="424">
      <c r="A424" s="26"/>
      <c r="B424" s="46"/>
      <c r="C424" s="46"/>
      <c r="D424" s="46"/>
      <c r="E424" s="46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</row>
    <row r="425">
      <c r="A425" s="26"/>
      <c r="B425" s="46"/>
      <c r="C425" s="46"/>
      <c r="D425" s="46"/>
      <c r="E425" s="46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</row>
    <row r="426">
      <c r="A426" s="26"/>
      <c r="B426" s="46"/>
      <c r="C426" s="46"/>
      <c r="D426" s="46"/>
      <c r="E426" s="46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</row>
    <row r="427">
      <c r="A427" s="26"/>
      <c r="B427" s="46"/>
      <c r="C427" s="46"/>
      <c r="D427" s="46"/>
      <c r="E427" s="46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</row>
    <row r="428">
      <c r="A428" s="26"/>
      <c r="B428" s="46"/>
      <c r="C428" s="46"/>
      <c r="D428" s="46"/>
      <c r="E428" s="46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</row>
    <row r="429">
      <c r="A429" s="26"/>
      <c r="B429" s="46"/>
      <c r="C429" s="46"/>
      <c r="D429" s="46"/>
      <c r="E429" s="46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</row>
    <row r="430">
      <c r="A430" s="26"/>
      <c r="B430" s="46"/>
      <c r="C430" s="46"/>
      <c r="D430" s="46"/>
      <c r="E430" s="46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</row>
    <row r="431">
      <c r="A431" s="26"/>
      <c r="B431" s="46"/>
      <c r="C431" s="46"/>
      <c r="D431" s="46"/>
      <c r="E431" s="46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</row>
    <row r="432">
      <c r="A432" s="26"/>
      <c r="B432" s="46"/>
      <c r="C432" s="46"/>
      <c r="D432" s="46"/>
      <c r="E432" s="46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</row>
    <row r="433">
      <c r="A433" s="26"/>
      <c r="B433" s="46"/>
      <c r="C433" s="46"/>
      <c r="D433" s="46"/>
      <c r="E433" s="46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</row>
    <row r="434">
      <c r="A434" s="26"/>
      <c r="B434" s="46"/>
      <c r="C434" s="46"/>
      <c r="D434" s="46"/>
      <c r="E434" s="46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</row>
    <row r="435">
      <c r="A435" s="26"/>
      <c r="B435" s="46"/>
      <c r="C435" s="46"/>
      <c r="D435" s="46"/>
      <c r="E435" s="46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</row>
    <row r="436">
      <c r="A436" s="26"/>
      <c r="B436" s="46"/>
      <c r="C436" s="46"/>
      <c r="D436" s="46"/>
      <c r="E436" s="46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</row>
    <row r="437">
      <c r="A437" s="26"/>
      <c r="B437" s="46"/>
      <c r="C437" s="46"/>
      <c r="D437" s="46"/>
      <c r="E437" s="46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</row>
    <row r="438">
      <c r="A438" s="26"/>
      <c r="B438" s="46"/>
      <c r="C438" s="46"/>
      <c r="D438" s="46"/>
      <c r="E438" s="46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</row>
    <row r="439">
      <c r="A439" s="26"/>
      <c r="B439" s="46"/>
      <c r="C439" s="46"/>
      <c r="D439" s="46"/>
      <c r="E439" s="46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</row>
    <row r="440">
      <c r="A440" s="26"/>
      <c r="B440" s="46"/>
      <c r="C440" s="46"/>
      <c r="D440" s="46"/>
      <c r="E440" s="46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</row>
    <row r="441">
      <c r="A441" s="26"/>
      <c r="B441" s="46"/>
      <c r="C441" s="46"/>
      <c r="D441" s="46"/>
      <c r="E441" s="46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</row>
    <row r="442">
      <c r="A442" s="26"/>
      <c r="B442" s="46"/>
      <c r="C442" s="46"/>
      <c r="D442" s="46"/>
      <c r="E442" s="46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</row>
    <row r="443">
      <c r="A443" s="26"/>
      <c r="B443" s="46"/>
      <c r="C443" s="46"/>
      <c r="D443" s="46"/>
      <c r="E443" s="46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</row>
    <row r="444">
      <c r="A444" s="26"/>
      <c r="B444" s="46"/>
      <c r="C444" s="46"/>
      <c r="D444" s="46"/>
      <c r="E444" s="46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</row>
    <row r="445">
      <c r="A445" s="26"/>
      <c r="B445" s="46"/>
      <c r="C445" s="46"/>
      <c r="D445" s="46"/>
      <c r="E445" s="46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</row>
    <row r="446">
      <c r="A446" s="26"/>
      <c r="B446" s="46"/>
      <c r="C446" s="46"/>
      <c r="D446" s="46"/>
      <c r="E446" s="46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</row>
    <row r="447">
      <c r="A447" s="26"/>
      <c r="B447" s="46"/>
      <c r="C447" s="46"/>
      <c r="D447" s="46"/>
      <c r="E447" s="46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</row>
    <row r="448">
      <c r="A448" s="26"/>
      <c r="B448" s="46"/>
      <c r="C448" s="46"/>
      <c r="D448" s="46"/>
      <c r="E448" s="46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</row>
    <row r="449">
      <c r="A449" s="26"/>
      <c r="B449" s="46"/>
      <c r="C449" s="46"/>
      <c r="D449" s="46"/>
      <c r="E449" s="46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</row>
    <row r="450">
      <c r="A450" s="26"/>
      <c r="B450" s="46"/>
      <c r="C450" s="46"/>
      <c r="D450" s="46"/>
      <c r="E450" s="46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</row>
    <row r="451">
      <c r="A451" s="26"/>
      <c r="B451" s="46"/>
      <c r="C451" s="46"/>
      <c r="D451" s="46"/>
      <c r="E451" s="46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</row>
    <row r="452">
      <c r="A452" s="26"/>
      <c r="B452" s="46"/>
      <c r="C452" s="46"/>
      <c r="D452" s="46"/>
      <c r="E452" s="46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</row>
    <row r="453">
      <c r="A453" s="26"/>
      <c r="B453" s="46"/>
      <c r="C453" s="46"/>
      <c r="D453" s="46"/>
      <c r="E453" s="46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</row>
    <row r="454">
      <c r="A454" s="26"/>
      <c r="B454" s="46"/>
      <c r="C454" s="46"/>
      <c r="D454" s="46"/>
      <c r="E454" s="46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</row>
    <row r="455">
      <c r="A455" s="26"/>
      <c r="B455" s="46"/>
      <c r="C455" s="46"/>
      <c r="D455" s="46"/>
      <c r="E455" s="46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</row>
    <row r="456">
      <c r="A456" s="26"/>
      <c r="B456" s="46"/>
      <c r="C456" s="46"/>
      <c r="D456" s="46"/>
      <c r="E456" s="46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</row>
    <row r="457">
      <c r="A457" s="26"/>
      <c r="B457" s="46"/>
      <c r="C457" s="46"/>
      <c r="D457" s="46"/>
      <c r="E457" s="46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</row>
    <row r="458">
      <c r="A458" s="26"/>
      <c r="B458" s="46"/>
      <c r="C458" s="46"/>
      <c r="D458" s="46"/>
      <c r="E458" s="46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</row>
    <row r="459">
      <c r="A459" s="26"/>
      <c r="B459" s="46"/>
      <c r="C459" s="46"/>
      <c r="D459" s="46"/>
      <c r="E459" s="46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</row>
    <row r="460">
      <c r="A460" s="26"/>
      <c r="B460" s="46"/>
      <c r="C460" s="46"/>
      <c r="D460" s="46"/>
      <c r="E460" s="46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</row>
    <row r="461">
      <c r="A461" s="26"/>
      <c r="B461" s="46"/>
      <c r="C461" s="46"/>
      <c r="D461" s="46"/>
      <c r="E461" s="46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</row>
    <row r="462">
      <c r="A462" s="26"/>
      <c r="B462" s="46"/>
      <c r="C462" s="46"/>
      <c r="D462" s="46"/>
      <c r="E462" s="46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</row>
    <row r="463">
      <c r="A463" s="26"/>
      <c r="B463" s="46"/>
      <c r="C463" s="46"/>
      <c r="D463" s="46"/>
      <c r="E463" s="46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</row>
    <row r="464">
      <c r="A464" s="26"/>
      <c r="B464" s="46"/>
      <c r="C464" s="46"/>
      <c r="D464" s="46"/>
      <c r="E464" s="46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</row>
    <row r="465">
      <c r="A465" s="26"/>
      <c r="B465" s="46"/>
      <c r="C465" s="46"/>
      <c r="D465" s="46"/>
      <c r="E465" s="46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</row>
    <row r="466">
      <c r="A466" s="26"/>
      <c r="B466" s="46"/>
      <c r="C466" s="46"/>
      <c r="D466" s="46"/>
      <c r="E466" s="46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</row>
    <row r="467">
      <c r="A467" s="26"/>
      <c r="B467" s="46"/>
      <c r="C467" s="46"/>
      <c r="D467" s="46"/>
      <c r="E467" s="46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</row>
    <row r="468">
      <c r="A468" s="26"/>
      <c r="B468" s="46"/>
      <c r="C468" s="46"/>
      <c r="D468" s="46"/>
      <c r="E468" s="46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</row>
    <row r="469">
      <c r="A469" s="26"/>
      <c r="B469" s="46"/>
      <c r="C469" s="46"/>
      <c r="D469" s="46"/>
      <c r="E469" s="46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</row>
    <row r="470">
      <c r="A470" s="26"/>
      <c r="B470" s="46"/>
      <c r="C470" s="46"/>
      <c r="D470" s="46"/>
      <c r="E470" s="46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</row>
    <row r="471">
      <c r="A471" s="26"/>
      <c r="B471" s="46"/>
      <c r="C471" s="46"/>
      <c r="D471" s="46"/>
      <c r="E471" s="46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</row>
    <row r="472">
      <c r="A472" s="26"/>
      <c r="B472" s="46"/>
      <c r="C472" s="46"/>
      <c r="D472" s="46"/>
      <c r="E472" s="46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</row>
    <row r="473">
      <c r="A473" s="26"/>
      <c r="B473" s="46"/>
      <c r="C473" s="46"/>
      <c r="D473" s="46"/>
      <c r="E473" s="46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</row>
    <row r="474">
      <c r="A474" s="26"/>
      <c r="B474" s="46"/>
      <c r="C474" s="46"/>
      <c r="D474" s="46"/>
      <c r="E474" s="46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</row>
    <row r="475">
      <c r="A475" s="26"/>
      <c r="B475" s="46"/>
      <c r="C475" s="46"/>
      <c r="D475" s="46"/>
      <c r="E475" s="46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</row>
    <row r="476">
      <c r="A476" s="26"/>
      <c r="B476" s="46"/>
      <c r="C476" s="46"/>
      <c r="D476" s="46"/>
      <c r="E476" s="46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</row>
    <row r="477">
      <c r="A477" s="26"/>
      <c r="B477" s="46"/>
      <c r="C477" s="46"/>
      <c r="D477" s="46"/>
      <c r="E477" s="46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</row>
    <row r="478">
      <c r="A478" s="26"/>
      <c r="B478" s="46"/>
      <c r="C478" s="46"/>
      <c r="D478" s="46"/>
      <c r="E478" s="46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</row>
    <row r="479">
      <c r="A479" s="26"/>
      <c r="B479" s="46"/>
      <c r="C479" s="46"/>
      <c r="D479" s="46"/>
      <c r="E479" s="46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</row>
    <row r="480">
      <c r="A480" s="26"/>
      <c r="B480" s="46"/>
      <c r="C480" s="46"/>
      <c r="D480" s="46"/>
      <c r="E480" s="46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</row>
    <row r="481">
      <c r="A481" s="26"/>
      <c r="B481" s="46"/>
      <c r="C481" s="46"/>
      <c r="D481" s="46"/>
      <c r="E481" s="46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</row>
    <row r="482">
      <c r="A482" s="26"/>
      <c r="B482" s="46"/>
      <c r="C482" s="46"/>
      <c r="D482" s="46"/>
      <c r="E482" s="46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</row>
    <row r="483">
      <c r="A483" s="26"/>
      <c r="B483" s="46"/>
      <c r="C483" s="46"/>
      <c r="D483" s="46"/>
      <c r="E483" s="46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</row>
    <row r="484">
      <c r="A484" s="26"/>
      <c r="B484" s="46"/>
      <c r="C484" s="46"/>
      <c r="D484" s="46"/>
      <c r="E484" s="46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</row>
    <row r="485">
      <c r="A485" s="26"/>
      <c r="B485" s="46"/>
      <c r="C485" s="46"/>
      <c r="D485" s="46"/>
      <c r="E485" s="46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</row>
    <row r="486">
      <c r="A486" s="26"/>
      <c r="B486" s="46"/>
      <c r="C486" s="46"/>
      <c r="D486" s="46"/>
      <c r="E486" s="46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</row>
    <row r="487">
      <c r="A487" s="26"/>
      <c r="B487" s="46"/>
      <c r="C487" s="46"/>
      <c r="D487" s="46"/>
      <c r="E487" s="46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</row>
    <row r="488">
      <c r="A488" s="26"/>
      <c r="B488" s="46"/>
      <c r="C488" s="46"/>
      <c r="D488" s="46"/>
      <c r="E488" s="46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</row>
    <row r="489">
      <c r="A489" s="26"/>
      <c r="B489" s="46"/>
      <c r="C489" s="46"/>
      <c r="D489" s="46"/>
      <c r="E489" s="46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</row>
    <row r="490">
      <c r="A490" s="26"/>
      <c r="B490" s="46"/>
      <c r="C490" s="46"/>
      <c r="D490" s="46"/>
      <c r="E490" s="46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</row>
    <row r="491">
      <c r="A491" s="26"/>
      <c r="B491" s="46"/>
      <c r="C491" s="46"/>
      <c r="D491" s="46"/>
      <c r="E491" s="46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</row>
    <row r="492">
      <c r="A492" s="26"/>
      <c r="B492" s="46"/>
      <c r="C492" s="46"/>
      <c r="D492" s="46"/>
      <c r="E492" s="46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</row>
    <row r="493">
      <c r="A493" s="26"/>
      <c r="B493" s="46"/>
      <c r="C493" s="46"/>
      <c r="D493" s="46"/>
      <c r="E493" s="46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</row>
    <row r="494">
      <c r="A494" s="26"/>
      <c r="B494" s="46"/>
      <c r="C494" s="46"/>
      <c r="D494" s="46"/>
      <c r="E494" s="46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</row>
    <row r="495">
      <c r="A495" s="26"/>
      <c r="B495" s="46"/>
      <c r="C495" s="46"/>
      <c r="D495" s="46"/>
      <c r="E495" s="46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</row>
    <row r="496">
      <c r="A496" s="26"/>
      <c r="B496" s="46"/>
      <c r="C496" s="46"/>
      <c r="D496" s="46"/>
      <c r="E496" s="46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</row>
    <row r="497">
      <c r="A497" s="26"/>
      <c r="B497" s="46"/>
      <c r="C497" s="46"/>
      <c r="D497" s="46"/>
      <c r="E497" s="46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</row>
    <row r="498">
      <c r="A498" s="26"/>
      <c r="B498" s="46"/>
      <c r="C498" s="46"/>
      <c r="D498" s="46"/>
      <c r="E498" s="46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</row>
    <row r="499">
      <c r="A499" s="26"/>
      <c r="B499" s="46"/>
      <c r="C499" s="46"/>
      <c r="D499" s="46"/>
      <c r="E499" s="46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</row>
    <row r="500">
      <c r="A500" s="26"/>
      <c r="B500" s="46"/>
      <c r="C500" s="46"/>
      <c r="D500" s="46"/>
      <c r="E500" s="46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</row>
    <row r="501">
      <c r="A501" s="26"/>
      <c r="B501" s="46"/>
      <c r="C501" s="46"/>
      <c r="D501" s="46"/>
      <c r="E501" s="46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</row>
    <row r="502">
      <c r="A502" s="26"/>
      <c r="B502" s="46"/>
      <c r="C502" s="46"/>
      <c r="D502" s="46"/>
      <c r="E502" s="46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</row>
    <row r="503">
      <c r="A503" s="26"/>
      <c r="B503" s="46"/>
      <c r="C503" s="46"/>
      <c r="D503" s="46"/>
      <c r="E503" s="46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</row>
    <row r="504">
      <c r="A504" s="26"/>
      <c r="B504" s="46"/>
      <c r="C504" s="46"/>
      <c r="D504" s="46"/>
      <c r="E504" s="46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</row>
    <row r="505">
      <c r="A505" s="26"/>
      <c r="B505" s="46"/>
      <c r="C505" s="46"/>
      <c r="D505" s="46"/>
      <c r="E505" s="46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</row>
    <row r="506">
      <c r="A506" s="26"/>
      <c r="B506" s="46"/>
      <c r="C506" s="46"/>
      <c r="D506" s="46"/>
      <c r="E506" s="46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</row>
    <row r="507">
      <c r="A507" s="26"/>
      <c r="B507" s="46"/>
      <c r="C507" s="46"/>
      <c r="D507" s="46"/>
      <c r="E507" s="46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</row>
    <row r="508">
      <c r="A508" s="26"/>
      <c r="B508" s="46"/>
      <c r="C508" s="46"/>
      <c r="D508" s="46"/>
      <c r="E508" s="46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</row>
    <row r="509">
      <c r="A509" s="26"/>
      <c r="B509" s="46"/>
      <c r="C509" s="46"/>
      <c r="D509" s="46"/>
      <c r="E509" s="46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</row>
    <row r="510">
      <c r="A510" s="26"/>
      <c r="B510" s="46"/>
      <c r="C510" s="46"/>
      <c r="D510" s="46"/>
      <c r="E510" s="46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</row>
    <row r="511">
      <c r="A511" s="26"/>
      <c r="B511" s="46"/>
      <c r="C511" s="46"/>
      <c r="D511" s="46"/>
      <c r="E511" s="46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</row>
    <row r="512">
      <c r="A512" s="26"/>
      <c r="B512" s="46"/>
      <c r="C512" s="46"/>
      <c r="D512" s="46"/>
      <c r="E512" s="46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</row>
    <row r="513">
      <c r="A513" s="26"/>
      <c r="B513" s="46"/>
      <c r="C513" s="46"/>
      <c r="D513" s="46"/>
      <c r="E513" s="46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</row>
    <row r="514">
      <c r="A514" s="26"/>
      <c r="B514" s="46"/>
      <c r="C514" s="46"/>
      <c r="D514" s="46"/>
      <c r="E514" s="46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</row>
    <row r="515">
      <c r="A515" s="26"/>
      <c r="B515" s="46"/>
      <c r="C515" s="46"/>
      <c r="D515" s="46"/>
      <c r="E515" s="46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</row>
    <row r="516">
      <c r="A516" s="26"/>
      <c r="B516" s="46"/>
      <c r="C516" s="46"/>
      <c r="D516" s="46"/>
      <c r="E516" s="46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</row>
    <row r="517">
      <c r="A517" s="26"/>
      <c r="B517" s="46"/>
      <c r="C517" s="46"/>
      <c r="D517" s="46"/>
      <c r="E517" s="46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</row>
    <row r="518">
      <c r="A518" s="26"/>
      <c r="B518" s="46"/>
      <c r="C518" s="46"/>
      <c r="D518" s="46"/>
      <c r="E518" s="46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</row>
    <row r="519">
      <c r="A519" s="26"/>
      <c r="B519" s="46"/>
      <c r="C519" s="46"/>
      <c r="D519" s="46"/>
      <c r="E519" s="46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</row>
    <row r="520">
      <c r="A520" s="26"/>
      <c r="B520" s="46"/>
      <c r="C520" s="46"/>
      <c r="D520" s="46"/>
      <c r="E520" s="46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</row>
    <row r="521">
      <c r="A521" s="26"/>
      <c r="B521" s="46"/>
      <c r="C521" s="46"/>
      <c r="D521" s="46"/>
      <c r="E521" s="46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</row>
    <row r="522">
      <c r="A522" s="26"/>
      <c r="B522" s="46"/>
      <c r="C522" s="46"/>
      <c r="D522" s="46"/>
      <c r="E522" s="46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</row>
    <row r="523">
      <c r="A523" s="26"/>
      <c r="B523" s="46"/>
      <c r="C523" s="46"/>
      <c r="D523" s="46"/>
      <c r="E523" s="46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</row>
    <row r="524">
      <c r="A524" s="26"/>
      <c r="B524" s="46"/>
      <c r="C524" s="46"/>
      <c r="D524" s="46"/>
      <c r="E524" s="46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</row>
    <row r="525">
      <c r="A525" s="26"/>
      <c r="B525" s="46"/>
      <c r="C525" s="46"/>
      <c r="D525" s="46"/>
      <c r="E525" s="46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</row>
    <row r="526">
      <c r="A526" s="26"/>
      <c r="B526" s="46"/>
      <c r="C526" s="46"/>
      <c r="D526" s="46"/>
      <c r="E526" s="46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</row>
    <row r="527">
      <c r="A527" s="26"/>
      <c r="B527" s="46"/>
      <c r="C527" s="46"/>
      <c r="D527" s="46"/>
      <c r="E527" s="46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</row>
    <row r="528">
      <c r="A528" s="26"/>
      <c r="B528" s="46"/>
      <c r="C528" s="46"/>
      <c r="D528" s="46"/>
      <c r="E528" s="46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</row>
    <row r="529">
      <c r="A529" s="26"/>
      <c r="B529" s="46"/>
      <c r="C529" s="46"/>
      <c r="D529" s="46"/>
      <c r="E529" s="46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</row>
    <row r="530">
      <c r="A530" s="26"/>
      <c r="B530" s="46"/>
      <c r="C530" s="46"/>
      <c r="D530" s="46"/>
      <c r="E530" s="46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</row>
    <row r="531">
      <c r="A531" s="26"/>
      <c r="B531" s="46"/>
      <c r="C531" s="46"/>
      <c r="D531" s="46"/>
      <c r="E531" s="46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</row>
    <row r="532">
      <c r="A532" s="26"/>
      <c r="B532" s="46"/>
      <c r="C532" s="46"/>
      <c r="D532" s="46"/>
      <c r="E532" s="46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</row>
    <row r="533">
      <c r="A533" s="26"/>
      <c r="B533" s="46"/>
      <c r="C533" s="46"/>
      <c r="D533" s="46"/>
      <c r="E533" s="46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</row>
    <row r="534">
      <c r="A534" s="26"/>
      <c r="B534" s="46"/>
      <c r="C534" s="46"/>
      <c r="D534" s="46"/>
      <c r="E534" s="46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</row>
    <row r="535">
      <c r="A535" s="26"/>
      <c r="B535" s="46"/>
      <c r="C535" s="46"/>
      <c r="D535" s="46"/>
      <c r="E535" s="46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</row>
    <row r="536">
      <c r="A536" s="26"/>
      <c r="B536" s="46"/>
      <c r="C536" s="46"/>
      <c r="D536" s="46"/>
      <c r="E536" s="46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</row>
    <row r="537">
      <c r="A537" s="26"/>
      <c r="B537" s="46"/>
      <c r="C537" s="46"/>
      <c r="D537" s="46"/>
      <c r="E537" s="46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</row>
    <row r="538">
      <c r="A538" s="26"/>
      <c r="B538" s="46"/>
      <c r="C538" s="46"/>
      <c r="D538" s="46"/>
      <c r="E538" s="46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</row>
    <row r="539">
      <c r="A539" s="26"/>
      <c r="B539" s="46"/>
      <c r="C539" s="46"/>
      <c r="D539" s="46"/>
      <c r="E539" s="46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</row>
    <row r="540">
      <c r="A540" s="26"/>
      <c r="B540" s="46"/>
      <c r="C540" s="46"/>
      <c r="D540" s="46"/>
      <c r="E540" s="46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</row>
    <row r="541">
      <c r="A541" s="26"/>
      <c r="B541" s="46"/>
      <c r="C541" s="46"/>
      <c r="D541" s="46"/>
      <c r="E541" s="46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</row>
    <row r="542">
      <c r="A542" s="26"/>
      <c r="B542" s="46"/>
      <c r="C542" s="46"/>
      <c r="D542" s="46"/>
      <c r="E542" s="46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</row>
    <row r="543">
      <c r="A543" s="26"/>
      <c r="B543" s="46"/>
      <c r="C543" s="46"/>
      <c r="D543" s="46"/>
      <c r="E543" s="46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</row>
    <row r="544">
      <c r="A544" s="26"/>
      <c r="B544" s="46"/>
      <c r="C544" s="46"/>
      <c r="D544" s="46"/>
      <c r="E544" s="46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</row>
    <row r="545">
      <c r="A545" s="26"/>
      <c r="B545" s="46"/>
      <c r="C545" s="46"/>
      <c r="D545" s="46"/>
      <c r="E545" s="46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</row>
    <row r="546">
      <c r="A546" s="26"/>
      <c r="B546" s="46"/>
      <c r="C546" s="46"/>
      <c r="D546" s="46"/>
      <c r="E546" s="46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</row>
    <row r="547">
      <c r="A547" s="26"/>
      <c r="B547" s="46"/>
      <c r="C547" s="46"/>
      <c r="D547" s="46"/>
      <c r="E547" s="46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</row>
    <row r="548">
      <c r="A548" s="26"/>
      <c r="B548" s="46"/>
      <c r="C548" s="46"/>
      <c r="D548" s="46"/>
      <c r="E548" s="46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</row>
    <row r="549">
      <c r="A549" s="26"/>
      <c r="B549" s="46"/>
      <c r="C549" s="46"/>
      <c r="D549" s="46"/>
      <c r="E549" s="46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</row>
    <row r="550">
      <c r="A550" s="26"/>
      <c r="B550" s="46"/>
      <c r="C550" s="46"/>
      <c r="D550" s="46"/>
      <c r="E550" s="46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</row>
    <row r="551">
      <c r="A551" s="26"/>
      <c r="B551" s="46"/>
      <c r="C551" s="46"/>
      <c r="D551" s="46"/>
      <c r="E551" s="46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</row>
    <row r="552">
      <c r="A552" s="26"/>
      <c r="B552" s="46"/>
      <c r="C552" s="46"/>
      <c r="D552" s="46"/>
      <c r="E552" s="46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</row>
    <row r="553">
      <c r="A553" s="26"/>
      <c r="B553" s="46"/>
      <c r="C553" s="46"/>
      <c r="D553" s="46"/>
      <c r="E553" s="46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</row>
    <row r="554">
      <c r="A554" s="26"/>
      <c r="B554" s="46"/>
      <c r="C554" s="46"/>
      <c r="D554" s="46"/>
      <c r="E554" s="46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</row>
    <row r="555">
      <c r="A555" s="26"/>
      <c r="B555" s="46"/>
      <c r="C555" s="46"/>
      <c r="D555" s="46"/>
      <c r="E555" s="46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</row>
    <row r="556">
      <c r="A556" s="26"/>
      <c r="B556" s="46"/>
      <c r="C556" s="46"/>
      <c r="D556" s="46"/>
      <c r="E556" s="46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</row>
    <row r="557">
      <c r="A557" s="26"/>
      <c r="B557" s="46"/>
      <c r="C557" s="46"/>
      <c r="D557" s="46"/>
      <c r="E557" s="46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</row>
    <row r="558">
      <c r="A558" s="26"/>
      <c r="B558" s="46"/>
      <c r="C558" s="46"/>
      <c r="D558" s="46"/>
      <c r="E558" s="46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</row>
    <row r="559">
      <c r="A559" s="26"/>
      <c r="B559" s="46"/>
      <c r="C559" s="46"/>
      <c r="D559" s="46"/>
      <c r="E559" s="46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</row>
    <row r="560">
      <c r="A560" s="26"/>
      <c r="B560" s="46"/>
      <c r="C560" s="46"/>
      <c r="D560" s="46"/>
      <c r="E560" s="46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</row>
    <row r="561">
      <c r="A561" s="26"/>
      <c r="B561" s="46"/>
      <c r="C561" s="46"/>
      <c r="D561" s="46"/>
      <c r="E561" s="46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</row>
    <row r="562">
      <c r="A562" s="26"/>
      <c r="B562" s="46"/>
      <c r="C562" s="46"/>
      <c r="D562" s="46"/>
      <c r="E562" s="46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</row>
    <row r="563">
      <c r="A563" s="26"/>
      <c r="B563" s="46"/>
      <c r="C563" s="46"/>
      <c r="D563" s="46"/>
      <c r="E563" s="46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</row>
    <row r="564">
      <c r="A564" s="26"/>
      <c r="B564" s="46"/>
      <c r="C564" s="46"/>
      <c r="D564" s="46"/>
      <c r="E564" s="46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</row>
    <row r="565">
      <c r="A565" s="26"/>
      <c r="B565" s="46"/>
      <c r="C565" s="46"/>
      <c r="D565" s="46"/>
      <c r="E565" s="46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</row>
    <row r="566">
      <c r="A566" s="26"/>
      <c r="B566" s="46"/>
      <c r="C566" s="46"/>
      <c r="D566" s="46"/>
      <c r="E566" s="46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</row>
    <row r="567">
      <c r="A567" s="26"/>
      <c r="B567" s="46"/>
      <c r="C567" s="46"/>
      <c r="D567" s="46"/>
      <c r="E567" s="46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</row>
    <row r="568">
      <c r="A568" s="26"/>
      <c r="B568" s="46"/>
      <c r="C568" s="46"/>
      <c r="D568" s="46"/>
      <c r="E568" s="46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</row>
    <row r="569">
      <c r="A569" s="26"/>
      <c r="B569" s="46"/>
      <c r="C569" s="46"/>
      <c r="D569" s="46"/>
      <c r="E569" s="46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</row>
    <row r="570">
      <c r="A570" s="26"/>
      <c r="B570" s="46"/>
      <c r="C570" s="46"/>
      <c r="D570" s="46"/>
      <c r="E570" s="46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</row>
    <row r="571">
      <c r="A571" s="26"/>
      <c r="B571" s="46"/>
      <c r="C571" s="46"/>
      <c r="D571" s="46"/>
      <c r="E571" s="46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</row>
    <row r="572">
      <c r="A572" s="26"/>
      <c r="B572" s="46"/>
      <c r="C572" s="46"/>
      <c r="D572" s="46"/>
      <c r="E572" s="46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</row>
    <row r="573">
      <c r="A573" s="26"/>
      <c r="B573" s="46"/>
      <c r="C573" s="46"/>
      <c r="D573" s="46"/>
      <c r="E573" s="46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</row>
    <row r="574">
      <c r="A574" s="26"/>
      <c r="B574" s="46"/>
      <c r="C574" s="46"/>
      <c r="D574" s="46"/>
      <c r="E574" s="46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</row>
    <row r="575">
      <c r="A575" s="26"/>
      <c r="B575" s="46"/>
      <c r="C575" s="46"/>
      <c r="D575" s="46"/>
      <c r="E575" s="46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</row>
    <row r="576">
      <c r="A576" s="26"/>
      <c r="B576" s="46"/>
      <c r="C576" s="46"/>
      <c r="D576" s="46"/>
      <c r="E576" s="46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</row>
    <row r="577">
      <c r="A577" s="26"/>
      <c r="B577" s="46"/>
      <c r="C577" s="46"/>
      <c r="D577" s="46"/>
      <c r="E577" s="46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</row>
    <row r="578">
      <c r="A578" s="26"/>
      <c r="B578" s="46"/>
      <c r="C578" s="46"/>
      <c r="D578" s="46"/>
      <c r="E578" s="46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</row>
    <row r="579">
      <c r="A579" s="26"/>
      <c r="B579" s="46"/>
      <c r="C579" s="46"/>
      <c r="D579" s="46"/>
      <c r="E579" s="46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</row>
    <row r="580">
      <c r="A580" s="26"/>
      <c r="B580" s="46"/>
      <c r="C580" s="46"/>
      <c r="D580" s="46"/>
      <c r="E580" s="46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</row>
    <row r="581">
      <c r="A581" s="26"/>
      <c r="B581" s="46"/>
      <c r="C581" s="46"/>
      <c r="D581" s="46"/>
      <c r="E581" s="46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</row>
    <row r="582">
      <c r="A582" s="26"/>
      <c r="B582" s="46"/>
      <c r="C582" s="46"/>
      <c r="D582" s="46"/>
      <c r="E582" s="46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</row>
    <row r="583">
      <c r="A583" s="26"/>
      <c r="B583" s="46"/>
      <c r="C583" s="46"/>
      <c r="D583" s="46"/>
      <c r="E583" s="46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</row>
    <row r="584">
      <c r="A584" s="26"/>
      <c r="B584" s="46"/>
      <c r="C584" s="46"/>
      <c r="D584" s="46"/>
      <c r="E584" s="46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</row>
    <row r="585">
      <c r="A585" s="26"/>
      <c r="B585" s="46"/>
      <c r="C585" s="46"/>
      <c r="D585" s="46"/>
      <c r="E585" s="46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</row>
    <row r="586">
      <c r="A586" s="26"/>
      <c r="B586" s="46"/>
      <c r="C586" s="46"/>
      <c r="D586" s="46"/>
      <c r="E586" s="46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</row>
    <row r="587">
      <c r="A587" s="26"/>
      <c r="B587" s="46"/>
      <c r="C587" s="46"/>
      <c r="D587" s="46"/>
      <c r="E587" s="46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</row>
    <row r="588">
      <c r="A588" s="26"/>
      <c r="B588" s="46"/>
      <c r="C588" s="46"/>
      <c r="D588" s="46"/>
      <c r="E588" s="46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</row>
    <row r="589">
      <c r="A589" s="26"/>
      <c r="B589" s="46"/>
      <c r="C589" s="46"/>
      <c r="D589" s="46"/>
      <c r="E589" s="46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</row>
    <row r="590">
      <c r="A590" s="26"/>
      <c r="B590" s="46"/>
      <c r="C590" s="46"/>
      <c r="D590" s="46"/>
      <c r="E590" s="46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</row>
    <row r="591">
      <c r="A591" s="26"/>
      <c r="B591" s="46"/>
      <c r="C591" s="46"/>
      <c r="D591" s="46"/>
      <c r="E591" s="46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</row>
    <row r="592">
      <c r="A592" s="26"/>
      <c r="B592" s="46"/>
      <c r="C592" s="46"/>
      <c r="D592" s="46"/>
      <c r="E592" s="46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</row>
    <row r="593">
      <c r="A593" s="26"/>
      <c r="B593" s="46"/>
      <c r="C593" s="46"/>
      <c r="D593" s="46"/>
      <c r="E593" s="46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</row>
    <row r="594">
      <c r="A594" s="26"/>
      <c r="B594" s="46"/>
      <c r="C594" s="46"/>
      <c r="D594" s="46"/>
      <c r="E594" s="46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</row>
    <row r="595">
      <c r="A595" s="26"/>
      <c r="B595" s="46"/>
      <c r="C595" s="46"/>
      <c r="D595" s="46"/>
      <c r="E595" s="46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</row>
    <row r="596">
      <c r="A596" s="26"/>
      <c r="B596" s="46"/>
      <c r="C596" s="46"/>
      <c r="D596" s="46"/>
      <c r="E596" s="46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</row>
    <row r="597">
      <c r="A597" s="26"/>
      <c r="B597" s="46"/>
      <c r="C597" s="46"/>
      <c r="D597" s="46"/>
      <c r="E597" s="46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</row>
    <row r="598">
      <c r="A598" s="26"/>
      <c r="B598" s="46"/>
      <c r="C598" s="46"/>
      <c r="D598" s="46"/>
      <c r="E598" s="46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</row>
    <row r="599">
      <c r="A599" s="26"/>
      <c r="B599" s="46"/>
      <c r="C599" s="46"/>
      <c r="D599" s="46"/>
      <c r="E599" s="46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</row>
    <row r="600">
      <c r="A600" s="26"/>
      <c r="B600" s="46"/>
      <c r="C600" s="46"/>
      <c r="D600" s="46"/>
      <c r="E600" s="46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</row>
    <row r="601">
      <c r="A601" s="26"/>
      <c r="B601" s="46"/>
      <c r="C601" s="46"/>
      <c r="D601" s="46"/>
      <c r="E601" s="46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</row>
    <row r="602">
      <c r="A602" s="26"/>
      <c r="B602" s="46"/>
      <c r="C602" s="46"/>
      <c r="D602" s="46"/>
      <c r="E602" s="46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</row>
    <row r="603">
      <c r="A603" s="26"/>
      <c r="B603" s="46"/>
      <c r="C603" s="46"/>
      <c r="D603" s="46"/>
      <c r="E603" s="46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</row>
    <row r="604">
      <c r="A604" s="26"/>
      <c r="B604" s="46"/>
      <c r="C604" s="46"/>
      <c r="D604" s="46"/>
      <c r="E604" s="46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</row>
    <row r="605">
      <c r="A605" s="26"/>
      <c r="B605" s="46"/>
      <c r="C605" s="46"/>
      <c r="D605" s="46"/>
      <c r="E605" s="46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</row>
    <row r="606">
      <c r="A606" s="26"/>
      <c r="B606" s="46"/>
      <c r="C606" s="46"/>
      <c r="D606" s="46"/>
      <c r="E606" s="46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</row>
    <row r="607">
      <c r="A607" s="26"/>
      <c r="B607" s="46"/>
      <c r="C607" s="46"/>
      <c r="D607" s="46"/>
      <c r="E607" s="46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</row>
    <row r="608">
      <c r="A608" s="26"/>
      <c r="B608" s="46"/>
      <c r="C608" s="46"/>
      <c r="D608" s="46"/>
      <c r="E608" s="46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</row>
    <row r="609">
      <c r="A609" s="26"/>
      <c r="B609" s="46"/>
      <c r="C609" s="46"/>
      <c r="D609" s="46"/>
      <c r="E609" s="46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</row>
    <row r="610">
      <c r="A610" s="26"/>
      <c r="B610" s="46"/>
      <c r="C610" s="46"/>
      <c r="D610" s="46"/>
      <c r="E610" s="46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</row>
    <row r="611">
      <c r="A611" s="26"/>
      <c r="B611" s="46"/>
      <c r="C611" s="46"/>
      <c r="D611" s="46"/>
      <c r="E611" s="46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</row>
    <row r="612">
      <c r="A612" s="26"/>
      <c r="B612" s="46"/>
      <c r="C612" s="46"/>
      <c r="D612" s="46"/>
      <c r="E612" s="46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</row>
    <row r="613">
      <c r="A613" s="26"/>
      <c r="B613" s="46"/>
      <c r="C613" s="46"/>
      <c r="D613" s="46"/>
      <c r="E613" s="46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</row>
    <row r="614">
      <c r="A614" s="26"/>
      <c r="B614" s="46"/>
      <c r="C614" s="46"/>
      <c r="D614" s="46"/>
      <c r="E614" s="46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</row>
    <row r="615">
      <c r="A615" s="26"/>
      <c r="B615" s="46"/>
      <c r="C615" s="46"/>
      <c r="D615" s="46"/>
      <c r="E615" s="46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</row>
    <row r="616">
      <c r="A616" s="26"/>
      <c r="B616" s="46"/>
      <c r="C616" s="46"/>
      <c r="D616" s="46"/>
      <c r="E616" s="46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</row>
    <row r="617">
      <c r="A617" s="26"/>
      <c r="B617" s="46"/>
      <c r="C617" s="46"/>
      <c r="D617" s="46"/>
      <c r="E617" s="46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</row>
    <row r="618">
      <c r="A618" s="26"/>
      <c r="B618" s="46"/>
      <c r="C618" s="46"/>
      <c r="D618" s="46"/>
      <c r="E618" s="46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</row>
    <row r="619">
      <c r="A619" s="26"/>
      <c r="B619" s="46"/>
      <c r="C619" s="46"/>
      <c r="D619" s="46"/>
      <c r="E619" s="46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</row>
    <row r="620">
      <c r="A620" s="26"/>
      <c r="B620" s="46"/>
      <c r="C620" s="46"/>
      <c r="D620" s="46"/>
      <c r="E620" s="46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</row>
    <row r="621">
      <c r="A621" s="26"/>
      <c r="B621" s="46"/>
      <c r="C621" s="46"/>
      <c r="D621" s="46"/>
      <c r="E621" s="46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</row>
    <row r="622">
      <c r="A622" s="26"/>
      <c r="B622" s="46"/>
      <c r="C622" s="46"/>
      <c r="D622" s="46"/>
      <c r="E622" s="46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</row>
    <row r="623">
      <c r="A623" s="26"/>
      <c r="B623" s="46"/>
      <c r="C623" s="46"/>
      <c r="D623" s="46"/>
      <c r="E623" s="46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</row>
    <row r="624">
      <c r="A624" s="26"/>
      <c r="B624" s="46"/>
      <c r="C624" s="46"/>
      <c r="D624" s="46"/>
      <c r="E624" s="46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</row>
    <row r="625">
      <c r="A625" s="26"/>
      <c r="B625" s="46"/>
      <c r="C625" s="46"/>
      <c r="D625" s="46"/>
      <c r="E625" s="46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</row>
    <row r="626">
      <c r="A626" s="26"/>
      <c r="B626" s="46"/>
      <c r="C626" s="46"/>
      <c r="D626" s="46"/>
      <c r="E626" s="46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</row>
    <row r="627">
      <c r="A627" s="26"/>
      <c r="B627" s="46"/>
      <c r="C627" s="46"/>
      <c r="D627" s="46"/>
      <c r="E627" s="46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</row>
    <row r="628">
      <c r="A628" s="26"/>
      <c r="B628" s="46"/>
      <c r="C628" s="46"/>
      <c r="D628" s="46"/>
      <c r="E628" s="46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</row>
    <row r="629">
      <c r="A629" s="26"/>
      <c r="B629" s="46"/>
      <c r="C629" s="46"/>
      <c r="D629" s="46"/>
      <c r="E629" s="46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</row>
    <row r="630">
      <c r="A630" s="26"/>
      <c r="B630" s="46"/>
      <c r="C630" s="46"/>
      <c r="D630" s="46"/>
      <c r="E630" s="46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</row>
    <row r="631">
      <c r="A631" s="26"/>
      <c r="B631" s="46"/>
      <c r="C631" s="46"/>
      <c r="D631" s="46"/>
      <c r="E631" s="46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</row>
    <row r="632">
      <c r="A632" s="26"/>
      <c r="B632" s="46"/>
      <c r="C632" s="46"/>
      <c r="D632" s="46"/>
      <c r="E632" s="46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</row>
    <row r="633">
      <c r="A633" s="26"/>
      <c r="B633" s="46"/>
      <c r="C633" s="46"/>
      <c r="D633" s="46"/>
      <c r="E633" s="46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</row>
    <row r="634">
      <c r="A634" s="26"/>
      <c r="B634" s="46"/>
      <c r="C634" s="46"/>
      <c r="D634" s="46"/>
      <c r="E634" s="46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</row>
    <row r="635">
      <c r="A635" s="26"/>
      <c r="B635" s="46"/>
      <c r="C635" s="46"/>
      <c r="D635" s="46"/>
      <c r="E635" s="46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</row>
    <row r="636">
      <c r="A636" s="26"/>
      <c r="B636" s="46"/>
      <c r="C636" s="46"/>
      <c r="D636" s="46"/>
      <c r="E636" s="46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</row>
    <row r="637">
      <c r="A637" s="26"/>
      <c r="B637" s="46"/>
      <c r="C637" s="46"/>
      <c r="D637" s="46"/>
      <c r="E637" s="46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</row>
    <row r="638">
      <c r="A638" s="26"/>
      <c r="B638" s="46"/>
      <c r="C638" s="46"/>
      <c r="D638" s="46"/>
      <c r="E638" s="46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</row>
    <row r="639">
      <c r="A639" s="26"/>
      <c r="B639" s="46"/>
      <c r="C639" s="46"/>
      <c r="D639" s="46"/>
      <c r="E639" s="46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</row>
    <row r="640">
      <c r="A640" s="26"/>
      <c r="B640" s="46"/>
      <c r="C640" s="46"/>
      <c r="D640" s="46"/>
      <c r="E640" s="46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</row>
    <row r="641">
      <c r="A641" s="26"/>
      <c r="B641" s="46"/>
      <c r="C641" s="46"/>
      <c r="D641" s="46"/>
      <c r="E641" s="46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</row>
    <row r="642">
      <c r="A642" s="26"/>
      <c r="B642" s="46"/>
      <c r="C642" s="46"/>
      <c r="D642" s="46"/>
      <c r="E642" s="46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</row>
    <row r="643">
      <c r="A643" s="26"/>
      <c r="B643" s="46"/>
      <c r="C643" s="46"/>
      <c r="D643" s="46"/>
      <c r="E643" s="46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</row>
    <row r="644">
      <c r="A644" s="26"/>
      <c r="B644" s="46"/>
      <c r="C644" s="46"/>
      <c r="D644" s="46"/>
      <c r="E644" s="46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</row>
    <row r="645">
      <c r="A645" s="26"/>
      <c r="B645" s="46"/>
      <c r="C645" s="46"/>
      <c r="D645" s="46"/>
      <c r="E645" s="46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</row>
    <row r="646">
      <c r="A646" s="26"/>
      <c r="B646" s="46"/>
      <c r="C646" s="46"/>
      <c r="D646" s="46"/>
      <c r="E646" s="46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</row>
    <row r="647">
      <c r="A647" s="26"/>
      <c r="B647" s="46"/>
      <c r="C647" s="46"/>
      <c r="D647" s="46"/>
      <c r="E647" s="46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</row>
    <row r="648">
      <c r="A648" s="26"/>
      <c r="B648" s="46"/>
      <c r="C648" s="46"/>
      <c r="D648" s="46"/>
      <c r="E648" s="46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</row>
    <row r="649">
      <c r="A649" s="26"/>
      <c r="B649" s="46"/>
      <c r="C649" s="46"/>
      <c r="D649" s="46"/>
      <c r="E649" s="46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</row>
    <row r="650">
      <c r="A650" s="26"/>
      <c r="B650" s="46"/>
      <c r="C650" s="46"/>
      <c r="D650" s="46"/>
      <c r="E650" s="46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</row>
    <row r="651">
      <c r="A651" s="26"/>
      <c r="B651" s="46"/>
      <c r="C651" s="46"/>
      <c r="D651" s="46"/>
      <c r="E651" s="46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</row>
    <row r="652">
      <c r="A652" s="26"/>
      <c r="B652" s="46"/>
      <c r="C652" s="46"/>
      <c r="D652" s="46"/>
      <c r="E652" s="46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</row>
    <row r="653">
      <c r="A653" s="26"/>
      <c r="B653" s="46"/>
      <c r="C653" s="46"/>
      <c r="D653" s="46"/>
      <c r="E653" s="46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</row>
    <row r="654">
      <c r="A654" s="26"/>
      <c r="B654" s="46"/>
      <c r="C654" s="46"/>
      <c r="D654" s="46"/>
      <c r="E654" s="46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</row>
    <row r="655">
      <c r="A655" s="26"/>
      <c r="B655" s="46"/>
      <c r="C655" s="46"/>
      <c r="D655" s="46"/>
      <c r="E655" s="46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</row>
    <row r="656">
      <c r="A656" s="26"/>
      <c r="B656" s="46"/>
      <c r="C656" s="46"/>
      <c r="D656" s="46"/>
      <c r="E656" s="46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</row>
    <row r="657">
      <c r="A657" s="26"/>
      <c r="B657" s="46"/>
      <c r="C657" s="46"/>
      <c r="D657" s="46"/>
      <c r="E657" s="46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</row>
    <row r="658">
      <c r="A658" s="26"/>
      <c r="B658" s="46"/>
      <c r="C658" s="46"/>
      <c r="D658" s="46"/>
      <c r="E658" s="46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</row>
    <row r="659">
      <c r="A659" s="26"/>
      <c r="B659" s="46"/>
      <c r="C659" s="46"/>
      <c r="D659" s="46"/>
      <c r="E659" s="46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</row>
    <row r="660">
      <c r="A660" s="26"/>
      <c r="B660" s="46"/>
      <c r="C660" s="46"/>
      <c r="D660" s="46"/>
      <c r="E660" s="46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</row>
    <row r="661">
      <c r="A661" s="26"/>
      <c r="B661" s="46"/>
      <c r="C661" s="46"/>
      <c r="D661" s="46"/>
      <c r="E661" s="46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</row>
    <row r="662">
      <c r="A662" s="26"/>
      <c r="B662" s="46"/>
      <c r="C662" s="46"/>
      <c r="D662" s="46"/>
      <c r="E662" s="46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</row>
    <row r="663">
      <c r="A663" s="26"/>
      <c r="B663" s="46"/>
      <c r="C663" s="46"/>
      <c r="D663" s="46"/>
      <c r="E663" s="46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</row>
    <row r="664">
      <c r="A664" s="26"/>
      <c r="B664" s="46"/>
      <c r="C664" s="46"/>
      <c r="D664" s="46"/>
      <c r="E664" s="46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</row>
    <row r="665">
      <c r="A665" s="26"/>
      <c r="B665" s="46"/>
      <c r="C665" s="46"/>
      <c r="D665" s="46"/>
      <c r="E665" s="46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</row>
    <row r="666">
      <c r="A666" s="26"/>
      <c r="B666" s="46"/>
      <c r="C666" s="46"/>
      <c r="D666" s="46"/>
      <c r="E666" s="46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</row>
    <row r="667">
      <c r="A667" s="26"/>
      <c r="B667" s="46"/>
      <c r="C667" s="46"/>
      <c r="D667" s="46"/>
      <c r="E667" s="46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</row>
    <row r="668">
      <c r="A668" s="26"/>
      <c r="B668" s="46"/>
      <c r="C668" s="46"/>
      <c r="D668" s="46"/>
      <c r="E668" s="46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</row>
    <row r="669">
      <c r="A669" s="26"/>
      <c r="B669" s="46"/>
      <c r="C669" s="46"/>
      <c r="D669" s="46"/>
      <c r="E669" s="46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</row>
    <row r="670">
      <c r="A670" s="26"/>
      <c r="B670" s="46"/>
      <c r="C670" s="46"/>
      <c r="D670" s="46"/>
      <c r="E670" s="46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</row>
    <row r="671">
      <c r="A671" s="26"/>
      <c r="B671" s="46"/>
      <c r="C671" s="46"/>
      <c r="D671" s="46"/>
      <c r="E671" s="46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</row>
    <row r="672">
      <c r="A672" s="26"/>
      <c r="B672" s="46"/>
      <c r="C672" s="46"/>
      <c r="D672" s="46"/>
      <c r="E672" s="46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</row>
    <row r="673">
      <c r="A673" s="26"/>
      <c r="B673" s="46"/>
      <c r="C673" s="46"/>
      <c r="D673" s="46"/>
      <c r="E673" s="46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</row>
    <row r="674">
      <c r="A674" s="26"/>
      <c r="B674" s="46"/>
      <c r="C674" s="46"/>
      <c r="D674" s="46"/>
      <c r="E674" s="46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</row>
    <row r="675">
      <c r="A675" s="26"/>
      <c r="B675" s="46"/>
      <c r="C675" s="46"/>
      <c r="D675" s="46"/>
      <c r="E675" s="46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</row>
    <row r="676">
      <c r="A676" s="26"/>
      <c r="B676" s="46"/>
      <c r="C676" s="46"/>
      <c r="D676" s="46"/>
      <c r="E676" s="46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</row>
    <row r="677">
      <c r="A677" s="26"/>
      <c r="B677" s="46"/>
      <c r="C677" s="46"/>
      <c r="D677" s="46"/>
      <c r="E677" s="46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</row>
    <row r="678">
      <c r="A678" s="26"/>
      <c r="B678" s="46"/>
      <c r="C678" s="46"/>
      <c r="D678" s="46"/>
      <c r="E678" s="46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</row>
    <row r="679">
      <c r="A679" s="26"/>
      <c r="B679" s="46"/>
      <c r="C679" s="46"/>
      <c r="D679" s="46"/>
      <c r="E679" s="46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</row>
    <row r="680">
      <c r="A680" s="26"/>
      <c r="B680" s="46"/>
      <c r="C680" s="46"/>
      <c r="D680" s="46"/>
      <c r="E680" s="46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</row>
    <row r="681">
      <c r="A681" s="26"/>
      <c r="B681" s="46"/>
      <c r="C681" s="46"/>
      <c r="D681" s="46"/>
      <c r="E681" s="46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</row>
    <row r="682">
      <c r="A682" s="26"/>
      <c r="B682" s="46"/>
      <c r="C682" s="46"/>
      <c r="D682" s="46"/>
      <c r="E682" s="46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</row>
    <row r="683">
      <c r="A683" s="26"/>
      <c r="B683" s="46"/>
      <c r="C683" s="46"/>
      <c r="D683" s="46"/>
      <c r="E683" s="46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</row>
    <row r="684">
      <c r="A684" s="26"/>
      <c r="B684" s="46"/>
      <c r="C684" s="46"/>
      <c r="D684" s="46"/>
      <c r="E684" s="46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</row>
    <row r="685">
      <c r="A685" s="26"/>
      <c r="B685" s="46"/>
      <c r="C685" s="46"/>
      <c r="D685" s="46"/>
      <c r="E685" s="46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</row>
    <row r="686">
      <c r="A686" s="26"/>
      <c r="B686" s="46"/>
      <c r="C686" s="46"/>
      <c r="D686" s="46"/>
      <c r="E686" s="46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</row>
    <row r="687">
      <c r="A687" s="26"/>
      <c r="B687" s="46"/>
      <c r="C687" s="46"/>
      <c r="D687" s="46"/>
      <c r="E687" s="46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</row>
    <row r="688">
      <c r="A688" s="26"/>
      <c r="B688" s="46"/>
      <c r="C688" s="46"/>
      <c r="D688" s="46"/>
      <c r="E688" s="46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</row>
    <row r="689">
      <c r="A689" s="26"/>
      <c r="B689" s="46"/>
      <c r="C689" s="46"/>
      <c r="D689" s="46"/>
      <c r="E689" s="46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</row>
    <row r="690">
      <c r="A690" s="26"/>
      <c r="B690" s="46"/>
      <c r="C690" s="46"/>
      <c r="D690" s="46"/>
      <c r="E690" s="46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</row>
    <row r="691">
      <c r="A691" s="26"/>
      <c r="B691" s="46"/>
      <c r="C691" s="46"/>
      <c r="D691" s="46"/>
      <c r="E691" s="46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</row>
    <row r="692">
      <c r="A692" s="26"/>
      <c r="B692" s="46"/>
      <c r="C692" s="46"/>
      <c r="D692" s="46"/>
      <c r="E692" s="46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</row>
    <row r="693">
      <c r="A693" s="26"/>
      <c r="B693" s="46"/>
      <c r="C693" s="46"/>
      <c r="D693" s="46"/>
      <c r="E693" s="46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</row>
    <row r="694">
      <c r="A694" s="26"/>
      <c r="B694" s="46"/>
      <c r="C694" s="46"/>
      <c r="D694" s="46"/>
      <c r="E694" s="46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</row>
    <row r="695">
      <c r="A695" s="26"/>
      <c r="B695" s="46"/>
      <c r="C695" s="46"/>
      <c r="D695" s="46"/>
      <c r="E695" s="46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</row>
    <row r="696">
      <c r="A696" s="26"/>
      <c r="B696" s="46"/>
      <c r="C696" s="46"/>
      <c r="D696" s="46"/>
      <c r="E696" s="46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</row>
    <row r="697">
      <c r="A697" s="26"/>
      <c r="B697" s="46"/>
      <c r="C697" s="46"/>
      <c r="D697" s="46"/>
      <c r="E697" s="46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</row>
    <row r="698">
      <c r="A698" s="26"/>
      <c r="B698" s="46"/>
      <c r="C698" s="46"/>
      <c r="D698" s="46"/>
      <c r="E698" s="46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</row>
    <row r="699">
      <c r="A699" s="26"/>
      <c r="B699" s="46"/>
      <c r="C699" s="46"/>
      <c r="D699" s="46"/>
      <c r="E699" s="46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</row>
    <row r="700">
      <c r="A700" s="26"/>
      <c r="B700" s="46"/>
      <c r="C700" s="46"/>
      <c r="D700" s="46"/>
      <c r="E700" s="46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</row>
    <row r="701">
      <c r="A701" s="26"/>
      <c r="B701" s="46"/>
      <c r="C701" s="46"/>
      <c r="D701" s="46"/>
      <c r="E701" s="46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</row>
    <row r="702">
      <c r="A702" s="26"/>
      <c r="B702" s="46"/>
      <c r="C702" s="46"/>
      <c r="D702" s="46"/>
      <c r="E702" s="46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</row>
    <row r="703">
      <c r="A703" s="26"/>
      <c r="B703" s="46"/>
      <c r="C703" s="46"/>
      <c r="D703" s="46"/>
      <c r="E703" s="46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</row>
    <row r="704">
      <c r="A704" s="26"/>
      <c r="B704" s="46"/>
      <c r="C704" s="46"/>
      <c r="D704" s="46"/>
      <c r="E704" s="46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</row>
    <row r="705">
      <c r="A705" s="26"/>
      <c r="B705" s="46"/>
      <c r="C705" s="46"/>
      <c r="D705" s="46"/>
      <c r="E705" s="46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</row>
    <row r="706">
      <c r="A706" s="26"/>
      <c r="B706" s="46"/>
      <c r="C706" s="46"/>
      <c r="D706" s="46"/>
      <c r="E706" s="46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</row>
    <row r="707">
      <c r="A707" s="26"/>
      <c r="B707" s="46"/>
      <c r="C707" s="46"/>
      <c r="D707" s="46"/>
      <c r="E707" s="46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</row>
    <row r="708">
      <c r="A708" s="26"/>
      <c r="B708" s="46"/>
      <c r="C708" s="46"/>
      <c r="D708" s="46"/>
      <c r="E708" s="46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</row>
    <row r="709">
      <c r="A709" s="26"/>
      <c r="B709" s="46"/>
      <c r="C709" s="46"/>
      <c r="D709" s="46"/>
      <c r="E709" s="46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</row>
    <row r="710">
      <c r="A710" s="26"/>
      <c r="B710" s="46"/>
      <c r="C710" s="46"/>
      <c r="D710" s="46"/>
      <c r="E710" s="46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</row>
    <row r="711">
      <c r="A711" s="26"/>
      <c r="B711" s="46"/>
      <c r="C711" s="46"/>
      <c r="D711" s="46"/>
      <c r="E711" s="46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</row>
    <row r="712">
      <c r="A712" s="26"/>
      <c r="B712" s="46"/>
      <c r="C712" s="46"/>
      <c r="D712" s="46"/>
      <c r="E712" s="46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</row>
    <row r="713">
      <c r="A713" s="26"/>
      <c r="B713" s="46"/>
      <c r="C713" s="46"/>
      <c r="D713" s="46"/>
      <c r="E713" s="46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</row>
    <row r="714">
      <c r="A714" s="26"/>
      <c r="B714" s="46"/>
      <c r="C714" s="46"/>
      <c r="D714" s="46"/>
      <c r="E714" s="46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</row>
    <row r="715">
      <c r="A715" s="26"/>
      <c r="B715" s="46"/>
      <c r="C715" s="46"/>
      <c r="D715" s="46"/>
      <c r="E715" s="46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</row>
    <row r="716">
      <c r="A716" s="26"/>
      <c r="B716" s="46"/>
      <c r="C716" s="46"/>
      <c r="D716" s="46"/>
      <c r="E716" s="46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</row>
    <row r="717">
      <c r="A717" s="26"/>
      <c r="B717" s="46"/>
      <c r="C717" s="46"/>
      <c r="D717" s="46"/>
      <c r="E717" s="46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</row>
    <row r="718">
      <c r="A718" s="26"/>
      <c r="B718" s="46"/>
      <c r="C718" s="46"/>
      <c r="D718" s="46"/>
      <c r="E718" s="46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</row>
    <row r="719">
      <c r="A719" s="26"/>
      <c r="B719" s="46"/>
      <c r="C719" s="46"/>
      <c r="D719" s="46"/>
      <c r="E719" s="46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</row>
    <row r="720">
      <c r="A720" s="26"/>
      <c r="B720" s="46"/>
      <c r="C720" s="46"/>
      <c r="D720" s="46"/>
      <c r="E720" s="46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</row>
    <row r="721">
      <c r="A721" s="26"/>
      <c r="B721" s="46"/>
      <c r="C721" s="46"/>
      <c r="D721" s="46"/>
      <c r="E721" s="46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</row>
    <row r="722">
      <c r="A722" s="26"/>
      <c r="B722" s="46"/>
      <c r="C722" s="46"/>
      <c r="D722" s="46"/>
      <c r="E722" s="46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</row>
    <row r="723">
      <c r="A723" s="26"/>
      <c r="B723" s="46"/>
      <c r="C723" s="46"/>
      <c r="D723" s="46"/>
      <c r="E723" s="46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</row>
    <row r="724">
      <c r="A724" s="26"/>
      <c r="B724" s="46"/>
      <c r="C724" s="46"/>
      <c r="D724" s="46"/>
      <c r="E724" s="46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</row>
    <row r="725">
      <c r="A725" s="26"/>
      <c r="B725" s="46"/>
      <c r="C725" s="46"/>
      <c r="D725" s="46"/>
      <c r="E725" s="46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</row>
    <row r="726">
      <c r="A726" s="26"/>
      <c r="B726" s="46"/>
      <c r="C726" s="46"/>
      <c r="D726" s="46"/>
      <c r="E726" s="46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</row>
    <row r="727">
      <c r="A727" s="26"/>
      <c r="B727" s="46"/>
      <c r="C727" s="46"/>
      <c r="D727" s="46"/>
      <c r="E727" s="46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</row>
    <row r="728">
      <c r="A728" s="26"/>
      <c r="B728" s="46"/>
      <c r="C728" s="46"/>
      <c r="D728" s="46"/>
      <c r="E728" s="46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</row>
    <row r="729">
      <c r="A729" s="26"/>
      <c r="B729" s="46"/>
      <c r="C729" s="46"/>
      <c r="D729" s="46"/>
      <c r="E729" s="46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</row>
    <row r="730">
      <c r="A730" s="26"/>
      <c r="B730" s="46"/>
      <c r="C730" s="46"/>
      <c r="D730" s="46"/>
      <c r="E730" s="46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</row>
    <row r="731">
      <c r="A731" s="26"/>
      <c r="B731" s="46"/>
      <c r="C731" s="46"/>
      <c r="D731" s="46"/>
      <c r="E731" s="46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</row>
    <row r="732">
      <c r="A732" s="26"/>
      <c r="B732" s="46"/>
      <c r="C732" s="46"/>
      <c r="D732" s="46"/>
      <c r="E732" s="46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</row>
    <row r="733">
      <c r="A733" s="26"/>
      <c r="B733" s="46"/>
      <c r="C733" s="46"/>
      <c r="D733" s="46"/>
      <c r="E733" s="46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</row>
    <row r="734">
      <c r="A734" s="26"/>
      <c r="B734" s="46"/>
      <c r="C734" s="46"/>
      <c r="D734" s="46"/>
      <c r="E734" s="46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</row>
    <row r="735">
      <c r="A735" s="26"/>
      <c r="B735" s="46"/>
      <c r="C735" s="46"/>
      <c r="D735" s="46"/>
      <c r="E735" s="46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</row>
    <row r="736">
      <c r="A736" s="26"/>
      <c r="B736" s="46"/>
      <c r="C736" s="46"/>
      <c r="D736" s="46"/>
      <c r="E736" s="46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</row>
    <row r="737">
      <c r="A737" s="26"/>
      <c r="B737" s="46"/>
      <c r="C737" s="46"/>
      <c r="D737" s="46"/>
      <c r="E737" s="46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</row>
    <row r="738">
      <c r="A738" s="26"/>
      <c r="B738" s="46"/>
      <c r="C738" s="46"/>
      <c r="D738" s="46"/>
      <c r="E738" s="46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</row>
    <row r="739">
      <c r="A739" s="26"/>
      <c r="B739" s="46"/>
      <c r="C739" s="46"/>
      <c r="D739" s="46"/>
      <c r="E739" s="46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</row>
    <row r="740">
      <c r="A740" s="26"/>
      <c r="B740" s="46"/>
      <c r="C740" s="46"/>
      <c r="D740" s="46"/>
      <c r="E740" s="46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</row>
    <row r="741">
      <c r="A741" s="26"/>
      <c r="B741" s="46"/>
      <c r="C741" s="46"/>
      <c r="D741" s="46"/>
      <c r="E741" s="46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</row>
    <row r="742">
      <c r="A742" s="26"/>
      <c r="B742" s="46"/>
      <c r="C742" s="46"/>
      <c r="D742" s="46"/>
      <c r="E742" s="46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</row>
    <row r="743">
      <c r="A743" s="26"/>
      <c r="B743" s="46"/>
      <c r="C743" s="46"/>
      <c r="D743" s="46"/>
      <c r="E743" s="46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</row>
    <row r="744">
      <c r="A744" s="26"/>
      <c r="B744" s="46"/>
      <c r="C744" s="46"/>
      <c r="D744" s="46"/>
      <c r="E744" s="46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</row>
    <row r="745">
      <c r="A745" s="26"/>
      <c r="B745" s="46"/>
      <c r="C745" s="46"/>
      <c r="D745" s="46"/>
      <c r="E745" s="46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</row>
    <row r="746">
      <c r="A746" s="26"/>
      <c r="B746" s="46"/>
      <c r="C746" s="46"/>
      <c r="D746" s="46"/>
      <c r="E746" s="46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</row>
    <row r="747">
      <c r="A747" s="26"/>
      <c r="B747" s="46"/>
      <c r="C747" s="46"/>
      <c r="D747" s="46"/>
      <c r="E747" s="46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</row>
    <row r="748">
      <c r="A748" s="26"/>
      <c r="B748" s="46"/>
      <c r="C748" s="46"/>
      <c r="D748" s="46"/>
      <c r="E748" s="46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</row>
    <row r="749">
      <c r="A749" s="26"/>
      <c r="B749" s="46"/>
      <c r="C749" s="46"/>
      <c r="D749" s="46"/>
      <c r="E749" s="46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</row>
    <row r="750">
      <c r="A750" s="26"/>
      <c r="B750" s="46"/>
      <c r="C750" s="46"/>
      <c r="D750" s="46"/>
      <c r="E750" s="46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</row>
    <row r="751">
      <c r="A751" s="26"/>
      <c r="B751" s="46"/>
      <c r="C751" s="46"/>
      <c r="D751" s="46"/>
      <c r="E751" s="46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</row>
    <row r="752">
      <c r="A752" s="26"/>
      <c r="B752" s="46"/>
      <c r="C752" s="46"/>
      <c r="D752" s="46"/>
      <c r="E752" s="46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</row>
    <row r="753">
      <c r="A753" s="26"/>
      <c r="B753" s="46"/>
      <c r="C753" s="46"/>
      <c r="D753" s="46"/>
      <c r="E753" s="46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</row>
    <row r="754">
      <c r="A754" s="26"/>
      <c r="B754" s="46"/>
      <c r="C754" s="46"/>
      <c r="D754" s="46"/>
      <c r="E754" s="46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</row>
    <row r="755">
      <c r="A755" s="26"/>
      <c r="B755" s="46"/>
      <c r="C755" s="46"/>
      <c r="D755" s="46"/>
      <c r="E755" s="46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</row>
    <row r="756">
      <c r="A756" s="26"/>
      <c r="B756" s="46"/>
      <c r="C756" s="46"/>
      <c r="D756" s="46"/>
      <c r="E756" s="46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</row>
    <row r="757">
      <c r="A757" s="26"/>
      <c r="B757" s="46"/>
      <c r="C757" s="46"/>
      <c r="D757" s="46"/>
      <c r="E757" s="46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</row>
    <row r="758">
      <c r="A758" s="26"/>
      <c r="B758" s="46"/>
      <c r="C758" s="46"/>
      <c r="D758" s="46"/>
      <c r="E758" s="46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</row>
    <row r="759">
      <c r="A759" s="26"/>
      <c r="B759" s="46"/>
      <c r="C759" s="46"/>
      <c r="D759" s="46"/>
      <c r="E759" s="46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</row>
    <row r="760">
      <c r="A760" s="26"/>
      <c r="B760" s="46"/>
      <c r="C760" s="46"/>
      <c r="D760" s="46"/>
      <c r="E760" s="46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</row>
    <row r="761">
      <c r="A761" s="26"/>
      <c r="B761" s="46"/>
      <c r="C761" s="46"/>
      <c r="D761" s="46"/>
      <c r="E761" s="46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</row>
    <row r="762">
      <c r="A762" s="26"/>
      <c r="B762" s="46"/>
      <c r="C762" s="46"/>
      <c r="D762" s="46"/>
      <c r="E762" s="46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</row>
    <row r="763">
      <c r="A763" s="26"/>
      <c r="B763" s="46"/>
      <c r="C763" s="46"/>
      <c r="D763" s="46"/>
      <c r="E763" s="46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</row>
    <row r="764">
      <c r="A764" s="26"/>
      <c r="B764" s="46"/>
      <c r="C764" s="46"/>
      <c r="D764" s="46"/>
      <c r="E764" s="46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</row>
    <row r="765">
      <c r="A765" s="26"/>
      <c r="B765" s="46"/>
      <c r="C765" s="46"/>
      <c r="D765" s="46"/>
      <c r="E765" s="46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</row>
    <row r="766">
      <c r="A766" s="26"/>
      <c r="B766" s="46"/>
      <c r="C766" s="46"/>
      <c r="D766" s="46"/>
      <c r="E766" s="46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</row>
    <row r="767">
      <c r="A767" s="26"/>
      <c r="B767" s="46"/>
      <c r="C767" s="46"/>
      <c r="D767" s="46"/>
      <c r="E767" s="46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</row>
    <row r="768">
      <c r="A768" s="26"/>
      <c r="B768" s="46"/>
      <c r="C768" s="46"/>
      <c r="D768" s="46"/>
      <c r="E768" s="46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</row>
    <row r="769">
      <c r="A769" s="26"/>
      <c r="B769" s="46"/>
      <c r="C769" s="46"/>
      <c r="D769" s="46"/>
      <c r="E769" s="46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</row>
    <row r="770">
      <c r="A770" s="26"/>
      <c r="B770" s="46"/>
      <c r="C770" s="46"/>
      <c r="D770" s="46"/>
      <c r="E770" s="46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</row>
    <row r="771">
      <c r="A771" s="26"/>
      <c r="B771" s="46"/>
      <c r="C771" s="46"/>
      <c r="D771" s="46"/>
      <c r="E771" s="46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</row>
    <row r="772">
      <c r="A772" s="26"/>
      <c r="B772" s="46"/>
      <c r="C772" s="46"/>
      <c r="D772" s="46"/>
      <c r="E772" s="46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</row>
    <row r="773">
      <c r="A773" s="26"/>
      <c r="B773" s="46"/>
      <c r="C773" s="46"/>
      <c r="D773" s="46"/>
      <c r="E773" s="46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</row>
    <row r="774">
      <c r="A774" s="26"/>
      <c r="B774" s="46"/>
      <c r="C774" s="46"/>
      <c r="D774" s="46"/>
      <c r="E774" s="46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</row>
    <row r="775">
      <c r="A775" s="26"/>
      <c r="B775" s="46"/>
      <c r="C775" s="46"/>
      <c r="D775" s="46"/>
      <c r="E775" s="46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</row>
    <row r="776">
      <c r="A776" s="26"/>
      <c r="B776" s="46"/>
      <c r="C776" s="46"/>
      <c r="D776" s="46"/>
      <c r="E776" s="46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</row>
    <row r="777">
      <c r="A777" s="26"/>
      <c r="B777" s="46"/>
      <c r="C777" s="46"/>
      <c r="D777" s="46"/>
      <c r="E777" s="46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</row>
    <row r="778">
      <c r="A778" s="26"/>
      <c r="B778" s="46"/>
      <c r="C778" s="46"/>
      <c r="D778" s="46"/>
      <c r="E778" s="46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</row>
    <row r="779">
      <c r="A779" s="26"/>
      <c r="B779" s="46"/>
      <c r="C779" s="46"/>
      <c r="D779" s="46"/>
      <c r="E779" s="46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</row>
    <row r="780">
      <c r="A780" s="26"/>
      <c r="B780" s="46"/>
      <c r="C780" s="46"/>
      <c r="D780" s="46"/>
      <c r="E780" s="46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</row>
    <row r="781">
      <c r="A781" s="26"/>
      <c r="B781" s="46"/>
      <c r="C781" s="46"/>
      <c r="D781" s="46"/>
      <c r="E781" s="46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</row>
    <row r="782">
      <c r="A782" s="26"/>
      <c r="B782" s="46"/>
      <c r="C782" s="46"/>
      <c r="D782" s="46"/>
      <c r="E782" s="46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</row>
    <row r="783">
      <c r="A783" s="26"/>
      <c r="B783" s="46"/>
      <c r="C783" s="46"/>
      <c r="D783" s="46"/>
      <c r="E783" s="46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</row>
    <row r="784">
      <c r="A784" s="26"/>
      <c r="B784" s="46"/>
      <c r="C784" s="46"/>
      <c r="D784" s="46"/>
      <c r="E784" s="46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</row>
    <row r="785">
      <c r="A785" s="26"/>
      <c r="B785" s="46"/>
      <c r="C785" s="46"/>
      <c r="D785" s="46"/>
      <c r="E785" s="46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</row>
    <row r="786">
      <c r="A786" s="26"/>
      <c r="B786" s="46"/>
      <c r="C786" s="46"/>
      <c r="D786" s="46"/>
      <c r="E786" s="46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</row>
    <row r="787">
      <c r="A787" s="26"/>
      <c r="B787" s="46"/>
      <c r="C787" s="46"/>
      <c r="D787" s="46"/>
      <c r="E787" s="46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</row>
    <row r="788">
      <c r="A788" s="26"/>
      <c r="B788" s="46"/>
      <c r="C788" s="46"/>
      <c r="D788" s="46"/>
      <c r="E788" s="46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</row>
    <row r="789">
      <c r="A789" s="26"/>
      <c r="B789" s="46"/>
      <c r="C789" s="46"/>
      <c r="D789" s="46"/>
      <c r="E789" s="46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</row>
    <row r="790">
      <c r="A790" s="26"/>
      <c r="B790" s="46"/>
      <c r="C790" s="46"/>
      <c r="D790" s="46"/>
      <c r="E790" s="46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</row>
    <row r="791">
      <c r="A791" s="26"/>
      <c r="B791" s="46"/>
      <c r="C791" s="46"/>
      <c r="D791" s="46"/>
      <c r="E791" s="46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</row>
    <row r="792">
      <c r="A792" s="26"/>
      <c r="B792" s="46"/>
      <c r="C792" s="46"/>
      <c r="D792" s="46"/>
      <c r="E792" s="46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</row>
    <row r="793">
      <c r="A793" s="26"/>
      <c r="B793" s="46"/>
      <c r="C793" s="46"/>
      <c r="D793" s="46"/>
      <c r="E793" s="46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</row>
    <row r="794">
      <c r="A794" s="26"/>
      <c r="B794" s="46"/>
      <c r="C794" s="46"/>
      <c r="D794" s="46"/>
      <c r="E794" s="46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</row>
    <row r="795">
      <c r="A795" s="26"/>
      <c r="B795" s="46"/>
      <c r="C795" s="46"/>
      <c r="D795" s="46"/>
      <c r="E795" s="46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</row>
    <row r="796">
      <c r="A796" s="26"/>
      <c r="B796" s="46"/>
      <c r="C796" s="46"/>
      <c r="D796" s="46"/>
      <c r="E796" s="46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</row>
    <row r="797">
      <c r="A797" s="26"/>
      <c r="B797" s="46"/>
      <c r="C797" s="46"/>
      <c r="D797" s="46"/>
      <c r="E797" s="46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</row>
    <row r="798">
      <c r="A798" s="26"/>
      <c r="B798" s="46"/>
      <c r="C798" s="46"/>
      <c r="D798" s="46"/>
      <c r="E798" s="46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</row>
    <row r="799">
      <c r="A799" s="26"/>
      <c r="B799" s="46"/>
      <c r="C799" s="46"/>
      <c r="D799" s="46"/>
      <c r="E799" s="46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</row>
    <row r="800">
      <c r="A800" s="26"/>
      <c r="B800" s="46"/>
      <c r="C800" s="46"/>
      <c r="D800" s="46"/>
      <c r="E800" s="46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</row>
    <row r="801">
      <c r="A801" s="26"/>
      <c r="B801" s="46"/>
      <c r="C801" s="46"/>
      <c r="D801" s="46"/>
      <c r="E801" s="46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</row>
    <row r="802">
      <c r="A802" s="26"/>
      <c r="B802" s="46"/>
      <c r="C802" s="46"/>
      <c r="D802" s="46"/>
      <c r="E802" s="46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</row>
    <row r="803">
      <c r="A803" s="26"/>
      <c r="B803" s="46"/>
      <c r="C803" s="46"/>
      <c r="D803" s="46"/>
      <c r="E803" s="46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</row>
    <row r="804">
      <c r="A804" s="26"/>
      <c r="B804" s="46"/>
      <c r="C804" s="46"/>
      <c r="D804" s="46"/>
      <c r="E804" s="46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</row>
    <row r="805">
      <c r="A805" s="26"/>
      <c r="B805" s="46"/>
      <c r="C805" s="46"/>
      <c r="D805" s="46"/>
      <c r="E805" s="46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</row>
    <row r="806">
      <c r="A806" s="26"/>
      <c r="B806" s="46"/>
      <c r="C806" s="46"/>
      <c r="D806" s="46"/>
      <c r="E806" s="46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</row>
    <row r="807">
      <c r="A807" s="26"/>
      <c r="B807" s="46"/>
      <c r="C807" s="46"/>
      <c r="D807" s="46"/>
      <c r="E807" s="46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</row>
    <row r="808">
      <c r="A808" s="26"/>
      <c r="B808" s="46"/>
      <c r="C808" s="46"/>
      <c r="D808" s="46"/>
      <c r="E808" s="46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</row>
    <row r="809">
      <c r="A809" s="26"/>
      <c r="B809" s="46"/>
      <c r="C809" s="46"/>
      <c r="D809" s="46"/>
      <c r="E809" s="46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</row>
    <row r="810">
      <c r="A810" s="26"/>
      <c r="B810" s="46"/>
      <c r="C810" s="46"/>
      <c r="D810" s="46"/>
      <c r="E810" s="46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</row>
    <row r="811">
      <c r="A811" s="26"/>
      <c r="B811" s="46"/>
      <c r="C811" s="46"/>
      <c r="D811" s="46"/>
      <c r="E811" s="46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</row>
    <row r="812">
      <c r="A812" s="26"/>
      <c r="B812" s="46"/>
      <c r="C812" s="46"/>
      <c r="D812" s="46"/>
      <c r="E812" s="46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</row>
    <row r="813">
      <c r="A813" s="26"/>
      <c r="B813" s="46"/>
      <c r="C813" s="46"/>
      <c r="D813" s="46"/>
      <c r="E813" s="46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</row>
    <row r="814">
      <c r="A814" s="26"/>
      <c r="B814" s="46"/>
      <c r="C814" s="46"/>
      <c r="D814" s="46"/>
      <c r="E814" s="46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</row>
    <row r="815">
      <c r="A815" s="26"/>
      <c r="B815" s="46"/>
      <c r="C815" s="46"/>
      <c r="D815" s="46"/>
      <c r="E815" s="46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</row>
    <row r="816">
      <c r="A816" s="26"/>
      <c r="B816" s="46"/>
      <c r="C816" s="46"/>
      <c r="D816" s="46"/>
      <c r="E816" s="46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</row>
    <row r="817">
      <c r="A817" s="26"/>
      <c r="B817" s="46"/>
      <c r="C817" s="46"/>
      <c r="D817" s="46"/>
      <c r="E817" s="46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</row>
    <row r="818">
      <c r="A818" s="26"/>
      <c r="B818" s="46"/>
      <c r="C818" s="46"/>
      <c r="D818" s="46"/>
      <c r="E818" s="46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</row>
    <row r="819">
      <c r="A819" s="26"/>
      <c r="B819" s="46"/>
      <c r="C819" s="46"/>
      <c r="D819" s="46"/>
      <c r="E819" s="46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</row>
    <row r="820">
      <c r="A820" s="26"/>
      <c r="B820" s="46"/>
      <c r="C820" s="46"/>
      <c r="D820" s="46"/>
      <c r="E820" s="46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</row>
    <row r="821">
      <c r="A821" s="26"/>
      <c r="B821" s="46"/>
      <c r="C821" s="46"/>
      <c r="D821" s="46"/>
      <c r="E821" s="46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</row>
    <row r="822">
      <c r="A822" s="26"/>
      <c r="B822" s="46"/>
      <c r="C822" s="46"/>
      <c r="D822" s="46"/>
      <c r="E822" s="46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</row>
    <row r="823">
      <c r="A823" s="26"/>
      <c r="B823" s="46"/>
      <c r="C823" s="46"/>
      <c r="D823" s="46"/>
      <c r="E823" s="46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</row>
    <row r="824">
      <c r="A824" s="26"/>
      <c r="B824" s="46"/>
      <c r="C824" s="46"/>
      <c r="D824" s="46"/>
      <c r="E824" s="46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</row>
    <row r="825">
      <c r="A825" s="26"/>
      <c r="B825" s="46"/>
      <c r="C825" s="46"/>
      <c r="D825" s="46"/>
      <c r="E825" s="46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</row>
    <row r="826">
      <c r="A826" s="26"/>
      <c r="B826" s="46"/>
      <c r="C826" s="46"/>
      <c r="D826" s="46"/>
      <c r="E826" s="46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</row>
    <row r="827">
      <c r="A827" s="26"/>
      <c r="B827" s="46"/>
      <c r="C827" s="46"/>
      <c r="D827" s="46"/>
      <c r="E827" s="46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</row>
    <row r="828">
      <c r="A828" s="26"/>
      <c r="B828" s="46"/>
      <c r="C828" s="46"/>
      <c r="D828" s="46"/>
      <c r="E828" s="46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</row>
    <row r="829">
      <c r="A829" s="26"/>
      <c r="B829" s="46"/>
      <c r="C829" s="46"/>
      <c r="D829" s="46"/>
      <c r="E829" s="46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</row>
    <row r="830">
      <c r="A830" s="26"/>
      <c r="B830" s="46"/>
      <c r="C830" s="46"/>
      <c r="D830" s="46"/>
      <c r="E830" s="46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</row>
    <row r="831">
      <c r="A831" s="26"/>
      <c r="B831" s="46"/>
      <c r="C831" s="46"/>
      <c r="D831" s="46"/>
      <c r="E831" s="46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</row>
    <row r="832">
      <c r="A832" s="26"/>
      <c r="B832" s="46"/>
      <c r="C832" s="46"/>
      <c r="D832" s="46"/>
      <c r="E832" s="46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</row>
    <row r="833">
      <c r="A833" s="26"/>
      <c r="B833" s="46"/>
      <c r="C833" s="46"/>
      <c r="D833" s="46"/>
      <c r="E833" s="46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</row>
    <row r="834">
      <c r="A834" s="26"/>
      <c r="B834" s="46"/>
      <c r="C834" s="46"/>
      <c r="D834" s="46"/>
      <c r="E834" s="46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</row>
    <row r="835">
      <c r="A835" s="26"/>
      <c r="B835" s="46"/>
      <c r="C835" s="46"/>
      <c r="D835" s="46"/>
      <c r="E835" s="46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</row>
    <row r="836">
      <c r="A836" s="26"/>
      <c r="B836" s="46"/>
      <c r="C836" s="46"/>
      <c r="D836" s="46"/>
      <c r="E836" s="46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</row>
    <row r="837">
      <c r="A837" s="26"/>
      <c r="B837" s="46"/>
      <c r="C837" s="46"/>
      <c r="D837" s="46"/>
      <c r="E837" s="46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</row>
    <row r="838">
      <c r="A838" s="26"/>
      <c r="B838" s="46"/>
      <c r="C838" s="46"/>
      <c r="D838" s="46"/>
      <c r="E838" s="46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</row>
    <row r="839">
      <c r="A839" s="26"/>
      <c r="B839" s="46"/>
      <c r="C839" s="46"/>
      <c r="D839" s="46"/>
      <c r="E839" s="46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</row>
    <row r="840">
      <c r="A840" s="26"/>
      <c r="B840" s="46"/>
      <c r="C840" s="46"/>
      <c r="D840" s="46"/>
      <c r="E840" s="46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</row>
    <row r="841">
      <c r="A841" s="26"/>
      <c r="B841" s="46"/>
      <c r="C841" s="46"/>
      <c r="D841" s="46"/>
      <c r="E841" s="46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</row>
    <row r="842">
      <c r="A842" s="26"/>
      <c r="B842" s="46"/>
      <c r="C842" s="46"/>
      <c r="D842" s="46"/>
      <c r="E842" s="46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</row>
    <row r="843">
      <c r="A843" s="26"/>
      <c r="B843" s="46"/>
      <c r="C843" s="46"/>
      <c r="D843" s="46"/>
      <c r="E843" s="46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</row>
    <row r="844">
      <c r="A844" s="26"/>
      <c r="B844" s="46"/>
      <c r="C844" s="46"/>
      <c r="D844" s="46"/>
      <c r="E844" s="46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</row>
    <row r="845">
      <c r="A845" s="26"/>
      <c r="B845" s="46"/>
      <c r="C845" s="46"/>
      <c r="D845" s="46"/>
      <c r="E845" s="46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</row>
    <row r="846">
      <c r="A846" s="26"/>
      <c r="B846" s="46"/>
      <c r="C846" s="46"/>
      <c r="D846" s="46"/>
      <c r="E846" s="46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</row>
    <row r="847">
      <c r="A847" s="26"/>
      <c r="B847" s="46"/>
      <c r="C847" s="46"/>
      <c r="D847" s="46"/>
      <c r="E847" s="46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</row>
    <row r="848">
      <c r="A848" s="26"/>
      <c r="B848" s="46"/>
      <c r="C848" s="46"/>
      <c r="D848" s="46"/>
      <c r="E848" s="46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</row>
    <row r="849">
      <c r="A849" s="26"/>
      <c r="B849" s="46"/>
      <c r="C849" s="46"/>
      <c r="D849" s="46"/>
      <c r="E849" s="46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</row>
    <row r="850">
      <c r="A850" s="26"/>
      <c r="B850" s="46"/>
      <c r="C850" s="46"/>
      <c r="D850" s="46"/>
      <c r="E850" s="46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</row>
    <row r="851">
      <c r="A851" s="26"/>
      <c r="B851" s="46"/>
      <c r="C851" s="46"/>
      <c r="D851" s="46"/>
      <c r="E851" s="46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</row>
    <row r="852">
      <c r="A852" s="26"/>
      <c r="B852" s="46"/>
      <c r="C852" s="46"/>
      <c r="D852" s="46"/>
      <c r="E852" s="46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</row>
    <row r="853">
      <c r="A853" s="26"/>
      <c r="B853" s="46"/>
      <c r="C853" s="46"/>
      <c r="D853" s="46"/>
      <c r="E853" s="46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</row>
    <row r="854">
      <c r="A854" s="26"/>
      <c r="B854" s="46"/>
      <c r="C854" s="46"/>
      <c r="D854" s="46"/>
      <c r="E854" s="46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</row>
    <row r="855">
      <c r="A855" s="26"/>
      <c r="B855" s="46"/>
      <c r="C855" s="46"/>
      <c r="D855" s="46"/>
      <c r="E855" s="46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</row>
    <row r="856">
      <c r="A856" s="26"/>
      <c r="B856" s="46"/>
      <c r="C856" s="46"/>
      <c r="D856" s="46"/>
      <c r="E856" s="46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</row>
    <row r="857">
      <c r="A857" s="26"/>
      <c r="B857" s="46"/>
      <c r="C857" s="46"/>
      <c r="D857" s="46"/>
      <c r="E857" s="46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</row>
    <row r="858">
      <c r="A858" s="26"/>
      <c r="B858" s="46"/>
      <c r="C858" s="46"/>
      <c r="D858" s="46"/>
      <c r="E858" s="46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</row>
    <row r="859">
      <c r="A859" s="26"/>
      <c r="B859" s="46"/>
      <c r="C859" s="46"/>
      <c r="D859" s="46"/>
      <c r="E859" s="46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</row>
    <row r="860">
      <c r="A860" s="26"/>
      <c r="B860" s="46"/>
      <c r="C860" s="46"/>
      <c r="D860" s="46"/>
      <c r="E860" s="46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</row>
    <row r="861">
      <c r="A861" s="26"/>
      <c r="B861" s="46"/>
      <c r="C861" s="46"/>
      <c r="D861" s="46"/>
      <c r="E861" s="46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</row>
    <row r="862">
      <c r="A862" s="26"/>
      <c r="B862" s="46"/>
      <c r="C862" s="46"/>
      <c r="D862" s="46"/>
      <c r="E862" s="46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</row>
    <row r="863">
      <c r="A863" s="26"/>
      <c r="B863" s="46"/>
      <c r="C863" s="46"/>
      <c r="D863" s="46"/>
      <c r="E863" s="46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</row>
    <row r="864">
      <c r="A864" s="26"/>
      <c r="B864" s="46"/>
      <c r="C864" s="46"/>
      <c r="D864" s="46"/>
      <c r="E864" s="46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</row>
    <row r="865">
      <c r="A865" s="26"/>
      <c r="B865" s="46"/>
      <c r="C865" s="46"/>
      <c r="D865" s="46"/>
      <c r="E865" s="46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</row>
    <row r="866">
      <c r="A866" s="26"/>
      <c r="B866" s="46"/>
      <c r="C866" s="46"/>
      <c r="D866" s="46"/>
      <c r="E866" s="46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</row>
    <row r="867">
      <c r="A867" s="26"/>
      <c r="B867" s="46"/>
      <c r="C867" s="46"/>
      <c r="D867" s="46"/>
      <c r="E867" s="46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</row>
    <row r="868">
      <c r="A868" s="26"/>
      <c r="B868" s="46"/>
      <c r="C868" s="46"/>
      <c r="D868" s="46"/>
      <c r="E868" s="46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</row>
    <row r="869">
      <c r="A869" s="26"/>
      <c r="B869" s="46"/>
      <c r="C869" s="46"/>
      <c r="D869" s="46"/>
      <c r="E869" s="46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</row>
    <row r="870">
      <c r="A870" s="26"/>
      <c r="B870" s="46"/>
      <c r="C870" s="46"/>
      <c r="D870" s="46"/>
      <c r="E870" s="46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</row>
    <row r="871">
      <c r="A871" s="26"/>
      <c r="B871" s="46"/>
      <c r="C871" s="46"/>
      <c r="D871" s="46"/>
      <c r="E871" s="46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</row>
    <row r="872">
      <c r="A872" s="26"/>
      <c r="B872" s="46"/>
      <c r="C872" s="46"/>
      <c r="D872" s="46"/>
      <c r="E872" s="46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</row>
    <row r="873">
      <c r="A873" s="26"/>
      <c r="B873" s="46"/>
      <c r="C873" s="46"/>
      <c r="D873" s="46"/>
      <c r="E873" s="46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</row>
    <row r="874">
      <c r="A874" s="26"/>
      <c r="B874" s="46"/>
      <c r="C874" s="46"/>
      <c r="D874" s="46"/>
      <c r="E874" s="46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</row>
    <row r="875">
      <c r="A875" s="26"/>
      <c r="B875" s="46"/>
      <c r="C875" s="46"/>
      <c r="D875" s="46"/>
      <c r="E875" s="46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</row>
    <row r="876">
      <c r="A876" s="26"/>
      <c r="B876" s="46"/>
      <c r="C876" s="46"/>
      <c r="D876" s="46"/>
      <c r="E876" s="46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</row>
    <row r="877">
      <c r="A877" s="26"/>
      <c r="B877" s="46"/>
      <c r="C877" s="46"/>
      <c r="D877" s="46"/>
      <c r="E877" s="46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</row>
    <row r="878">
      <c r="A878" s="26"/>
      <c r="B878" s="46"/>
      <c r="C878" s="46"/>
      <c r="D878" s="46"/>
      <c r="E878" s="46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</row>
    <row r="879">
      <c r="A879" s="26"/>
      <c r="B879" s="46"/>
      <c r="C879" s="46"/>
      <c r="D879" s="46"/>
      <c r="E879" s="46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</row>
    <row r="880">
      <c r="A880" s="26"/>
      <c r="B880" s="46"/>
      <c r="C880" s="46"/>
      <c r="D880" s="46"/>
      <c r="E880" s="46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</row>
    <row r="881">
      <c r="A881" s="26"/>
      <c r="B881" s="46"/>
      <c r="C881" s="46"/>
      <c r="D881" s="46"/>
      <c r="E881" s="46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</row>
    <row r="882">
      <c r="A882" s="26"/>
      <c r="B882" s="46"/>
      <c r="C882" s="46"/>
      <c r="D882" s="46"/>
      <c r="E882" s="46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</row>
    <row r="883">
      <c r="A883" s="26"/>
      <c r="B883" s="46"/>
      <c r="C883" s="46"/>
      <c r="D883" s="46"/>
      <c r="E883" s="46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</row>
    <row r="884">
      <c r="A884" s="26"/>
      <c r="B884" s="46"/>
      <c r="C884" s="46"/>
      <c r="D884" s="46"/>
      <c r="E884" s="46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</row>
    <row r="885">
      <c r="A885" s="26"/>
      <c r="B885" s="46"/>
      <c r="C885" s="46"/>
      <c r="D885" s="46"/>
      <c r="E885" s="46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</row>
    <row r="886">
      <c r="A886" s="26"/>
      <c r="B886" s="46"/>
      <c r="C886" s="46"/>
      <c r="D886" s="46"/>
      <c r="E886" s="46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</row>
    <row r="887">
      <c r="A887" s="26"/>
      <c r="B887" s="46"/>
      <c r="C887" s="46"/>
      <c r="D887" s="46"/>
      <c r="E887" s="46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</row>
    <row r="888">
      <c r="A888" s="26"/>
      <c r="B888" s="46"/>
      <c r="C888" s="46"/>
      <c r="D888" s="46"/>
      <c r="E888" s="46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</row>
    <row r="889">
      <c r="A889" s="26"/>
      <c r="B889" s="46"/>
      <c r="C889" s="46"/>
      <c r="D889" s="46"/>
      <c r="E889" s="46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</row>
    <row r="890">
      <c r="A890" s="26"/>
      <c r="B890" s="46"/>
      <c r="C890" s="46"/>
      <c r="D890" s="46"/>
      <c r="E890" s="46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</row>
    <row r="891">
      <c r="A891" s="26"/>
      <c r="B891" s="46"/>
      <c r="C891" s="46"/>
      <c r="D891" s="46"/>
      <c r="E891" s="46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</row>
    <row r="892">
      <c r="A892" s="26"/>
      <c r="B892" s="46"/>
      <c r="C892" s="46"/>
      <c r="D892" s="46"/>
      <c r="E892" s="46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</row>
    <row r="893">
      <c r="A893" s="26"/>
      <c r="B893" s="46"/>
      <c r="C893" s="46"/>
      <c r="D893" s="46"/>
      <c r="E893" s="46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</row>
    <row r="894">
      <c r="A894" s="26"/>
      <c r="B894" s="46"/>
      <c r="C894" s="46"/>
      <c r="D894" s="46"/>
      <c r="E894" s="46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</row>
    <row r="895">
      <c r="A895" s="26"/>
      <c r="B895" s="46"/>
      <c r="C895" s="46"/>
      <c r="D895" s="46"/>
      <c r="E895" s="46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</row>
    <row r="896">
      <c r="A896" s="26"/>
      <c r="B896" s="46"/>
      <c r="C896" s="46"/>
      <c r="D896" s="46"/>
      <c r="E896" s="46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</row>
    <row r="897">
      <c r="A897" s="26"/>
      <c r="B897" s="46"/>
      <c r="C897" s="46"/>
      <c r="D897" s="46"/>
      <c r="E897" s="46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</row>
    <row r="898">
      <c r="A898" s="26"/>
      <c r="B898" s="46"/>
      <c r="C898" s="46"/>
      <c r="D898" s="46"/>
      <c r="E898" s="46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</row>
    <row r="899">
      <c r="A899" s="26"/>
      <c r="B899" s="46"/>
      <c r="C899" s="46"/>
      <c r="D899" s="46"/>
      <c r="E899" s="46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</row>
    <row r="900">
      <c r="A900" s="26"/>
      <c r="B900" s="46"/>
      <c r="C900" s="46"/>
      <c r="D900" s="46"/>
      <c r="E900" s="46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</row>
    <row r="901">
      <c r="A901" s="26"/>
      <c r="B901" s="46"/>
      <c r="C901" s="46"/>
      <c r="D901" s="46"/>
      <c r="E901" s="46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</row>
    <row r="902">
      <c r="A902" s="26"/>
      <c r="B902" s="46"/>
      <c r="C902" s="46"/>
      <c r="D902" s="46"/>
      <c r="E902" s="46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</row>
    <row r="903">
      <c r="A903" s="26"/>
      <c r="B903" s="46"/>
      <c r="C903" s="46"/>
      <c r="D903" s="46"/>
      <c r="E903" s="46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</row>
    <row r="904">
      <c r="A904" s="26"/>
      <c r="B904" s="46"/>
      <c r="C904" s="46"/>
      <c r="D904" s="46"/>
      <c r="E904" s="46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</row>
    <row r="905">
      <c r="A905" s="26"/>
      <c r="B905" s="46"/>
      <c r="C905" s="46"/>
      <c r="D905" s="46"/>
      <c r="E905" s="46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</row>
    <row r="906">
      <c r="A906" s="26"/>
      <c r="B906" s="46"/>
      <c r="C906" s="46"/>
      <c r="D906" s="46"/>
      <c r="E906" s="46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</row>
    <row r="907">
      <c r="A907" s="26"/>
      <c r="B907" s="46"/>
      <c r="C907" s="46"/>
      <c r="D907" s="46"/>
      <c r="E907" s="46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</row>
    <row r="908">
      <c r="A908" s="26"/>
      <c r="B908" s="46"/>
      <c r="C908" s="46"/>
      <c r="D908" s="46"/>
      <c r="E908" s="46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</row>
    <row r="909">
      <c r="A909" s="26"/>
      <c r="B909" s="46"/>
      <c r="C909" s="46"/>
      <c r="D909" s="46"/>
      <c r="E909" s="46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</row>
    <row r="910">
      <c r="A910" s="26"/>
      <c r="B910" s="46"/>
      <c r="C910" s="46"/>
      <c r="D910" s="46"/>
      <c r="E910" s="46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</row>
    <row r="911">
      <c r="A911" s="26"/>
      <c r="B911" s="46"/>
      <c r="C911" s="46"/>
      <c r="D911" s="46"/>
      <c r="E911" s="46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</row>
    <row r="912">
      <c r="A912" s="26"/>
      <c r="B912" s="46"/>
      <c r="C912" s="46"/>
      <c r="D912" s="46"/>
      <c r="E912" s="46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</row>
    <row r="913">
      <c r="A913" s="26"/>
      <c r="B913" s="46"/>
      <c r="C913" s="46"/>
      <c r="D913" s="46"/>
      <c r="E913" s="46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</row>
    <row r="914">
      <c r="A914" s="26"/>
      <c r="B914" s="46"/>
      <c r="C914" s="46"/>
      <c r="D914" s="46"/>
      <c r="E914" s="46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</row>
    <row r="915">
      <c r="A915" s="26"/>
      <c r="B915" s="46"/>
      <c r="C915" s="46"/>
      <c r="D915" s="46"/>
      <c r="E915" s="46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</row>
    <row r="916">
      <c r="A916" s="26"/>
      <c r="B916" s="46"/>
      <c r="C916" s="46"/>
      <c r="D916" s="46"/>
      <c r="E916" s="46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</row>
    <row r="917">
      <c r="A917" s="26"/>
      <c r="B917" s="46"/>
      <c r="C917" s="46"/>
      <c r="D917" s="46"/>
      <c r="E917" s="46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</row>
    <row r="918">
      <c r="A918" s="26"/>
      <c r="B918" s="46"/>
      <c r="C918" s="46"/>
      <c r="D918" s="46"/>
      <c r="E918" s="46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</row>
    <row r="919">
      <c r="A919" s="26"/>
      <c r="B919" s="46"/>
      <c r="C919" s="46"/>
      <c r="D919" s="46"/>
      <c r="E919" s="46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</row>
    <row r="920">
      <c r="A920" s="26"/>
      <c r="B920" s="46"/>
      <c r="C920" s="46"/>
      <c r="D920" s="46"/>
      <c r="E920" s="46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</row>
    <row r="921">
      <c r="A921" s="26"/>
      <c r="B921" s="46"/>
      <c r="C921" s="46"/>
      <c r="D921" s="46"/>
      <c r="E921" s="46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</row>
    <row r="922">
      <c r="A922" s="26"/>
      <c r="B922" s="46"/>
      <c r="C922" s="46"/>
      <c r="D922" s="46"/>
      <c r="E922" s="46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</row>
    <row r="923">
      <c r="A923" s="26"/>
      <c r="B923" s="46"/>
      <c r="C923" s="46"/>
      <c r="D923" s="46"/>
      <c r="E923" s="46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</row>
    <row r="924">
      <c r="A924" s="26"/>
      <c r="B924" s="46"/>
      <c r="C924" s="46"/>
      <c r="D924" s="46"/>
      <c r="E924" s="46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</row>
    <row r="925">
      <c r="A925" s="26"/>
      <c r="B925" s="46"/>
      <c r="C925" s="46"/>
      <c r="D925" s="46"/>
      <c r="E925" s="46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</row>
    <row r="926">
      <c r="A926" s="26"/>
      <c r="B926" s="46"/>
      <c r="C926" s="46"/>
      <c r="D926" s="46"/>
      <c r="E926" s="46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</row>
    <row r="927">
      <c r="A927" s="26"/>
      <c r="B927" s="46"/>
      <c r="C927" s="46"/>
      <c r="D927" s="46"/>
      <c r="E927" s="46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</row>
    <row r="928">
      <c r="A928" s="26"/>
      <c r="B928" s="46"/>
      <c r="C928" s="46"/>
      <c r="D928" s="46"/>
      <c r="E928" s="46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</row>
    <row r="929">
      <c r="A929" s="26"/>
      <c r="B929" s="46"/>
      <c r="C929" s="46"/>
      <c r="D929" s="46"/>
      <c r="E929" s="46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</row>
    <row r="930">
      <c r="A930" s="26"/>
      <c r="B930" s="46"/>
      <c r="C930" s="46"/>
      <c r="D930" s="46"/>
      <c r="E930" s="46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</row>
    <row r="931">
      <c r="A931" s="26"/>
      <c r="B931" s="46"/>
      <c r="C931" s="46"/>
      <c r="D931" s="46"/>
      <c r="E931" s="46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</row>
    <row r="932">
      <c r="A932" s="26"/>
      <c r="B932" s="46"/>
      <c r="C932" s="46"/>
      <c r="D932" s="46"/>
      <c r="E932" s="46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</row>
    <row r="933">
      <c r="A933" s="26"/>
      <c r="B933" s="46"/>
      <c r="C933" s="46"/>
      <c r="D933" s="46"/>
      <c r="E933" s="46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</row>
    <row r="934">
      <c r="A934" s="26"/>
      <c r="B934" s="46"/>
      <c r="C934" s="46"/>
      <c r="D934" s="46"/>
      <c r="E934" s="46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</row>
    <row r="935">
      <c r="A935" s="26"/>
      <c r="B935" s="46"/>
      <c r="C935" s="46"/>
      <c r="D935" s="46"/>
      <c r="E935" s="46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</row>
    <row r="936">
      <c r="A936" s="26"/>
      <c r="B936" s="46"/>
      <c r="C936" s="46"/>
      <c r="D936" s="46"/>
      <c r="E936" s="46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</row>
    <row r="937">
      <c r="A937" s="26"/>
      <c r="B937" s="46"/>
      <c r="C937" s="46"/>
      <c r="D937" s="46"/>
      <c r="E937" s="46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</row>
    <row r="938">
      <c r="A938" s="26"/>
      <c r="B938" s="46"/>
      <c r="C938" s="46"/>
      <c r="D938" s="46"/>
      <c r="E938" s="46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</row>
    <row r="939">
      <c r="A939" s="26"/>
      <c r="B939" s="46"/>
      <c r="C939" s="46"/>
      <c r="D939" s="46"/>
      <c r="E939" s="46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</row>
    <row r="940">
      <c r="A940" s="26"/>
      <c r="B940" s="46"/>
      <c r="C940" s="46"/>
      <c r="D940" s="46"/>
      <c r="E940" s="46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</row>
    <row r="941">
      <c r="A941" s="26"/>
      <c r="B941" s="46"/>
      <c r="C941" s="46"/>
      <c r="D941" s="46"/>
      <c r="E941" s="46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</row>
    <row r="942">
      <c r="A942" s="26"/>
      <c r="B942" s="46"/>
      <c r="C942" s="46"/>
      <c r="D942" s="46"/>
      <c r="E942" s="46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</row>
    <row r="943">
      <c r="A943" s="26"/>
      <c r="B943" s="46"/>
      <c r="C943" s="46"/>
      <c r="D943" s="46"/>
      <c r="E943" s="46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</row>
    <row r="944">
      <c r="A944" s="26"/>
      <c r="B944" s="46"/>
      <c r="C944" s="46"/>
      <c r="D944" s="46"/>
      <c r="E944" s="46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</row>
    <row r="945">
      <c r="A945" s="26"/>
      <c r="B945" s="46"/>
      <c r="C945" s="46"/>
      <c r="D945" s="46"/>
      <c r="E945" s="46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</row>
    <row r="946">
      <c r="A946" s="26"/>
      <c r="B946" s="46"/>
      <c r="C946" s="46"/>
      <c r="D946" s="46"/>
      <c r="E946" s="46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</row>
    <row r="947">
      <c r="A947" s="26"/>
      <c r="B947" s="46"/>
      <c r="C947" s="46"/>
      <c r="D947" s="46"/>
      <c r="E947" s="46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</row>
    <row r="948">
      <c r="A948" s="26"/>
      <c r="B948" s="46"/>
      <c r="C948" s="46"/>
      <c r="D948" s="46"/>
      <c r="E948" s="46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</row>
    <row r="949">
      <c r="A949" s="26"/>
      <c r="B949" s="46"/>
      <c r="C949" s="46"/>
      <c r="D949" s="46"/>
      <c r="E949" s="46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</row>
    <row r="950">
      <c r="A950" s="26"/>
      <c r="B950" s="46"/>
      <c r="C950" s="46"/>
      <c r="D950" s="46"/>
      <c r="E950" s="46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</row>
    <row r="951">
      <c r="A951" s="26"/>
      <c r="B951" s="46"/>
      <c r="C951" s="46"/>
      <c r="D951" s="46"/>
      <c r="E951" s="46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</row>
    <row r="952">
      <c r="A952" s="26"/>
      <c r="B952" s="46"/>
      <c r="C952" s="46"/>
      <c r="D952" s="46"/>
      <c r="E952" s="46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</row>
    <row r="953">
      <c r="A953" s="26"/>
      <c r="B953" s="46"/>
      <c r="C953" s="46"/>
      <c r="D953" s="46"/>
      <c r="E953" s="46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</row>
    <row r="954">
      <c r="A954" s="26"/>
      <c r="B954" s="46"/>
      <c r="C954" s="46"/>
      <c r="D954" s="46"/>
      <c r="E954" s="46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</row>
    <row r="955">
      <c r="A955" s="26"/>
      <c r="B955" s="46"/>
      <c r="C955" s="46"/>
      <c r="D955" s="46"/>
      <c r="E955" s="46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</row>
    <row r="956">
      <c r="A956" s="26"/>
      <c r="B956" s="46"/>
      <c r="C956" s="46"/>
      <c r="D956" s="46"/>
      <c r="E956" s="46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</row>
    <row r="957">
      <c r="A957" s="26"/>
      <c r="B957" s="46"/>
      <c r="C957" s="46"/>
      <c r="D957" s="46"/>
      <c r="E957" s="46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</row>
    <row r="958">
      <c r="A958" s="26"/>
      <c r="B958" s="46"/>
      <c r="C958" s="46"/>
      <c r="D958" s="46"/>
      <c r="E958" s="46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</row>
    <row r="959">
      <c r="A959" s="26"/>
      <c r="B959" s="46"/>
      <c r="C959" s="46"/>
      <c r="D959" s="46"/>
      <c r="E959" s="46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</row>
    <row r="960">
      <c r="A960" s="26"/>
      <c r="B960" s="46"/>
      <c r="C960" s="46"/>
      <c r="D960" s="46"/>
      <c r="E960" s="46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</row>
    <row r="961">
      <c r="A961" s="26"/>
      <c r="B961" s="46"/>
      <c r="C961" s="46"/>
      <c r="D961" s="46"/>
      <c r="E961" s="46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</row>
    <row r="962">
      <c r="A962" s="26"/>
      <c r="B962" s="46"/>
      <c r="C962" s="46"/>
      <c r="D962" s="46"/>
      <c r="E962" s="46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</row>
    <row r="963">
      <c r="A963" s="26"/>
      <c r="B963" s="46"/>
      <c r="C963" s="46"/>
      <c r="D963" s="46"/>
      <c r="E963" s="46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</row>
    <row r="964">
      <c r="A964" s="26"/>
      <c r="B964" s="46"/>
      <c r="C964" s="46"/>
      <c r="D964" s="46"/>
      <c r="E964" s="46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</row>
    <row r="965">
      <c r="A965" s="26"/>
      <c r="B965" s="46"/>
      <c r="C965" s="46"/>
      <c r="D965" s="46"/>
      <c r="E965" s="46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</row>
    <row r="966">
      <c r="A966" s="26"/>
      <c r="B966" s="46"/>
      <c r="C966" s="46"/>
      <c r="D966" s="46"/>
      <c r="E966" s="46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</row>
    <row r="967">
      <c r="A967" s="26"/>
      <c r="B967" s="46"/>
      <c r="C967" s="46"/>
      <c r="D967" s="46"/>
      <c r="E967" s="46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</row>
    <row r="968">
      <c r="A968" s="26"/>
      <c r="B968" s="46"/>
      <c r="C968" s="46"/>
      <c r="D968" s="46"/>
      <c r="E968" s="46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</row>
    <row r="969">
      <c r="A969" s="26"/>
      <c r="B969" s="46"/>
      <c r="C969" s="46"/>
      <c r="D969" s="46"/>
      <c r="E969" s="46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</row>
    <row r="970">
      <c r="A970" s="26"/>
      <c r="B970" s="46"/>
      <c r="C970" s="46"/>
      <c r="D970" s="46"/>
      <c r="E970" s="46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</row>
    <row r="971">
      <c r="A971" s="26"/>
      <c r="B971" s="46"/>
      <c r="C971" s="46"/>
      <c r="D971" s="46"/>
      <c r="E971" s="46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</row>
    <row r="972">
      <c r="A972" s="26"/>
      <c r="B972" s="46"/>
      <c r="C972" s="46"/>
      <c r="D972" s="46"/>
      <c r="E972" s="46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</row>
    <row r="973">
      <c r="A973" s="26"/>
      <c r="B973" s="46"/>
      <c r="C973" s="46"/>
      <c r="D973" s="46"/>
      <c r="E973" s="46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</row>
    <row r="974">
      <c r="A974" s="26"/>
      <c r="B974" s="46"/>
      <c r="C974" s="46"/>
      <c r="D974" s="46"/>
      <c r="E974" s="46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</row>
    <row r="975">
      <c r="A975" s="26"/>
      <c r="B975" s="46"/>
      <c r="C975" s="46"/>
      <c r="D975" s="46"/>
      <c r="E975" s="46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</row>
    <row r="976">
      <c r="A976" s="26"/>
      <c r="B976" s="46"/>
      <c r="C976" s="46"/>
      <c r="D976" s="46"/>
      <c r="E976" s="46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</row>
    <row r="977">
      <c r="A977" s="26"/>
      <c r="B977" s="46"/>
      <c r="C977" s="46"/>
      <c r="D977" s="46"/>
      <c r="E977" s="46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</row>
    <row r="978">
      <c r="A978" s="26"/>
      <c r="B978" s="46"/>
      <c r="C978" s="46"/>
      <c r="D978" s="46"/>
      <c r="E978" s="46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</row>
    <row r="979">
      <c r="A979" s="26"/>
      <c r="B979" s="46"/>
      <c r="C979" s="46"/>
      <c r="D979" s="46"/>
      <c r="E979" s="46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</row>
    <row r="980">
      <c r="A980" s="26"/>
      <c r="B980" s="46"/>
      <c r="C980" s="46"/>
      <c r="D980" s="46"/>
      <c r="E980" s="46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</row>
    <row r="981">
      <c r="A981" s="26"/>
      <c r="B981" s="46"/>
      <c r="C981" s="46"/>
      <c r="D981" s="46"/>
      <c r="E981" s="46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</row>
    <row r="982">
      <c r="A982" s="26"/>
      <c r="B982" s="46"/>
      <c r="C982" s="46"/>
      <c r="D982" s="46"/>
      <c r="E982" s="46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</row>
    <row r="983">
      <c r="A983" s="26"/>
      <c r="B983" s="46"/>
      <c r="C983" s="46"/>
      <c r="D983" s="46"/>
      <c r="E983" s="46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</row>
    <row r="984">
      <c r="A984" s="26"/>
      <c r="B984" s="46"/>
      <c r="C984" s="46"/>
      <c r="D984" s="46"/>
      <c r="E984" s="46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</row>
    <row r="985">
      <c r="A985" s="26"/>
      <c r="B985" s="46"/>
      <c r="C985" s="46"/>
      <c r="D985" s="46"/>
      <c r="E985" s="46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</row>
    <row r="986">
      <c r="A986" s="26"/>
      <c r="B986" s="46"/>
      <c r="C986" s="46"/>
      <c r="D986" s="46"/>
      <c r="E986" s="46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</row>
    <row r="987">
      <c r="A987" s="26"/>
      <c r="B987" s="46"/>
      <c r="C987" s="46"/>
      <c r="D987" s="46"/>
      <c r="E987" s="46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</row>
    <row r="988">
      <c r="A988" s="26"/>
      <c r="B988" s="46"/>
      <c r="C988" s="46"/>
      <c r="D988" s="46"/>
      <c r="E988" s="46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</row>
    <row r="989">
      <c r="A989" s="26"/>
      <c r="B989" s="46"/>
      <c r="C989" s="46"/>
      <c r="D989" s="46"/>
      <c r="E989" s="46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</row>
    <row r="990">
      <c r="A990" s="26"/>
      <c r="B990" s="46"/>
      <c r="C990" s="46"/>
      <c r="D990" s="46"/>
      <c r="E990" s="46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</row>
    <row r="991">
      <c r="A991" s="26"/>
      <c r="B991" s="46"/>
      <c r="C991" s="46"/>
      <c r="D991" s="46"/>
      <c r="E991" s="46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</row>
    <row r="992">
      <c r="A992" s="26"/>
      <c r="B992" s="46"/>
      <c r="C992" s="46"/>
      <c r="D992" s="46"/>
      <c r="E992" s="46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</row>
    <row r="993">
      <c r="A993" s="26"/>
      <c r="B993" s="46"/>
      <c r="C993" s="46"/>
      <c r="D993" s="46"/>
      <c r="E993" s="46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</row>
    <row r="994">
      <c r="A994" s="26"/>
      <c r="B994" s="46"/>
      <c r="C994" s="46"/>
      <c r="D994" s="46"/>
      <c r="E994" s="46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</row>
    <row r="995">
      <c r="A995" s="26"/>
      <c r="B995" s="46"/>
      <c r="C995" s="46"/>
      <c r="D995" s="46"/>
      <c r="E995" s="46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</row>
    <row r="996">
      <c r="A996" s="26"/>
      <c r="B996" s="46"/>
      <c r="C996" s="46"/>
      <c r="D996" s="46"/>
      <c r="E996" s="46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</row>
    <row r="997">
      <c r="A997" s="26"/>
      <c r="B997" s="46"/>
      <c r="C997" s="46"/>
      <c r="D997" s="46"/>
      <c r="E997" s="46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</row>
    <row r="998">
      <c r="A998" s="26"/>
      <c r="B998" s="46"/>
      <c r="C998" s="46"/>
      <c r="D998" s="46"/>
      <c r="E998" s="46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</row>
    <row r="999">
      <c r="A999" s="26"/>
      <c r="B999" s="46"/>
      <c r="C999" s="46"/>
      <c r="D999" s="46"/>
      <c r="E999" s="46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</row>
    <row r="1000">
      <c r="A1000" s="26"/>
      <c r="B1000" s="46"/>
      <c r="C1000" s="46"/>
      <c r="D1000" s="46"/>
      <c r="E1000" s="46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</row>
    <row r="1001">
      <c r="A1001" s="26"/>
      <c r="B1001" s="46"/>
      <c r="C1001" s="46"/>
      <c r="D1001" s="46"/>
      <c r="E1001" s="46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</row>
    <row r="1002">
      <c r="A1002" s="26"/>
      <c r="B1002" s="46"/>
      <c r="C1002" s="46"/>
      <c r="D1002" s="46"/>
      <c r="E1002" s="46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</row>
    <row r="1003">
      <c r="A1003" s="26"/>
      <c r="B1003" s="46"/>
      <c r="C1003" s="46"/>
      <c r="D1003" s="46"/>
      <c r="E1003" s="46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</row>
    <row r="1004">
      <c r="A1004" s="26"/>
      <c r="B1004" s="46"/>
      <c r="C1004" s="46"/>
      <c r="D1004" s="46"/>
      <c r="E1004" s="46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</row>
    <row r="1005">
      <c r="A1005" s="26"/>
      <c r="B1005" s="46"/>
      <c r="C1005" s="46"/>
      <c r="D1005" s="46"/>
      <c r="E1005" s="46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11.13"/>
  </cols>
  <sheetData>
    <row r="1">
      <c r="A1" s="48"/>
      <c r="B1" s="49" t="s">
        <v>204</v>
      </c>
      <c r="C1" s="49" t="s">
        <v>203</v>
      </c>
    </row>
    <row r="2">
      <c r="A2" s="50" t="s">
        <v>205</v>
      </c>
      <c r="B2" s="51">
        <f>MAX('Table 2_Sampling_Stats'!D2:D51)</f>
        <v>32</v>
      </c>
      <c r="C2" s="52">
        <f>B2/32</f>
        <v>1</v>
      </c>
    </row>
    <row r="3">
      <c r="A3" s="50" t="s">
        <v>206</v>
      </c>
      <c r="B3" s="51">
        <f>MIN('Table 2_Sampling_Stats'!D2:D51)</f>
        <v>15</v>
      </c>
      <c r="C3" s="52">
        <f>B3/B2</f>
        <v>0.46875</v>
      </c>
    </row>
    <row r="4">
      <c r="A4" s="53" t="s">
        <v>207</v>
      </c>
      <c r="B4" s="54">
        <f>COUNTIF('Table 2_Sampling_Stats'!E2:E51,"100.00%")</f>
        <v>39</v>
      </c>
      <c r="C4" s="52">
        <f>B4/B16</f>
        <v>0.829787234</v>
      </c>
    </row>
    <row r="5">
      <c r="A5" s="55" t="s">
        <v>208</v>
      </c>
      <c r="B5" s="56">
        <f>AVERAGE('Table 2_Sampling_Stats'!D2:D51)</f>
        <v>28.74</v>
      </c>
      <c r="C5" s="57">
        <f>B5/B2</f>
        <v>0.898125</v>
      </c>
    </row>
    <row r="6">
      <c r="A6" s="55" t="s">
        <v>209</v>
      </c>
      <c r="B6" s="58">
        <f>STDEV('Table 2_Sampling_Stats'!D2:D51)</f>
        <v>6.388158688</v>
      </c>
      <c r="C6" s="48"/>
    </row>
    <row r="7">
      <c r="A7" s="55" t="s">
        <v>210</v>
      </c>
      <c r="B7" s="58">
        <f>B6/SQRT(COUNTA('Table 2_Sampling_Stats'!D2:D51))</f>
        <v>0.9034220656</v>
      </c>
      <c r="C7" s="48"/>
    </row>
    <row r="8">
      <c r="A8" s="55" t="s">
        <v>211</v>
      </c>
      <c r="B8" s="52" t="str">
        <f>IFERROR(__xludf.DUMMYFUNCTION("UNIQUE('Table 2_Sampling_Stats'!D2:D51)"),"#REF!")</f>
        <v>#REF!</v>
      </c>
      <c r="C8" s="48"/>
    </row>
    <row r="9">
      <c r="A9" s="55" t="s">
        <v>212</v>
      </c>
      <c r="B9" s="52"/>
      <c r="C9" s="48"/>
    </row>
    <row r="10">
      <c r="A10" s="55" t="s">
        <v>213</v>
      </c>
      <c r="B10" s="52"/>
      <c r="C10" s="48"/>
    </row>
    <row r="11">
      <c r="A11" s="55" t="s">
        <v>214</v>
      </c>
      <c r="B11" s="59">
        <f>COUNTIF('Table 2_Sampling_Stats'!$E$2:$E$51,B8)+3</f>
        <v>3</v>
      </c>
      <c r="C11" s="60">
        <f t="shared" ref="C11:C13" si="1">B11/$B$16</f>
        <v>0.06382978723</v>
      </c>
    </row>
    <row r="12">
      <c r="A12" s="55" t="s">
        <v>215</v>
      </c>
      <c r="B12" s="59">
        <f>COUNTIF('Table 2_Sampling_Stats'!$E$2:$E$51,B9)-6</f>
        <v>-6</v>
      </c>
      <c r="C12" s="60">
        <f t="shared" si="1"/>
        <v>-0.1276595745</v>
      </c>
    </row>
    <row r="13">
      <c r="A13" s="55" t="s">
        <v>216</v>
      </c>
      <c r="B13" s="59">
        <f>COUNTIF('Table 2_Sampling_Stats'!$E$2:$E$51,B10)</f>
        <v>0</v>
      </c>
      <c r="C13" s="60">
        <f t="shared" si="1"/>
        <v>0</v>
      </c>
    </row>
    <row r="14">
      <c r="A14" s="61" t="s">
        <v>204</v>
      </c>
      <c r="B14" s="62">
        <f>SUM(B11:B13)</f>
        <v>-3</v>
      </c>
    </row>
    <row r="15">
      <c r="A15" s="61" t="s">
        <v>217</v>
      </c>
      <c r="B15" s="63">
        <v>3.0</v>
      </c>
    </row>
    <row r="16">
      <c r="A16" s="61" t="s">
        <v>218</v>
      </c>
      <c r="B16" s="62">
        <f>47</f>
        <v>47</v>
      </c>
      <c r="C16" s="64">
        <f>B16/B16</f>
        <v>1</v>
      </c>
    </row>
    <row r="17">
      <c r="B17" s="62"/>
    </row>
    <row r="18">
      <c r="B18" s="62"/>
    </row>
    <row r="19">
      <c r="B19" s="62"/>
    </row>
    <row r="20">
      <c r="B20" s="62"/>
    </row>
    <row r="21">
      <c r="B21" s="62"/>
    </row>
    <row r="22">
      <c r="B22" s="62"/>
    </row>
    <row r="23">
      <c r="B23" s="62"/>
    </row>
    <row r="24">
      <c r="B24" s="62"/>
    </row>
    <row r="25">
      <c r="B25" s="62"/>
    </row>
    <row r="26">
      <c r="B26" s="62"/>
    </row>
    <row r="27">
      <c r="B27" s="62"/>
    </row>
    <row r="28">
      <c r="B28" s="62"/>
    </row>
    <row r="29">
      <c r="B29" s="62"/>
    </row>
    <row r="30">
      <c r="B30" s="62"/>
    </row>
    <row r="31">
      <c r="B31" s="62"/>
    </row>
    <row r="32">
      <c r="B32" s="62"/>
    </row>
    <row r="33">
      <c r="B33" s="62"/>
    </row>
    <row r="34">
      <c r="B34" s="62"/>
    </row>
    <row r="35">
      <c r="B35" s="62"/>
    </row>
    <row r="36">
      <c r="B36" s="62"/>
    </row>
    <row r="37">
      <c r="B37" s="62"/>
    </row>
    <row r="38">
      <c r="B38" s="62"/>
    </row>
    <row r="39">
      <c r="B39" s="62"/>
    </row>
    <row r="40">
      <c r="B40" s="62"/>
    </row>
    <row r="41">
      <c r="B41" s="62"/>
    </row>
    <row r="42">
      <c r="B42" s="62"/>
    </row>
    <row r="43">
      <c r="B43" s="62"/>
    </row>
    <row r="44">
      <c r="B44" s="62"/>
    </row>
    <row r="45">
      <c r="B45" s="62"/>
    </row>
    <row r="46">
      <c r="B46" s="62"/>
    </row>
    <row r="47">
      <c r="B47" s="62"/>
    </row>
    <row r="48">
      <c r="B48" s="62"/>
    </row>
    <row r="49">
      <c r="B49" s="62"/>
    </row>
    <row r="50">
      <c r="B50" s="62"/>
    </row>
    <row r="51">
      <c r="B51" s="62"/>
    </row>
    <row r="52">
      <c r="B52" s="62"/>
    </row>
    <row r="53">
      <c r="B53" s="62"/>
    </row>
    <row r="54">
      <c r="B54" s="62"/>
    </row>
    <row r="55">
      <c r="B55" s="62"/>
    </row>
    <row r="56">
      <c r="B56" s="62"/>
    </row>
    <row r="57">
      <c r="B57" s="62"/>
    </row>
    <row r="58">
      <c r="B58" s="62"/>
    </row>
    <row r="59">
      <c r="B59" s="62"/>
    </row>
    <row r="60">
      <c r="B60" s="62"/>
    </row>
    <row r="61">
      <c r="B61" s="62"/>
    </row>
    <row r="62">
      <c r="B62" s="62"/>
    </row>
    <row r="63">
      <c r="B63" s="62"/>
    </row>
    <row r="64">
      <c r="B64" s="62"/>
    </row>
    <row r="65">
      <c r="B65" s="62"/>
    </row>
    <row r="66">
      <c r="B66" s="62"/>
    </row>
    <row r="67">
      <c r="B67" s="62"/>
    </row>
    <row r="68">
      <c r="B68" s="62"/>
    </row>
    <row r="69">
      <c r="B69" s="62"/>
    </row>
    <row r="70">
      <c r="B70" s="62"/>
    </row>
    <row r="71">
      <c r="B71" s="62"/>
    </row>
    <row r="72">
      <c r="B72" s="62"/>
    </row>
    <row r="73">
      <c r="B73" s="62"/>
    </row>
    <row r="74">
      <c r="B74" s="62"/>
    </row>
    <row r="75">
      <c r="B75" s="62"/>
    </row>
    <row r="76">
      <c r="B76" s="62"/>
    </row>
    <row r="77">
      <c r="B77" s="62"/>
    </row>
    <row r="78">
      <c r="B78" s="62"/>
    </row>
    <row r="79">
      <c r="B79" s="62"/>
    </row>
    <row r="80">
      <c r="B80" s="62"/>
    </row>
    <row r="81">
      <c r="B81" s="62"/>
    </row>
    <row r="82">
      <c r="B82" s="62"/>
    </row>
    <row r="83">
      <c r="B83" s="62"/>
    </row>
    <row r="84">
      <c r="B84" s="62"/>
    </row>
    <row r="85">
      <c r="B85" s="62"/>
    </row>
    <row r="86">
      <c r="B86" s="62"/>
    </row>
    <row r="87">
      <c r="B87" s="62"/>
    </row>
    <row r="88">
      <c r="B88" s="62"/>
    </row>
    <row r="89">
      <c r="B89" s="62"/>
    </row>
    <row r="90">
      <c r="B90" s="62"/>
    </row>
    <row r="91">
      <c r="B91" s="62"/>
    </row>
    <row r="92">
      <c r="B92" s="62"/>
    </row>
    <row r="93">
      <c r="B93" s="62"/>
    </row>
    <row r="94">
      <c r="B94" s="62"/>
    </row>
    <row r="95">
      <c r="B95" s="62"/>
    </row>
    <row r="96">
      <c r="B96" s="62"/>
    </row>
    <row r="97">
      <c r="B97" s="62"/>
    </row>
    <row r="98">
      <c r="B98" s="62"/>
    </row>
    <row r="99">
      <c r="B99" s="62"/>
    </row>
    <row r="100">
      <c r="B100" s="62"/>
    </row>
    <row r="101">
      <c r="B101" s="62"/>
    </row>
    <row r="102">
      <c r="B102" s="62"/>
    </row>
    <row r="103">
      <c r="B103" s="62"/>
    </row>
    <row r="104">
      <c r="B104" s="62"/>
    </row>
    <row r="105">
      <c r="B105" s="62"/>
    </row>
    <row r="106">
      <c r="B106" s="62"/>
    </row>
    <row r="107">
      <c r="B107" s="62"/>
    </row>
    <row r="108">
      <c r="B108" s="62"/>
    </row>
    <row r="109">
      <c r="B109" s="62"/>
    </row>
    <row r="110">
      <c r="B110" s="62"/>
    </row>
    <row r="111">
      <c r="B111" s="62"/>
    </row>
    <row r="112">
      <c r="B112" s="62"/>
    </row>
    <row r="113">
      <c r="B113" s="62"/>
    </row>
    <row r="114">
      <c r="B114" s="62"/>
    </row>
    <row r="115">
      <c r="B115" s="62"/>
    </row>
    <row r="116">
      <c r="B116" s="62"/>
    </row>
    <row r="117">
      <c r="B117" s="62"/>
    </row>
    <row r="118">
      <c r="B118" s="62"/>
    </row>
    <row r="119">
      <c r="B119" s="62"/>
    </row>
    <row r="120">
      <c r="B120" s="62"/>
    </row>
    <row r="121">
      <c r="B121" s="62"/>
    </row>
    <row r="122">
      <c r="B122" s="62"/>
    </row>
    <row r="123">
      <c r="B123" s="62"/>
    </row>
    <row r="124">
      <c r="B124" s="62"/>
    </row>
    <row r="125">
      <c r="B125" s="62"/>
    </row>
    <row r="126">
      <c r="B126" s="62"/>
    </row>
    <row r="127">
      <c r="B127" s="62"/>
    </row>
    <row r="128">
      <c r="B128" s="62"/>
    </row>
    <row r="129">
      <c r="B129" s="62"/>
    </row>
    <row r="130">
      <c r="B130" s="62"/>
    </row>
    <row r="131">
      <c r="B131" s="62"/>
    </row>
    <row r="132">
      <c r="B132" s="62"/>
    </row>
    <row r="133">
      <c r="B133" s="62"/>
    </row>
    <row r="134">
      <c r="B134" s="62"/>
    </row>
    <row r="135">
      <c r="B135" s="62"/>
    </row>
    <row r="136">
      <c r="B136" s="62"/>
    </row>
    <row r="137">
      <c r="B137" s="62"/>
    </row>
    <row r="138">
      <c r="B138" s="62"/>
    </row>
    <row r="139">
      <c r="B139" s="62"/>
    </row>
    <row r="140">
      <c r="B140" s="62"/>
    </row>
    <row r="141">
      <c r="B141" s="62"/>
    </row>
    <row r="142">
      <c r="B142" s="62"/>
    </row>
    <row r="143">
      <c r="B143" s="62"/>
    </row>
    <row r="144">
      <c r="B144" s="62"/>
    </row>
    <row r="145">
      <c r="B145" s="62"/>
    </row>
    <row r="146">
      <c r="B146" s="62"/>
    </row>
    <row r="147">
      <c r="B147" s="62"/>
    </row>
    <row r="148">
      <c r="B148" s="62"/>
    </row>
    <row r="149">
      <c r="B149" s="62"/>
    </row>
    <row r="150">
      <c r="B150" s="62"/>
    </row>
    <row r="151">
      <c r="B151" s="62"/>
    </row>
    <row r="152">
      <c r="B152" s="62"/>
    </row>
    <row r="153">
      <c r="B153" s="62"/>
    </row>
    <row r="154">
      <c r="B154" s="62"/>
    </row>
    <row r="155">
      <c r="B155" s="62"/>
    </row>
    <row r="156">
      <c r="B156" s="62"/>
    </row>
    <row r="157">
      <c r="B157" s="62"/>
    </row>
    <row r="158">
      <c r="B158" s="62"/>
    </row>
    <row r="159">
      <c r="B159" s="62"/>
    </row>
    <row r="160">
      <c r="B160" s="62"/>
    </row>
    <row r="161">
      <c r="B161" s="62"/>
    </row>
    <row r="162">
      <c r="B162" s="62"/>
    </row>
    <row r="163">
      <c r="B163" s="62"/>
    </row>
    <row r="164">
      <c r="B164" s="62"/>
    </row>
    <row r="165">
      <c r="B165" s="62"/>
    </row>
    <row r="166">
      <c r="B166" s="62"/>
    </row>
    <row r="167">
      <c r="B167" s="62"/>
    </row>
    <row r="168">
      <c r="B168" s="62"/>
    </row>
    <row r="169">
      <c r="B169" s="62"/>
    </row>
    <row r="170">
      <c r="B170" s="62"/>
    </row>
    <row r="171">
      <c r="B171" s="62"/>
    </row>
    <row r="172">
      <c r="B172" s="62"/>
    </row>
    <row r="173">
      <c r="B173" s="62"/>
    </row>
    <row r="174">
      <c r="B174" s="62"/>
    </row>
    <row r="175">
      <c r="B175" s="62"/>
    </row>
    <row r="176">
      <c r="B176" s="62"/>
    </row>
    <row r="177">
      <c r="B177" s="62"/>
    </row>
    <row r="178">
      <c r="B178" s="62"/>
    </row>
    <row r="179">
      <c r="B179" s="62"/>
    </row>
    <row r="180">
      <c r="B180" s="62"/>
    </row>
    <row r="181">
      <c r="B181" s="62"/>
    </row>
    <row r="182">
      <c r="B182" s="62"/>
    </row>
    <row r="183">
      <c r="B183" s="62"/>
    </row>
    <row r="184">
      <c r="B184" s="62"/>
    </row>
    <row r="185">
      <c r="B185" s="62"/>
    </row>
    <row r="186">
      <c r="B186" s="62"/>
    </row>
    <row r="187">
      <c r="B187" s="62"/>
    </row>
    <row r="188">
      <c r="B188" s="62"/>
    </row>
    <row r="189">
      <c r="B189" s="62"/>
    </row>
    <row r="190">
      <c r="B190" s="62"/>
    </row>
    <row r="191">
      <c r="B191" s="62"/>
    </row>
    <row r="192">
      <c r="B192" s="62"/>
    </row>
    <row r="193">
      <c r="B193" s="62"/>
    </row>
    <row r="194">
      <c r="B194" s="62"/>
    </row>
    <row r="195">
      <c r="B195" s="62"/>
    </row>
    <row r="196">
      <c r="B196" s="62"/>
    </row>
    <row r="197">
      <c r="B197" s="62"/>
    </row>
    <row r="198">
      <c r="B198" s="62"/>
    </row>
    <row r="199">
      <c r="B199" s="62"/>
    </row>
    <row r="200">
      <c r="B200" s="62"/>
    </row>
    <row r="201">
      <c r="B201" s="62"/>
    </row>
    <row r="202">
      <c r="B202" s="62"/>
    </row>
    <row r="203">
      <c r="B203" s="62"/>
    </row>
    <row r="204">
      <c r="B204" s="62"/>
    </row>
    <row r="205">
      <c r="B205" s="62"/>
    </row>
    <row r="206">
      <c r="B206" s="62"/>
    </row>
    <row r="207">
      <c r="B207" s="62"/>
    </row>
    <row r="208">
      <c r="B208" s="62"/>
    </row>
    <row r="209">
      <c r="B209" s="62"/>
    </row>
    <row r="210">
      <c r="B210" s="62"/>
    </row>
    <row r="211">
      <c r="B211" s="62"/>
    </row>
    <row r="212">
      <c r="B212" s="62"/>
    </row>
    <row r="213">
      <c r="B213" s="62"/>
    </row>
    <row r="214">
      <c r="B214" s="62"/>
    </row>
    <row r="215">
      <c r="B215" s="62"/>
    </row>
    <row r="216">
      <c r="B216" s="62"/>
    </row>
    <row r="217">
      <c r="B217" s="62"/>
    </row>
    <row r="218">
      <c r="B218" s="62"/>
    </row>
    <row r="219">
      <c r="B219" s="62"/>
    </row>
    <row r="220">
      <c r="B220" s="62"/>
    </row>
    <row r="221">
      <c r="B221" s="62"/>
    </row>
    <row r="222">
      <c r="B222" s="62"/>
    </row>
    <row r="223">
      <c r="B223" s="62"/>
    </row>
    <row r="224">
      <c r="B224" s="62"/>
    </row>
    <row r="225">
      <c r="B225" s="62"/>
    </row>
    <row r="226">
      <c r="B226" s="62"/>
    </row>
    <row r="227">
      <c r="B227" s="62"/>
    </row>
    <row r="228">
      <c r="B228" s="62"/>
    </row>
    <row r="229">
      <c r="B229" s="62"/>
    </row>
    <row r="230">
      <c r="B230" s="62"/>
    </row>
    <row r="231">
      <c r="B231" s="62"/>
    </row>
    <row r="232">
      <c r="B232" s="62"/>
    </row>
    <row r="233">
      <c r="B233" s="62"/>
    </row>
    <row r="234">
      <c r="B234" s="62"/>
    </row>
    <row r="235">
      <c r="B235" s="62"/>
    </row>
    <row r="236">
      <c r="B236" s="62"/>
    </row>
    <row r="237">
      <c r="B237" s="62"/>
    </row>
    <row r="238">
      <c r="B238" s="62"/>
    </row>
    <row r="239">
      <c r="B239" s="62"/>
    </row>
    <row r="240">
      <c r="B240" s="62"/>
    </row>
    <row r="241">
      <c r="B241" s="62"/>
    </row>
    <row r="242">
      <c r="B242" s="62"/>
    </row>
    <row r="243">
      <c r="B243" s="62"/>
    </row>
    <row r="244">
      <c r="B244" s="62"/>
    </row>
    <row r="245">
      <c r="B245" s="62"/>
    </row>
    <row r="246">
      <c r="B246" s="62"/>
    </row>
    <row r="247">
      <c r="B247" s="62"/>
    </row>
    <row r="248">
      <c r="B248" s="62"/>
    </row>
    <row r="249">
      <c r="B249" s="62"/>
    </row>
    <row r="250">
      <c r="B250" s="62"/>
    </row>
    <row r="251">
      <c r="B251" s="62"/>
    </row>
    <row r="252">
      <c r="B252" s="62"/>
    </row>
    <row r="253">
      <c r="B253" s="62"/>
    </row>
    <row r="254">
      <c r="B254" s="62"/>
    </row>
    <row r="255">
      <c r="B255" s="62"/>
    </row>
    <row r="256">
      <c r="B256" s="62"/>
    </row>
    <row r="257">
      <c r="B257" s="62"/>
    </row>
    <row r="258">
      <c r="B258" s="62"/>
    </row>
    <row r="259">
      <c r="B259" s="62"/>
    </row>
    <row r="260">
      <c r="B260" s="62"/>
    </row>
    <row r="261">
      <c r="B261" s="62"/>
    </row>
    <row r="262">
      <c r="B262" s="62"/>
    </row>
    <row r="263">
      <c r="B263" s="62"/>
    </row>
    <row r="264">
      <c r="B264" s="62"/>
    </row>
    <row r="265">
      <c r="B265" s="62"/>
    </row>
    <row r="266">
      <c r="B266" s="62"/>
    </row>
    <row r="267">
      <c r="B267" s="62"/>
    </row>
    <row r="268">
      <c r="B268" s="62"/>
    </row>
    <row r="269">
      <c r="B269" s="62"/>
    </row>
    <row r="270">
      <c r="B270" s="62"/>
    </row>
    <row r="271">
      <c r="B271" s="62"/>
    </row>
    <row r="272">
      <c r="B272" s="62"/>
    </row>
    <row r="273">
      <c r="B273" s="62"/>
    </row>
    <row r="274">
      <c r="B274" s="62"/>
    </row>
    <row r="275">
      <c r="B275" s="62"/>
    </row>
    <row r="276">
      <c r="B276" s="62"/>
    </row>
    <row r="277">
      <c r="B277" s="62"/>
    </row>
    <row r="278">
      <c r="B278" s="62"/>
    </row>
    <row r="279">
      <c r="B279" s="62"/>
    </row>
    <row r="280">
      <c r="B280" s="62"/>
    </row>
    <row r="281">
      <c r="B281" s="62"/>
    </row>
    <row r="282">
      <c r="B282" s="62"/>
    </row>
    <row r="283">
      <c r="B283" s="62"/>
    </row>
    <row r="284">
      <c r="B284" s="62"/>
    </row>
    <row r="285">
      <c r="B285" s="62"/>
    </row>
    <row r="286">
      <c r="B286" s="62"/>
    </row>
    <row r="287">
      <c r="B287" s="62"/>
    </row>
    <row r="288">
      <c r="B288" s="62"/>
    </row>
    <row r="289">
      <c r="B289" s="62"/>
    </row>
    <row r="290">
      <c r="B290" s="62"/>
    </row>
    <row r="291">
      <c r="B291" s="62"/>
    </row>
    <row r="292">
      <c r="B292" s="62"/>
    </row>
    <row r="293">
      <c r="B293" s="62"/>
    </row>
    <row r="294">
      <c r="B294" s="62"/>
    </row>
    <row r="295">
      <c r="B295" s="62"/>
    </row>
    <row r="296">
      <c r="B296" s="62"/>
    </row>
    <row r="297">
      <c r="B297" s="62"/>
    </row>
    <row r="298">
      <c r="B298" s="62"/>
    </row>
    <row r="299">
      <c r="B299" s="62"/>
    </row>
    <row r="300">
      <c r="B300" s="62"/>
    </row>
    <row r="301">
      <c r="B301" s="62"/>
    </row>
    <row r="302">
      <c r="B302" s="62"/>
    </row>
    <row r="303">
      <c r="B303" s="62"/>
    </row>
    <row r="304">
      <c r="B304" s="62"/>
    </row>
    <row r="305">
      <c r="B305" s="62"/>
    </row>
    <row r="306">
      <c r="B306" s="62"/>
    </row>
    <row r="307">
      <c r="B307" s="62"/>
    </row>
    <row r="308">
      <c r="B308" s="62"/>
    </row>
    <row r="309">
      <c r="B309" s="62"/>
    </row>
    <row r="310">
      <c r="B310" s="62"/>
    </row>
    <row r="311">
      <c r="B311" s="62"/>
    </row>
    <row r="312">
      <c r="B312" s="62"/>
    </row>
    <row r="313">
      <c r="B313" s="62"/>
    </row>
    <row r="314">
      <c r="B314" s="62"/>
    </row>
    <row r="315">
      <c r="B315" s="62"/>
    </row>
    <row r="316">
      <c r="B316" s="62"/>
    </row>
    <row r="317">
      <c r="B317" s="62"/>
    </row>
    <row r="318">
      <c r="B318" s="62"/>
    </row>
    <row r="319">
      <c r="B319" s="62"/>
    </row>
    <row r="320">
      <c r="B320" s="62"/>
    </row>
    <row r="321">
      <c r="B321" s="62"/>
    </row>
    <row r="322">
      <c r="B322" s="62"/>
    </row>
    <row r="323">
      <c r="B323" s="62"/>
    </row>
    <row r="324">
      <c r="B324" s="62"/>
    </row>
    <row r="325">
      <c r="B325" s="62"/>
    </row>
    <row r="326">
      <c r="B326" s="62"/>
    </row>
    <row r="327">
      <c r="B327" s="62"/>
    </row>
    <row r="328">
      <c r="B328" s="62"/>
    </row>
    <row r="329">
      <c r="B329" s="62"/>
    </row>
    <row r="330">
      <c r="B330" s="62"/>
    </row>
    <row r="331">
      <c r="B331" s="62"/>
    </row>
    <row r="332">
      <c r="B332" s="62"/>
    </row>
    <row r="333">
      <c r="B333" s="62"/>
    </row>
    <row r="334">
      <c r="B334" s="62"/>
    </row>
    <row r="335">
      <c r="B335" s="62"/>
    </row>
    <row r="336">
      <c r="B336" s="62"/>
    </row>
    <row r="337">
      <c r="B337" s="62"/>
    </row>
    <row r="338">
      <c r="B338" s="62"/>
    </row>
    <row r="339">
      <c r="B339" s="62"/>
    </row>
    <row r="340">
      <c r="B340" s="62"/>
    </row>
    <row r="341">
      <c r="B341" s="62"/>
    </row>
    <row r="342">
      <c r="B342" s="62"/>
    </row>
    <row r="343">
      <c r="B343" s="62"/>
    </row>
    <row r="344">
      <c r="B344" s="62"/>
    </row>
    <row r="345">
      <c r="B345" s="62"/>
    </row>
    <row r="346">
      <c r="B346" s="62"/>
    </row>
    <row r="347">
      <c r="B347" s="62"/>
    </row>
    <row r="348">
      <c r="B348" s="62"/>
    </row>
    <row r="349">
      <c r="B349" s="62"/>
    </row>
    <row r="350">
      <c r="B350" s="62"/>
    </row>
    <row r="351">
      <c r="B351" s="62"/>
    </row>
    <row r="352">
      <c r="B352" s="62"/>
    </row>
    <row r="353">
      <c r="B353" s="62"/>
    </row>
    <row r="354">
      <c r="B354" s="62"/>
    </row>
    <row r="355">
      <c r="B355" s="62"/>
    </row>
    <row r="356">
      <c r="B356" s="62"/>
    </row>
    <row r="357">
      <c r="B357" s="62"/>
    </row>
    <row r="358">
      <c r="B358" s="62"/>
    </row>
    <row r="359">
      <c r="B359" s="62"/>
    </row>
    <row r="360">
      <c r="B360" s="62"/>
    </row>
    <row r="361">
      <c r="B361" s="62"/>
    </row>
    <row r="362">
      <c r="B362" s="62"/>
    </row>
    <row r="363">
      <c r="B363" s="62"/>
    </row>
    <row r="364">
      <c r="B364" s="62"/>
    </row>
    <row r="365">
      <c r="B365" s="62"/>
    </row>
    <row r="366">
      <c r="B366" s="62"/>
    </row>
    <row r="367">
      <c r="B367" s="62"/>
    </row>
    <row r="368">
      <c r="B368" s="62"/>
    </row>
    <row r="369">
      <c r="B369" s="62"/>
    </row>
    <row r="370">
      <c r="B370" s="62"/>
    </row>
    <row r="371">
      <c r="B371" s="62"/>
    </row>
    <row r="372">
      <c r="B372" s="62"/>
    </row>
    <row r="373">
      <c r="B373" s="62"/>
    </row>
    <row r="374">
      <c r="B374" s="62"/>
    </row>
    <row r="375">
      <c r="B375" s="62"/>
    </row>
    <row r="376">
      <c r="B376" s="62"/>
    </row>
    <row r="377">
      <c r="B377" s="62"/>
    </row>
    <row r="378">
      <c r="B378" s="62"/>
    </row>
    <row r="379">
      <c r="B379" s="62"/>
    </row>
    <row r="380">
      <c r="B380" s="62"/>
    </row>
    <row r="381">
      <c r="B381" s="62"/>
    </row>
    <row r="382">
      <c r="B382" s="62"/>
    </row>
    <row r="383">
      <c r="B383" s="62"/>
    </row>
    <row r="384">
      <c r="B384" s="62"/>
    </row>
    <row r="385">
      <c r="B385" s="62"/>
    </row>
    <row r="386">
      <c r="B386" s="62"/>
    </row>
    <row r="387">
      <c r="B387" s="62"/>
    </row>
    <row r="388">
      <c r="B388" s="62"/>
    </row>
    <row r="389">
      <c r="B389" s="62"/>
    </row>
    <row r="390">
      <c r="B390" s="62"/>
    </row>
    <row r="391">
      <c r="B391" s="62"/>
    </row>
    <row r="392">
      <c r="B392" s="62"/>
    </row>
    <row r="393">
      <c r="B393" s="62"/>
    </row>
    <row r="394">
      <c r="B394" s="62"/>
    </row>
    <row r="395">
      <c r="B395" s="62"/>
    </row>
    <row r="396">
      <c r="B396" s="62"/>
    </row>
    <row r="397">
      <c r="B397" s="62"/>
    </row>
    <row r="398">
      <c r="B398" s="62"/>
    </row>
    <row r="399">
      <c r="B399" s="62"/>
    </row>
    <row r="400">
      <c r="B400" s="62"/>
    </row>
    <row r="401">
      <c r="B401" s="62"/>
    </row>
    <row r="402">
      <c r="B402" s="62"/>
    </row>
    <row r="403">
      <c r="B403" s="62"/>
    </row>
    <row r="404">
      <c r="B404" s="62"/>
    </row>
    <row r="405">
      <c r="B405" s="62"/>
    </row>
    <row r="406">
      <c r="B406" s="62"/>
    </row>
    <row r="407">
      <c r="B407" s="62"/>
    </row>
    <row r="408">
      <c r="B408" s="62"/>
    </row>
    <row r="409">
      <c r="B409" s="62"/>
    </row>
    <row r="410">
      <c r="B410" s="62"/>
    </row>
    <row r="411">
      <c r="B411" s="62"/>
    </row>
    <row r="412">
      <c r="B412" s="62"/>
    </row>
    <row r="413">
      <c r="B413" s="62"/>
    </row>
    <row r="414">
      <c r="B414" s="62"/>
    </row>
    <row r="415">
      <c r="B415" s="62"/>
    </row>
    <row r="416">
      <c r="B416" s="62"/>
    </row>
    <row r="417">
      <c r="B417" s="62"/>
    </row>
    <row r="418">
      <c r="B418" s="62"/>
    </row>
    <row r="419">
      <c r="B419" s="62"/>
    </row>
    <row r="420">
      <c r="B420" s="62"/>
    </row>
    <row r="421">
      <c r="B421" s="62"/>
    </row>
    <row r="422">
      <c r="B422" s="62"/>
    </row>
    <row r="423">
      <c r="B423" s="62"/>
    </row>
    <row r="424">
      <c r="B424" s="62"/>
    </row>
    <row r="425">
      <c r="B425" s="62"/>
    </row>
    <row r="426">
      <c r="B426" s="62"/>
    </row>
    <row r="427">
      <c r="B427" s="62"/>
    </row>
    <row r="428">
      <c r="B428" s="62"/>
    </row>
    <row r="429">
      <c r="B429" s="62"/>
    </row>
    <row r="430">
      <c r="B430" s="62"/>
    </row>
    <row r="431">
      <c r="B431" s="62"/>
    </row>
    <row r="432">
      <c r="B432" s="62"/>
    </row>
    <row r="433">
      <c r="B433" s="62"/>
    </row>
    <row r="434">
      <c r="B434" s="62"/>
    </row>
    <row r="435">
      <c r="B435" s="62"/>
    </row>
    <row r="436">
      <c r="B436" s="62"/>
    </row>
    <row r="437">
      <c r="B437" s="62"/>
    </row>
    <row r="438">
      <c r="B438" s="62"/>
    </row>
    <row r="439">
      <c r="B439" s="62"/>
    </row>
    <row r="440">
      <c r="B440" s="62"/>
    </row>
    <row r="441">
      <c r="B441" s="62"/>
    </row>
    <row r="442">
      <c r="B442" s="62"/>
    </row>
    <row r="443">
      <c r="B443" s="62"/>
    </row>
    <row r="444">
      <c r="B444" s="62"/>
    </row>
    <row r="445">
      <c r="B445" s="62"/>
    </row>
    <row r="446">
      <c r="B446" s="62"/>
    </row>
    <row r="447">
      <c r="B447" s="62"/>
    </row>
    <row r="448">
      <c r="B448" s="62"/>
    </row>
    <row r="449">
      <c r="B449" s="62"/>
    </row>
    <row r="450">
      <c r="B450" s="62"/>
    </row>
    <row r="451">
      <c r="B451" s="62"/>
    </row>
    <row r="452">
      <c r="B452" s="62"/>
    </row>
    <row r="453">
      <c r="B453" s="62"/>
    </row>
    <row r="454">
      <c r="B454" s="62"/>
    </row>
    <row r="455">
      <c r="B455" s="62"/>
    </row>
    <row r="456">
      <c r="B456" s="62"/>
    </row>
    <row r="457">
      <c r="B457" s="62"/>
    </row>
    <row r="458">
      <c r="B458" s="62"/>
    </row>
    <row r="459">
      <c r="B459" s="62"/>
    </row>
    <row r="460">
      <c r="B460" s="62"/>
    </row>
    <row r="461">
      <c r="B461" s="62"/>
    </row>
    <row r="462">
      <c r="B462" s="62"/>
    </row>
    <row r="463">
      <c r="B463" s="62"/>
    </row>
    <row r="464">
      <c r="B464" s="62"/>
    </row>
    <row r="465">
      <c r="B465" s="62"/>
    </row>
    <row r="466">
      <c r="B466" s="62"/>
    </row>
    <row r="467">
      <c r="B467" s="62"/>
    </row>
    <row r="468">
      <c r="B468" s="62"/>
    </row>
    <row r="469">
      <c r="B469" s="62"/>
    </row>
    <row r="470">
      <c r="B470" s="62"/>
    </row>
    <row r="471">
      <c r="B471" s="62"/>
    </row>
    <row r="472">
      <c r="B472" s="62"/>
    </row>
    <row r="473">
      <c r="B473" s="62"/>
    </row>
    <row r="474">
      <c r="B474" s="62"/>
    </row>
    <row r="475">
      <c r="B475" s="62"/>
    </row>
    <row r="476">
      <c r="B476" s="62"/>
    </row>
    <row r="477">
      <c r="B477" s="62"/>
    </row>
    <row r="478">
      <c r="B478" s="62"/>
    </row>
    <row r="479">
      <c r="B479" s="62"/>
    </row>
    <row r="480">
      <c r="B480" s="62"/>
    </row>
    <row r="481">
      <c r="B481" s="62"/>
    </row>
    <row r="482">
      <c r="B482" s="62"/>
    </row>
    <row r="483">
      <c r="B483" s="62"/>
    </row>
    <row r="484">
      <c r="B484" s="62"/>
    </row>
    <row r="485">
      <c r="B485" s="62"/>
    </row>
    <row r="486">
      <c r="B486" s="62"/>
    </row>
    <row r="487">
      <c r="B487" s="62"/>
    </row>
    <row r="488">
      <c r="B488" s="62"/>
    </row>
    <row r="489">
      <c r="B489" s="62"/>
    </row>
    <row r="490">
      <c r="B490" s="62"/>
    </row>
    <row r="491">
      <c r="B491" s="62"/>
    </row>
    <row r="492">
      <c r="B492" s="62"/>
    </row>
    <row r="493">
      <c r="B493" s="62"/>
    </row>
    <row r="494">
      <c r="B494" s="62"/>
    </row>
    <row r="495">
      <c r="B495" s="62"/>
    </row>
    <row r="496">
      <c r="B496" s="62"/>
    </row>
    <row r="497">
      <c r="B497" s="62"/>
    </row>
    <row r="498">
      <c r="B498" s="62"/>
    </row>
    <row r="499">
      <c r="B499" s="62"/>
    </row>
    <row r="500">
      <c r="B500" s="62"/>
    </row>
    <row r="501">
      <c r="B501" s="62"/>
    </row>
    <row r="502">
      <c r="B502" s="62"/>
    </row>
    <row r="503">
      <c r="B503" s="62"/>
    </row>
    <row r="504">
      <c r="B504" s="62"/>
    </row>
    <row r="505">
      <c r="B505" s="62"/>
    </row>
    <row r="506">
      <c r="B506" s="62"/>
    </row>
    <row r="507">
      <c r="B507" s="62"/>
    </row>
    <row r="508">
      <c r="B508" s="62"/>
    </row>
    <row r="509">
      <c r="B509" s="62"/>
    </row>
    <row r="510">
      <c r="B510" s="62"/>
    </row>
    <row r="511">
      <c r="B511" s="62"/>
    </row>
    <row r="512">
      <c r="B512" s="62"/>
    </row>
    <row r="513">
      <c r="B513" s="62"/>
    </row>
    <row r="514">
      <c r="B514" s="62"/>
    </row>
    <row r="515">
      <c r="B515" s="62"/>
    </row>
    <row r="516">
      <c r="B516" s="62"/>
    </row>
    <row r="517">
      <c r="B517" s="62"/>
    </row>
    <row r="518">
      <c r="B518" s="62"/>
    </row>
    <row r="519">
      <c r="B519" s="62"/>
    </row>
    <row r="520">
      <c r="B520" s="62"/>
    </row>
    <row r="521">
      <c r="B521" s="62"/>
    </row>
    <row r="522">
      <c r="B522" s="62"/>
    </row>
    <row r="523">
      <c r="B523" s="62"/>
    </row>
    <row r="524">
      <c r="B524" s="62"/>
    </row>
    <row r="525">
      <c r="B525" s="62"/>
    </row>
    <row r="526">
      <c r="B526" s="62"/>
    </row>
    <row r="527">
      <c r="B527" s="62"/>
    </row>
    <row r="528">
      <c r="B528" s="62"/>
    </row>
    <row r="529">
      <c r="B529" s="62"/>
    </row>
    <row r="530">
      <c r="B530" s="62"/>
    </row>
    <row r="531">
      <c r="B531" s="62"/>
    </row>
    <row r="532">
      <c r="B532" s="62"/>
    </row>
    <row r="533">
      <c r="B533" s="62"/>
    </row>
    <row r="534">
      <c r="B534" s="62"/>
    </row>
    <row r="535">
      <c r="B535" s="62"/>
    </row>
    <row r="536">
      <c r="B536" s="62"/>
    </row>
    <row r="537">
      <c r="B537" s="62"/>
    </row>
    <row r="538">
      <c r="B538" s="62"/>
    </row>
    <row r="539">
      <c r="B539" s="62"/>
    </row>
    <row r="540">
      <c r="B540" s="62"/>
    </row>
    <row r="541">
      <c r="B541" s="62"/>
    </row>
    <row r="542">
      <c r="B542" s="62"/>
    </row>
    <row r="543">
      <c r="B543" s="62"/>
    </row>
    <row r="544">
      <c r="B544" s="62"/>
    </row>
    <row r="545">
      <c r="B545" s="62"/>
    </row>
    <row r="546">
      <c r="B546" s="62"/>
    </row>
    <row r="547">
      <c r="B547" s="62"/>
    </row>
    <row r="548">
      <c r="B548" s="62"/>
    </row>
    <row r="549">
      <c r="B549" s="62"/>
    </row>
    <row r="550">
      <c r="B550" s="62"/>
    </row>
    <row r="551">
      <c r="B551" s="62"/>
    </row>
    <row r="552">
      <c r="B552" s="62"/>
    </row>
    <row r="553">
      <c r="B553" s="62"/>
    </row>
    <row r="554">
      <c r="B554" s="62"/>
    </row>
    <row r="555">
      <c r="B555" s="62"/>
    </row>
    <row r="556">
      <c r="B556" s="62"/>
    </row>
    <row r="557">
      <c r="B557" s="62"/>
    </row>
    <row r="558">
      <c r="B558" s="62"/>
    </row>
    <row r="559">
      <c r="B559" s="62"/>
    </row>
    <row r="560">
      <c r="B560" s="62"/>
    </row>
    <row r="561">
      <c r="B561" s="62"/>
    </row>
    <row r="562">
      <c r="B562" s="62"/>
    </row>
    <row r="563">
      <c r="B563" s="62"/>
    </row>
    <row r="564">
      <c r="B564" s="62"/>
    </row>
    <row r="565">
      <c r="B565" s="62"/>
    </row>
    <row r="566">
      <c r="B566" s="62"/>
    </row>
    <row r="567">
      <c r="B567" s="62"/>
    </row>
    <row r="568">
      <c r="B568" s="62"/>
    </row>
    <row r="569">
      <c r="B569" s="62"/>
    </row>
    <row r="570">
      <c r="B570" s="62"/>
    </row>
    <row r="571">
      <c r="B571" s="62"/>
    </row>
    <row r="572">
      <c r="B572" s="62"/>
    </row>
    <row r="573">
      <c r="B573" s="62"/>
    </row>
    <row r="574">
      <c r="B574" s="62"/>
    </row>
    <row r="575">
      <c r="B575" s="62"/>
    </row>
    <row r="576">
      <c r="B576" s="62"/>
    </row>
    <row r="577">
      <c r="B577" s="62"/>
    </row>
    <row r="578">
      <c r="B578" s="62"/>
    </row>
    <row r="579">
      <c r="B579" s="62"/>
    </row>
    <row r="580">
      <c r="B580" s="62"/>
    </row>
    <row r="581">
      <c r="B581" s="62"/>
    </row>
    <row r="582">
      <c r="B582" s="62"/>
    </row>
    <row r="583">
      <c r="B583" s="62"/>
    </row>
    <row r="584">
      <c r="B584" s="62"/>
    </row>
    <row r="585">
      <c r="B585" s="62"/>
    </row>
    <row r="586">
      <c r="B586" s="62"/>
    </row>
    <row r="587">
      <c r="B587" s="62"/>
    </row>
    <row r="588">
      <c r="B588" s="62"/>
    </row>
    <row r="589">
      <c r="B589" s="62"/>
    </row>
    <row r="590">
      <c r="B590" s="62"/>
    </row>
    <row r="591">
      <c r="B591" s="62"/>
    </row>
    <row r="592">
      <c r="B592" s="62"/>
    </row>
    <row r="593">
      <c r="B593" s="62"/>
    </row>
    <row r="594">
      <c r="B594" s="62"/>
    </row>
    <row r="595">
      <c r="B595" s="62"/>
    </row>
    <row r="596">
      <c r="B596" s="62"/>
    </row>
    <row r="597">
      <c r="B597" s="62"/>
    </row>
    <row r="598">
      <c r="B598" s="62"/>
    </row>
    <row r="599">
      <c r="B599" s="62"/>
    </row>
    <row r="600">
      <c r="B600" s="62"/>
    </row>
    <row r="601">
      <c r="B601" s="62"/>
    </row>
    <row r="602">
      <c r="B602" s="62"/>
    </row>
    <row r="603">
      <c r="B603" s="62"/>
    </row>
    <row r="604">
      <c r="B604" s="62"/>
    </row>
    <row r="605">
      <c r="B605" s="62"/>
    </row>
    <row r="606">
      <c r="B606" s="62"/>
    </row>
    <row r="607">
      <c r="B607" s="62"/>
    </row>
    <row r="608">
      <c r="B608" s="62"/>
    </row>
    <row r="609">
      <c r="B609" s="62"/>
    </row>
    <row r="610">
      <c r="B610" s="62"/>
    </row>
    <row r="611">
      <c r="B611" s="62"/>
    </row>
    <row r="612">
      <c r="B612" s="62"/>
    </row>
    <row r="613">
      <c r="B613" s="62"/>
    </row>
    <row r="614">
      <c r="B614" s="62"/>
    </row>
    <row r="615">
      <c r="B615" s="62"/>
    </row>
    <row r="616">
      <c r="B616" s="62"/>
    </row>
    <row r="617">
      <c r="B617" s="62"/>
    </row>
    <row r="618">
      <c r="B618" s="62"/>
    </row>
    <row r="619">
      <c r="B619" s="62"/>
    </row>
    <row r="620">
      <c r="B620" s="62"/>
    </row>
    <row r="621">
      <c r="B621" s="62"/>
    </row>
    <row r="622">
      <c r="B622" s="62"/>
    </row>
    <row r="623">
      <c r="B623" s="62"/>
    </row>
    <row r="624">
      <c r="B624" s="62"/>
    </row>
    <row r="625">
      <c r="B625" s="62"/>
    </row>
    <row r="626">
      <c r="B626" s="62"/>
    </row>
    <row r="627">
      <c r="B627" s="62"/>
    </row>
    <row r="628">
      <c r="B628" s="62"/>
    </row>
    <row r="629">
      <c r="B629" s="62"/>
    </row>
    <row r="630">
      <c r="B630" s="62"/>
    </row>
    <row r="631">
      <c r="B631" s="62"/>
    </row>
    <row r="632">
      <c r="B632" s="62"/>
    </row>
    <row r="633">
      <c r="B633" s="62"/>
    </row>
    <row r="634">
      <c r="B634" s="62"/>
    </row>
    <row r="635">
      <c r="B635" s="62"/>
    </row>
    <row r="636">
      <c r="B636" s="62"/>
    </row>
    <row r="637">
      <c r="B637" s="62"/>
    </row>
    <row r="638">
      <c r="B638" s="62"/>
    </row>
    <row r="639">
      <c r="B639" s="62"/>
    </row>
    <row r="640">
      <c r="B640" s="62"/>
    </row>
    <row r="641">
      <c r="B641" s="62"/>
    </row>
    <row r="642">
      <c r="B642" s="62"/>
    </row>
    <row r="643">
      <c r="B643" s="62"/>
    </row>
    <row r="644">
      <c r="B644" s="62"/>
    </row>
    <row r="645">
      <c r="B645" s="62"/>
    </row>
    <row r="646">
      <c r="B646" s="62"/>
    </row>
    <row r="647">
      <c r="B647" s="62"/>
    </row>
    <row r="648">
      <c r="B648" s="62"/>
    </row>
    <row r="649">
      <c r="B649" s="62"/>
    </row>
    <row r="650">
      <c r="B650" s="62"/>
    </row>
    <row r="651">
      <c r="B651" s="62"/>
    </row>
    <row r="652">
      <c r="B652" s="62"/>
    </row>
    <row r="653">
      <c r="B653" s="62"/>
    </row>
    <row r="654">
      <c r="B654" s="62"/>
    </row>
    <row r="655">
      <c r="B655" s="62"/>
    </row>
    <row r="656">
      <c r="B656" s="62"/>
    </row>
    <row r="657">
      <c r="B657" s="62"/>
    </row>
    <row r="658">
      <c r="B658" s="62"/>
    </row>
    <row r="659">
      <c r="B659" s="62"/>
    </row>
    <row r="660">
      <c r="B660" s="62"/>
    </row>
    <row r="661">
      <c r="B661" s="62"/>
    </row>
    <row r="662">
      <c r="B662" s="62"/>
    </row>
    <row r="663">
      <c r="B663" s="62"/>
    </row>
    <row r="664">
      <c r="B664" s="62"/>
    </row>
    <row r="665">
      <c r="B665" s="62"/>
    </row>
    <row r="666">
      <c r="B666" s="62"/>
    </row>
    <row r="667">
      <c r="B667" s="62"/>
    </row>
    <row r="668">
      <c r="B668" s="62"/>
    </row>
    <row r="669">
      <c r="B669" s="62"/>
    </row>
    <row r="670">
      <c r="B670" s="62"/>
    </row>
    <row r="671">
      <c r="B671" s="62"/>
    </row>
    <row r="672">
      <c r="B672" s="62"/>
    </row>
    <row r="673">
      <c r="B673" s="62"/>
    </row>
    <row r="674">
      <c r="B674" s="62"/>
    </row>
    <row r="675">
      <c r="B675" s="62"/>
    </row>
    <row r="676">
      <c r="B676" s="62"/>
    </row>
    <row r="677">
      <c r="B677" s="62"/>
    </row>
    <row r="678">
      <c r="B678" s="62"/>
    </row>
    <row r="679">
      <c r="B679" s="62"/>
    </row>
    <row r="680">
      <c r="B680" s="62"/>
    </row>
    <row r="681">
      <c r="B681" s="62"/>
    </row>
    <row r="682">
      <c r="B682" s="62"/>
    </row>
    <row r="683">
      <c r="B683" s="62"/>
    </row>
    <row r="684">
      <c r="B684" s="62"/>
    </row>
    <row r="685">
      <c r="B685" s="62"/>
    </row>
    <row r="686">
      <c r="B686" s="62"/>
    </row>
    <row r="687">
      <c r="B687" s="62"/>
    </row>
    <row r="688">
      <c r="B688" s="62"/>
    </row>
    <row r="689">
      <c r="B689" s="62"/>
    </row>
    <row r="690">
      <c r="B690" s="62"/>
    </row>
    <row r="691">
      <c r="B691" s="62"/>
    </row>
    <row r="692">
      <c r="B692" s="62"/>
    </row>
    <row r="693">
      <c r="B693" s="62"/>
    </row>
    <row r="694">
      <c r="B694" s="62"/>
    </row>
    <row r="695">
      <c r="B695" s="62"/>
    </row>
    <row r="696">
      <c r="B696" s="62"/>
    </row>
    <row r="697">
      <c r="B697" s="62"/>
    </row>
    <row r="698">
      <c r="B698" s="62"/>
    </row>
    <row r="699">
      <c r="B699" s="62"/>
    </row>
    <row r="700">
      <c r="B700" s="62"/>
    </row>
    <row r="701">
      <c r="B701" s="62"/>
    </row>
    <row r="702">
      <c r="B702" s="62"/>
    </row>
    <row r="703">
      <c r="B703" s="62"/>
    </row>
    <row r="704">
      <c r="B704" s="62"/>
    </row>
    <row r="705">
      <c r="B705" s="62"/>
    </row>
    <row r="706">
      <c r="B706" s="62"/>
    </row>
    <row r="707">
      <c r="B707" s="62"/>
    </row>
    <row r="708">
      <c r="B708" s="62"/>
    </row>
    <row r="709">
      <c r="B709" s="62"/>
    </row>
    <row r="710">
      <c r="B710" s="62"/>
    </row>
    <row r="711">
      <c r="B711" s="62"/>
    </row>
    <row r="712">
      <c r="B712" s="62"/>
    </row>
    <row r="713">
      <c r="B713" s="62"/>
    </row>
    <row r="714">
      <c r="B714" s="62"/>
    </row>
    <row r="715">
      <c r="B715" s="62"/>
    </row>
    <row r="716">
      <c r="B716" s="62"/>
    </row>
    <row r="717">
      <c r="B717" s="62"/>
    </row>
    <row r="718">
      <c r="B718" s="62"/>
    </row>
    <row r="719">
      <c r="B719" s="62"/>
    </row>
    <row r="720">
      <c r="B720" s="62"/>
    </row>
    <row r="721">
      <c r="B721" s="62"/>
    </row>
    <row r="722">
      <c r="B722" s="62"/>
    </row>
    <row r="723">
      <c r="B723" s="62"/>
    </row>
    <row r="724">
      <c r="B724" s="62"/>
    </row>
    <row r="725">
      <c r="B725" s="62"/>
    </row>
    <row r="726">
      <c r="B726" s="62"/>
    </row>
    <row r="727">
      <c r="B727" s="62"/>
    </row>
    <row r="728">
      <c r="B728" s="62"/>
    </row>
    <row r="729">
      <c r="B729" s="62"/>
    </row>
    <row r="730">
      <c r="B730" s="62"/>
    </row>
    <row r="731">
      <c r="B731" s="62"/>
    </row>
    <row r="732">
      <c r="B732" s="62"/>
    </row>
    <row r="733">
      <c r="B733" s="62"/>
    </row>
    <row r="734">
      <c r="B734" s="62"/>
    </row>
    <row r="735">
      <c r="B735" s="62"/>
    </row>
    <row r="736">
      <c r="B736" s="62"/>
    </row>
    <row r="737">
      <c r="B737" s="62"/>
    </row>
    <row r="738">
      <c r="B738" s="62"/>
    </row>
    <row r="739">
      <c r="B739" s="62"/>
    </row>
    <row r="740">
      <c r="B740" s="62"/>
    </row>
    <row r="741">
      <c r="B741" s="62"/>
    </row>
    <row r="742">
      <c r="B742" s="62"/>
    </row>
    <row r="743">
      <c r="B743" s="62"/>
    </row>
    <row r="744">
      <c r="B744" s="62"/>
    </row>
    <row r="745">
      <c r="B745" s="62"/>
    </row>
    <row r="746">
      <c r="B746" s="62"/>
    </row>
    <row r="747">
      <c r="B747" s="62"/>
    </row>
    <row r="748">
      <c r="B748" s="62"/>
    </row>
    <row r="749">
      <c r="B749" s="62"/>
    </row>
    <row r="750">
      <c r="B750" s="62"/>
    </row>
    <row r="751">
      <c r="B751" s="62"/>
    </row>
    <row r="752">
      <c r="B752" s="62"/>
    </row>
    <row r="753">
      <c r="B753" s="62"/>
    </row>
    <row r="754">
      <c r="B754" s="62"/>
    </row>
    <row r="755">
      <c r="B755" s="62"/>
    </row>
    <row r="756">
      <c r="B756" s="62"/>
    </row>
    <row r="757">
      <c r="B757" s="62"/>
    </row>
    <row r="758">
      <c r="B758" s="62"/>
    </row>
    <row r="759">
      <c r="B759" s="62"/>
    </row>
    <row r="760">
      <c r="B760" s="62"/>
    </row>
    <row r="761">
      <c r="B761" s="62"/>
    </row>
    <row r="762">
      <c r="B762" s="62"/>
    </row>
    <row r="763">
      <c r="B763" s="62"/>
    </row>
    <row r="764">
      <c r="B764" s="62"/>
    </row>
    <row r="765">
      <c r="B765" s="62"/>
    </row>
    <row r="766">
      <c r="B766" s="62"/>
    </row>
    <row r="767">
      <c r="B767" s="62"/>
    </row>
    <row r="768">
      <c r="B768" s="62"/>
    </row>
    <row r="769">
      <c r="B769" s="62"/>
    </row>
    <row r="770">
      <c r="B770" s="62"/>
    </row>
    <row r="771">
      <c r="B771" s="62"/>
    </row>
    <row r="772">
      <c r="B772" s="62"/>
    </row>
    <row r="773">
      <c r="B773" s="62"/>
    </row>
    <row r="774">
      <c r="B774" s="62"/>
    </row>
    <row r="775">
      <c r="B775" s="62"/>
    </row>
    <row r="776">
      <c r="B776" s="62"/>
    </row>
    <row r="777">
      <c r="B777" s="62"/>
    </row>
    <row r="778">
      <c r="B778" s="62"/>
    </row>
    <row r="779">
      <c r="B779" s="62"/>
    </row>
    <row r="780">
      <c r="B780" s="62"/>
    </row>
    <row r="781">
      <c r="B781" s="62"/>
    </row>
    <row r="782">
      <c r="B782" s="62"/>
    </row>
    <row r="783">
      <c r="B783" s="62"/>
    </row>
    <row r="784">
      <c r="B784" s="62"/>
    </row>
    <row r="785">
      <c r="B785" s="62"/>
    </row>
    <row r="786">
      <c r="B786" s="62"/>
    </row>
    <row r="787">
      <c r="B787" s="62"/>
    </row>
    <row r="788">
      <c r="B788" s="62"/>
    </row>
    <row r="789">
      <c r="B789" s="62"/>
    </row>
    <row r="790">
      <c r="B790" s="62"/>
    </row>
    <row r="791">
      <c r="B791" s="62"/>
    </row>
    <row r="792">
      <c r="B792" s="62"/>
    </row>
    <row r="793">
      <c r="B793" s="62"/>
    </row>
    <row r="794">
      <c r="B794" s="62"/>
    </row>
    <row r="795">
      <c r="B795" s="62"/>
    </row>
    <row r="796">
      <c r="B796" s="62"/>
    </row>
    <row r="797">
      <c r="B797" s="62"/>
    </row>
    <row r="798">
      <c r="B798" s="62"/>
    </row>
    <row r="799">
      <c r="B799" s="62"/>
    </row>
    <row r="800">
      <c r="B800" s="62"/>
    </row>
    <row r="801">
      <c r="B801" s="62"/>
    </row>
    <row r="802">
      <c r="B802" s="62"/>
    </row>
    <row r="803">
      <c r="B803" s="62"/>
    </row>
    <row r="804">
      <c r="B804" s="62"/>
    </row>
    <row r="805">
      <c r="B805" s="62"/>
    </row>
    <row r="806">
      <c r="B806" s="62"/>
    </row>
    <row r="807">
      <c r="B807" s="62"/>
    </row>
    <row r="808">
      <c r="B808" s="62"/>
    </row>
    <row r="809">
      <c r="B809" s="62"/>
    </row>
    <row r="810">
      <c r="B810" s="62"/>
    </row>
    <row r="811">
      <c r="B811" s="62"/>
    </row>
    <row r="812">
      <c r="B812" s="62"/>
    </row>
    <row r="813">
      <c r="B813" s="62"/>
    </row>
    <row r="814">
      <c r="B814" s="62"/>
    </row>
    <row r="815">
      <c r="B815" s="62"/>
    </row>
    <row r="816">
      <c r="B816" s="62"/>
    </row>
    <row r="817">
      <c r="B817" s="62"/>
    </row>
    <row r="818">
      <c r="B818" s="62"/>
    </row>
    <row r="819">
      <c r="B819" s="62"/>
    </row>
    <row r="820">
      <c r="B820" s="62"/>
    </row>
    <row r="821">
      <c r="B821" s="62"/>
    </row>
    <row r="822">
      <c r="B822" s="62"/>
    </row>
    <row r="823">
      <c r="B823" s="62"/>
    </row>
    <row r="824">
      <c r="B824" s="62"/>
    </row>
    <row r="825">
      <c r="B825" s="62"/>
    </row>
    <row r="826">
      <c r="B826" s="62"/>
    </row>
    <row r="827">
      <c r="B827" s="62"/>
    </row>
    <row r="828">
      <c r="B828" s="62"/>
    </row>
    <row r="829">
      <c r="B829" s="62"/>
    </row>
    <row r="830">
      <c r="B830" s="62"/>
    </row>
    <row r="831">
      <c r="B831" s="62"/>
    </row>
    <row r="832">
      <c r="B832" s="62"/>
    </row>
    <row r="833">
      <c r="B833" s="62"/>
    </row>
    <row r="834">
      <c r="B834" s="62"/>
    </row>
    <row r="835">
      <c r="B835" s="62"/>
    </row>
    <row r="836">
      <c r="B836" s="62"/>
    </row>
    <row r="837">
      <c r="B837" s="62"/>
    </row>
    <row r="838">
      <c r="B838" s="62"/>
    </row>
    <row r="839">
      <c r="B839" s="62"/>
    </row>
    <row r="840">
      <c r="B840" s="62"/>
    </row>
    <row r="841">
      <c r="B841" s="62"/>
    </row>
    <row r="842">
      <c r="B842" s="62"/>
    </row>
    <row r="843">
      <c r="B843" s="62"/>
    </row>
    <row r="844">
      <c r="B844" s="62"/>
    </row>
    <row r="845">
      <c r="B845" s="62"/>
    </row>
    <row r="846">
      <c r="B846" s="62"/>
    </row>
    <row r="847">
      <c r="B847" s="62"/>
    </row>
    <row r="848">
      <c r="B848" s="62"/>
    </row>
    <row r="849">
      <c r="B849" s="62"/>
    </row>
    <row r="850">
      <c r="B850" s="62"/>
    </row>
    <row r="851">
      <c r="B851" s="62"/>
    </row>
    <row r="852">
      <c r="B852" s="62"/>
    </row>
    <row r="853">
      <c r="B853" s="62"/>
    </row>
    <row r="854">
      <c r="B854" s="62"/>
    </row>
    <row r="855">
      <c r="B855" s="62"/>
    </row>
    <row r="856">
      <c r="B856" s="62"/>
    </row>
    <row r="857">
      <c r="B857" s="62"/>
    </row>
    <row r="858">
      <c r="B858" s="62"/>
    </row>
    <row r="859">
      <c r="B859" s="62"/>
    </row>
    <row r="860">
      <c r="B860" s="62"/>
    </row>
    <row r="861">
      <c r="B861" s="62"/>
    </row>
    <row r="862">
      <c r="B862" s="62"/>
    </row>
    <row r="863">
      <c r="B863" s="62"/>
    </row>
    <row r="864">
      <c r="B864" s="62"/>
    </row>
    <row r="865">
      <c r="B865" s="62"/>
    </row>
    <row r="866">
      <c r="B866" s="62"/>
    </row>
    <row r="867">
      <c r="B867" s="62"/>
    </row>
    <row r="868">
      <c r="B868" s="62"/>
    </row>
    <row r="869">
      <c r="B869" s="62"/>
    </row>
    <row r="870">
      <c r="B870" s="62"/>
    </row>
    <row r="871">
      <c r="B871" s="62"/>
    </row>
    <row r="872">
      <c r="B872" s="62"/>
    </row>
    <row r="873">
      <c r="B873" s="62"/>
    </row>
    <row r="874">
      <c r="B874" s="62"/>
    </row>
    <row r="875">
      <c r="B875" s="62"/>
    </row>
    <row r="876">
      <c r="B876" s="62"/>
    </row>
    <row r="877">
      <c r="B877" s="62"/>
    </row>
    <row r="878">
      <c r="B878" s="62"/>
    </row>
    <row r="879">
      <c r="B879" s="62"/>
    </row>
    <row r="880">
      <c r="B880" s="62"/>
    </row>
    <row r="881">
      <c r="B881" s="62"/>
    </row>
    <row r="882">
      <c r="B882" s="62"/>
    </row>
    <row r="883">
      <c r="B883" s="62"/>
    </row>
    <row r="884">
      <c r="B884" s="62"/>
    </row>
    <row r="885">
      <c r="B885" s="62"/>
    </row>
    <row r="886">
      <c r="B886" s="62"/>
    </row>
    <row r="887">
      <c r="B887" s="62"/>
    </row>
    <row r="888">
      <c r="B888" s="62"/>
    </row>
    <row r="889">
      <c r="B889" s="62"/>
    </row>
    <row r="890">
      <c r="B890" s="62"/>
    </row>
    <row r="891">
      <c r="B891" s="62"/>
    </row>
    <row r="892">
      <c r="B892" s="62"/>
    </row>
    <row r="893">
      <c r="B893" s="62"/>
    </row>
    <row r="894">
      <c r="B894" s="62"/>
    </row>
    <row r="895">
      <c r="B895" s="62"/>
    </row>
    <row r="896">
      <c r="B896" s="62"/>
    </row>
    <row r="897">
      <c r="B897" s="62"/>
    </row>
    <row r="898">
      <c r="B898" s="62"/>
    </row>
    <row r="899">
      <c r="B899" s="62"/>
    </row>
    <row r="900">
      <c r="B900" s="62"/>
    </row>
    <row r="901">
      <c r="B901" s="62"/>
    </row>
    <row r="902">
      <c r="B902" s="62"/>
    </row>
    <row r="903">
      <c r="B903" s="62"/>
    </row>
    <row r="904">
      <c r="B904" s="62"/>
    </row>
    <row r="905">
      <c r="B905" s="62"/>
    </row>
    <row r="906">
      <c r="B906" s="62"/>
    </row>
    <row r="907">
      <c r="B907" s="62"/>
    </row>
    <row r="908">
      <c r="B908" s="62"/>
    </row>
    <row r="909">
      <c r="B909" s="62"/>
    </row>
    <row r="910">
      <c r="B910" s="62"/>
    </row>
    <row r="911">
      <c r="B911" s="62"/>
    </row>
    <row r="912">
      <c r="B912" s="62"/>
    </row>
    <row r="913">
      <c r="B913" s="62"/>
    </row>
    <row r="914">
      <c r="B914" s="62"/>
    </row>
    <row r="915">
      <c r="B915" s="62"/>
    </row>
    <row r="916">
      <c r="B916" s="62"/>
    </row>
    <row r="917">
      <c r="B917" s="62"/>
    </row>
    <row r="918">
      <c r="B918" s="62"/>
    </row>
    <row r="919">
      <c r="B919" s="62"/>
    </row>
    <row r="920">
      <c r="B920" s="62"/>
    </row>
    <row r="921">
      <c r="B921" s="62"/>
    </row>
    <row r="922">
      <c r="B922" s="62"/>
    </row>
    <row r="923">
      <c r="B923" s="62"/>
    </row>
    <row r="924">
      <c r="B924" s="62"/>
    </row>
    <row r="925">
      <c r="B925" s="62"/>
    </row>
    <row r="926">
      <c r="B926" s="62"/>
    </row>
    <row r="927">
      <c r="B927" s="62"/>
    </row>
    <row r="928">
      <c r="B928" s="62"/>
    </row>
    <row r="929">
      <c r="B929" s="62"/>
    </row>
    <row r="930">
      <c r="B930" s="62"/>
    </row>
    <row r="931">
      <c r="B931" s="62"/>
    </row>
    <row r="932">
      <c r="B932" s="62"/>
    </row>
    <row r="933">
      <c r="B933" s="62"/>
    </row>
    <row r="934">
      <c r="B934" s="62"/>
    </row>
    <row r="935">
      <c r="B935" s="62"/>
    </row>
    <row r="936">
      <c r="B936" s="62"/>
    </row>
    <row r="937">
      <c r="B937" s="62"/>
    </row>
    <row r="938">
      <c r="B938" s="62"/>
    </row>
    <row r="939">
      <c r="B939" s="62"/>
    </row>
    <row r="940">
      <c r="B940" s="62"/>
    </row>
    <row r="941">
      <c r="B941" s="62"/>
    </row>
    <row r="942">
      <c r="B942" s="62"/>
    </row>
    <row r="943">
      <c r="B943" s="62"/>
    </row>
    <row r="944">
      <c r="B944" s="62"/>
    </row>
    <row r="945">
      <c r="B945" s="62"/>
    </row>
    <row r="946">
      <c r="B946" s="62"/>
    </row>
    <row r="947">
      <c r="B947" s="62"/>
    </row>
    <row r="948">
      <c r="B948" s="62"/>
    </row>
    <row r="949">
      <c r="B949" s="62"/>
    </row>
    <row r="950">
      <c r="B950" s="62"/>
    </row>
    <row r="951">
      <c r="B951" s="62"/>
    </row>
    <row r="952">
      <c r="B952" s="62"/>
    </row>
    <row r="953">
      <c r="B953" s="62"/>
    </row>
    <row r="954">
      <c r="B954" s="62"/>
    </row>
    <row r="955">
      <c r="B955" s="62"/>
    </row>
    <row r="956">
      <c r="B956" s="62"/>
    </row>
    <row r="957">
      <c r="B957" s="62"/>
    </row>
    <row r="958">
      <c r="B958" s="62"/>
    </row>
    <row r="959">
      <c r="B959" s="62"/>
    </row>
    <row r="960">
      <c r="B960" s="62"/>
    </row>
    <row r="961">
      <c r="B961" s="62"/>
    </row>
    <row r="962">
      <c r="B962" s="62"/>
    </row>
    <row r="963">
      <c r="B963" s="62"/>
    </row>
    <row r="964">
      <c r="B964" s="62"/>
    </row>
    <row r="965">
      <c r="B965" s="62"/>
    </row>
    <row r="966">
      <c r="B966" s="62"/>
    </row>
    <row r="967">
      <c r="B967" s="62"/>
    </row>
    <row r="968">
      <c r="B968" s="62"/>
    </row>
    <row r="969">
      <c r="B969" s="62"/>
    </row>
    <row r="970">
      <c r="B970" s="62"/>
    </row>
    <row r="971">
      <c r="B971" s="62"/>
    </row>
    <row r="972">
      <c r="B972" s="62"/>
    </row>
    <row r="973">
      <c r="B973" s="62"/>
    </row>
    <row r="974">
      <c r="B974" s="62"/>
    </row>
    <row r="975">
      <c r="B975" s="62"/>
    </row>
    <row r="976">
      <c r="B976" s="62"/>
    </row>
    <row r="977">
      <c r="B977" s="62"/>
    </row>
    <row r="978">
      <c r="B978" s="62"/>
    </row>
    <row r="979">
      <c r="B979" s="62"/>
    </row>
    <row r="980">
      <c r="B980" s="62"/>
    </row>
    <row r="981">
      <c r="B981" s="62"/>
    </row>
    <row r="982">
      <c r="B982" s="62"/>
    </row>
    <row r="983">
      <c r="B983" s="62"/>
    </row>
    <row r="984">
      <c r="B984" s="62"/>
    </row>
    <row r="985">
      <c r="B985" s="62"/>
    </row>
    <row r="986">
      <c r="B986" s="62"/>
    </row>
    <row r="987">
      <c r="B987" s="62"/>
    </row>
    <row r="988">
      <c r="B988" s="62"/>
    </row>
    <row r="989">
      <c r="B989" s="62"/>
    </row>
    <row r="990">
      <c r="B990" s="62"/>
    </row>
    <row r="991">
      <c r="B991" s="62"/>
    </row>
    <row r="992">
      <c r="B992" s="62"/>
    </row>
    <row r="993">
      <c r="B993" s="62"/>
    </row>
    <row r="994">
      <c r="B994" s="62"/>
    </row>
    <row r="995">
      <c r="B995" s="62"/>
    </row>
    <row r="996">
      <c r="B996" s="62"/>
    </row>
    <row r="997">
      <c r="B997" s="62"/>
    </row>
    <row r="998">
      <c r="B998" s="6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25"/>
    <col customWidth="1" min="4" max="4" width="14.75"/>
    <col customWidth="1" min="5" max="5" width="15.75"/>
  </cols>
  <sheetData>
    <row r="1">
      <c r="A1" s="65" t="s">
        <v>219</v>
      </c>
      <c r="B1" s="66" t="s">
        <v>220</v>
      </c>
      <c r="C1" s="67" t="s">
        <v>221</v>
      </c>
      <c r="D1" s="66" t="s">
        <v>222</v>
      </c>
      <c r="E1" s="66" t="s">
        <v>223</v>
      </c>
      <c r="F1" s="68"/>
    </row>
    <row r="2">
      <c r="A2" s="69" t="s">
        <v>118</v>
      </c>
      <c r="B2" s="70"/>
      <c r="C2" s="70">
        <v>45071.0</v>
      </c>
      <c r="D2" s="71" t="s">
        <v>224</v>
      </c>
      <c r="E2" s="71"/>
    </row>
    <row r="3">
      <c r="A3" s="72" t="s">
        <v>140</v>
      </c>
      <c r="B3" s="73">
        <v>45092.0</v>
      </c>
      <c r="C3" s="73">
        <v>45091.0</v>
      </c>
      <c r="D3" s="74">
        <v>1.0</v>
      </c>
      <c r="E3" s="74">
        <v>1.0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2" t="s">
        <v>145</v>
      </c>
      <c r="B4" s="73">
        <v>45092.0</v>
      </c>
      <c r="C4" s="73">
        <v>45091.0</v>
      </c>
      <c r="D4" s="74">
        <v>1.0</v>
      </c>
      <c r="E4" s="74">
        <v>1.0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69" t="s">
        <v>54</v>
      </c>
      <c r="B5" s="70"/>
      <c r="C5" s="70">
        <v>45058.0</v>
      </c>
      <c r="D5" s="71" t="s">
        <v>224</v>
      </c>
      <c r="E5" s="71"/>
    </row>
    <row r="6">
      <c r="A6" s="69" t="s">
        <v>160</v>
      </c>
      <c r="B6" s="73">
        <v>45099.0</v>
      </c>
      <c r="C6" s="73">
        <v>45098.0</v>
      </c>
      <c r="D6" s="74">
        <v>1.0</v>
      </c>
      <c r="E6" s="74">
        <v>1.0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69" t="s">
        <v>173</v>
      </c>
      <c r="B7" s="73">
        <v>45097.0</v>
      </c>
      <c r="C7" s="73">
        <v>45103.0</v>
      </c>
      <c r="D7" s="74">
        <v>6.0</v>
      </c>
      <c r="E7" s="74">
        <v>1.0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65" t="s">
        <v>147</v>
      </c>
      <c r="B8" s="73">
        <v>45091.0</v>
      </c>
      <c r="C8" s="73">
        <v>45091.0</v>
      </c>
      <c r="D8" s="74">
        <v>0.0</v>
      </c>
      <c r="E8" s="74">
        <v>1.0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69" t="s">
        <v>126</v>
      </c>
      <c r="B9" s="70"/>
      <c r="C9" s="70">
        <v>45089.0</v>
      </c>
      <c r="D9" s="71" t="s">
        <v>224</v>
      </c>
      <c r="E9" s="71"/>
    </row>
    <row r="10">
      <c r="A10" s="69" t="s">
        <v>131</v>
      </c>
      <c r="B10" s="70"/>
      <c r="C10" s="70">
        <v>45089.0</v>
      </c>
      <c r="D10" s="71" t="s">
        <v>224</v>
      </c>
      <c r="E10" s="71"/>
    </row>
    <row r="11">
      <c r="A11" s="69" t="s">
        <v>199</v>
      </c>
      <c r="B11" s="70">
        <v>45083.0</v>
      </c>
      <c r="C11" s="70">
        <v>45106.0</v>
      </c>
      <c r="D11" s="71">
        <v>23.0</v>
      </c>
      <c r="E11" s="71">
        <v>3.0</v>
      </c>
    </row>
    <row r="12">
      <c r="A12" s="69" t="s">
        <v>121</v>
      </c>
      <c r="B12" s="70"/>
      <c r="C12" s="70">
        <v>45071.0</v>
      </c>
      <c r="D12" s="71" t="s">
        <v>224</v>
      </c>
      <c r="E12" s="71"/>
    </row>
    <row r="13">
      <c r="A13" s="69" t="s">
        <v>184</v>
      </c>
      <c r="B13" s="73">
        <v>45098.0</v>
      </c>
      <c r="C13" s="73">
        <v>45104.0</v>
      </c>
      <c r="D13" s="74">
        <v>6.0</v>
      </c>
      <c r="E13" s="74">
        <v>1.0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69" t="s">
        <v>187</v>
      </c>
      <c r="B14" s="73">
        <v>45098.0</v>
      </c>
      <c r="C14" s="73">
        <v>45104.0</v>
      </c>
      <c r="D14" s="74">
        <v>6.0</v>
      </c>
      <c r="E14" s="74">
        <v>1.0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69" t="s">
        <v>133</v>
      </c>
      <c r="B15" s="70"/>
      <c r="C15" s="70">
        <v>45089.0</v>
      </c>
      <c r="D15" s="71" t="s">
        <v>224</v>
      </c>
      <c r="E15" s="71"/>
    </row>
    <row r="16">
      <c r="A16" s="69" t="s">
        <v>166</v>
      </c>
      <c r="B16" s="73">
        <v>45096.0</v>
      </c>
      <c r="C16" s="73">
        <v>45098.0</v>
      </c>
      <c r="D16" s="74">
        <v>2.0</v>
      </c>
      <c r="E16" s="74">
        <v>1.0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69" t="s">
        <v>192</v>
      </c>
      <c r="B17" s="70">
        <v>45083.0</v>
      </c>
      <c r="C17" s="70">
        <v>45105.0</v>
      </c>
      <c r="D17" s="71">
        <v>22.0</v>
      </c>
      <c r="E17" s="71">
        <v>3.0</v>
      </c>
    </row>
    <row r="18">
      <c r="A18" s="69" t="s">
        <v>179</v>
      </c>
      <c r="B18" s="73">
        <v>45097.0</v>
      </c>
      <c r="C18" s="73">
        <v>45103.0</v>
      </c>
      <c r="D18" s="74">
        <v>6.0</v>
      </c>
      <c r="E18" s="74">
        <v>1.0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69" t="s">
        <v>62</v>
      </c>
      <c r="B19" s="70"/>
      <c r="C19" s="70">
        <v>45064.0</v>
      </c>
      <c r="D19" s="71" t="s">
        <v>224</v>
      </c>
      <c r="E19" s="71"/>
    </row>
    <row r="20">
      <c r="A20" s="69" t="s">
        <v>76</v>
      </c>
      <c r="B20" s="70"/>
      <c r="C20" s="70">
        <v>45065.0</v>
      </c>
      <c r="D20" s="71" t="s">
        <v>224</v>
      </c>
      <c r="E20" s="71"/>
    </row>
    <row r="21">
      <c r="A21" s="69" t="s">
        <v>98</v>
      </c>
      <c r="B21" s="70"/>
      <c r="C21" s="70">
        <v>45070.0</v>
      </c>
      <c r="D21" s="71" t="s">
        <v>224</v>
      </c>
      <c r="E21" s="71"/>
    </row>
    <row r="22">
      <c r="A22" s="69" t="s">
        <v>189</v>
      </c>
      <c r="B22" s="73">
        <v>45098.0</v>
      </c>
      <c r="C22" s="73">
        <v>45104.0</v>
      </c>
      <c r="D22" s="74">
        <v>6.0</v>
      </c>
      <c r="E22" s="74">
        <v>1.0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69" t="s">
        <v>101</v>
      </c>
      <c r="B23" s="70"/>
      <c r="C23" s="70">
        <v>45070.0</v>
      </c>
      <c r="D23" s="71" t="s">
        <v>224</v>
      </c>
      <c r="E23" s="71"/>
    </row>
    <row r="24">
      <c r="A24" s="69" t="s">
        <v>103</v>
      </c>
      <c r="B24" s="70"/>
      <c r="C24" s="70">
        <v>45070.0</v>
      </c>
      <c r="D24" s="71" t="s">
        <v>224</v>
      </c>
      <c r="E24" s="71"/>
    </row>
    <row r="25">
      <c r="A25" s="69" t="s">
        <v>123</v>
      </c>
      <c r="B25" s="70"/>
      <c r="C25" s="70">
        <v>45071.0</v>
      </c>
      <c r="D25" s="71" t="s">
        <v>224</v>
      </c>
      <c r="E25" s="71"/>
    </row>
    <row r="26">
      <c r="A26" s="69" t="s">
        <v>89</v>
      </c>
      <c r="B26" s="70"/>
      <c r="C26" s="70">
        <v>45068.0</v>
      </c>
      <c r="D26" s="71" t="s">
        <v>224</v>
      </c>
      <c r="E26" s="71"/>
    </row>
    <row r="27">
      <c r="A27" s="69" t="s">
        <v>94</v>
      </c>
      <c r="B27" s="70"/>
      <c r="C27" s="70">
        <v>45068.0</v>
      </c>
      <c r="D27" s="71" t="s">
        <v>224</v>
      </c>
      <c r="E27" s="71"/>
    </row>
    <row r="28">
      <c r="A28" s="69" t="s">
        <v>69</v>
      </c>
      <c r="B28" s="70"/>
      <c r="C28" s="70">
        <v>45064.0</v>
      </c>
      <c r="D28" s="71" t="s">
        <v>224</v>
      </c>
      <c r="E28" s="71"/>
    </row>
    <row r="29">
      <c r="A29" s="69" t="s">
        <v>72</v>
      </c>
      <c r="B29" s="70"/>
      <c r="C29" s="70">
        <v>45064.0</v>
      </c>
      <c r="D29" s="71" t="s">
        <v>224</v>
      </c>
      <c r="E29" s="71"/>
    </row>
    <row r="30">
      <c r="A30" s="69" t="s">
        <v>105</v>
      </c>
      <c r="B30" s="70"/>
      <c r="C30" s="70">
        <v>45070.0</v>
      </c>
      <c r="D30" s="71" t="s">
        <v>224</v>
      </c>
      <c r="E30" s="71"/>
    </row>
    <row r="31">
      <c r="A31" s="69" t="s">
        <v>107</v>
      </c>
      <c r="B31" s="70"/>
      <c r="C31" s="70">
        <v>45070.0</v>
      </c>
      <c r="D31" s="71" t="s">
        <v>224</v>
      </c>
      <c r="E31" s="71"/>
    </row>
    <row r="32">
      <c r="A32" s="69" t="s">
        <v>168</v>
      </c>
      <c r="B32" s="73">
        <v>45096.0</v>
      </c>
      <c r="C32" s="73">
        <v>45098.0</v>
      </c>
      <c r="D32" s="74">
        <v>2.0</v>
      </c>
      <c r="E32" s="74">
        <v>1.0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69" t="s">
        <v>170</v>
      </c>
      <c r="B33" s="73">
        <v>45096.0</v>
      </c>
      <c r="C33" s="73">
        <v>45098.0</v>
      </c>
      <c r="D33" s="74">
        <v>2.0</v>
      </c>
      <c r="E33" s="74">
        <v>1.0</v>
      </c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69" t="s">
        <v>136</v>
      </c>
      <c r="B34" s="70"/>
      <c r="C34" s="70">
        <v>45089.0</v>
      </c>
      <c r="D34" s="71" t="s">
        <v>224</v>
      </c>
      <c r="E34" s="71"/>
    </row>
    <row r="35">
      <c r="A35" s="69" t="s">
        <v>85</v>
      </c>
      <c r="B35" s="70"/>
      <c r="C35" s="70">
        <v>45065.0</v>
      </c>
      <c r="D35" s="71" t="s">
        <v>224</v>
      </c>
      <c r="E35" s="71"/>
    </row>
    <row r="36">
      <c r="A36" s="69" t="s">
        <v>109</v>
      </c>
      <c r="B36" s="70"/>
      <c r="C36" s="70">
        <v>45070.0</v>
      </c>
      <c r="D36" s="71" t="s">
        <v>224</v>
      </c>
      <c r="E36" s="71"/>
    </row>
    <row r="37">
      <c r="A37" s="69" t="s">
        <v>181</v>
      </c>
      <c r="B37" s="73">
        <v>45097.0</v>
      </c>
      <c r="C37" s="73">
        <v>45103.0</v>
      </c>
      <c r="D37" s="74">
        <v>6.0</v>
      </c>
      <c r="E37" s="74">
        <v>1.0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69" t="s">
        <v>111</v>
      </c>
      <c r="B38" s="70">
        <v>45008.0</v>
      </c>
      <c r="C38" s="70">
        <v>45070.0</v>
      </c>
      <c r="D38" s="71">
        <v>62.0</v>
      </c>
      <c r="E38" s="71">
        <v>8.0</v>
      </c>
    </row>
    <row r="39">
      <c r="A39" s="69" t="s">
        <v>113</v>
      </c>
      <c r="B39" s="70">
        <v>45008.0</v>
      </c>
      <c r="C39" s="70">
        <v>45070.0</v>
      </c>
      <c r="D39" s="71">
        <v>62.0</v>
      </c>
      <c r="E39" s="71">
        <v>8.0</v>
      </c>
    </row>
    <row r="40">
      <c r="A40" s="69" t="s">
        <v>115</v>
      </c>
      <c r="B40" s="70">
        <v>45007.0</v>
      </c>
      <c r="C40" s="70">
        <v>45070.0</v>
      </c>
      <c r="D40" s="71">
        <v>63.0</v>
      </c>
      <c r="E40" s="71">
        <v>8.0</v>
      </c>
    </row>
    <row r="41">
      <c r="A41" s="69" t="s">
        <v>150</v>
      </c>
      <c r="B41" s="73">
        <v>45090.0</v>
      </c>
      <c r="C41" s="73">
        <v>45092.0</v>
      </c>
      <c r="D41" s="74">
        <v>2.0</v>
      </c>
      <c r="E41" s="74">
        <v>1.0</v>
      </c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69" t="s">
        <v>153</v>
      </c>
      <c r="B42" s="73">
        <v>45090.0</v>
      </c>
      <c r="C42" s="73">
        <v>45092.0</v>
      </c>
      <c r="D42" s="74">
        <v>2.0</v>
      </c>
      <c r="E42" s="74">
        <v>1.0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69" t="s">
        <v>155</v>
      </c>
      <c r="B43" s="73">
        <v>45090.0</v>
      </c>
      <c r="C43" s="73">
        <v>45092.0</v>
      </c>
      <c r="D43" s="74">
        <v>2.0</v>
      </c>
      <c r="E43" s="74">
        <v>1.0</v>
      </c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65" t="s">
        <v>204</v>
      </c>
      <c r="B44" s="76">
        <f t="shared" ref="B44:C44" si="1">COUNT(B2:B43)</f>
        <v>21</v>
      </c>
      <c r="C44" s="76">
        <f t="shared" si="1"/>
        <v>42</v>
      </c>
      <c r="D44" s="77"/>
      <c r="E44" s="77"/>
    </row>
    <row r="45">
      <c r="A45" s="78"/>
      <c r="B45" s="78"/>
      <c r="C45" s="79"/>
      <c r="D45" s="78"/>
      <c r="E45" s="78"/>
    </row>
    <row r="46">
      <c r="A46" s="78"/>
      <c r="B46" s="78"/>
      <c r="C46" s="79"/>
      <c r="D46" s="78"/>
      <c r="E46" s="78"/>
    </row>
    <row r="47">
      <c r="A47" s="65"/>
      <c r="B47" s="78"/>
      <c r="C47" s="79"/>
      <c r="D47" s="78"/>
      <c r="E47" s="78"/>
    </row>
    <row r="48">
      <c r="A48" s="65"/>
      <c r="B48" s="78"/>
      <c r="C48" s="79"/>
      <c r="D48" s="78"/>
      <c r="E48" s="78"/>
    </row>
    <row r="49">
      <c r="A49" s="65"/>
      <c r="B49" s="78"/>
      <c r="C49" s="78"/>
      <c r="D49" s="78"/>
      <c r="E49" s="78"/>
    </row>
    <row r="50">
      <c r="A50" s="65"/>
      <c r="B50" s="78"/>
      <c r="C50" s="78"/>
      <c r="D50" s="78"/>
      <c r="E50" s="78"/>
    </row>
    <row r="51">
      <c r="A51" s="65"/>
      <c r="B51" s="78"/>
      <c r="C51" s="78"/>
      <c r="D51" s="78"/>
      <c r="E51" s="78"/>
    </row>
    <row r="52">
      <c r="A52" s="65"/>
      <c r="B52" s="78"/>
      <c r="C52" s="78"/>
      <c r="D52" s="78"/>
      <c r="E52" s="78"/>
    </row>
    <row r="53">
      <c r="A53" s="65"/>
      <c r="B53" s="78"/>
      <c r="C53" s="78"/>
      <c r="D53" s="78"/>
      <c r="E53" s="78"/>
    </row>
    <row r="54">
      <c r="A54" s="65"/>
      <c r="B54" s="78"/>
      <c r="C54" s="78"/>
      <c r="D54" s="78"/>
      <c r="E54" s="78"/>
    </row>
    <row r="55">
      <c r="A55" s="65"/>
      <c r="B55" s="78"/>
      <c r="C55" s="78"/>
      <c r="D55" s="78"/>
      <c r="E55" s="78"/>
    </row>
    <row r="56">
      <c r="A56" s="65"/>
      <c r="B56" s="78"/>
      <c r="C56" s="78"/>
      <c r="D56" s="78"/>
      <c r="E56" s="78"/>
    </row>
    <row r="57">
      <c r="A57" s="65"/>
      <c r="B57" s="78"/>
      <c r="C57" s="78"/>
      <c r="D57" s="78"/>
      <c r="E57" s="78"/>
    </row>
    <row r="58">
      <c r="A58" s="65"/>
      <c r="B58" s="78"/>
      <c r="C58" s="78"/>
      <c r="D58" s="78"/>
      <c r="E58" s="78"/>
    </row>
    <row r="59">
      <c r="A59" s="65"/>
      <c r="B59" s="78"/>
      <c r="C59" s="78"/>
      <c r="D59" s="78"/>
      <c r="E59" s="78"/>
    </row>
    <row r="60">
      <c r="A60" s="65"/>
      <c r="B60" s="78"/>
      <c r="C60" s="78"/>
      <c r="D60" s="78"/>
      <c r="E60" s="78"/>
    </row>
    <row r="61">
      <c r="A61" s="65"/>
      <c r="B61" s="78"/>
      <c r="C61" s="78"/>
      <c r="D61" s="78"/>
      <c r="E61" s="78"/>
    </row>
    <row r="62">
      <c r="A62" s="65"/>
      <c r="B62" s="78"/>
      <c r="C62" s="78"/>
      <c r="D62" s="78"/>
      <c r="E62" s="78"/>
    </row>
    <row r="63">
      <c r="A63" s="65"/>
      <c r="B63" s="78"/>
      <c r="C63" s="78"/>
      <c r="D63" s="78"/>
      <c r="E63" s="78"/>
    </row>
    <row r="64">
      <c r="A64" s="65"/>
      <c r="B64" s="78"/>
      <c r="C64" s="78"/>
      <c r="D64" s="78"/>
      <c r="E64" s="78"/>
    </row>
    <row r="65">
      <c r="A65" s="65"/>
      <c r="B65" s="78"/>
      <c r="C65" s="78"/>
      <c r="D65" s="78"/>
      <c r="E65" s="78"/>
    </row>
    <row r="66">
      <c r="A66" s="65"/>
      <c r="B66" s="78"/>
      <c r="C66" s="78"/>
      <c r="D66" s="78"/>
      <c r="E66" s="78"/>
    </row>
    <row r="67">
      <c r="A67" s="65"/>
      <c r="B67" s="78"/>
      <c r="C67" s="78"/>
      <c r="D67" s="78"/>
      <c r="E67" s="78"/>
    </row>
    <row r="68">
      <c r="A68" s="65"/>
      <c r="B68" s="78"/>
      <c r="C68" s="78"/>
      <c r="D68" s="78"/>
      <c r="E68" s="78"/>
    </row>
    <row r="69">
      <c r="A69" s="65"/>
      <c r="B69" s="78"/>
      <c r="C69" s="78"/>
      <c r="D69" s="78"/>
      <c r="E69" s="78"/>
    </row>
    <row r="70">
      <c r="A70" s="65"/>
      <c r="B70" s="78"/>
      <c r="C70" s="78"/>
      <c r="D70" s="78"/>
      <c r="E70" s="78"/>
    </row>
    <row r="71">
      <c r="A71" s="65"/>
      <c r="B71" s="78"/>
      <c r="C71" s="78"/>
      <c r="D71" s="78"/>
      <c r="E71" s="78"/>
    </row>
    <row r="72">
      <c r="A72" s="65"/>
      <c r="B72" s="78"/>
      <c r="C72" s="78"/>
      <c r="D72" s="78"/>
      <c r="E72" s="78"/>
    </row>
    <row r="73">
      <c r="A73" s="65"/>
      <c r="B73" s="78"/>
      <c r="C73" s="78"/>
      <c r="D73" s="78"/>
      <c r="E73" s="78"/>
    </row>
    <row r="74">
      <c r="A74" s="65"/>
      <c r="B74" s="78"/>
      <c r="C74" s="78"/>
      <c r="D74" s="78"/>
      <c r="E74" s="78"/>
    </row>
    <row r="75">
      <c r="A75" s="65"/>
      <c r="B75" s="78"/>
      <c r="C75" s="78"/>
      <c r="D75" s="78"/>
      <c r="E75" s="78"/>
    </row>
    <row r="76">
      <c r="A76" s="65"/>
      <c r="B76" s="78"/>
      <c r="C76" s="78"/>
      <c r="D76" s="78"/>
      <c r="E76" s="78"/>
    </row>
    <row r="77">
      <c r="A77" s="65"/>
      <c r="B77" s="78"/>
      <c r="C77" s="78"/>
      <c r="D77" s="78"/>
      <c r="E77" s="78"/>
    </row>
    <row r="78">
      <c r="A78" s="65"/>
      <c r="B78" s="78"/>
      <c r="C78" s="78"/>
      <c r="D78" s="78"/>
      <c r="E78" s="78"/>
    </row>
    <row r="79">
      <c r="A79" s="65"/>
      <c r="B79" s="78"/>
      <c r="C79" s="78"/>
      <c r="D79" s="78"/>
      <c r="E79" s="78"/>
    </row>
    <row r="80">
      <c r="A80" s="65"/>
      <c r="B80" s="78"/>
      <c r="C80" s="78"/>
      <c r="D80" s="78"/>
      <c r="E80" s="78"/>
    </row>
    <row r="81">
      <c r="A81" s="65"/>
      <c r="B81" s="78"/>
      <c r="C81" s="78"/>
      <c r="D81" s="78"/>
      <c r="E81" s="78"/>
    </row>
    <row r="82">
      <c r="A82" s="65"/>
      <c r="B82" s="78"/>
      <c r="C82" s="78"/>
      <c r="D82" s="78"/>
      <c r="E82" s="78"/>
    </row>
    <row r="83">
      <c r="A83" s="65"/>
      <c r="B83" s="78"/>
      <c r="C83" s="78"/>
      <c r="D83" s="78"/>
      <c r="E83" s="78"/>
    </row>
    <row r="84">
      <c r="A84" s="65"/>
      <c r="B84" s="78"/>
      <c r="C84" s="78"/>
      <c r="D84" s="78"/>
      <c r="E84" s="78"/>
    </row>
    <row r="85">
      <c r="A85" s="65"/>
      <c r="B85" s="78"/>
      <c r="C85" s="78"/>
      <c r="D85" s="78"/>
      <c r="E85" s="78"/>
    </row>
    <row r="86">
      <c r="A86" s="65"/>
      <c r="B86" s="78"/>
      <c r="C86" s="78"/>
      <c r="D86" s="78"/>
      <c r="E86" s="78"/>
    </row>
    <row r="87">
      <c r="A87" s="65"/>
      <c r="B87" s="78"/>
      <c r="C87" s="78"/>
      <c r="D87" s="78"/>
      <c r="E87" s="78"/>
    </row>
    <row r="88">
      <c r="A88" s="65"/>
      <c r="B88" s="78"/>
      <c r="C88" s="78"/>
      <c r="D88" s="78"/>
      <c r="E88" s="78"/>
    </row>
    <row r="89">
      <c r="A89" s="65"/>
      <c r="B89" s="78"/>
      <c r="C89" s="78"/>
      <c r="D89" s="78"/>
      <c r="E89" s="78"/>
    </row>
    <row r="90">
      <c r="A90" s="65"/>
      <c r="B90" s="78"/>
      <c r="C90" s="78"/>
      <c r="D90" s="78"/>
      <c r="E90" s="78"/>
    </row>
    <row r="91">
      <c r="A91" s="65"/>
      <c r="B91" s="78"/>
      <c r="C91" s="78"/>
      <c r="D91" s="78"/>
      <c r="E91" s="78"/>
    </row>
    <row r="92">
      <c r="A92" s="65"/>
      <c r="B92" s="78"/>
      <c r="C92" s="78"/>
      <c r="D92" s="78"/>
      <c r="E92" s="78"/>
    </row>
    <row r="93">
      <c r="A93" s="65"/>
      <c r="B93" s="78"/>
      <c r="C93" s="78"/>
      <c r="D93" s="78"/>
      <c r="E93" s="78"/>
    </row>
    <row r="94">
      <c r="A94" s="65"/>
      <c r="B94" s="78"/>
      <c r="C94" s="78"/>
      <c r="D94" s="78"/>
      <c r="E94" s="78"/>
    </row>
    <row r="95">
      <c r="A95" s="65"/>
      <c r="B95" s="78"/>
      <c r="C95" s="78"/>
      <c r="D95" s="78"/>
      <c r="E95" s="78"/>
    </row>
    <row r="96">
      <c r="A96" s="65"/>
      <c r="B96" s="78"/>
      <c r="C96" s="78"/>
      <c r="D96" s="78"/>
      <c r="E96" s="78"/>
    </row>
    <row r="97">
      <c r="A97" s="65"/>
      <c r="B97" s="78"/>
      <c r="C97" s="78"/>
      <c r="D97" s="78"/>
      <c r="E97" s="78"/>
    </row>
    <row r="98">
      <c r="A98" s="65"/>
      <c r="B98" s="78"/>
      <c r="C98" s="78"/>
      <c r="D98" s="78"/>
      <c r="E98" s="78"/>
    </row>
    <row r="99">
      <c r="A99" s="65"/>
      <c r="B99" s="78"/>
      <c r="C99" s="78"/>
      <c r="D99" s="78"/>
      <c r="E99" s="78"/>
    </row>
    <row r="100">
      <c r="A100" s="65"/>
      <c r="B100" s="78"/>
      <c r="C100" s="78"/>
      <c r="D100" s="78"/>
      <c r="E100" s="78"/>
    </row>
    <row r="101">
      <c r="A101" s="65"/>
      <c r="B101" s="78"/>
      <c r="C101" s="78"/>
      <c r="D101" s="78"/>
      <c r="E101" s="78"/>
    </row>
    <row r="102">
      <c r="A102" s="65"/>
      <c r="B102" s="78"/>
      <c r="C102" s="78"/>
      <c r="D102" s="78"/>
      <c r="E102" s="78"/>
    </row>
    <row r="103">
      <c r="A103" s="65"/>
      <c r="B103" s="78"/>
      <c r="C103" s="78"/>
      <c r="D103" s="78"/>
      <c r="E103" s="78"/>
    </row>
    <row r="104">
      <c r="A104" s="65"/>
      <c r="B104" s="78"/>
      <c r="C104" s="78"/>
      <c r="D104" s="78"/>
      <c r="E104" s="78"/>
    </row>
    <row r="105">
      <c r="A105" s="65"/>
      <c r="B105" s="78"/>
      <c r="C105" s="78"/>
      <c r="D105" s="78"/>
      <c r="E105" s="78"/>
    </row>
    <row r="106">
      <c r="A106" s="65"/>
      <c r="B106" s="78"/>
      <c r="C106" s="78"/>
      <c r="D106" s="78"/>
      <c r="E106" s="78"/>
    </row>
    <row r="107">
      <c r="A107" s="65"/>
      <c r="B107" s="78"/>
      <c r="C107" s="78"/>
      <c r="D107" s="78"/>
      <c r="E107" s="78"/>
    </row>
    <row r="108">
      <c r="A108" s="65"/>
      <c r="B108" s="78"/>
      <c r="C108" s="78"/>
      <c r="D108" s="78"/>
      <c r="E108" s="78"/>
    </row>
    <row r="109">
      <c r="A109" s="65"/>
      <c r="B109" s="78"/>
      <c r="C109" s="78"/>
      <c r="D109" s="78"/>
      <c r="E109" s="78"/>
    </row>
    <row r="110">
      <c r="A110" s="65"/>
      <c r="B110" s="78"/>
      <c r="C110" s="78"/>
      <c r="D110" s="78"/>
      <c r="E110" s="78"/>
    </row>
    <row r="111">
      <c r="A111" s="65"/>
      <c r="B111" s="78"/>
      <c r="C111" s="78"/>
      <c r="D111" s="78"/>
      <c r="E111" s="78"/>
    </row>
    <row r="112">
      <c r="A112" s="65"/>
      <c r="B112" s="78"/>
      <c r="C112" s="78"/>
      <c r="D112" s="78"/>
      <c r="E112" s="78"/>
    </row>
    <row r="113">
      <c r="A113" s="65"/>
      <c r="B113" s="78"/>
      <c r="C113" s="78"/>
      <c r="D113" s="78"/>
      <c r="E113" s="78"/>
    </row>
    <row r="114">
      <c r="A114" s="65"/>
      <c r="B114" s="78"/>
      <c r="C114" s="78"/>
      <c r="D114" s="78"/>
      <c r="E114" s="78"/>
    </row>
    <row r="115">
      <c r="A115" s="65"/>
      <c r="B115" s="78"/>
      <c r="C115" s="78"/>
      <c r="D115" s="78"/>
      <c r="E115" s="78"/>
    </row>
    <row r="116">
      <c r="A116" s="65"/>
      <c r="B116" s="78"/>
      <c r="C116" s="78"/>
      <c r="D116" s="78"/>
      <c r="E116" s="78"/>
    </row>
    <row r="117">
      <c r="A117" s="65"/>
      <c r="B117" s="78"/>
      <c r="C117" s="78"/>
      <c r="D117" s="78"/>
      <c r="E117" s="78"/>
    </row>
    <row r="118">
      <c r="A118" s="65"/>
      <c r="B118" s="78"/>
      <c r="C118" s="78"/>
      <c r="D118" s="78"/>
      <c r="E118" s="78"/>
    </row>
    <row r="119">
      <c r="A119" s="65"/>
      <c r="B119" s="78"/>
      <c r="C119" s="78"/>
      <c r="D119" s="78"/>
      <c r="E119" s="78"/>
    </row>
    <row r="120">
      <c r="A120" s="65"/>
      <c r="B120" s="78"/>
      <c r="C120" s="78"/>
      <c r="D120" s="78"/>
      <c r="E120" s="78"/>
    </row>
    <row r="121">
      <c r="A121" s="65"/>
      <c r="B121" s="78"/>
      <c r="C121" s="78"/>
      <c r="D121" s="78"/>
      <c r="E121" s="78"/>
    </row>
    <row r="122">
      <c r="A122" s="65"/>
      <c r="B122" s="78"/>
      <c r="C122" s="78"/>
      <c r="D122" s="78"/>
      <c r="E122" s="78"/>
    </row>
    <row r="123">
      <c r="A123" s="65"/>
      <c r="B123" s="78"/>
      <c r="C123" s="78"/>
      <c r="D123" s="78"/>
      <c r="E123" s="78"/>
    </row>
    <row r="124">
      <c r="A124" s="65"/>
      <c r="B124" s="78"/>
      <c r="C124" s="78"/>
      <c r="D124" s="78"/>
      <c r="E124" s="78"/>
    </row>
    <row r="125">
      <c r="A125" s="65"/>
      <c r="B125" s="78"/>
      <c r="C125" s="78"/>
      <c r="D125" s="78"/>
      <c r="E125" s="78"/>
    </row>
    <row r="126">
      <c r="A126" s="65"/>
      <c r="B126" s="78"/>
      <c r="C126" s="78"/>
      <c r="D126" s="78"/>
      <c r="E126" s="78"/>
    </row>
    <row r="127">
      <c r="A127" s="65"/>
      <c r="B127" s="78"/>
      <c r="C127" s="78"/>
      <c r="D127" s="78"/>
      <c r="E127" s="78"/>
    </row>
    <row r="128">
      <c r="A128" s="65"/>
      <c r="B128" s="78"/>
      <c r="C128" s="78"/>
      <c r="D128" s="78"/>
      <c r="E128" s="78"/>
    </row>
    <row r="129">
      <c r="A129" s="65"/>
      <c r="B129" s="78"/>
      <c r="C129" s="78"/>
      <c r="D129" s="78"/>
      <c r="E129" s="78"/>
    </row>
    <row r="130">
      <c r="A130" s="65"/>
      <c r="B130" s="78"/>
      <c r="C130" s="78"/>
      <c r="D130" s="78"/>
      <c r="E130" s="78"/>
    </row>
    <row r="131">
      <c r="A131" s="65"/>
      <c r="B131" s="78"/>
      <c r="C131" s="78"/>
      <c r="D131" s="78"/>
      <c r="E131" s="78"/>
    </row>
    <row r="132">
      <c r="A132" s="65"/>
      <c r="B132" s="78"/>
      <c r="C132" s="78"/>
      <c r="D132" s="78"/>
      <c r="E132" s="78"/>
    </row>
    <row r="133">
      <c r="A133" s="65"/>
      <c r="B133" s="78"/>
      <c r="C133" s="78"/>
      <c r="D133" s="78"/>
      <c r="E133" s="78"/>
    </row>
    <row r="134">
      <c r="A134" s="65"/>
      <c r="B134" s="78"/>
      <c r="C134" s="78"/>
      <c r="D134" s="78"/>
      <c r="E134" s="78"/>
    </row>
    <row r="135">
      <c r="A135" s="65"/>
      <c r="B135" s="78"/>
      <c r="C135" s="78"/>
      <c r="D135" s="78"/>
      <c r="E135" s="78"/>
    </row>
    <row r="136">
      <c r="A136" s="65"/>
      <c r="B136" s="78"/>
      <c r="C136" s="78"/>
      <c r="D136" s="78"/>
      <c r="E136" s="78"/>
    </row>
    <row r="137">
      <c r="A137" s="65"/>
      <c r="B137" s="78"/>
      <c r="C137" s="78"/>
      <c r="D137" s="78"/>
      <c r="E137" s="78"/>
    </row>
    <row r="138">
      <c r="A138" s="65"/>
      <c r="B138" s="78"/>
      <c r="C138" s="78"/>
      <c r="D138" s="78"/>
      <c r="E138" s="78"/>
    </row>
    <row r="139">
      <c r="A139" s="65"/>
      <c r="B139" s="78"/>
      <c r="C139" s="78"/>
      <c r="D139" s="78"/>
      <c r="E139" s="78"/>
    </row>
    <row r="140">
      <c r="A140" s="65"/>
      <c r="B140" s="78"/>
      <c r="C140" s="78"/>
      <c r="D140" s="78"/>
      <c r="E140" s="78"/>
    </row>
    <row r="141">
      <c r="A141" s="65"/>
      <c r="B141" s="78"/>
      <c r="C141" s="78"/>
      <c r="D141" s="78"/>
      <c r="E141" s="78"/>
    </row>
    <row r="142">
      <c r="A142" s="65"/>
      <c r="B142" s="78"/>
      <c r="C142" s="78"/>
      <c r="D142" s="78"/>
      <c r="E142" s="78"/>
    </row>
    <row r="143">
      <c r="A143" s="65"/>
      <c r="B143" s="78"/>
      <c r="C143" s="78"/>
      <c r="D143" s="78"/>
      <c r="E143" s="78"/>
    </row>
    <row r="144">
      <c r="A144" s="65"/>
      <c r="B144" s="78"/>
      <c r="C144" s="78"/>
      <c r="D144" s="78"/>
      <c r="E144" s="78"/>
    </row>
    <row r="145">
      <c r="A145" s="65"/>
      <c r="B145" s="78"/>
      <c r="C145" s="78"/>
      <c r="D145" s="78"/>
      <c r="E145" s="78"/>
    </row>
    <row r="146">
      <c r="A146" s="65"/>
      <c r="B146" s="78"/>
      <c r="C146" s="78"/>
      <c r="D146" s="78"/>
      <c r="E146" s="78"/>
    </row>
    <row r="147">
      <c r="A147" s="65"/>
      <c r="B147" s="78"/>
      <c r="C147" s="78"/>
      <c r="D147" s="78"/>
      <c r="E147" s="78"/>
    </row>
    <row r="148">
      <c r="A148" s="65"/>
      <c r="B148" s="78"/>
      <c r="C148" s="78"/>
      <c r="D148" s="78"/>
      <c r="E148" s="78"/>
    </row>
    <row r="149">
      <c r="A149" s="65"/>
      <c r="B149" s="78"/>
      <c r="C149" s="78"/>
      <c r="D149" s="78"/>
      <c r="E149" s="78"/>
    </row>
    <row r="150">
      <c r="A150" s="65"/>
      <c r="B150" s="78"/>
      <c r="C150" s="78"/>
      <c r="D150" s="78"/>
      <c r="E150" s="78"/>
    </row>
    <row r="151">
      <c r="A151" s="65"/>
      <c r="B151" s="78"/>
      <c r="C151" s="78"/>
      <c r="D151" s="78"/>
      <c r="E151" s="78"/>
    </row>
    <row r="152">
      <c r="A152" s="65"/>
      <c r="B152" s="78"/>
      <c r="C152" s="78"/>
      <c r="D152" s="78"/>
      <c r="E152" s="78"/>
    </row>
    <row r="153">
      <c r="A153" s="65"/>
      <c r="B153" s="78"/>
      <c r="C153" s="78"/>
      <c r="D153" s="78"/>
      <c r="E153" s="78"/>
    </row>
    <row r="154">
      <c r="A154" s="65"/>
      <c r="B154" s="78"/>
      <c r="C154" s="78"/>
      <c r="D154" s="78"/>
      <c r="E154" s="78"/>
    </row>
    <row r="155">
      <c r="A155" s="65"/>
      <c r="B155" s="78"/>
      <c r="C155" s="78"/>
      <c r="D155" s="78"/>
      <c r="E155" s="78"/>
    </row>
    <row r="156">
      <c r="A156" s="65"/>
      <c r="B156" s="78"/>
      <c r="C156" s="78"/>
      <c r="D156" s="78"/>
      <c r="E156" s="78"/>
    </row>
    <row r="157">
      <c r="A157" s="65"/>
      <c r="B157" s="78"/>
      <c r="C157" s="78"/>
      <c r="D157" s="78"/>
      <c r="E157" s="78"/>
    </row>
    <row r="158">
      <c r="A158" s="65"/>
      <c r="B158" s="78"/>
      <c r="C158" s="78"/>
      <c r="D158" s="78"/>
      <c r="E158" s="78"/>
    </row>
    <row r="159">
      <c r="A159" s="65"/>
      <c r="B159" s="78"/>
      <c r="C159" s="78"/>
      <c r="D159" s="78"/>
      <c r="E159" s="78"/>
    </row>
    <row r="160">
      <c r="A160" s="65"/>
      <c r="B160" s="78"/>
      <c r="C160" s="78"/>
      <c r="D160" s="78"/>
      <c r="E160" s="78"/>
    </row>
    <row r="161">
      <c r="A161" s="65"/>
      <c r="B161" s="78"/>
      <c r="C161" s="78"/>
      <c r="D161" s="78"/>
      <c r="E161" s="78"/>
    </row>
    <row r="162">
      <c r="A162" s="65"/>
      <c r="B162" s="78"/>
      <c r="C162" s="78"/>
      <c r="D162" s="78"/>
      <c r="E162" s="78"/>
    </row>
    <row r="163">
      <c r="A163" s="65"/>
      <c r="B163" s="78"/>
      <c r="C163" s="78"/>
      <c r="D163" s="78"/>
      <c r="E163" s="78"/>
    </row>
    <row r="164">
      <c r="A164" s="65"/>
      <c r="B164" s="78"/>
      <c r="C164" s="78"/>
      <c r="D164" s="78"/>
      <c r="E164" s="78"/>
    </row>
    <row r="165">
      <c r="A165" s="65"/>
      <c r="B165" s="78"/>
      <c r="C165" s="78"/>
      <c r="D165" s="78"/>
      <c r="E165" s="78"/>
    </row>
    <row r="166">
      <c r="A166" s="65"/>
      <c r="B166" s="78"/>
      <c r="C166" s="78"/>
      <c r="D166" s="78"/>
      <c r="E166" s="78"/>
    </row>
    <row r="167">
      <c r="A167" s="65"/>
      <c r="B167" s="78"/>
      <c r="C167" s="78"/>
      <c r="D167" s="78"/>
      <c r="E167" s="78"/>
    </row>
    <row r="168">
      <c r="A168" s="65"/>
      <c r="B168" s="78"/>
      <c r="C168" s="78"/>
      <c r="D168" s="78"/>
      <c r="E168" s="78"/>
    </row>
    <row r="169">
      <c r="A169" s="65"/>
      <c r="B169" s="78"/>
      <c r="C169" s="78"/>
      <c r="D169" s="78"/>
      <c r="E169" s="78"/>
    </row>
    <row r="170">
      <c r="A170" s="65"/>
      <c r="B170" s="78"/>
      <c r="C170" s="78"/>
      <c r="D170" s="78"/>
      <c r="E170" s="78"/>
    </row>
    <row r="171">
      <c r="A171" s="65"/>
      <c r="B171" s="78"/>
      <c r="C171" s="78"/>
      <c r="D171" s="78"/>
      <c r="E171" s="78"/>
    </row>
    <row r="172">
      <c r="A172" s="65"/>
      <c r="B172" s="78"/>
      <c r="C172" s="78"/>
      <c r="D172" s="78"/>
      <c r="E172" s="78"/>
    </row>
    <row r="173">
      <c r="A173" s="65"/>
      <c r="B173" s="78"/>
      <c r="C173" s="78"/>
      <c r="D173" s="78"/>
      <c r="E173" s="78"/>
    </row>
    <row r="174">
      <c r="A174" s="65"/>
      <c r="B174" s="78"/>
      <c r="C174" s="78"/>
      <c r="D174" s="78"/>
      <c r="E174" s="78"/>
    </row>
    <row r="175">
      <c r="A175" s="65"/>
      <c r="B175" s="78"/>
      <c r="C175" s="78"/>
      <c r="D175" s="78"/>
      <c r="E175" s="78"/>
    </row>
    <row r="176">
      <c r="A176" s="65"/>
      <c r="B176" s="78"/>
      <c r="C176" s="78"/>
      <c r="D176" s="78"/>
      <c r="E176" s="78"/>
    </row>
    <row r="177">
      <c r="A177" s="65"/>
      <c r="B177" s="78"/>
      <c r="C177" s="78"/>
      <c r="D177" s="78"/>
      <c r="E177" s="78"/>
    </row>
    <row r="178">
      <c r="A178" s="65"/>
      <c r="B178" s="78"/>
      <c r="C178" s="78"/>
      <c r="D178" s="78"/>
      <c r="E178" s="78"/>
    </row>
    <row r="179">
      <c r="A179" s="65"/>
      <c r="B179" s="78"/>
      <c r="C179" s="78"/>
      <c r="D179" s="78"/>
      <c r="E179" s="78"/>
    </row>
    <row r="180">
      <c r="A180" s="65"/>
      <c r="B180" s="78"/>
      <c r="C180" s="78"/>
      <c r="D180" s="78"/>
      <c r="E180" s="78"/>
    </row>
    <row r="181">
      <c r="A181" s="65"/>
      <c r="B181" s="78"/>
      <c r="C181" s="78"/>
      <c r="D181" s="78"/>
      <c r="E181" s="78"/>
    </row>
    <row r="182">
      <c r="A182" s="65"/>
      <c r="B182" s="78"/>
      <c r="C182" s="78"/>
      <c r="D182" s="78"/>
      <c r="E182" s="78"/>
    </row>
    <row r="183">
      <c r="A183" s="65"/>
      <c r="B183" s="78"/>
      <c r="C183" s="78"/>
      <c r="D183" s="78"/>
      <c r="E183" s="78"/>
    </row>
    <row r="184">
      <c r="A184" s="65"/>
      <c r="B184" s="78"/>
      <c r="C184" s="78"/>
      <c r="D184" s="78"/>
      <c r="E184" s="78"/>
    </row>
    <row r="185">
      <c r="A185" s="65"/>
      <c r="B185" s="78"/>
      <c r="C185" s="78"/>
      <c r="D185" s="78"/>
      <c r="E185" s="78"/>
    </row>
    <row r="186">
      <c r="A186" s="65"/>
      <c r="B186" s="78"/>
      <c r="C186" s="78"/>
      <c r="D186" s="78"/>
      <c r="E186" s="78"/>
    </row>
    <row r="187">
      <c r="A187" s="65"/>
      <c r="B187" s="78"/>
      <c r="C187" s="78"/>
      <c r="D187" s="78"/>
      <c r="E187" s="78"/>
    </row>
    <row r="188">
      <c r="A188" s="65"/>
      <c r="B188" s="78"/>
      <c r="C188" s="78"/>
      <c r="D188" s="78"/>
      <c r="E188" s="78"/>
    </row>
    <row r="189">
      <c r="A189" s="65"/>
      <c r="B189" s="78"/>
      <c r="C189" s="78"/>
      <c r="D189" s="78"/>
      <c r="E189" s="78"/>
    </row>
    <row r="190">
      <c r="A190" s="65"/>
      <c r="B190" s="78"/>
      <c r="C190" s="78"/>
      <c r="D190" s="78"/>
      <c r="E190" s="78"/>
    </row>
    <row r="191">
      <c r="A191" s="65"/>
      <c r="B191" s="78"/>
      <c r="C191" s="78"/>
      <c r="D191" s="78"/>
      <c r="E191" s="78"/>
    </row>
    <row r="192">
      <c r="A192" s="65"/>
      <c r="B192" s="78"/>
      <c r="C192" s="78"/>
      <c r="D192" s="78"/>
      <c r="E192" s="78"/>
    </row>
    <row r="193">
      <c r="A193" s="65"/>
      <c r="B193" s="78"/>
      <c r="C193" s="78"/>
      <c r="D193" s="78"/>
      <c r="E193" s="78"/>
    </row>
    <row r="194">
      <c r="A194" s="65"/>
      <c r="B194" s="78"/>
      <c r="C194" s="78"/>
      <c r="D194" s="78"/>
      <c r="E194" s="78"/>
    </row>
    <row r="195">
      <c r="A195" s="65"/>
      <c r="B195" s="78"/>
      <c r="C195" s="78"/>
      <c r="D195" s="78"/>
      <c r="E195" s="78"/>
    </row>
    <row r="196">
      <c r="A196" s="65"/>
      <c r="B196" s="78"/>
      <c r="C196" s="78"/>
      <c r="D196" s="78"/>
      <c r="E196" s="78"/>
    </row>
    <row r="197">
      <c r="A197" s="65"/>
      <c r="B197" s="78"/>
      <c r="C197" s="78"/>
      <c r="D197" s="78"/>
      <c r="E197" s="78"/>
    </row>
    <row r="198">
      <c r="A198" s="65"/>
      <c r="B198" s="78"/>
      <c r="C198" s="78"/>
      <c r="D198" s="78"/>
      <c r="E198" s="78"/>
    </row>
    <row r="199">
      <c r="A199" s="65"/>
      <c r="B199" s="78"/>
      <c r="C199" s="78"/>
      <c r="D199" s="78"/>
      <c r="E199" s="78"/>
    </row>
    <row r="200">
      <c r="A200" s="65"/>
      <c r="B200" s="78"/>
      <c r="C200" s="78"/>
      <c r="D200" s="78"/>
      <c r="E200" s="78"/>
    </row>
    <row r="201">
      <c r="A201" s="65"/>
      <c r="B201" s="78"/>
      <c r="C201" s="78"/>
      <c r="D201" s="78"/>
      <c r="E201" s="78"/>
    </row>
    <row r="202">
      <c r="A202" s="65"/>
      <c r="B202" s="78"/>
      <c r="C202" s="78"/>
      <c r="D202" s="78"/>
      <c r="E202" s="78"/>
    </row>
    <row r="203">
      <c r="A203" s="65"/>
      <c r="B203" s="78"/>
      <c r="C203" s="78"/>
      <c r="D203" s="78"/>
      <c r="E203" s="78"/>
    </row>
    <row r="204">
      <c r="A204" s="65"/>
      <c r="B204" s="78"/>
      <c r="C204" s="78"/>
      <c r="D204" s="78"/>
      <c r="E204" s="78"/>
    </row>
    <row r="205">
      <c r="A205" s="65"/>
      <c r="B205" s="78"/>
      <c r="C205" s="78"/>
      <c r="D205" s="78"/>
      <c r="E205" s="78"/>
    </row>
    <row r="206">
      <c r="A206" s="65"/>
      <c r="B206" s="78"/>
      <c r="C206" s="78"/>
      <c r="D206" s="78"/>
      <c r="E206" s="78"/>
    </row>
    <row r="207">
      <c r="A207" s="65"/>
      <c r="B207" s="78"/>
      <c r="C207" s="78"/>
      <c r="D207" s="78"/>
      <c r="E207" s="78"/>
    </row>
    <row r="208">
      <c r="A208" s="65"/>
      <c r="B208" s="78"/>
      <c r="C208" s="78"/>
      <c r="D208" s="78"/>
      <c r="E208" s="78"/>
    </row>
    <row r="209">
      <c r="A209" s="65"/>
      <c r="B209" s="78"/>
      <c r="C209" s="78"/>
      <c r="D209" s="78"/>
      <c r="E209" s="78"/>
    </row>
    <row r="210">
      <c r="A210" s="65"/>
      <c r="B210" s="78"/>
      <c r="C210" s="78"/>
      <c r="D210" s="78"/>
      <c r="E210" s="78"/>
    </row>
    <row r="211">
      <c r="A211" s="65"/>
      <c r="B211" s="78"/>
      <c r="C211" s="78"/>
      <c r="D211" s="78"/>
      <c r="E211" s="78"/>
    </row>
    <row r="212">
      <c r="A212" s="65"/>
      <c r="B212" s="78"/>
      <c r="C212" s="78"/>
      <c r="D212" s="78"/>
      <c r="E212" s="78"/>
    </row>
    <row r="213">
      <c r="A213" s="65"/>
      <c r="B213" s="78"/>
      <c r="C213" s="78"/>
      <c r="D213" s="78"/>
      <c r="E213" s="78"/>
    </row>
    <row r="214">
      <c r="A214" s="65"/>
      <c r="B214" s="78"/>
      <c r="C214" s="78"/>
      <c r="D214" s="78"/>
      <c r="E214" s="78"/>
    </row>
    <row r="215">
      <c r="A215" s="65"/>
      <c r="B215" s="78"/>
      <c r="C215" s="78"/>
      <c r="D215" s="78"/>
      <c r="E215" s="78"/>
    </row>
    <row r="216">
      <c r="A216" s="65"/>
      <c r="B216" s="78"/>
      <c r="C216" s="78"/>
      <c r="D216" s="78"/>
      <c r="E216" s="78"/>
    </row>
    <row r="217">
      <c r="A217" s="65"/>
      <c r="B217" s="78"/>
      <c r="C217" s="78"/>
      <c r="D217" s="78"/>
      <c r="E217" s="78"/>
    </row>
    <row r="218">
      <c r="A218" s="65"/>
      <c r="B218" s="78"/>
      <c r="C218" s="78"/>
      <c r="D218" s="78"/>
      <c r="E218" s="78"/>
    </row>
    <row r="219">
      <c r="A219" s="65"/>
      <c r="B219" s="78"/>
      <c r="C219" s="78"/>
      <c r="D219" s="78"/>
      <c r="E219" s="78"/>
    </row>
    <row r="220">
      <c r="A220" s="65"/>
      <c r="B220" s="78"/>
      <c r="C220" s="78"/>
      <c r="D220" s="78"/>
      <c r="E220" s="78"/>
    </row>
    <row r="221">
      <c r="A221" s="65"/>
      <c r="B221" s="78"/>
      <c r="C221" s="78"/>
      <c r="D221" s="78"/>
      <c r="E221" s="78"/>
    </row>
    <row r="222">
      <c r="A222" s="65"/>
      <c r="B222" s="78"/>
      <c r="C222" s="78"/>
      <c r="D222" s="78"/>
      <c r="E222" s="78"/>
    </row>
    <row r="223">
      <c r="A223" s="65"/>
      <c r="B223" s="78"/>
      <c r="C223" s="78"/>
      <c r="D223" s="78"/>
      <c r="E223" s="78"/>
    </row>
    <row r="224">
      <c r="A224" s="65"/>
      <c r="B224" s="78"/>
      <c r="C224" s="78"/>
      <c r="D224" s="78"/>
      <c r="E224" s="78"/>
    </row>
    <row r="225">
      <c r="A225" s="65"/>
      <c r="B225" s="78"/>
      <c r="C225" s="78"/>
      <c r="D225" s="78"/>
      <c r="E225" s="78"/>
    </row>
    <row r="226">
      <c r="A226" s="65"/>
      <c r="B226" s="78"/>
      <c r="C226" s="78"/>
      <c r="D226" s="78"/>
      <c r="E226" s="78"/>
    </row>
    <row r="227">
      <c r="A227" s="65"/>
      <c r="B227" s="78"/>
      <c r="C227" s="78"/>
      <c r="D227" s="78"/>
      <c r="E227" s="78"/>
    </row>
    <row r="228">
      <c r="A228" s="65"/>
      <c r="B228" s="78"/>
      <c r="C228" s="78"/>
      <c r="D228" s="78"/>
      <c r="E228" s="78"/>
    </row>
    <row r="229">
      <c r="A229" s="65"/>
      <c r="B229" s="78"/>
      <c r="C229" s="78"/>
      <c r="D229" s="78"/>
      <c r="E229" s="78"/>
    </row>
    <row r="230">
      <c r="A230" s="65"/>
      <c r="B230" s="78"/>
      <c r="C230" s="78"/>
      <c r="D230" s="78"/>
      <c r="E230" s="78"/>
    </row>
    <row r="231">
      <c r="A231" s="65"/>
      <c r="B231" s="78"/>
      <c r="C231" s="78"/>
      <c r="D231" s="78"/>
      <c r="E231" s="78"/>
    </row>
    <row r="232">
      <c r="A232" s="65"/>
      <c r="B232" s="78"/>
      <c r="C232" s="78"/>
      <c r="D232" s="78"/>
      <c r="E232" s="78"/>
    </row>
    <row r="233">
      <c r="A233" s="65"/>
      <c r="B233" s="78"/>
      <c r="C233" s="78"/>
      <c r="D233" s="78"/>
      <c r="E233" s="78"/>
    </row>
    <row r="234">
      <c r="A234" s="65"/>
      <c r="B234" s="78"/>
      <c r="C234" s="78"/>
      <c r="D234" s="78"/>
      <c r="E234" s="78"/>
    </row>
    <row r="235">
      <c r="A235" s="65"/>
      <c r="B235" s="78"/>
      <c r="C235" s="78"/>
      <c r="D235" s="78"/>
      <c r="E235" s="78"/>
    </row>
    <row r="236">
      <c r="A236" s="65"/>
      <c r="B236" s="78"/>
      <c r="C236" s="78"/>
      <c r="D236" s="78"/>
      <c r="E236" s="78"/>
    </row>
    <row r="237">
      <c r="A237" s="65"/>
      <c r="B237" s="78"/>
      <c r="C237" s="78"/>
      <c r="D237" s="78"/>
      <c r="E237" s="78"/>
    </row>
    <row r="238">
      <c r="A238" s="65"/>
      <c r="B238" s="78"/>
      <c r="C238" s="78"/>
      <c r="D238" s="78"/>
      <c r="E238" s="78"/>
    </row>
    <row r="239">
      <c r="A239" s="65"/>
      <c r="B239" s="78"/>
      <c r="C239" s="78"/>
      <c r="D239" s="78"/>
      <c r="E239" s="78"/>
    </row>
    <row r="240">
      <c r="A240" s="65"/>
      <c r="B240" s="78"/>
      <c r="C240" s="78"/>
      <c r="D240" s="78"/>
      <c r="E240" s="78"/>
    </row>
    <row r="241">
      <c r="A241" s="65"/>
      <c r="B241" s="78"/>
      <c r="C241" s="78"/>
      <c r="D241" s="78"/>
      <c r="E241" s="78"/>
    </row>
    <row r="242">
      <c r="A242" s="65"/>
      <c r="B242" s="78"/>
      <c r="C242" s="78"/>
      <c r="D242" s="78"/>
      <c r="E242" s="78"/>
    </row>
    <row r="243">
      <c r="A243" s="65"/>
      <c r="B243" s="78"/>
      <c r="C243" s="78"/>
      <c r="D243" s="78"/>
      <c r="E243" s="78"/>
    </row>
    <row r="244">
      <c r="A244" s="65"/>
      <c r="B244" s="78"/>
      <c r="C244" s="78"/>
      <c r="D244" s="78"/>
      <c r="E244" s="78"/>
    </row>
    <row r="245">
      <c r="A245" s="65"/>
      <c r="B245" s="78"/>
      <c r="C245" s="78"/>
      <c r="D245" s="78"/>
      <c r="E245" s="78"/>
    </row>
    <row r="246">
      <c r="A246" s="65"/>
      <c r="B246" s="78"/>
      <c r="C246" s="78"/>
      <c r="D246" s="78"/>
      <c r="E246" s="78"/>
    </row>
    <row r="247">
      <c r="A247" s="65"/>
      <c r="B247" s="78"/>
      <c r="C247" s="78"/>
      <c r="D247" s="78"/>
      <c r="E247" s="78"/>
    </row>
    <row r="248">
      <c r="A248" s="65"/>
      <c r="B248" s="78"/>
      <c r="C248" s="78"/>
      <c r="D248" s="78"/>
      <c r="E248" s="78"/>
    </row>
    <row r="249">
      <c r="A249" s="65"/>
      <c r="B249" s="78"/>
      <c r="C249" s="78"/>
      <c r="D249" s="78"/>
      <c r="E249" s="78"/>
    </row>
    <row r="250">
      <c r="A250" s="65"/>
      <c r="B250" s="78"/>
      <c r="C250" s="78"/>
      <c r="D250" s="78"/>
      <c r="E250" s="78"/>
    </row>
    <row r="251">
      <c r="A251" s="65"/>
      <c r="B251" s="78"/>
      <c r="C251" s="78"/>
      <c r="D251" s="78"/>
      <c r="E251" s="78"/>
    </row>
    <row r="252">
      <c r="A252" s="65"/>
      <c r="B252" s="78"/>
      <c r="C252" s="78"/>
      <c r="D252" s="78"/>
      <c r="E252" s="78"/>
    </row>
    <row r="253">
      <c r="A253" s="65"/>
      <c r="B253" s="78"/>
      <c r="C253" s="78"/>
      <c r="D253" s="78"/>
      <c r="E253" s="78"/>
    </row>
    <row r="254">
      <c r="A254" s="65"/>
      <c r="B254" s="78"/>
      <c r="C254" s="78"/>
      <c r="D254" s="78"/>
      <c r="E254" s="78"/>
    </row>
    <row r="255">
      <c r="A255" s="65"/>
      <c r="B255" s="78"/>
      <c r="C255" s="78"/>
      <c r="D255" s="78"/>
      <c r="E255" s="78"/>
    </row>
    <row r="256">
      <c r="A256" s="65"/>
      <c r="B256" s="78"/>
      <c r="C256" s="78"/>
      <c r="D256" s="78"/>
      <c r="E256" s="78"/>
    </row>
    <row r="257">
      <c r="A257" s="65"/>
      <c r="B257" s="78"/>
      <c r="C257" s="78"/>
      <c r="D257" s="78"/>
      <c r="E257" s="78"/>
    </row>
    <row r="258">
      <c r="A258" s="65"/>
      <c r="B258" s="78"/>
      <c r="C258" s="78"/>
      <c r="D258" s="78"/>
      <c r="E258" s="78"/>
    </row>
    <row r="259">
      <c r="A259" s="65"/>
      <c r="B259" s="78"/>
      <c r="C259" s="78"/>
      <c r="D259" s="78"/>
      <c r="E259" s="78"/>
    </row>
    <row r="260">
      <c r="A260" s="65"/>
      <c r="B260" s="78"/>
      <c r="C260" s="78"/>
      <c r="D260" s="78"/>
      <c r="E260" s="78"/>
    </row>
    <row r="261">
      <c r="A261" s="65"/>
      <c r="B261" s="78"/>
      <c r="C261" s="78"/>
      <c r="D261" s="78"/>
      <c r="E261" s="78"/>
    </row>
    <row r="262">
      <c r="A262" s="65"/>
      <c r="B262" s="78"/>
      <c r="C262" s="78"/>
      <c r="D262" s="78"/>
      <c r="E262" s="78"/>
    </row>
    <row r="263">
      <c r="A263" s="65"/>
      <c r="B263" s="78"/>
      <c r="C263" s="78"/>
      <c r="D263" s="78"/>
      <c r="E263" s="78"/>
    </row>
    <row r="264">
      <c r="A264" s="65"/>
      <c r="B264" s="78"/>
      <c r="C264" s="78"/>
      <c r="D264" s="78"/>
      <c r="E264" s="78"/>
    </row>
    <row r="265">
      <c r="A265" s="65"/>
      <c r="B265" s="78"/>
      <c r="C265" s="78"/>
      <c r="D265" s="78"/>
      <c r="E265" s="78"/>
    </row>
    <row r="266">
      <c r="A266" s="65"/>
      <c r="B266" s="78"/>
      <c r="C266" s="78"/>
      <c r="D266" s="78"/>
      <c r="E266" s="78"/>
    </row>
    <row r="267">
      <c r="A267" s="65"/>
      <c r="B267" s="78"/>
      <c r="C267" s="78"/>
      <c r="D267" s="78"/>
      <c r="E267" s="78"/>
    </row>
    <row r="268">
      <c r="A268" s="65"/>
      <c r="B268" s="78"/>
      <c r="C268" s="78"/>
      <c r="D268" s="78"/>
      <c r="E268" s="78"/>
    </row>
    <row r="269">
      <c r="A269" s="65"/>
      <c r="B269" s="78"/>
      <c r="C269" s="78"/>
      <c r="D269" s="78"/>
      <c r="E269" s="78"/>
    </row>
    <row r="270">
      <c r="A270" s="65"/>
      <c r="B270" s="78"/>
      <c r="C270" s="78"/>
      <c r="D270" s="78"/>
      <c r="E270" s="78"/>
    </row>
    <row r="271">
      <c r="A271" s="65"/>
      <c r="B271" s="78"/>
      <c r="C271" s="78"/>
      <c r="D271" s="78"/>
      <c r="E271" s="78"/>
    </row>
    <row r="272">
      <c r="A272" s="65"/>
      <c r="B272" s="78"/>
      <c r="C272" s="78"/>
      <c r="D272" s="78"/>
      <c r="E272" s="78"/>
    </row>
    <row r="273">
      <c r="A273" s="65"/>
      <c r="B273" s="78"/>
      <c r="C273" s="78"/>
      <c r="D273" s="78"/>
      <c r="E273" s="78"/>
    </row>
    <row r="274">
      <c r="A274" s="65"/>
      <c r="B274" s="78"/>
      <c r="C274" s="78"/>
      <c r="D274" s="78"/>
      <c r="E274" s="78"/>
    </row>
    <row r="275">
      <c r="A275" s="65"/>
      <c r="B275" s="78"/>
      <c r="C275" s="78"/>
      <c r="D275" s="78"/>
      <c r="E275" s="78"/>
    </row>
    <row r="276">
      <c r="A276" s="65"/>
      <c r="B276" s="78"/>
      <c r="C276" s="78"/>
      <c r="D276" s="78"/>
      <c r="E276" s="78"/>
    </row>
    <row r="277">
      <c r="A277" s="65"/>
      <c r="B277" s="78"/>
      <c r="C277" s="78"/>
      <c r="D277" s="78"/>
      <c r="E277" s="78"/>
    </row>
    <row r="278">
      <c r="A278" s="65"/>
      <c r="B278" s="78"/>
      <c r="C278" s="78"/>
      <c r="D278" s="78"/>
      <c r="E278" s="78"/>
    </row>
    <row r="279">
      <c r="A279" s="65"/>
      <c r="B279" s="78"/>
      <c r="C279" s="78"/>
      <c r="D279" s="78"/>
      <c r="E279" s="78"/>
    </row>
    <row r="280">
      <c r="A280" s="65"/>
      <c r="B280" s="78"/>
      <c r="C280" s="78"/>
      <c r="D280" s="78"/>
      <c r="E280" s="78"/>
    </row>
    <row r="281">
      <c r="A281" s="65"/>
      <c r="B281" s="78"/>
      <c r="C281" s="78"/>
      <c r="D281" s="78"/>
      <c r="E281" s="78"/>
    </row>
    <row r="282">
      <c r="A282" s="65"/>
      <c r="B282" s="78"/>
      <c r="C282" s="78"/>
      <c r="D282" s="78"/>
      <c r="E282" s="78"/>
    </row>
    <row r="283">
      <c r="A283" s="65"/>
      <c r="B283" s="78"/>
      <c r="C283" s="78"/>
      <c r="D283" s="78"/>
      <c r="E283" s="78"/>
    </row>
    <row r="284">
      <c r="A284" s="65"/>
      <c r="B284" s="78"/>
      <c r="C284" s="78"/>
      <c r="D284" s="78"/>
      <c r="E284" s="78"/>
    </row>
    <row r="285">
      <c r="A285" s="65"/>
      <c r="B285" s="78"/>
      <c r="C285" s="78"/>
      <c r="D285" s="78"/>
      <c r="E285" s="78"/>
    </row>
    <row r="286">
      <c r="A286" s="65"/>
      <c r="B286" s="78"/>
      <c r="C286" s="78"/>
      <c r="D286" s="78"/>
      <c r="E286" s="78"/>
    </row>
    <row r="287">
      <c r="A287" s="65"/>
      <c r="B287" s="78"/>
      <c r="C287" s="78"/>
      <c r="D287" s="78"/>
      <c r="E287" s="78"/>
    </row>
    <row r="288">
      <c r="A288" s="65"/>
      <c r="B288" s="78"/>
      <c r="C288" s="78"/>
      <c r="D288" s="78"/>
      <c r="E288" s="78"/>
    </row>
    <row r="289">
      <c r="A289" s="65"/>
      <c r="B289" s="78"/>
      <c r="C289" s="78"/>
      <c r="D289" s="78"/>
      <c r="E289" s="78"/>
    </row>
    <row r="290">
      <c r="A290" s="65"/>
      <c r="B290" s="78"/>
      <c r="C290" s="78"/>
      <c r="D290" s="78"/>
      <c r="E290" s="78"/>
    </row>
    <row r="291">
      <c r="A291" s="65"/>
      <c r="B291" s="78"/>
      <c r="C291" s="78"/>
      <c r="D291" s="78"/>
      <c r="E291" s="78"/>
    </row>
    <row r="292">
      <c r="A292" s="65"/>
      <c r="B292" s="78"/>
      <c r="C292" s="78"/>
      <c r="D292" s="78"/>
      <c r="E292" s="78"/>
    </row>
    <row r="293">
      <c r="A293" s="65"/>
      <c r="B293" s="78"/>
      <c r="C293" s="78"/>
      <c r="D293" s="78"/>
      <c r="E293" s="78"/>
    </row>
    <row r="294">
      <c r="A294" s="65"/>
      <c r="B294" s="78"/>
      <c r="C294" s="78"/>
      <c r="D294" s="78"/>
      <c r="E294" s="78"/>
    </row>
    <row r="295">
      <c r="A295" s="65"/>
      <c r="B295" s="78"/>
      <c r="C295" s="78"/>
      <c r="D295" s="78"/>
      <c r="E295" s="78"/>
    </row>
    <row r="296">
      <c r="A296" s="65"/>
      <c r="B296" s="78"/>
      <c r="C296" s="78"/>
      <c r="D296" s="78"/>
      <c r="E296" s="78"/>
    </row>
    <row r="297">
      <c r="A297" s="65"/>
      <c r="B297" s="78"/>
      <c r="C297" s="78"/>
      <c r="D297" s="78"/>
      <c r="E297" s="78"/>
    </row>
    <row r="298">
      <c r="A298" s="65"/>
      <c r="B298" s="78"/>
      <c r="C298" s="78"/>
      <c r="D298" s="78"/>
      <c r="E298" s="78"/>
    </row>
    <row r="299">
      <c r="A299" s="65"/>
      <c r="B299" s="78"/>
      <c r="C299" s="78"/>
      <c r="D299" s="78"/>
      <c r="E299" s="78"/>
    </row>
    <row r="300">
      <c r="A300" s="65"/>
      <c r="B300" s="78"/>
      <c r="C300" s="78"/>
      <c r="D300" s="78"/>
      <c r="E300" s="78"/>
    </row>
    <row r="301">
      <c r="A301" s="65"/>
      <c r="B301" s="78"/>
      <c r="C301" s="78"/>
      <c r="D301" s="78"/>
      <c r="E301" s="78"/>
    </row>
    <row r="302">
      <c r="A302" s="65"/>
      <c r="B302" s="78"/>
      <c r="C302" s="78"/>
      <c r="D302" s="78"/>
      <c r="E302" s="78"/>
    </row>
    <row r="303">
      <c r="A303" s="65"/>
      <c r="B303" s="78"/>
      <c r="C303" s="78"/>
      <c r="D303" s="78"/>
      <c r="E303" s="78"/>
    </row>
    <row r="304">
      <c r="A304" s="65"/>
      <c r="B304" s="78"/>
      <c r="C304" s="78"/>
      <c r="D304" s="78"/>
      <c r="E304" s="78"/>
    </row>
    <row r="305">
      <c r="A305" s="65"/>
      <c r="B305" s="78"/>
      <c r="C305" s="78"/>
      <c r="D305" s="78"/>
      <c r="E305" s="78"/>
    </row>
    <row r="306">
      <c r="A306" s="65"/>
      <c r="B306" s="78"/>
      <c r="C306" s="78"/>
      <c r="D306" s="78"/>
      <c r="E306" s="78"/>
    </row>
    <row r="307">
      <c r="A307" s="65"/>
      <c r="B307" s="78"/>
      <c r="C307" s="78"/>
      <c r="D307" s="78"/>
      <c r="E307" s="78"/>
    </row>
    <row r="308">
      <c r="A308" s="65"/>
      <c r="B308" s="78"/>
      <c r="C308" s="78"/>
      <c r="D308" s="78"/>
      <c r="E308" s="78"/>
    </row>
    <row r="309">
      <c r="A309" s="65"/>
      <c r="B309" s="78"/>
      <c r="C309" s="78"/>
      <c r="D309" s="78"/>
      <c r="E309" s="78"/>
    </row>
    <row r="310">
      <c r="A310" s="65"/>
      <c r="B310" s="78"/>
      <c r="C310" s="78"/>
      <c r="D310" s="78"/>
      <c r="E310" s="78"/>
    </row>
    <row r="311">
      <c r="A311" s="65"/>
      <c r="B311" s="78"/>
      <c r="C311" s="78"/>
      <c r="D311" s="78"/>
      <c r="E311" s="78"/>
    </row>
    <row r="312">
      <c r="A312" s="65"/>
      <c r="B312" s="78"/>
      <c r="C312" s="78"/>
      <c r="D312" s="78"/>
      <c r="E312" s="78"/>
    </row>
    <row r="313">
      <c r="A313" s="65"/>
      <c r="B313" s="78"/>
      <c r="C313" s="78"/>
      <c r="D313" s="78"/>
      <c r="E313" s="78"/>
    </row>
    <row r="314">
      <c r="A314" s="65"/>
      <c r="B314" s="78"/>
      <c r="C314" s="78"/>
      <c r="D314" s="78"/>
      <c r="E314" s="78"/>
    </row>
    <row r="315">
      <c r="A315" s="65"/>
      <c r="B315" s="78"/>
      <c r="C315" s="78"/>
      <c r="D315" s="78"/>
      <c r="E315" s="78"/>
    </row>
    <row r="316">
      <c r="A316" s="65"/>
      <c r="B316" s="78"/>
      <c r="C316" s="78"/>
      <c r="D316" s="78"/>
      <c r="E316" s="78"/>
    </row>
    <row r="317">
      <c r="A317" s="65"/>
      <c r="B317" s="78"/>
      <c r="C317" s="78"/>
      <c r="D317" s="78"/>
      <c r="E317" s="78"/>
    </row>
    <row r="318">
      <c r="A318" s="65"/>
      <c r="B318" s="78"/>
      <c r="C318" s="78"/>
      <c r="D318" s="78"/>
      <c r="E318" s="78"/>
    </row>
    <row r="319">
      <c r="A319" s="65"/>
      <c r="B319" s="78"/>
      <c r="C319" s="78"/>
      <c r="D319" s="78"/>
      <c r="E319" s="78"/>
    </row>
    <row r="320">
      <c r="A320" s="65"/>
      <c r="B320" s="78"/>
      <c r="C320" s="78"/>
      <c r="D320" s="78"/>
      <c r="E320" s="78"/>
    </row>
    <row r="321">
      <c r="A321" s="65"/>
      <c r="B321" s="78"/>
      <c r="C321" s="78"/>
      <c r="D321" s="78"/>
      <c r="E321" s="78"/>
    </row>
    <row r="322">
      <c r="A322" s="65"/>
      <c r="B322" s="78"/>
      <c r="C322" s="78"/>
      <c r="D322" s="78"/>
      <c r="E322" s="78"/>
    </row>
    <row r="323">
      <c r="A323" s="65"/>
      <c r="B323" s="78"/>
      <c r="C323" s="78"/>
      <c r="D323" s="78"/>
      <c r="E323" s="78"/>
    </row>
    <row r="324">
      <c r="A324" s="65"/>
      <c r="B324" s="78"/>
      <c r="C324" s="78"/>
      <c r="D324" s="78"/>
      <c r="E324" s="78"/>
    </row>
    <row r="325">
      <c r="A325" s="65"/>
      <c r="B325" s="78"/>
      <c r="C325" s="78"/>
      <c r="D325" s="78"/>
      <c r="E325" s="78"/>
    </row>
    <row r="326">
      <c r="A326" s="65"/>
      <c r="B326" s="78"/>
      <c r="C326" s="78"/>
      <c r="D326" s="78"/>
      <c r="E326" s="78"/>
    </row>
    <row r="327">
      <c r="A327" s="65"/>
      <c r="B327" s="78"/>
      <c r="C327" s="78"/>
      <c r="D327" s="78"/>
      <c r="E327" s="78"/>
    </row>
    <row r="328">
      <c r="A328" s="65"/>
      <c r="B328" s="78"/>
      <c r="C328" s="78"/>
      <c r="D328" s="78"/>
      <c r="E328" s="78"/>
    </row>
    <row r="329">
      <c r="A329" s="65"/>
      <c r="B329" s="78"/>
      <c r="C329" s="78"/>
      <c r="D329" s="78"/>
      <c r="E329" s="78"/>
    </row>
    <row r="330">
      <c r="A330" s="65"/>
      <c r="B330" s="78"/>
      <c r="C330" s="78"/>
      <c r="D330" s="78"/>
      <c r="E330" s="78"/>
    </row>
    <row r="331">
      <c r="A331" s="65"/>
      <c r="B331" s="78"/>
      <c r="C331" s="78"/>
      <c r="D331" s="78"/>
      <c r="E331" s="78"/>
    </row>
    <row r="332">
      <c r="A332" s="65"/>
      <c r="B332" s="78"/>
      <c r="C332" s="78"/>
      <c r="D332" s="78"/>
      <c r="E332" s="78"/>
    </row>
    <row r="333">
      <c r="A333" s="65"/>
      <c r="B333" s="78"/>
      <c r="C333" s="78"/>
      <c r="D333" s="78"/>
      <c r="E333" s="78"/>
    </row>
    <row r="334">
      <c r="A334" s="65"/>
      <c r="B334" s="78"/>
      <c r="C334" s="78"/>
      <c r="D334" s="78"/>
      <c r="E334" s="78"/>
    </row>
    <row r="335">
      <c r="A335" s="65"/>
      <c r="B335" s="78"/>
      <c r="C335" s="78"/>
      <c r="D335" s="78"/>
      <c r="E335" s="78"/>
    </row>
    <row r="336">
      <c r="A336" s="65"/>
      <c r="B336" s="78"/>
      <c r="C336" s="78"/>
      <c r="D336" s="78"/>
      <c r="E336" s="78"/>
    </row>
    <row r="337">
      <c r="A337" s="65"/>
      <c r="B337" s="78"/>
      <c r="C337" s="78"/>
      <c r="D337" s="78"/>
      <c r="E337" s="78"/>
    </row>
    <row r="338">
      <c r="A338" s="65"/>
      <c r="B338" s="78"/>
      <c r="C338" s="78"/>
      <c r="D338" s="78"/>
      <c r="E338" s="78"/>
    </row>
    <row r="339">
      <c r="A339" s="65"/>
      <c r="B339" s="78"/>
      <c r="C339" s="78"/>
      <c r="D339" s="78"/>
      <c r="E339" s="78"/>
    </row>
    <row r="340">
      <c r="A340" s="65"/>
      <c r="B340" s="78"/>
      <c r="C340" s="78"/>
      <c r="D340" s="78"/>
      <c r="E340" s="78"/>
    </row>
    <row r="341">
      <c r="A341" s="65"/>
      <c r="B341" s="78"/>
      <c r="C341" s="78"/>
      <c r="D341" s="78"/>
      <c r="E341" s="78"/>
    </row>
    <row r="342">
      <c r="A342" s="65"/>
      <c r="B342" s="78"/>
      <c r="C342" s="78"/>
      <c r="D342" s="78"/>
      <c r="E342" s="78"/>
    </row>
    <row r="343">
      <c r="A343" s="65"/>
      <c r="B343" s="78"/>
      <c r="C343" s="78"/>
      <c r="D343" s="78"/>
      <c r="E343" s="78"/>
    </row>
    <row r="344">
      <c r="A344" s="65"/>
      <c r="B344" s="78"/>
      <c r="C344" s="78"/>
      <c r="D344" s="78"/>
      <c r="E344" s="78"/>
    </row>
    <row r="345">
      <c r="A345" s="65"/>
      <c r="B345" s="78"/>
      <c r="C345" s="78"/>
      <c r="D345" s="78"/>
      <c r="E345" s="78"/>
    </row>
    <row r="346">
      <c r="A346" s="65"/>
      <c r="B346" s="78"/>
      <c r="C346" s="78"/>
      <c r="D346" s="78"/>
      <c r="E346" s="78"/>
    </row>
    <row r="347">
      <c r="A347" s="65"/>
      <c r="B347" s="78"/>
      <c r="C347" s="78"/>
      <c r="D347" s="78"/>
      <c r="E347" s="78"/>
    </row>
    <row r="348">
      <c r="A348" s="65"/>
      <c r="B348" s="78"/>
      <c r="C348" s="78"/>
      <c r="D348" s="78"/>
      <c r="E348" s="78"/>
    </row>
    <row r="349">
      <c r="A349" s="65"/>
      <c r="B349" s="78"/>
      <c r="C349" s="78"/>
      <c r="D349" s="78"/>
      <c r="E349" s="78"/>
    </row>
    <row r="350">
      <c r="A350" s="65"/>
      <c r="B350" s="78"/>
      <c r="C350" s="78"/>
      <c r="D350" s="78"/>
      <c r="E350" s="78"/>
    </row>
    <row r="351">
      <c r="A351" s="65"/>
      <c r="B351" s="78"/>
      <c r="C351" s="78"/>
      <c r="D351" s="78"/>
      <c r="E351" s="78"/>
    </row>
    <row r="352">
      <c r="A352" s="65"/>
      <c r="B352" s="78"/>
      <c r="C352" s="78"/>
      <c r="D352" s="78"/>
      <c r="E352" s="78"/>
    </row>
    <row r="353">
      <c r="A353" s="65"/>
      <c r="B353" s="78"/>
      <c r="C353" s="78"/>
      <c r="D353" s="78"/>
      <c r="E353" s="78"/>
    </row>
    <row r="354">
      <c r="A354" s="65"/>
      <c r="B354" s="78"/>
      <c r="C354" s="78"/>
      <c r="D354" s="78"/>
      <c r="E354" s="78"/>
    </row>
    <row r="355">
      <c r="A355" s="65"/>
      <c r="B355" s="78"/>
      <c r="C355" s="78"/>
      <c r="D355" s="78"/>
      <c r="E355" s="78"/>
    </row>
    <row r="356">
      <c r="A356" s="65"/>
      <c r="B356" s="78"/>
      <c r="C356" s="78"/>
      <c r="D356" s="78"/>
      <c r="E356" s="78"/>
    </row>
    <row r="357">
      <c r="A357" s="65"/>
      <c r="B357" s="78"/>
      <c r="C357" s="78"/>
      <c r="D357" s="78"/>
      <c r="E357" s="78"/>
    </row>
    <row r="358">
      <c r="A358" s="65"/>
      <c r="B358" s="78"/>
      <c r="C358" s="78"/>
      <c r="D358" s="78"/>
      <c r="E358" s="78"/>
    </row>
    <row r="359">
      <c r="A359" s="65"/>
      <c r="B359" s="78"/>
      <c r="C359" s="78"/>
      <c r="D359" s="78"/>
      <c r="E359" s="78"/>
    </row>
    <row r="360">
      <c r="A360" s="65"/>
      <c r="B360" s="78"/>
      <c r="C360" s="78"/>
      <c r="D360" s="78"/>
      <c r="E360" s="78"/>
    </row>
    <row r="361">
      <c r="A361" s="65"/>
      <c r="B361" s="78"/>
      <c r="C361" s="78"/>
      <c r="D361" s="78"/>
      <c r="E361" s="78"/>
    </row>
    <row r="362">
      <c r="A362" s="65"/>
      <c r="B362" s="78"/>
      <c r="C362" s="78"/>
      <c r="D362" s="78"/>
      <c r="E362" s="78"/>
    </row>
    <row r="363">
      <c r="A363" s="65"/>
      <c r="B363" s="78"/>
      <c r="C363" s="78"/>
      <c r="D363" s="78"/>
      <c r="E363" s="78"/>
    </row>
    <row r="364">
      <c r="A364" s="65"/>
      <c r="B364" s="78"/>
      <c r="C364" s="78"/>
      <c r="D364" s="78"/>
      <c r="E364" s="78"/>
    </row>
    <row r="365">
      <c r="A365" s="65"/>
      <c r="B365" s="78"/>
      <c r="C365" s="78"/>
      <c r="D365" s="78"/>
      <c r="E365" s="78"/>
    </row>
    <row r="366">
      <c r="A366" s="65"/>
      <c r="B366" s="78"/>
      <c r="C366" s="78"/>
      <c r="D366" s="78"/>
      <c r="E366" s="78"/>
    </row>
    <row r="367">
      <c r="A367" s="65"/>
      <c r="B367" s="78"/>
      <c r="C367" s="78"/>
      <c r="D367" s="78"/>
      <c r="E367" s="78"/>
    </row>
    <row r="368">
      <c r="A368" s="65"/>
      <c r="B368" s="78"/>
      <c r="C368" s="78"/>
      <c r="D368" s="78"/>
      <c r="E368" s="78"/>
    </row>
    <row r="369">
      <c r="A369" s="65"/>
      <c r="B369" s="78"/>
      <c r="C369" s="78"/>
      <c r="D369" s="78"/>
      <c r="E369" s="78"/>
    </row>
    <row r="370">
      <c r="A370" s="65"/>
      <c r="B370" s="78"/>
      <c r="C370" s="78"/>
      <c r="D370" s="78"/>
      <c r="E370" s="78"/>
    </row>
    <row r="371">
      <c r="A371" s="65"/>
      <c r="B371" s="78"/>
      <c r="C371" s="78"/>
      <c r="D371" s="78"/>
      <c r="E371" s="78"/>
    </row>
    <row r="372">
      <c r="A372" s="65"/>
      <c r="B372" s="78"/>
      <c r="C372" s="78"/>
      <c r="D372" s="78"/>
      <c r="E372" s="78"/>
    </row>
    <row r="373">
      <c r="A373" s="65"/>
      <c r="B373" s="78"/>
      <c r="C373" s="78"/>
      <c r="D373" s="78"/>
      <c r="E373" s="78"/>
    </row>
    <row r="374">
      <c r="A374" s="65"/>
      <c r="B374" s="78"/>
      <c r="C374" s="78"/>
      <c r="D374" s="78"/>
      <c r="E374" s="78"/>
    </row>
    <row r="375">
      <c r="A375" s="65"/>
      <c r="B375" s="78"/>
      <c r="C375" s="78"/>
      <c r="D375" s="78"/>
      <c r="E375" s="78"/>
    </row>
    <row r="376">
      <c r="A376" s="65"/>
      <c r="B376" s="78"/>
      <c r="C376" s="78"/>
      <c r="D376" s="78"/>
      <c r="E376" s="78"/>
    </row>
    <row r="377">
      <c r="A377" s="65"/>
      <c r="B377" s="78"/>
      <c r="C377" s="78"/>
      <c r="D377" s="78"/>
      <c r="E377" s="78"/>
    </row>
    <row r="378">
      <c r="A378" s="65"/>
      <c r="B378" s="78"/>
      <c r="C378" s="78"/>
      <c r="D378" s="78"/>
      <c r="E378" s="78"/>
    </row>
    <row r="379">
      <c r="A379" s="65"/>
      <c r="B379" s="78"/>
      <c r="C379" s="78"/>
      <c r="D379" s="78"/>
      <c r="E379" s="78"/>
    </row>
    <row r="380">
      <c r="A380" s="65"/>
      <c r="B380" s="78"/>
      <c r="C380" s="78"/>
      <c r="D380" s="78"/>
      <c r="E380" s="78"/>
    </row>
    <row r="381">
      <c r="A381" s="65"/>
      <c r="B381" s="78"/>
      <c r="C381" s="78"/>
      <c r="D381" s="78"/>
      <c r="E381" s="78"/>
    </row>
    <row r="382">
      <c r="A382" s="65"/>
      <c r="B382" s="78"/>
      <c r="C382" s="78"/>
      <c r="D382" s="78"/>
      <c r="E382" s="78"/>
    </row>
    <row r="383">
      <c r="A383" s="65"/>
      <c r="B383" s="78"/>
      <c r="C383" s="78"/>
      <c r="D383" s="78"/>
      <c r="E383" s="78"/>
    </row>
    <row r="384">
      <c r="A384" s="65"/>
      <c r="B384" s="78"/>
      <c r="C384" s="78"/>
      <c r="D384" s="78"/>
      <c r="E384" s="78"/>
    </row>
    <row r="385">
      <c r="A385" s="65"/>
      <c r="B385" s="78"/>
      <c r="C385" s="78"/>
      <c r="D385" s="78"/>
      <c r="E385" s="78"/>
    </row>
    <row r="386">
      <c r="A386" s="65"/>
      <c r="B386" s="78"/>
      <c r="C386" s="78"/>
      <c r="D386" s="78"/>
      <c r="E386" s="78"/>
    </row>
    <row r="387">
      <c r="A387" s="65"/>
      <c r="B387" s="78"/>
      <c r="C387" s="78"/>
      <c r="D387" s="78"/>
      <c r="E387" s="78"/>
    </row>
    <row r="388">
      <c r="A388" s="65"/>
      <c r="B388" s="78"/>
      <c r="C388" s="78"/>
      <c r="D388" s="78"/>
      <c r="E388" s="78"/>
    </row>
    <row r="389">
      <c r="A389" s="65"/>
      <c r="B389" s="78"/>
      <c r="C389" s="78"/>
      <c r="D389" s="78"/>
      <c r="E389" s="78"/>
    </row>
    <row r="390">
      <c r="A390" s="65"/>
      <c r="B390" s="78"/>
      <c r="C390" s="78"/>
      <c r="D390" s="78"/>
      <c r="E390" s="78"/>
    </row>
    <row r="391">
      <c r="A391" s="65"/>
      <c r="B391" s="78"/>
      <c r="C391" s="78"/>
      <c r="D391" s="78"/>
      <c r="E391" s="78"/>
    </row>
    <row r="392">
      <c r="A392" s="65"/>
      <c r="B392" s="78"/>
      <c r="C392" s="78"/>
      <c r="D392" s="78"/>
      <c r="E392" s="78"/>
    </row>
    <row r="393">
      <c r="A393" s="65"/>
      <c r="B393" s="78"/>
      <c r="C393" s="78"/>
      <c r="D393" s="78"/>
      <c r="E393" s="78"/>
    </row>
    <row r="394">
      <c r="A394" s="65"/>
      <c r="B394" s="78"/>
      <c r="C394" s="78"/>
      <c r="D394" s="78"/>
      <c r="E394" s="78"/>
    </row>
    <row r="395">
      <c r="A395" s="65"/>
      <c r="B395" s="78"/>
      <c r="C395" s="78"/>
      <c r="D395" s="78"/>
      <c r="E395" s="78"/>
    </row>
    <row r="396">
      <c r="A396" s="65"/>
      <c r="B396" s="78"/>
      <c r="C396" s="78"/>
      <c r="D396" s="78"/>
      <c r="E396" s="78"/>
    </row>
    <row r="397">
      <c r="A397" s="65"/>
      <c r="B397" s="78"/>
      <c r="C397" s="78"/>
      <c r="D397" s="78"/>
      <c r="E397" s="78"/>
    </row>
    <row r="398">
      <c r="A398" s="65"/>
      <c r="B398" s="78"/>
      <c r="C398" s="78"/>
      <c r="D398" s="78"/>
      <c r="E398" s="78"/>
    </row>
    <row r="399">
      <c r="A399" s="65"/>
      <c r="B399" s="78"/>
      <c r="C399" s="78"/>
      <c r="D399" s="78"/>
      <c r="E399" s="78"/>
    </row>
    <row r="400">
      <c r="A400" s="65"/>
      <c r="B400" s="78"/>
      <c r="C400" s="78"/>
      <c r="D400" s="78"/>
      <c r="E400" s="78"/>
    </row>
    <row r="401">
      <c r="A401" s="65"/>
      <c r="B401" s="78"/>
      <c r="C401" s="78"/>
      <c r="D401" s="78"/>
      <c r="E401" s="78"/>
    </row>
    <row r="402">
      <c r="A402" s="65"/>
      <c r="B402" s="78"/>
      <c r="C402" s="78"/>
      <c r="D402" s="78"/>
      <c r="E402" s="78"/>
    </row>
    <row r="403">
      <c r="A403" s="65"/>
      <c r="B403" s="78"/>
      <c r="C403" s="78"/>
      <c r="D403" s="78"/>
      <c r="E403" s="78"/>
    </row>
    <row r="404">
      <c r="A404" s="65"/>
      <c r="B404" s="78"/>
      <c r="C404" s="78"/>
      <c r="D404" s="78"/>
      <c r="E404" s="78"/>
    </row>
    <row r="405">
      <c r="A405" s="65"/>
      <c r="B405" s="78"/>
      <c r="C405" s="78"/>
      <c r="D405" s="78"/>
      <c r="E405" s="78"/>
    </row>
    <row r="406">
      <c r="A406" s="65"/>
      <c r="B406" s="78"/>
      <c r="C406" s="78"/>
      <c r="D406" s="78"/>
      <c r="E406" s="78"/>
    </row>
    <row r="407">
      <c r="A407" s="65"/>
      <c r="B407" s="78"/>
      <c r="C407" s="78"/>
      <c r="D407" s="78"/>
      <c r="E407" s="78"/>
    </row>
    <row r="408">
      <c r="A408" s="65"/>
      <c r="B408" s="78"/>
      <c r="C408" s="78"/>
      <c r="D408" s="78"/>
      <c r="E408" s="78"/>
    </row>
    <row r="409">
      <c r="A409" s="65"/>
      <c r="B409" s="78"/>
      <c r="C409" s="78"/>
      <c r="D409" s="78"/>
      <c r="E409" s="78"/>
    </row>
    <row r="410">
      <c r="A410" s="65"/>
      <c r="B410" s="78"/>
      <c r="C410" s="78"/>
      <c r="D410" s="78"/>
      <c r="E410" s="78"/>
    </row>
    <row r="411">
      <c r="A411" s="65"/>
      <c r="B411" s="78"/>
      <c r="C411" s="78"/>
      <c r="D411" s="78"/>
      <c r="E411" s="78"/>
    </row>
    <row r="412">
      <c r="A412" s="65"/>
      <c r="B412" s="78"/>
      <c r="C412" s="78"/>
      <c r="D412" s="78"/>
      <c r="E412" s="78"/>
    </row>
    <row r="413">
      <c r="A413" s="65"/>
      <c r="B413" s="78"/>
      <c r="C413" s="78"/>
      <c r="D413" s="78"/>
      <c r="E413" s="78"/>
    </row>
    <row r="414">
      <c r="A414" s="65"/>
      <c r="B414" s="78"/>
      <c r="C414" s="78"/>
      <c r="D414" s="78"/>
      <c r="E414" s="78"/>
    </row>
    <row r="415">
      <c r="A415" s="65"/>
      <c r="B415" s="78"/>
      <c r="C415" s="78"/>
      <c r="D415" s="78"/>
      <c r="E415" s="78"/>
    </row>
    <row r="416">
      <c r="A416" s="65"/>
      <c r="B416" s="78"/>
      <c r="C416" s="78"/>
      <c r="D416" s="78"/>
      <c r="E416" s="78"/>
    </row>
    <row r="417">
      <c r="A417" s="65"/>
      <c r="B417" s="78"/>
      <c r="C417" s="78"/>
      <c r="D417" s="78"/>
      <c r="E417" s="78"/>
    </row>
    <row r="418">
      <c r="A418" s="65"/>
      <c r="B418" s="78"/>
      <c r="C418" s="78"/>
      <c r="D418" s="78"/>
      <c r="E418" s="78"/>
    </row>
    <row r="419">
      <c r="A419" s="65"/>
      <c r="B419" s="78"/>
      <c r="C419" s="78"/>
      <c r="D419" s="78"/>
      <c r="E419" s="78"/>
    </row>
    <row r="420">
      <c r="A420" s="65"/>
      <c r="B420" s="78"/>
      <c r="C420" s="78"/>
      <c r="D420" s="78"/>
      <c r="E420" s="78"/>
    </row>
    <row r="421">
      <c r="A421" s="65"/>
      <c r="B421" s="78"/>
      <c r="C421" s="78"/>
      <c r="D421" s="78"/>
      <c r="E421" s="78"/>
    </row>
    <row r="422">
      <c r="A422" s="65"/>
      <c r="B422" s="78"/>
      <c r="C422" s="78"/>
      <c r="D422" s="78"/>
      <c r="E422" s="78"/>
    </row>
    <row r="423">
      <c r="A423" s="65"/>
      <c r="B423" s="78"/>
      <c r="C423" s="78"/>
      <c r="D423" s="78"/>
      <c r="E423" s="78"/>
    </row>
    <row r="424">
      <c r="A424" s="65"/>
      <c r="B424" s="78"/>
      <c r="C424" s="78"/>
      <c r="D424" s="78"/>
      <c r="E424" s="78"/>
    </row>
    <row r="425">
      <c r="A425" s="65"/>
      <c r="B425" s="78"/>
      <c r="C425" s="78"/>
      <c r="D425" s="78"/>
      <c r="E425" s="78"/>
    </row>
    <row r="426">
      <c r="A426" s="65"/>
      <c r="B426" s="78"/>
      <c r="C426" s="78"/>
      <c r="D426" s="78"/>
      <c r="E426" s="78"/>
    </row>
    <row r="427">
      <c r="A427" s="65"/>
      <c r="B427" s="78"/>
      <c r="C427" s="78"/>
      <c r="D427" s="78"/>
      <c r="E427" s="78"/>
    </row>
    <row r="428">
      <c r="A428" s="65"/>
      <c r="B428" s="78"/>
      <c r="C428" s="78"/>
      <c r="D428" s="78"/>
      <c r="E428" s="78"/>
    </row>
    <row r="429">
      <c r="A429" s="65"/>
      <c r="B429" s="78"/>
      <c r="C429" s="78"/>
      <c r="D429" s="78"/>
      <c r="E429" s="78"/>
    </row>
    <row r="430">
      <c r="A430" s="65"/>
      <c r="B430" s="78"/>
      <c r="C430" s="78"/>
      <c r="D430" s="78"/>
      <c r="E430" s="78"/>
    </row>
    <row r="431">
      <c r="A431" s="65"/>
      <c r="B431" s="78"/>
      <c r="C431" s="78"/>
      <c r="D431" s="78"/>
      <c r="E431" s="78"/>
    </row>
    <row r="432">
      <c r="A432" s="65"/>
      <c r="B432" s="78"/>
      <c r="C432" s="78"/>
      <c r="D432" s="78"/>
      <c r="E432" s="78"/>
    </row>
    <row r="433">
      <c r="A433" s="65"/>
      <c r="B433" s="78"/>
      <c r="C433" s="78"/>
      <c r="D433" s="78"/>
      <c r="E433" s="78"/>
    </row>
    <row r="434">
      <c r="A434" s="65"/>
      <c r="B434" s="78"/>
      <c r="C434" s="78"/>
      <c r="D434" s="78"/>
      <c r="E434" s="78"/>
    </row>
    <row r="435">
      <c r="A435" s="65"/>
      <c r="B435" s="78"/>
      <c r="C435" s="78"/>
      <c r="D435" s="78"/>
      <c r="E435" s="78"/>
    </row>
    <row r="436">
      <c r="A436" s="65"/>
      <c r="B436" s="78"/>
      <c r="C436" s="78"/>
      <c r="D436" s="78"/>
      <c r="E436" s="78"/>
    </row>
    <row r="437">
      <c r="A437" s="65"/>
      <c r="B437" s="78"/>
      <c r="C437" s="78"/>
      <c r="D437" s="78"/>
      <c r="E437" s="78"/>
    </row>
    <row r="438">
      <c r="A438" s="65"/>
      <c r="B438" s="78"/>
      <c r="C438" s="78"/>
      <c r="D438" s="78"/>
      <c r="E438" s="78"/>
    </row>
    <row r="439">
      <c r="A439" s="65"/>
      <c r="B439" s="78"/>
      <c r="C439" s="78"/>
      <c r="D439" s="78"/>
      <c r="E439" s="78"/>
    </row>
    <row r="440">
      <c r="A440" s="65"/>
      <c r="B440" s="78"/>
      <c r="C440" s="78"/>
      <c r="D440" s="78"/>
      <c r="E440" s="78"/>
    </row>
    <row r="441">
      <c r="A441" s="65"/>
      <c r="B441" s="78"/>
      <c r="C441" s="78"/>
      <c r="D441" s="78"/>
      <c r="E441" s="78"/>
    </row>
    <row r="442">
      <c r="A442" s="65"/>
      <c r="B442" s="78"/>
      <c r="C442" s="78"/>
      <c r="D442" s="78"/>
      <c r="E442" s="78"/>
    </row>
    <row r="443">
      <c r="A443" s="65"/>
      <c r="B443" s="78"/>
      <c r="C443" s="78"/>
      <c r="D443" s="78"/>
      <c r="E443" s="78"/>
    </row>
    <row r="444">
      <c r="A444" s="65"/>
      <c r="B444" s="78"/>
      <c r="C444" s="78"/>
      <c r="D444" s="78"/>
      <c r="E444" s="78"/>
    </row>
    <row r="445">
      <c r="A445" s="65"/>
      <c r="B445" s="78"/>
      <c r="C445" s="78"/>
      <c r="D445" s="78"/>
      <c r="E445" s="78"/>
    </row>
    <row r="446">
      <c r="A446" s="65"/>
      <c r="B446" s="78"/>
      <c r="C446" s="78"/>
      <c r="D446" s="78"/>
      <c r="E446" s="78"/>
    </row>
    <row r="447">
      <c r="A447" s="65"/>
      <c r="B447" s="78"/>
      <c r="C447" s="78"/>
      <c r="D447" s="78"/>
      <c r="E447" s="78"/>
    </row>
    <row r="448">
      <c r="A448" s="65"/>
      <c r="B448" s="78"/>
      <c r="C448" s="78"/>
      <c r="D448" s="78"/>
      <c r="E448" s="78"/>
    </row>
    <row r="449">
      <c r="A449" s="65"/>
      <c r="B449" s="78"/>
      <c r="C449" s="78"/>
      <c r="D449" s="78"/>
      <c r="E449" s="78"/>
    </row>
    <row r="450">
      <c r="A450" s="65"/>
      <c r="B450" s="78"/>
      <c r="C450" s="78"/>
      <c r="D450" s="78"/>
      <c r="E450" s="78"/>
    </row>
    <row r="451">
      <c r="A451" s="65"/>
      <c r="B451" s="78"/>
      <c r="C451" s="78"/>
      <c r="D451" s="78"/>
      <c r="E451" s="78"/>
    </row>
    <row r="452">
      <c r="A452" s="65"/>
      <c r="B452" s="78"/>
      <c r="C452" s="78"/>
      <c r="D452" s="78"/>
      <c r="E452" s="78"/>
    </row>
    <row r="453">
      <c r="A453" s="65"/>
      <c r="B453" s="78"/>
      <c r="C453" s="78"/>
      <c r="D453" s="78"/>
      <c r="E453" s="78"/>
    </row>
    <row r="454">
      <c r="A454" s="65"/>
      <c r="B454" s="78"/>
      <c r="C454" s="78"/>
      <c r="D454" s="78"/>
      <c r="E454" s="78"/>
    </row>
    <row r="455">
      <c r="A455" s="65"/>
      <c r="B455" s="78"/>
      <c r="C455" s="78"/>
      <c r="D455" s="78"/>
      <c r="E455" s="78"/>
    </row>
    <row r="456">
      <c r="A456" s="65"/>
      <c r="B456" s="78"/>
      <c r="C456" s="78"/>
      <c r="D456" s="78"/>
      <c r="E456" s="78"/>
    </row>
    <row r="457">
      <c r="A457" s="65"/>
      <c r="B457" s="78"/>
      <c r="C457" s="78"/>
      <c r="D457" s="78"/>
      <c r="E457" s="78"/>
    </row>
    <row r="458">
      <c r="A458" s="65"/>
      <c r="B458" s="78"/>
      <c r="C458" s="78"/>
      <c r="D458" s="78"/>
      <c r="E458" s="78"/>
    </row>
    <row r="459">
      <c r="A459" s="65"/>
      <c r="B459" s="78"/>
      <c r="C459" s="78"/>
      <c r="D459" s="78"/>
      <c r="E459" s="78"/>
    </row>
    <row r="460">
      <c r="A460" s="65"/>
      <c r="B460" s="78"/>
      <c r="C460" s="78"/>
      <c r="D460" s="78"/>
      <c r="E460" s="78"/>
    </row>
    <row r="461">
      <c r="A461" s="65"/>
      <c r="B461" s="78"/>
      <c r="C461" s="78"/>
      <c r="D461" s="78"/>
      <c r="E461" s="78"/>
    </row>
    <row r="462">
      <c r="A462" s="65"/>
      <c r="B462" s="78"/>
      <c r="C462" s="78"/>
      <c r="D462" s="78"/>
      <c r="E462" s="78"/>
    </row>
    <row r="463">
      <c r="A463" s="65"/>
      <c r="B463" s="78"/>
      <c r="C463" s="78"/>
      <c r="D463" s="78"/>
      <c r="E463" s="78"/>
    </row>
    <row r="464">
      <c r="A464" s="65"/>
      <c r="B464" s="78"/>
      <c r="C464" s="78"/>
      <c r="D464" s="78"/>
      <c r="E464" s="78"/>
    </row>
    <row r="465">
      <c r="A465" s="65"/>
      <c r="B465" s="78"/>
      <c r="C465" s="78"/>
      <c r="D465" s="78"/>
      <c r="E465" s="78"/>
    </row>
    <row r="466">
      <c r="A466" s="65"/>
      <c r="B466" s="78"/>
      <c r="C466" s="78"/>
      <c r="D466" s="78"/>
      <c r="E466" s="78"/>
    </row>
    <row r="467">
      <c r="A467" s="65"/>
      <c r="B467" s="78"/>
      <c r="C467" s="78"/>
      <c r="D467" s="78"/>
      <c r="E467" s="78"/>
    </row>
    <row r="468">
      <c r="A468" s="65"/>
      <c r="B468" s="78"/>
      <c r="C468" s="78"/>
      <c r="D468" s="78"/>
      <c r="E468" s="78"/>
    </row>
    <row r="469">
      <c r="A469" s="65"/>
      <c r="B469" s="78"/>
      <c r="C469" s="78"/>
      <c r="D469" s="78"/>
      <c r="E469" s="78"/>
    </row>
    <row r="470">
      <c r="A470" s="65"/>
      <c r="B470" s="78"/>
      <c r="C470" s="78"/>
      <c r="D470" s="78"/>
      <c r="E470" s="78"/>
    </row>
    <row r="471">
      <c r="A471" s="65"/>
      <c r="B471" s="78"/>
      <c r="C471" s="78"/>
      <c r="D471" s="78"/>
      <c r="E471" s="78"/>
    </row>
    <row r="472">
      <c r="A472" s="65"/>
      <c r="B472" s="78"/>
      <c r="C472" s="78"/>
      <c r="D472" s="78"/>
      <c r="E472" s="78"/>
    </row>
    <row r="473">
      <c r="A473" s="65"/>
      <c r="B473" s="78"/>
      <c r="C473" s="78"/>
      <c r="D473" s="78"/>
      <c r="E473" s="78"/>
    </row>
    <row r="474">
      <c r="A474" s="65"/>
      <c r="B474" s="78"/>
      <c r="C474" s="78"/>
      <c r="D474" s="78"/>
      <c r="E474" s="78"/>
    </row>
    <row r="475">
      <c r="A475" s="65"/>
      <c r="B475" s="78"/>
      <c r="C475" s="78"/>
      <c r="D475" s="78"/>
      <c r="E475" s="78"/>
    </row>
    <row r="476">
      <c r="A476" s="65"/>
      <c r="B476" s="78"/>
      <c r="C476" s="78"/>
      <c r="D476" s="78"/>
      <c r="E476" s="78"/>
    </row>
    <row r="477">
      <c r="A477" s="65"/>
      <c r="B477" s="78"/>
      <c r="C477" s="78"/>
      <c r="D477" s="78"/>
      <c r="E477" s="78"/>
    </row>
    <row r="478">
      <c r="A478" s="65"/>
      <c r="B478" s="78"/>
      <c r="C478" s="78"/>
      <c r="D478" s="78"/>
      <c r="E478" s="78"/>
    </row>
    <row r="479">
      <c r="A479" s="65"/>
      <c r="B479" s="78"/>
      <c r="C479" s="78"/>
      <c r="D479" s="78"/>
      <c r="E479" s="78"/>
    </row>
    <row r="480">
      <c r="A480" s="65"/>
      <c r="B480" s="78"/>
      <c r="C480" s="78"/>
      <c r="D480" s="78"/>
      <c r="E480" s="78"/>
    </row>
    <row r="481">
      <c r="A481" s="65"/>
      <c r="B481" s="78"/>
      <c r="C481" s="78"/>
      <c r="D481" s="78"/>
      <c r="E481" s="78"/>
    </row>
    <row r="482">
      <c r="A482" s="65"/>
      <c r="B482" s="78"/>
      <c r="C482" s="78"/>
      <c r="D482" s="78"/>
      <c r="E482" s="78"/>
    </row>
    <row r="483">
      <c r="A483" s="65"/>
      <c r="B483" s="78"/>
      <c r="C483" s="78"/>
      <c r="D483" s="78"/>
      <c r="E483" s="78"/>
    </row>
    <row r="484">
      <c r="A484" s="65"/>
      <c r="B484" s="78"/>
      <c r="C484" s="78"/>
      <c r="D484" s="78"/>
      <c r="E484" s="78"/>
    </row>
    <row r="485">
      <c r="A485" s="65"/>
      <c r="B485" s="78"/>
      <c r="C485" s="78"/>
      <c r="D485" s="78"/>
      <c r="E485" s="78"/>
    </row>
    <row r="486">
      <c r="A486" s="65"/>
      <c r="B486" s="78"/>
      <c r="C486" s="78"/>
      <c r="D486" s="78"/>
      <c r="E486" s="78"/>
    </row>
    <row r="487">
      <c r="A487" s="65"/>
      <c r="B487" s="78"/>
      <c r="C487" s="78"/>
      <c r="D487" s="78"/>
      <c r="E487" s="78"/>
    </row>
    <row r="488">
      <c r="A488" s="65"/>
      <c r="B488" s="78"/>
      <c r="C488" s="78"/>
      <c r="D488" s="78"/>
      <c r="E488" s="78"/>
    </row>
    <row r="489">
      <c r="A489" s="65"/>
      <c r="B489" s="78"/>
      <c r="C489" s="78"/>
      <c r="D489" s="78"/>
      <c r="E489" s="78"/>
    </row>
    <row r="490">
      <c r="A490" s="65"/>
      <c r="B490" s="78"/>
      <c r="C490" s="78"/>
      <c r="D490" s="78"/>
      <c r="E490" s="78"/>
    </row>
    <row r="491">
      <c r="A491" s="65"/>
      <c r="B491" s="78"/>
      <c r="C491" s="78"/>
      <c r="D491" s="78"/>
      <c r="E491" s="78"/>
    </row>
    <row r="492">
      <c r="A492" s="65"/>
      <c r="B492" s="78"/>
      <c r="C492" s="78"/>
      <c r="D492" s="78"/>
      <c r="E492" s="78"/>
    </row>
    <row r="493">
      <c r="A493" s="65"/>
      <c r="B493" s="78"/>
      <c r="C493" s="78"/>
      <c r="D493" s="78"/>
      <c r="E493" s="78"/>
    </row>
    <row r="494">
      <c r="A494" s="65"/>
      <c r="B494" s="78"/>
      <c r="C494" s="78"/>
      <c r="D494" s="78"/>
      <c r="E494" s="78"/>
    </row>
    <row r="495">
      <c r="A495" s="65"/>
      <c r="B495" s="78"/>
      <c r="C495" s="78"/>
      <c r="D495" s="78"/>
      <c r="E495" s="78"/>
    </row>
    <row r="496">
      <c r="A496" s="65"/>
      <c r="B496" s="78"/>
      <c r="C496" s="78"/>
      <c r="D496" s="78"/>
      <c r="E496" s="78"/>
    </row>
    <row r="497">
      <c r="A497" s="65"/>
      <c r="B497" s="78"/>
      <c r="C497" s="78"/>
      <c r="D497" s="78"/>
      <c r="E497" s="78"/>
    </row>
    <row r="498">
      <c r="A498" s="65"/>
      <c r="B498" s="78"/>
      <c r="C498" s="78"/>
      <c r="D498" s="78"/>
      <c r="E498" s="78"/>
    </row>
    <row r="499">
      <c r="A499" s="65"/>
      <c r="B499" s="78"/>
      <c r="C499" s="78"/>
      <c r="D499" s="78"/>
      <c r="E499" s="78"/>
    </row>
    <row r="500">
      <c r="A500" s="65"/>
      <c r="B500" s="78"/>
      <c r="C500" s="78"/>
      <c r="D500" s="78"/>
      <c r="E500" s="78"/>
    </row>
    <row r="501">
      <c r="A501" s="65"/>
      <c r="B501" s="78"/>
      <c r="C501" s="78"/>
      <c r="D501" s="78"/>
      <c r="E501" s="78"/>
    </row>
    <row r="502">
      <c r="A502" s="65"/>
      <c r="B502" s="78"/>
      <c r="C502" s="78"/>
      <c r="D502" s="78"/>
      <c r="E502" s="78"/>
    </row>
    <row r="503">
      <c r="A503" s="65"/>
      <c r="B503" s="78"/>
      <c r="C503" s="78"/>
      <c r="D503" s="78"/>
      <c r="E503" s="78"/>
    </row>
    <row r="504">
      <c r="A504" s="65"/>
      <c r="B504" s="78"/>
      <c r="C504" s="78"/>
      <c r="D504" s="78"/>
      <c r="E504" s="78"/>
    </row>
    <row r="505">
      <c r="A505" s="65"/>
      <c r="B505" s="78"/>
      <c r="C505" s="78"/>
      <c r="D505" s="78"/>
      <c r="E505" s="78"/>
    </row>
    <row r="506">
      <c r="A506" s="65"/>
      <c r="B506" s="78"/>
      <c r="C506" s="78"/>
      <c r="D506" s="78"/>
      <c r="E506" s="78"/>
    </row>
    <row r="507">
      <c r="A507" s="65"/>
      <c r="B507" s="78"/>
      <c r="C507" s="78"/>
      <c r="D507" s="78"/>
      <c r="E507" s="78"/>
    </row>
    <row r="508">
      <c r="A508" s="65"/>
      <c r="B508" s="78"/>
      <c r="C508" s="78"/>
      <c r="D508" s="78"/>
      <c r="E508" s="78"/>
    </row>
    <row r="509">
      <c r="A509" s="65"/>
      <c r="B509" s="78"/>
      <c r="C509" s="78"/>
      <c r="D509" s="78"/>
      <c r="E509" s="78"/>
    </row>
    <row r="510">
      <c r="A510" s="65"/>
      <c r="B510" s="78"/>
      <c r="C510" s="78"/>
      <c r="D510" s="78"/>
      <c r="E510" s="78"/>
    </row>
    <row r="511">
      <c r="A511" s="65"/>
      <c r="B511" s="78"/>
      <c r="C511" s="78"/>
      <c r="D511" s="78"/>
      <c r="E511" s="78"/>
    </row>
    <row r="512">
      <c r="A512" s="65"/>
      <c r="B512" s="78"/>
      <c r="C512" s="78"/>
      <c r="D512" s="78"/>
      <c r="E512" s="78"/>
    </row>
    <row r="513">
      <c r="A513" s="65"/>
      <c r="B513" s="78"/>
      <c r="C513" s="78"/>
      <c r="D513" s="78"/>
      <c r="E513" s="78"/>
    </row>
    <row r="514">
      <c r="A514" s="65"/>
      <c r="B514" s="78"/>
      <c r="C514" s="78"/>
      <c r="D514" s="78"/>
      <c r="E514" s="78"/>
    </row>
    <row r="515">
      <c r="A515" s="65"/>
      <c r="B515" s="78"/>
      <c r="C515" s="78"/>
      <c r="D515" s="78"/>
      <c r="E515" s="78"/>
    </row>
    <row r="516">
      <c r="A516" s="65"/>
      <c r="B516" s="78"/>
      <c r="C516" s="78"/>
      <c r="D516" s="78"/>
      <c r="E516" s="78"/>
    </row>
    <row r="517">
      <c r="A517" s="65"/>
      <c r="B517" s="78"/>
      <c r="C517" s="78"/>
      <c r="D517" s="78"/>
      <c r="E517" s="78"/>
    </row>
    <row r="518">
      <c r="A518" s="65"/>
      <c r="B518" s="78"/>
      <c r="C518" s="78"/>
      <c r="D518" s="78"/>
      <c r="E518" s="78"/>
    </row>
    <row r="519">
      <c r="A519" s="65"/>
      <c r="B519" s="78"/>
      <c r="C519" s="78"/>
      <c r="D519" s="78"/>
      <c r="E519" s="78"/>
    </row>
    <row r="520">
      <c r="A520" s="65"/>
      <c r="B520" s="78"/>
      <c r="C520" s="78"/>
      <c r="D520" s="78"/>
      <c r="E520" s="78"/>
    </row>
    <row r="521">
      <c r="A521" s="65"/>
      <c r="B521" s="78"/>
      <c r="C521" s="78"/>
      <c r="D521" s="78"/>
      <c r="E521" s="78"/>
    </row>
    <row r="522">
      <c r="A522" s="65"/>
      <c r="B522" s="78"/>
      <c r="C522" s="78"/>
      <c r="D522" s="78"/>
      <c r="E522" s="78"/>
    </row>
    <row r="523">
      <c r="A523" s="65"/>
      <c r="B523" s="78"/>
      <c r="C523" s="78"/>
      <c r="D523" s="78"/>
      <c r="E523" s="78"/>
    </row>
    <row r="524">
      <c r="A524" s="65"/>
      <c r="B524" s="78"/>
      <c r="C524" s="78"/>
      <c r="D524" s="78"/>
      <c r="E524" s="78"/>
    </row>
    <row r="525">
      <c r="A525" s="65"/>
      <c r="B525" s="78"/>
      <c r="C525" s="78"/>
      <c r="D525" s="78"/>
      <c r="E525" s="78"/>
    </row>
    <row r="526">
      <c r="A526" s="65"/>
      <c r="B526" s="78"/>
      <c r="C526" s="78"/>
      <c r="D526" s="78"/>
      <c r="E526" s="78"/>
    </row>
    <row r="527">
      <c r="A527" s="65"/>
      <c r="B527" s="78"/>
      <c r="C527" s="78"/>
      <c r="D527" s="78"/>
      <c r="E527" s="78"/>
    </row>
    <row r="528">
      <c r="A528" s="65"/>
      <c r="B528" s="78"/>
      <c r="C528" s="78"/>
      <c r="D528" s="78"/>
      <c r="E528" s="78"/>
    </row>
    <row r="529">
      <c r="A529" s="65"/>
      <c r="B529" s="78"/>
      <c r="C529" s="78"/>
      <c r="D529" s="78"/>
      <c r="E529" s="78"/>
    </row>
    <row r="530">
      <c r="A530" s="65"/>
      <c r="B530" s="78"/>
      <c r="C530" s="78"/>
      <c r="D530" s="78"/>
      <c r="E530" s="78"/>
    </row>
    <row r="531">
      <c r="A531" s="65"/>
      <c r="B531" s="78"/>
      <c r="C531" s="78"/>
      <c r="D531" s="78"/>
      <c r="E531" s="78"/>
    </row>
    <row r="532">
      <c r="A532" s="65"/>
      <c r="B532" s="78"/>
      <c r="C532" s="78"/>
      <c r="D532" s="78"/>
      <c r="E532" s="78"/>
    </row>
    <row r="533">
      <c r="A533" s="65"/>
      <c r="B533" s="78"/>
      <c r="C533" s="78"/>
      <c r="D533" s="78"/>
      <c r="E533" s="78"/>
    </row>
    <row r="534">
      <c r="A534" s="65"/>
      <c r="B534" s="78"/>
      <c r="C534" s="78"/>
      <c r="D534" s="78"/>
      <c r="E534" s="78"/>
    </row>
    <row r="535">
      <c r="A535" s="65"/>
      <c r="B535" s="78"/>
      <c r="C535" s="78"/>
      <c r="D535" s="78"/>
      <c r="E535" s="78"/>
    </row>
    <row r="536">
      <c r="A536" s="65"/>
      <c r="B536" s="78"/>
      <c r="C536" s="78"/>
      <c r="D536" s="78"/>
      <c r="E536" s="78"/>
    </row>
    <row r="537">
      <c r="A537" s="65"/>
      <c r="B537" s="78"/>
      <c r="C537" s="78"/>
      <c r="D537" s="78"/>
      <c r="E537" s="78"/>
    </row>
    <row r="538">
      <c r="A538" s="65"/>
      <c r="B538" s="78"/>
      <c r="C538" s="78"/>
      <c r="D538" s="78"/>
      <c r="E538" s="78"/>
    </row>
    <row r="539">
      <c r="A539" s="65"/>
      <c r="B539" s="78"/>
      <c r="C539" s="78"/>
      <c r="D539" s="78"/>
      <c r="E539" s="78"/>
    </row>
    <row r="540">
      <c r="A540" s="65"/>
      <c r="B540" s="78"/>
      <c r="C540" s="78"/>
      <c r="D540" s="78"/>
      <c r="E540" s="78"/>
    </row>
    <row r="541">
      <c r="A541" s="65"/>
      <c r="B541" s="78"/>
      <c r="C541" s="78"/>
      <c r="D541" s="78"/>
      <c r="E541" s="78"/>
    </row>
    <row r="542">
      <c r="A542" s="65"/>
      <c r="B542" s="78"/>
      <c r="C542" s="78"/>
      <c r="D542" s="78"/>
      <c r="E542" s="78"/>
    </row>
    <row r="543">
      <c r="A543" s="65"/>
      <c r="B543" s="78"/>
      <c r="C543" s="78"/>
      <c r="D543" s="78"/>
      <c r="E543" s="78"/>
    </row>
    <row r="544">
      <c r="A544" s="65"/>
      <c r="B544" s="78"/>
      <c r="C544" s="78"/>
      <c r="D544" s="78"/>
      <c r="E544" s="78"/>
    </row>
    <row r="545">
      <c r="A545" s="65"/>
      <c r="B545" s="78"/>
      <c r="C545" s="78"/>
      <c r="D545" s="78"/>
      <c r="E545" s="78"/>
    </row>
    <row r="546">
      <c r="A546" s="65"/>
      <c r="B546" s="78"/>
      <c r="C546" s="78"/>
      <c r="D546" s="78"/>
      <c r="E546" s="78"/>
    </row>
    <row r="547">
      <c r="A547" s="65"/>
      <c r="B547" s="78"/>
      <c r="C547" s="78"/>
      <c r="D547" s="78"/>
      <c r="E547" s="78"/>
    </row>
    <row r="548">
      <c r="A548" s="65"/>
      <c r="B548" s="78"/>
      <c r="C548" s="78"/>
      <c r="D548" s="78"/>
      <c r="E548" s="78"/>
    </row>
    <row r="549">
      <c r="A549" s="65"/>
      <c r="B549" s="78"/>
      <c r="C549" s="78"/>
      <c r="D549" s="78"/>
      <c r="E549" s="78"/>
    </row>
    <row r="550">
      <c r="A550" s="65"/>
      <c r="B550" s="78"/>
      <c r="C550" s="78"/>
      <c r="D550" s="78"/>
      <c r="E550" s="78"/>
    </row>
    <row r="551">
      <c r="A551" s="65"/>
      <c r="B551" s="78"/>
      <c r="C551" s="78"/>
      <c r="D551" s="78"/>
      <c r="E551" s="78"/>
    </row>
    <row r="552">
      <c r="A552" s="65"/>
      <c r="B552" s="78"/>
      <c r="C552" s="78"/>
      <c r="D552" s="78"/>
      <c r="E552" s="78"/>
    </row>
    <row r="553">
      <c r="A553" s="65"/>
      <c r="B553" s="78"/>
      <c r="C553" s="78"/>
      <c r="D553" s="78"/>
      <c r="E553" s="78"/>
    </row>
    <row r="554">
      <c r="A554" s="65"/>
      <c r="B554" s="78"/>
      <c r="C554" s="78"/>
      <c r="D554" s="78"/>
      <c r="E554" s="78"/>
    </row>
    <row r="555">
      <c r="A555" s="65"/>
      <c r="B555" s="78"/>
      <c r="C555" s="78"/>
      <c r="D555" s="78"/>
      <c r="E555" s="78"/>
    </row>
    <row r="556">
      <c r="A556" s="65"/>
      <c r="B556" s="78"/>
      <c r="C556" s="78"/>
      <c r="D556" s="78"/>
      <c r="E556" s="78"/>
    </row>
    <row r="557">
      <c r="A557" s="65"/>
      <c r="B557" s="78"/>
      <c r="C557" s="78"/>
      <c r="D557" s="78"/>
      <c r="E557" s="78"/>
    </row>
    <row r="558">
      <c r="A558" s="65"/>
      <c r="B558" s="78"/>
      <c r="C558" s="78"/>
      <c r="D558" s="78"/>
      <c r="E558" s="78"/>
    </row>
    <row r="559">
      <c r="A559" s="65"/>
      <c r="B559" s="78"/>
      <c r="C559" s="78"/>
      <c r="D559" s="78"/>
      <c r="E559" s="78"/>
    </row>
    <row r="560">
      <c r="A560" s="65"/>
      <c r="B560" s="78"/>
      <c r="C560" s="78"/>
      <c r="D560" s="78"/>
      <c r="E560" s="78"/>
    </row>
    <row r="561">
      <c r="A561" s="65"/>
      <c r="B561" s="78"/>
      <c r="C561" s="78"/>
      <c r="D561" s="78"/>
      <c r="E561" s="78"/>
    </row>
    <row r="562">
      <c r="A562" s="65"/>
      <c r="B562" s="78"/>
      <c r="C562" s="78"/>
      <c r="D562" s="78"/>
      <c r="E562" s="78"/>
    </row>
    <row r="563">
      <c r="A563" s="65"/>
      <c r="B563" s="78"/>
      <c r="C563" s="78"/>
      <c r="D563" s="78"/>
      <c r="E563" s="78"/>
    </row>
    <row r="564">
      <c r="A564" s="65"/>
      <c r="B564" s="78"/>
      <c r="C564" s="78"/>
      <c r="D564" s="78"/>
      <c r="E564" s="78"/>
    </row>
    <row r="565">
      <c r="A565" s="65"/>
      <c r="B565" s="78"/>
      <c r="C565" s="78"/>
      <c r="D565" s="78"/>
      <c r="E565" s="78"/>
    </row>
    <row r="566">
      <c r="A566" s="65"/>
      <c r="B566" s="78"/>
      <c r="C566" s="78"/>
      <c r="D566" s="78"/>
      <c r="E566" s="78"/>
    </row>
    <row r="567">
      <c r="A567" s="65"/>
      <c r="B567" s="78"/>
      <c r="C567" s="78"/>
      <c r="D567" s="78"/>
      <c r="E567" s="78"/>
    </row>
    <row r="568">
      <c r="A568" s="65"/>
      <c r="B568" s="78"/>
      <c r="C568" s="78"/>
      <c r="D568" s="78"/>
      <c r="E568" s="78"/>
    </row>
    <row r="569">
      <c r="A569" s="65"/>
      <c r="B569" s="78"/>
      <c r="C569" s="78"/>
      <c r="D569" s="78"/>
      <c r="E569" s="78"/>
    </row>
    <row r="570">
      <c r="A570" s="65"/>
      <c r="B570" s="78"/>
      <c r="C570" s="78"/>
      <c r="D570" s="78"/>
      <c r="E570" s="78"/>
    </row>
    <row r="571">
      <c r="A571" s="65"/>
      <c r="B571" s="78"/>
      <c r="C571" s="78"/>
      <c r="D571" s="78"/>
      <c r="E571" s="78"/>
    </row>
    <row r="572">
      <c r="A572" s="65"/>
      <c r="B572" s="78"/>
      <c r="C572" s="78"/>
      <c r="D572" s="78"/>
      <c r="E572" s="78"/>
    </row>
    <row r="573">
      <c r="A573" s="65"/>
      <c r="B573" s="78"/>
      <c r="C573" s="78"/>
      <c r="D573" s="78"/>
      <c r="E573" s="78"/>
    </row>
    <row r="574">
      <c r="A574" s="65"/>
      <c r="B574" s="78"/>
      <c r="C574" s="78"/>
      <c r="D574" s="78"/>
      <c r="E574" s="78"/>
    </row>
    <row r="575">
      <c r="A575" s="65"/>
      <c r="B575" s="78"/>
      <c r="C575" s="78"/>
      <c r="D575" s="78"/>
      <c r="E575" s="78"/>
    </row>
    <row r="576">
      <c r="A576" s="65"/>
      <c r="B576" s="78"/>
      <c r="C576" s="78"/>
      <c r="D576" s="78"/>
      <c r="E576" s="78"/>
    </row>
    <row r="577">
      <c r="A577" s="65"/>
      <c r="B577" s="78"/>
      <c r="C577" s="78"/>
      <c r="D577" s="78"/>
      <c r="E577" s="78"/>
    </row>
    <row r="578">
      <c r="A578" s="65"/>
      <c r="B578" s="78"/>
      <c r="C578" s="78"/>
      <c r="D578" s="78"/>
      <c r="E578" s="78"/>
    </row>
    <row r="579">
      <c r="A579" s="65"/>
      <c r="B579" s="78"/>
      <c r="C579" s="78"/>
      <c r="D579" s="78"/>
      <c r="E579" s="78"/>
    </row>
    <row r="580">
      <c r="A580" s="65"/>
      <c r="B580" s="78"/>
      <c r="C580" s="78"/>
      <c r="D580" s="78"/>
      <c r="E580" s="78"/>
    </row>
    <row r="581">
      <c r="A581" s="65"/>
      <c r="B581" s="78"/>
      <c r="C581" s="78"/>
      <c r="D581" s="78"/>
      <c r="E581" s="78"/>
    </row>
    <row r="582">
      <c r="A582" s="65"/>
      <c r="B582" s="78"/>
      <c r="C582" s="78"/>
      <c r="D582" s="78"/>
      <c r="E582" s="78"/>
    </row>
    <row r="583">
      <c r="A583" s="65"/>
      <c r="B583" s="78"/>
      <c r="C583" s="78"/>
      <c r="D583" s="78"/>
      <c r="E583" s="78"/>
    </row>
    <row r="584">
      <c r="A584" s="65"/>
      <c r="B584" s="78"/>
      <c r="C584" s="78"/>
      <c r="D584" s="78"/>
      <c r="E584" s="78"/>
    </row>
    <row r="585">
      <c r="A585" s="65"/>
      <c r="B585" s="78"/>
      <c r="C585" s="78"/>
      <c r="D585" s="78"/>
      <c r="E585" s="78"/>
    </row>
    <row r="586">
      <c r="A586" s="65"/>
      <c r="B586" s="78"/>
      <c r="C586" s="78"/>
      <c r="D586" s="78"/>
      <c r="E586" s="78"/>
    </row>
    <row r="587">
      <c r="A587" s="65"/>
      <c r="B587" s="78"/>
      <c r="C587" s="78"/>
      <c r="D587" s="78"/>
      <c r="E587" s="78"/>
    </row>
    <row r="588">
      <c r="A588" s="65"/>
      <c r="B588" s="78"/>
      <c r="C588" s="78"/>
      <c r="D588" s="78"/>
      <c r="E588" s="78"/>
    </row>
    <row r="589">
      <c r="A589" s="65"/>
      <c r="B589" s="78"/>
      <c r="C589" s="78"/>
      <c r="D589" s="78"/>
      <c r="E589" s="78"/>
    </row>
    <row r="590">
      <c r="A590" s="65"/>
      <c r="B590" s="78"/>
      <c r="C590" s="78"/>
      <c r="D590" s="78"/>
      <c r="E590" s="78"/>
    </row>
    <row r="591">
      <c r="A591" s="65"/>
      <c r="B591" s="78"/>
      <c r="C591" s="78"/>
      <c r="D591" s="78"/>
      <c r="E591" s="78"/>
    </row>
    <row r="592">
      <c r="A592" s="65"/>
      <c r="B592" s="78"/>
      <c r="C592" s="78"/>
      <c r="D592" s="78"/>
      <c r="E592" s="78"/>
    </row>
    <row r="593">
      <c r="A593" s="65"/>
      <c r="B593" s="78"/>
      <c r="C593" s="78"/>
      <c r="D593" s="78"/>
      <c r="E593" s="78"/>
    </row>
    <row r="594">
      <c r="A594" s="65"/>
      <c r="B594" s="78"/>
      <c r="C594" s="78"/>
      <c r="D594" s="78"/>
      <c r="E594" s="78"/>
    </row>
    <row r="595">
      <c r="A595" s="65"/>
      <c r="B595" s="78"/>
      <c r="C595" s="78"/>
      <c r="D595" s="78"/>
      <c r="E595" s="78"/>
    </row>
    <row r="596">
      <c r="A596" s="65"/>
      <c r="B596" s="78"/>
      <c r="C596" s="78"/>
      <c r="D596" s="78"/>
      <c r="E596" s="78"/>
    </row>
    <row r="597">
      <c r="A597" s="65"/>
      <c r="B597" s="78"/>
      <c r="C597" s="78"/>
      <c r="D597" s="78"/>
      <c r="E597" s="78"/>
    </row>
    <row r="598">
      <c r="A598" s="65"/>
      <c r="B598" s="78"/>
      <c r="C598" s="78"/>
      <c r="D598" s="78"/>
      <c r="E598" s="78"/>
    </row>
    <row r="599">
      <c r="A599" s="65"/>
      <c r="B599" s="78"/>
      <c r="C599" s="78"/>
      <c r="D599" s="78"/>
      <c r="E599" s="78"/>
    </row>
    <row r="600">
      <c r="A600" s="65"/>
      <c r="B600" s="78"/>
      <c r="C600" s="78"/>
      <c r="D600" s="78"/>
      <c r="E600" s="78"/>
    </row>
    <row r="601">
      <c r="A601" s="65"/>
      <c r="B601" s="78"/>
      <c r="C601" s="78"/>
      <c r="D601" s="78"/>
      <c r="E601" s="78"/>
    </row>
    <row r="602">
      <c r="A602" s="65"/>
      <c r="B602" s="78"/>
      <c r="C602" s="78"/>
      <c r="D602" s="78"/>
      <c r="E602" s="78"/>
    </row>
    <row r="603">
      <c r="A603" s="65"/>
      <c r="B603" s="78"/>
      <c r="C603" s="78"/>
      <c r="D603" s="78"/>
      <c r="E603" s="78"/>
    </row>
    <row r="604">
      <c r="A604" s="65"/>
      <c r="B604" s="78"/>
      <c r="C604" s="78"/>
      <c r="D604" s="78"/>
      <c r="E604" s="78"/>
    </row>
    <row r="605">
      <c r="A605" s="65"/>
      <c r="B605" s="78"/>
      <c r="C605" s="78"/>
      <c r="D605" s="78"/>
      <c r="E605" s="78"/>
    </row>
    <row r="606">
      <c r="A606" s="65"/>
      <c r="B606" s="78"/>
      <c r="C606" s="78"/>
      <c r="D606" s="78"/>
      <c r="E606" s="78"/>
    </row>
    <row r="607">
      <c r="A607" s="65"/>
      <c r="B607" s="78"/>
      <c r="C607" s="78"/>
      <c r="D607" s="78"/>
      <c r="E607" s="78"/>
    </row>
    <row r="608">
      <c r="A608" s="65"/>
      <c r="B608" s="78"/>
      <c r="C608" s="78"/>
      <c r="D608" s="78"/>
      <c r="E608" s="78"/>
    </row>
    <row r="609">
      <c r="A609" s="65"/>
      <c r="B609" s="78"/>
      <c r="C609" s="78"/>
      <c r="D609" s="78"/>
      <c r="E609" s="78"/>
    </row>
    <row r="610">
      <c r="A610" s="65"/>
      <c r="B610" s="78"/>
      <c r="C610" s="78"/>
      <c r="D610" s="78"/>
      <c r="E610" s="78"/>
    </row>
    <row r="611">
      <c r="A611" s="65"/>
      <c r="B611" s="78"/>
      <c r="C611" s="78"/>
      <c r="D611" s="78"/>
      <c r="E611" s="78"/>
    </row>
    <row r="612">
      <c r="A612" s="65"/>
      <c r="B612" s="78"/>
      <c r="C612" s="78"/>
      <c r="D612" s="78"/>
      <c r="E612" s="78"/>
    </row>
    <row r="613">
      <c r="A613" s="65"/>
      <c r="B613" s="78"/>
      <c r="C613" s="78"/>
      <c r="D613" s="78"/>
      <c r="E613" s="78"/>
    </row>
    <row r="614">
      <c r="A614" s="65"/>
      <c r="B614" s="78"/>
      <c r="C614" s="78"/>
      <c r="D614" s="78"/>
      <c r="E614" s="78"/>
    </row>
    <row r="615">
      <c r="A615" s="65"/>
      <c r="B615" s="78"/>
      <c r="C615" s="78"/>
      <c r="D615" s="78"/>
      <c r="E615" s="78"/>
    </row>
    <row r="616">
      <c r="A616" s="65"/>
      <c r="B616" s="78"/>
      <c r="C616" s="78"/>
      <c r="D616" s="78"/>
      <c r="E616" s="78"/>
    </row>
    <row r="617">
      <c r="A617" s="65"/>
      <c r="B617" s="78"/>
      <c r="C617" s="78"/>
      <c r="D617" s="78"/>
      <c r="E617" s="78"/>
    </row>
    <row r="618">
      <c r="A618" s="65"/>
      <c r="B618" s="78"/>
      <c r="C618" s="78"/>
      <c r="D618" s="78"/>
      <c r="E618" s="78"/>
    </row>
    <row r="619">
      <c r="A619" s="65"/>
      <c r="B619" s="78"/>
      <c r="C619" s="78"/>
      <c r="D619" s="78"/>
      <c r="E619" s="78"/>
    </row>
    <row r="620">
      <c r="A620" s="65"/>
      <c r="B620" s="78"/>
      <c r="C620" s="78"/>
      <c r="D620" s="78"/>
      <c r="E620" s="78"/>
    </row>
    <row r="621">
      <c r="A621" s="65"/>
      <c r="B621" s="78"/>
      <c r="C621" s="78"/>
      <c r="D621" s="78"/>
      <c r="E621" s="78"/>
    </row>
    <row r="622">
      <c r="A622" s="65"/>
      <c r="B622" s="78"/>
      <c r="C622" s="78"/>
      <c r="D622" s="78"/>
      <c r="E622" s="78"/>
    </row>
    <row r="623">
      <c r="A623" s="65"/>
      <c r="B623" s="78"/>
      <c r="C623" s="78"/>
      <c r="D623" s="78"/>
      <c r="E623" s="78"/>
    </row>
    <row r="624">
      <c r="A624" s="65"/>
      <c r="B624" s="78"/>
      <c r="C624" s="78"/>
      <c r="D624" s="78"/>
      <c r="E624" s="78"/>
    </row>
    <row r="625">
      <c r="A625" s="65"/>
      <c r="B625" s="78"/>
      <c r="C625" s="78"/>
      <c r="D625" s="78"/>
      <c r="E625" s="78"/>
    </row>
    <row r="626">
      <c r="A626" s="65"/>
      <c r="B626" s="78"/>
      <c r="C626" s="78"/>
      <c r="D626" s="78"/>
      <c r="E626" s="78"/>
    </row>
    <row r="627">
      <c r="A627" s="65"/>
      <c r="B627" s="78"/>
      <c r="C627" s="78"/>
      <c r="D627" s="78"/>
      <c r="E627" s="78"/>
    </row>
    <row r="628">
      <c r="A628" s="65"/>
      <c r="B628" s="78"/>
      <c r="C628" s="78"/>
      <c r="D628" s="78"/>
      <c r="E628" s="78"/>
    </row>
    <row r="629">
      <c r="A629" s="65"/>
      <c r="B629" s="78"/>
      <c r="C629" s="78"/>
      <c r="D629" s="78"/>
      <c r="E629" s="78"/>
    </row>
    <row r="630">
      <c r="A630" s="65"/>
      <c r="B630" s="78"/>
      <c r="C630" s="78"/>
      <c r="D630" s="78"/>
      <c r="E630" s="78"/>
    </row>
    <row r="631">
      <c r="A631" s="65"/>
      <c r="B631" s="78"/>
      <c r="C631" s="78"/>
      <c r="D631" s="78"/>
      <c r="E631" s="78"/>
    </row>
    <row r="632">
      <c r="A632" s="65"/>
      <c r="B632" s="78"/>
      <c r="C632" s="78"/>
      <c r="D632" s="78"/>
      <c r="E632" s="78"/>
    </row>
    <row r="633">
      <c r="A633" s="65"/>
      <c r="B633" s="78"/>
      <c r="C633" s="78"/>
      <c r="D633" s="78"/>
      <c r="E633" s="78"/>
    </row>
    <row r="634">
      <c r="A634" s="65"/>
      <c r="B634" s="78"/>
      <c r="C634" s="78"/>
      <c r="D634" s="78"/>
      <c r="E634" s="78"/>
    </row>
    <row r="635">
      <c r="A635" s="65"/>
      <c r="B635" s="78"/>
      <c r="C635" s="78"/>
      <c r="D635" s="78"/>
      <c r="E635" s="78"/>
    </row>
    <row r="636">
      <c r="A636" s="65"/>
      <c r="B636" s="78"/>
      <c r="C636" s="78"/>
      <c r="D636" s="78"/>
      <c r="E636" s="78"/>
    </row>
    <row r="637">
      <c r="A637" s="65"/>
      <c r="B637" s="78"/>
      <c r="C637" s="78"/>
      <c r="D637" s="78"/>
      <c r="E637" s="78"/>
    </row>
    <row r="638">
      <c r="A638" s="65"/>
      <c r="B638" s="78"/>
      <c r="C638" s="78"/>
      <c r="D638" s="78"/>
      <c r="E638" s="78"/>
    </row>
    <row r="639">
      <c r="A639" s="65"/>
      <c r="B639" s="78"/>
      <c r="C639" s="78"/>
      <c r="D639" s="78"/>
      <c r="E639" s="78"/>
    </row>
    <row r="640">
      <c r="A640" s="65"/>
      <c r="B640" s="78"/>
      <c r="C640" s="78"/>
      <c r="D640" s="78"/>
      <c r="E640" s="78"/>
    </row>
    <row r="641">
      <c r="A641" s="65"/>
      <c r="B641" s="78"/>
      <c r="C641" s="78"/>
      <c r="D641" s="78"/>
      <c r="E641" s="78"/>
    </row>
    <row r="642">
      <c r="A642" s="65"/>
      <c r="B642" s="78"/>
      <c r="C642" s="78"/>
      <c r="D642" s="78"/>
      <c r="E642" s="78"/>
    </row>
    <row r="643">
      <c r="A643" s="65"/>
      <c r="B643" s="78"/>
      <c r="C643" s="78"/>
      <c r="D643" s="78"/>
      <c r="E643" s="78"/>
    </row>
    <row r="644">
      <c r="A644" s="65"/>
      <c r="B644" s="78"/>
      <c r="C644" s="78"/>
      <c r="D644" s="78"/>
      <c r="E644" s="78"/>
    </row>
    <row r="645">
      <c r="A645" s="65"/>
      <c r="B645" s="78"/>
      <c r="C645" s="78"/>
      <c r="D645" s="78"/>
      <c r="E645" s="78"/>
    </row>
    <row r="646">
      <c r="A646" s="65"/>
      <c r="B646" s="78"/>
      <c r="C646" s="78"/>
      <c r="D646" s="78"/>
      <c r="E646" s="78"/>
    </row>
    <row r="647">
      <c r="A647" s="65"/>
      <c r="B647" s="78"/>
      <c r="C647" s="78"/>
      <c r="D647" s="78"/>
      <c r="E647" s="78"/>
    </row>
    <row r="648">
      <c r="A648" s="65"/>
      <c r="B648" s="78"/>
      <c r="C648" s="78"/>
      <c r="D648" s="78"/>
      <c r="E648" s="78"/>
    </row>
    <row r="649">
      <c r="A649" s="65"/>
      <c r="B649" s="78"/>
      <c r="C649" s="78"/>
      <c r="D649" s="78"/>
      <c r="E649" s="78"/>
    </row>
    <row r="650">
      <c r="A650" s="65"/>
      <c r="B650" s="78"/>
      <c r="C650" s="78"/>
      <c r="D650" s="78"/>
      <c r="E650" s="78"/>
    </row>
    <row r="651">
      <c r="A651" s="65"/>
      <c r="B651" s="78"/>
      <c r="C651" s="78"/>
      <c r="D651" s="78"/>
      <c r="E651" s="78"/>
    </row>
    <row r="652">
      <c r="A652" s="65"/>
      <c r="B652" s="78"/>
      <c r="C652" s="78"/>
      <c r="D652" s="78"/>
      <c r="E652" s="78"/>
    </row>
    <row r="653">
      <c r="A653" s="65"/>
      <c r="B653" s="78"/>
      <c r="C653" s="78"/>
      <c r="D653" s="78"/>
      <c r="E653" s="78"/>
    </row>
    <row r="654">
      <c r="A654" s="65"/>
      <c r="B654" s="78"/>
      <c r="C654" s="78"/>
      <c r="D654" s="78"/>
      <c r="E654" s="78"/>
    </row>
    <row r="655">
      <c r="A655" s="65"/>
      <c r="B655" s="78"/>
      <c r="C655" s="78"/>
      <c r="D655" s="78"/>
      <c r="E655" s="78"/>
    </row>
    <row r="656">
      <c r="A656" s="65"/>
      <c r="B656" s="78"/>
      <c r="C656" s="78"/>
      <c r="D656" s="78"/>
      <c r="E656" s="78"/>
    </row>
    <row r="657">
      <c r="A657" s="65"/>
      <c r="B657" s="78"/>
      <c r="C657" s="78"/>
      <c r="D657" s="78"/>
      <c r="E657" s="78"/>
    </row>
    <row r="658">
      <c r="A658" s="65"/>
      <c r="B658" s="78"/>
      <c r="C658" s="78"/>
      <c r="D658" s="78"/>
      <c r="E658" s="78"/>
    </row>
    <row r="659">
      <c r="A659" s="65"/>
      <c r="B659" s="78"/>
      <c r="C659" s="78"/>
      <c r="D659" s="78"/>
      <c r="E659" s="78"/>
    </row>
    <row r="660">
      <c r="A660" s="65"/>
      <c r="B660" s="78"/>
      <c r="C660" s="78"/>
      <c r="D660" s="78"/>
      <c r="E660" s="78"/>
    </row>
    <row r="661">
      <c r="A661" s="65"/>
      <c r="B661" s="78"/>
      <c r="C661" s="78"/>
      <c r="D661" s="78"/>
      <c r="E661" s="78"/>
    </row>
    <row r="662">
      <c r="A662" s="65"/>
      <c r="B662" s="78"/>
      <c r="C662" s="78"/>
      <c r="D662" s="78"/>
      <c r="E662" s="78"/>
    </row>
    <row r="663">
      <c r="A663" s="65"/>
      <c r="B663" s="78"/>
      <c r="C663" s="78"/>
      <c r="D663" s="78"/>
      <c r="E663" s="78"/>
    </row>
    <row r="664">
      <c r="A664" s="65"/>
      <c r="B664" s="78"/>
      <c r="C664" s="78"/>
      <c r="D664" s="78"/>
      <c r="E664" s="78"/>
    </row>
    <row r="665">
      <c r="A665" s="65"/>
      <c r="B665" s="78"/>
      <c r="C665" s="78"/>
      <c r="D665" s="78"/>
      <c r="E665" s="78"/>
    </row>
    <row r="666">
      <c r="A666" s="65"/>
      <c r="B666" s="78"/>
      <c r="C666" s="78"/>
      <c r="D666" s="78"/>
      <c r="E666" s="78"/>
    </row>
    <row r="667">
      <c r="A667" s="65"/>
      <c r="B667" s="78"/>
      <c r="C667" s="78"/>
      <c r="D667" s="78"/>
      <c r="E667" s="78"/>
    </row>
    <row r="668">
      <c r="A668" s="65"/>
      <c r="B668" s="78"/>
      <c r="C668" s="78"/>
      <c r="D668" s="78"/>
      <c r="E668" s="78"/>
    </row>
    <row r="669">
      <c r="A669" s="65"/>
      <c r="B669" s="78"/>
      <c r="C669" s="78"/>
      <c r="D669" s="78"/>
      <c r="E669" s="78"/>
    </row>
    <row r="670">
      <c r="A670" s="65"/>
      <c r="B670" s="78"/>
      <c r="C670" s="78"/>
      <c r="D670" s="78"/>
      <c r="E670" s="78"/>
    </row>
    <row r="671">
      <c r="A671" s="65"/>
      <c r="B671" s="78"/>
      <c r="C671" s="78"/>
      <c r="D671" s="78"/>
      <c r="E671" s="78"/>
    </row>
    <row r="672">
      <c r="A672" s="65"/>
      <c r="B672" s="78"/>
      <c r="C672" s="78"/>
      <c r="D672" s="78"/>
      <c r="E672" s="78"/>
    </row>
    <row r="673">
      <c r="A673" s="65"/>
      <c r="B673" s="78"/>
      <c r="C673" s="78"/>
      <c r="D673" s="78"/>
      <c r="E673" s="78"/>
    </row>
    <row r="674">
      <c r="A674" s="65"/>
      <c r="B674" s="78"/>
      <c r="C674" s="78"/>
      <c r="D674" s="78"/>
      <c r="E674" s="78"/>
    </row>
    <row r="675">
      <c r="A675" s="65"/>
      <c r="B675" s="78"/>
      <c r="C675" s="78"/>
      <c r="D675" s="78"/>
      <c r="E675" s="78"/>
    </row>
    <row r="676">
      <c r="A676" s="65"/>
      <c r="B676" s="78"/>
      <c r="C676" s="78"/>
      <c r="D676" s="78"/>
      <c r="E676" s="78"/>
    </row>
    <row r="677">
      <c r="A677" s="65"/>
      <c r="B677" s="78"/>
      <c r="C677" s="78"/>
      <c r="D677" s="78"/>
      <c r="E677" s="78"/>
    </row>
    <row r="678">
      <c r="A678" s="65"/>
      <c r="B678" s="78"/>
      <c r="C678" s="78"/>
      <c r="D678" s="78"/>
      <c r="E678" s="78"/>
    </row>
    <row r="679">
      <c r="A679" s="65"/>
      <c r="B679" s="78"/>
      <c r="C679" s="78"/>
      <c r="D679" s="78"/>
      <c r="E679" s="78"/>
    </row>
    <row r="680">
      <c r="A680" s="65"/>
      <c r="B680" s="78"/>
      <c r="C680" s="78"/>
      <c r="D680" s="78"/>
      <c r="E680" s="78"/>
    </row>
    <row r="681">
      <c r="A681" s="65"/>
      <c r="B681" s="78"/>
      <c r="C681" s="78"/>
      <c r="D681" s="78"/>
      <c r="E681" s="78"/>
    </row>
    <row r="682">
      <c r="A682" s="65"/>
      <c r="B682" s="78"/>
      <c r="C682" s="78"/>
      <c r="D682" s="78"/>
      <c r="E682" s="78"/>
    </row>
    <row r="683">
      <c r="A683" s="65"/>
      <c r="B683" s="78"/>
      <c r="C683" s="78"/>
      <c r="D683" s="78"/>
      <c r="E683" s="78"/>
    </row>
    <row r="684">
      <c r="A684" s="65"/>
      <c r="B684" s="78"/>
      <c r="C684" s="78"/>
      <c r="D684" s="78"/>
      <c r="E684" s="78"/>
    </row>
    <row r="685">
      <c r="A685" s="65"/>
      <c r="B685" s="78"/>
      <c r="C685" s="78"/>
      <c r="D685" s="78"/>
      <c r="E685" s="78"/>
    </row>
    <row r="686">
      <c r="A686" s="65"/>
      <c r="B686" s="78"/>
      <c r="C686" s="78"/>
      <c r="D686" s="78"/>
      <c r="E686" s="78"/>
    </row>
    <row r="687">
      <c r="A687" s="65"/>
      <c r="B687" s="78"/>
      <c r="C687" s="78"/>
      <c r="D687" s="78"/>
      <c r="E687" s="78"/>
    </row>
    <row r="688">
      <c r="A688" s="65"/>
      <c r="B688" s="78"/>
      <c r="C688" s="78"/>
      <c r="D688" s="78"/>
      <c r="E688" s="78"/>
    </row>
    <row r="689">
      <c r="A689" s="65"/>
      <c r="B689" s="78"/>
      <c r="C689" s="78"/>
      <c r="D689" s="78"/>
      <c r="E689" s="78"/>
    </row>
    <row r="690">
      <c r="A690" s="65"/>
      <c r="B690" s="78"/>
      <c r="C690" s="78"/>
      <c r="D690" s="78"/>
      <c r="E690" s="78"/>
    </row>
    <row r="691">
      <c r="A691" s="65"/>
      <c r="B691" s="78"/>
      <c r="C691" s="78"/>
      <c r="D691" s="78"/>
      <c r="E691" s="78"/>
    </row>
    <row r="692">
      <c r="A692" s="65"/>
      <c r="B692" s="78"/>
      <c r="C692" s="78"/>
      <c r="D692" s="78"/>
      <c r="E692" s="78"/>
    </row>
    <row r="693">
      <c r="A693" s="65"/>
      <c r="B693" s="78"/>
      <c r="C693" s="78"/>
      <c r="D693" s="78"/>
      <c r="E693" s="78"/>
    </row>
    <row r="694">
      <c r="A694" s="65"/>
      <c r="B694" s="78"/>
      <c r="C694" s="78"/>
      <c r="D694" s="78"/>
      <c r="E694" s="78"/>
    </row>
    <row r="695">
      <c r="A695" s="65"/>
      <c r="B695" s="78"/>
      <c r="C695" s="78"/>
      <c r="D695" s="78"/>
      <c r="E695" s="78"/>
    </row>
    <row r="696">
      <c r="A696" s="65"/>
      <c r="B696" s="78"/>
      <c r="C696" s="78"/>
      <c r="D696" s="78"/>
      <c r="E696" s="78"/>
    </row>
    <row r="697">
      <c r="A697" s="65"/>
      <c r="B697" s="78"/>
      <c r="C697" s="78"/>
      <c r="D697" s="78"/>
      <c r="E697" s="78"/>
    </row>
    <row r="698">
      <c r="A698" s="65"/>
      <c r="B698" s="78"/>
      <c r="C698" s="78"/>
      <c r="D698" s="78"/>
      <c r="E698" s="78"/>
    </row>
    <row r="699">
      <c r="A699" s="65"/>
      <c r="B699" s="78"/>
      <c r="C699" s="78"/>
      <c r="D699" s="78"/>
      <c r="E699" s="78"/>
    </row>
    <row r="700">
      <c r="A700" s="65"/>
      <c r="B700" s="78"/>
      <c r="C700" s="78"/>
      <c r="D700" s="78"/>
      <c r="E700" s="78"/>
    </row>
    <row r="701">
      <c r="A701" s="65"/>
      <c r="B701" s="78"/>
      <c r="C701" s="78"/>
      <c r="D701" s="78"/>
      <c r="E701" s="78"/>
    </row>
    <row r="702">
      <c r="A702" s="65"/>
      <c r="B702" s="78"/>
      <c r="C702" s="78"/>
      <c r="D702" s="78"/>
      <c r="E702" s="78"/>
    </row>
    <row r="703">
      <c r="A703" s="65"/>
      <c r="B703" s="78"/>
      <c r="C703" s="78"/>
      <c r="D703" s="78"/>
      <c r="E703" s="78"/>
    </row>
    <row r="704">
      <c r="A704" s="65"/>
      <c r="B704" s="78"/>
      <c r="C704" s="78"/>
      <c r="D704" s="78"/>
      <c r="E704" s="78"/>
    </row>
    <row r="705">
      <c r="A705" s="65"/>
      <c r="B705" s="78"/>
      <c r="C705" s="78"/>
      <c r="D705" s="78"/>
      <c r="E705" s="78"/>
    </row>
    <row r="706">
      <c r="A706" s="65"/>
      <c r="B706" s="78"/>
      <c r="C706" s="78"/>
      <c r="D706" s="78"/>
      <c r="E706" s="78"/>
    </row>
    <row r="707">
      <c r="A707" s="65"/>
      <c r="B707" s="78"/>
      <c r="C707" s="78"/>
      <c r="D707" s="78"/>
      <c r="E707" s="78"/>
    </row>
    <row r="708">
      <c r="A708" s="65"/>
      <c r="B708" s="78"/>
      <c r="C708" s="78"/>
      <c r="D708" s="78"/>
      <c r="E708" s="78"/>
    </row>
    <row r="709">
      <c r="A709" s="65"/>
      <c r="B709" s="78"/>
      <c r="C709" s="78"/>
      <c r="D709" s="78"/>
      <c r="E709" s="78"/>
    </row>
    <row r="710">
      <c r="A710" s="65"/>
      <c r="B710" s="78"/>
      <c r="C710" s="78"/>
      <c r="D710" s="78"/>
      <c r="E710" s="78"/>
    </row>
    <row r="711">
      <c r="A711" s="65"/>
      <c r="B711" s="78"/>
      <c r="C711" s="78"/>
      <c r="D711" s="78"/>
      <c r="E711" s="78"/>
    </row>
    <row r="712">
      <c r="A712" s="65"/>
      <c r="B712" s="78"/>
      <c r="C712" s="78"/>
      <c r="D712" s="78"/>
      <c r="E712" s="78"/>
    </row>
    <row r="713">
      <c r="A713" s="65"/>
      <c r="B713" s="78"/>
      <c r="C713" s="78"/>
      <c r="D713" s="78"/>
      <c r="E713" s="78"/>
    </row>
    <row r="714">
      <c r="A714" s="65"/>
      <c r="B714" s="78"/>
      <c r="C714" s="78"/>
      <c r="D714" s="78"/>
      <c r="E714" s="78"/>
    </row>
    <row r="715">
      <c r="A715" s="65"/>
      <c r="B715" s="78"/>
      <c r="C715" s="78"/>
      <c r="D715" s="78"/>
      <c r="E715" s="78"/>
    </row>
    <row r="716">
      <c r="A716" s="65"/>
      <c r="B716" s="78"/>
      <c r="C716" s="78"/>
      <c r="D716" s="78"/>
      <c r="E716" s="78"/>
    </row>
    <row r="717">
      <c r="A717" s="65"/>
      <c r="B717" s="78"/>
      <c r="C717" s="78"/>
      <c r="D717" s="78"/>
      <c r="E717" s="78"/>
    </row>
    <row r="718">
      <c r="A718" s="65"/>
      <c r="B718" s="78"/>
      <c r="C718" s="78"/>
      <c r="D718" s="78"/>
      <c r="E718" s="78"/>
    </row>
    <row r="719">
      <c r="A719" s="65"/>
      <c r="B719" s="78"/>
      <c r="C719" s="78"/>
      <c r="D719" s="78"/>
      <c r="E719" s="78"/>
    </row>
    <row r="720">
      <c r="A720" s="65"/>
      <c r="B720" s="78"/>
      <c r="C720" s="78"/>
      <c r="D720" s="78"/>
      <c r="E720" s="78"/>
    </row>
    <row r="721">
      <c r="A721" s="65"/>
      <c r="B721" s="78"/>
      <c r="C721" s="78"/>
      <c r="D721" s="78"/>
      <c r="E721" s="78"/>
    </row>
    <row r="722">
      <c r="A722" s="65"/>
      <c r="B722" s="78"/>
      <c r="C722" s="78"/>
      <c r="D722" s="78"/>
      <c r="E722" s="78"/>
    </row>
    <row r="723">
      <c r="A723" s="65"/>
      <c r="B723" s="78"/>
      <c r="C723" s="78"/>
      <c r="D723" s="78"/>
      <c r="E723" s="78"/>
    </row>
    <row r="724">
      <c r="A724" s="65"/>
      <c r="B724" s="78"/>
      <c r="C724" s="78"/>
      <c r="D724" s="78"/>
      <c r="E724" s="78"/>
    </row>
    <row r="725">
      <c r="A725" s="65"/>
      <c r="B725" s="78"/>
      <c r="C725" s="78"/>
      <c r="D725" s="78"/>
      <c r="E725" s="78"/>
    </row>
    <row r="726">
      <c r="A726" s="65"/>
      <c r="B726" s="78"/>
      <c r="C726" s="78"/>
      <c r="D726" s="78"/>
      <c r="E726" s="78"/>
    </row>
    <row r="727">
      <c r="A727" s="65"/>
      <c r="B727" s="78"/>
      <c r="C727" s="78"/>
      <c r="D727" s="78"/>
      <c r="E727" s="78"/>
    </row>
    <row r="728">
      <c r="A728" s="65"/>
      <c r="B728" s="78"/>
      <c r="C728" s="78"/>
      <c r="D728" s="78"/>
      <c r="E728" s="78"/>
    </row>
    <row r="729">
      <c r="A729" s="65"/>
      <c r="B729" s="78"/>
      <c r="C729" s="78"/>
      <c r="D729" s="78"/>
      <c r="E729" s="78"/>
    </row>
    <row r="730">
      <c r="A730" s="65"/>
      <c r="B730" s="78"/>
      <c r="C730" s="78"/>
      <c r="D730" s="78"/>
      <c r="E730" s="78"/>
    </row>
    <row r="731">
      <c r="A731" s="65"/>
      <c r="B731" s="78"/>
      <c r="C731" s="78"/>
      <c r="D731" s="78"/>
      <c r="E731" s="78"/>
    </row>
    <row r="732">
      <c r="A732" s="65"/>
      <c r="B732" s="78"/>
      <c r="C732" s="78"/>
      <c r="D732" s="78"/>
      <c r="E732" s="78"/>
    </row>
    <row r="733">
      <c r="A733" s="65"/>
      <c r="B733" s="78"/>
      <c r="C733" s="78"/>
      <c r="D733" s="78"/>
      <c r="E733" s="78"/>
    </row>
    <row r="734">
      <c r="A734" s="65"/>
      <c r="B734" s="78"/>
      <c r="C734" s="78"/>
      <c r="D734" s="78"/>
      <c r="E734" s="78"/>
    </row>
    <row r="735">
      <c r="A735" s="65"/>
      <c r="B735" s="78"/>
      <c r="C735" s="78"/>
      <c r="D735" s="78"/>
      <c r="E735" s="78"/>
    </row>
    <row r="736">
      <c r="A736" s="65"/>
      <c r="B736" s="78"/>
      <c r="C736" s="78"/>
      <c r="D736" s="78"/>
      <c r="E736" s="78"/>
    </row>
    <row r="737">
      <c r="A737" s="65"/>
      <c r="B737" s="78"/>
      <c r="C737" s="78"/>
      <c r="D737" s="78"/>
      <c r="E737" s="78"/>
    </row>
    <row r="738">
      <c r="A738" s="65"/>
      <c r="B738" s="78"/>
      <c r="C738" s="78"/>
      <c r="D738" s="78"/>
      <c r="E738" s="78"/>
    </row>
    <row r="739">
      <c r="A739" s="65"/>
      <c r="B739" s="78"/>
      <c r="C739" s="78"/>
      <c r="D739" s="78"/>
      <c r="E739" s="78"/>
    </row>
    <row r="740">
      <c r="A740" s="65"/>
      <c r="B740" s="78"/>
      <c r="C740" s="78"/>
      <c r="D740" s="78"/>
      <c r="E740" s="78"/>
    </row>
    <row r="741">
      <c r="A741" s="65"/>
      <c r="B741" s="78"/>
      <c r="C741" s="78"/>
      <c r="D741" s="78"/>
      <c r="E741" s="78"/>
    </row>
    <row r="742">
      <c r="A742" s="65"/>
      <c r="B742" s="78"/>
      <c r="C742" s="78"/>
      <c r="D742" s="78"/>
      <c r="E742" s="78"/>
    </row>
    <row r="743">
      <c r="A743" s="65"/>
      <c r="B743" s="78"/>
      <c r="C743" s="78"/>
      <c r="D743" s="78"/>
      <c r="E743" s="78"/>
    </row>
    <row r="744">
      <c r="A744" s="65"/>
      <c r="B744" s="78"/>
      <c r="C744" s="78"/>
      <c r="D744" s="78"/>
      <c r="E744" s="78"/>
    </row>
    <row r="745">
      <c r="A745" s="65"/>
      <c r="B745" s="78"/>
      <c r="C745" s="78"/>
      <c r="D745" s="78"/>
      <c r="E745" s="78"/>
    </row>
    <row r="746">
      <c r="A746" s="65"/>
      <c r="B746" s="78"/>
      <c r="C746" s="78"/>
      <c r="D746" s="78"/>
      <c r="E746" s="78"/>
    </row>
    <row r="747">
      <c r="A747" s="65"/>
      <c r="B747" s="78"/>
      <c r="C747" s="78"/>
      <c r="D747" s="78"/>
      <c r="E747" s="78"/>
    </row>
    <row r="748">
      <c r="A748" s="65"/>
      <c r="B748" s="78"/>
      <c r="C748" s="78"/>
      <c r="D748" s="78"/>
      <c r="E748" s="78"/>
    </row>
    <row r="749">
      <c r="A749" s="65"/>
      <c r="B749" s="78"/>
      <c r="C749" s="78"/>
      <c r="D749" s="78"/>
      <c r="E749" s="78"/>
    </row>
    <row r="750">
      <c r="A750" s="65"/>
      <c r="B750" s="78"/>
      <c r="C750" s="78"/>
      <c r="D750" s="78"/>
      <c r="E750" s="78"/>
    </row>
    <row r="751">
      <c r="A751" s="65"/>
      <c r="B751" s="78"/>
      <c r="C751" s="78"/>
      <c r="D751" s="78"/>
      <c r="E751" s="78"/>
    </row>
    <row r="752">
      <c r="A752" s="65"/>
      <c r="B752" s="78"/>
      <c r="C752" s="78"/>
      <c r="D752" s="78"/>
      <c r="E752" s="78"/>
    </row>
    <row r="753">
      <c r="A753" s="65"/>
      <c r="B753" s="78"/>
      <c r="C753" s="78"/>
      <c r="D753" s="78"/>
      <c r="E753" s="78"/>
    </row>
    <row r="754">
      <c r="A754" s="65"/>
      <c r="B754" s="78"/>
      <c r="C754" s="78"/>
      <c r="D754" s="78"/>
      <c r="E754" s="78"/>
    </row>
    <row r="755">
      <c r="A755" s="65"/>
      <c r="B755" s="78"/>
      <c r="C755" s="78"/>
      <c r="D755" s="78"/>
      <c r="E755" s="78"/>
    </row>
    <row r="756">
      <c r="A756" s="65"/>
      <c r="B756" s="78"/>
      <c r="C756" s="78"/>
      <c r="D756" s="78"/>
      <c r="E756" s="78"/>
    </row>
    <row r="757">
      <c r="A757" s="65"/>
      <c r="B757" s="78"/>
      <c r="C757" s="78"/>
      <c r="D757" s="78"/>
      <c r="E757" s="78"/>
    </row>
    <row r="758">
      <c r="A758" s="65"/>
      <c r="B758" s="78"/>
      <c r="C758" s="78"/>
      <c r="D758" s="78"/>
      <c r="E758" s="78"/>
    </row>
    <row r="759">
      <c r="A759" s="65"/>
      <c r="B759" s="78"/>
      <c r="C759" s="78"/>
      <c r="D759" s="78"/>
      <c r="E759" s="78"/>
    </row>
    <row r="760">
      <c r="A760" s="65"/>
      <c r="B760" s="78"/>
      <c r="C760" s="78"/>
      <c r="D760" s="78"/>
      <c r="E760" s="78"/>
    </row>
    <row r="761">
      <c r="A761" s="65"/>
      <c r="B761" s="78"/>
      <c r="C761" s="78"/>
      <c r="D761" s="78"/>
      <c r="E761" s="78"/>
    </row>
    <row r="762">
      <c r="A762" s="65"/>
      <c r="B762" s="78"/>
      <c r="C762" s="78"/>
      <c r="D762" s="78"/>
      <c r="E762" s="78"/>
    </row>
    <row r="763">
      <c r="A763" s="65"/>
      <c r="B763" s="78"/>
      <c r="C763" s="78"/>
      <c r="D763" s="78"/>
      <c r="E763" s="78"/>
    </row>
    <row r="764">
      <c r="A764" s="65"/>
      <c r="B764" s="78"/>
      <c r="C764" s="78"/>
      <c r="D764" s="78"/>
      <c r="E764" s="78"/>
    </row>
    <row r="765">
      <c r="A765" s="65"/>
      <c r="B765" s="78"/>
      <c r="C765" s="78"/>
      <c r="D765" s="78"/>
      <c r="E765" s="78"/>
    </row>
    <row r="766">
      <c r="A766" s="65"/>
      <c r="B766" s="78"/>
      <c r="C766" s="78"/>
      <c r="D766" s="78"/>
      <c r="E766" s="78"/>
    </row>
    <row r="767">
      <c r="A767" s="65"/>
      <c r="B767" s="78"/>
      <c r="C767" s="78"/>
      <c r="D767" s="78"/>
      <c r="E767" s="78"/>
    </row>
    <row r="768">
      <c r="A768" s="65"/>
      <c r="B768" s="78"/>
      <c r="C768" s="78"/>
      <c r="D768" s="78"/>
      <c r="E768" s="78"/>
    </row>
    <row r="769">
      <c r="A769" s="65"/>
      <c r="B769" s="78"/>
      <c r="C769" s="78"/>
      <c r="D769" s="78"/>
      <c r="E769" s="78"/>
    </row>
    <row r="770">
      <c r="A770" s="65"/>
      <c r="B770" s="78"/>
      <c r="C770" s="78"/>
      <c r="D770" s="78"/>
      <c r="E770" s="78"/>
    </row>
    <row r="771">
      <c r="A771" s="65"/>
      <c r="B771" s="78"/>
      <c r="C771" s="78"/>
      <c r="D771" s="78"/>
      <c r="E771" s="78"/>
    </row>
    <row r="772">
      <c r="A772" s="65"/>
      <c r="B772" s="78"/>
      <c r="C772" s="78"/>
      <c r="D772" s="78"/>
      <c r="E772" s="78"/>
    </row>
    <row r="773">
      <c r="A773" s="65"/>
      <c r="B773" s="78"/>
      <c r="C773" s="78"/>
      <c r="D773" s="78"/>
      <c r="E773" s="78"/>
    </row>
    <row r="774">
      <c r="A774" s="65"/>
      <c r="B774" s="78"/>
      <c r="C774" s="78"/>
      <c r="D774" s="78"/>
      <c r="E774" s="78"/>
    </row>
    <row r="775">
      <c r="A775" s="65"/>
      <c r="B775" s="78"/>
      <c r="C775" s="78"/>
      <c r="D775" s="78"/>
      <c r="E775" s="78"/>
    </row>
    <row r="776">
      <c r="A776" s="65"/>
      <c r="B776" s="78"/>
      <c r="C776" s="78"/>
      <c r="D776" s="78"/>
      <c r="E776" s="78"/>
    </row>
    <row r="777">
      <c r="A777" s="65"/>
      <c r="B777" s="78"/>
      <c r="C777" s="78"/>
      <c r="D777" s="78"/>
      <c r="E777" s="78"/>
    </row>
    <row r="778">
      <c r="A778" s="65"/>
      <c r="B778" s="78"/>
      <c r="C778" s="78"/>
      <c r="D778" s="78"/>
      <c r="E778" s="78"/>
    </row>
    <row r="779">
      <c r="A779" s="65"/>
      <c r="B779" s="78"/>
      <c r="C779" s="78"/>
      <c r="D779" s="78"/>
      <c r="E779" s="78"/>
    </row>
    <row r="780">
      <c r="A780" s="65"/>
      <c r="B780" s="78"/>
      <c r="C780" s="78"/>
      <c r="D780" s="78"/>
      <c r="E780" s="78"/>
    </row>
    <row r="781">
      <c r="A781" s="65"/>
      <c r="B781" s="78"/>
      <c r="C781" s="78"/>
      <c r="D781" s="78"/>
      <c r="E781" s="78"/>
    </row>
    <row r="782">
      <c r="A782" s="65"/>
      <c r="B782" s="78"/>
      <c r="C782" s="78"/>
      <c r="D782" s="78"/>
      <c r="E782" s="78"/>
    </row>
    <row r="783">
      <c r="A783" s="65"/>
      <c r="B783" s="78"/>
      <c r="C783" s="78"/>
      <c r="D783" s="78"/>
      <c r="E783" s="78"/>
    </row>
    <row r="784">
      <c r="A784" s="65"/>
      <c r="B784" s="78"/>
      <c r="C784" s="78"/>
      <c r="D784" s="78"/>
      <c r="E784" s="78"/>
    </row>
    <row r="785">
      <c r="A785" s="65"/>
      <c r="B785" s="78"/>
      <c r="C785" s="78"/>
      <c r="D785" s="78"/>
      <c r="E785" s="78"/>
    </row>
    <row r="786">
      <c r="A786" s="65"/>
      <c r="B786" s="78"/>
      <c r="C786" s="78"/>
      <c r="D786" s="78"/>
      <c r="E786" s="78"/>
    </row>
    <row r="787">
      <c r="A787" s="65"/>
      <c r="B787" s="78"/>
      <c r="C787" s="78"/>
      <c r="D787" s="78"/>
      <c r="E787" s="78"/>
    </row>
    <row r="788">
      <c r="A788" s="65"/>
      <c r="B788" s="78"/>
      <c r="C788" s="78"/>
      <c r="D788" s="78"/>
      <c r="E788" s="78"/>
    </row>
    <row r="789">
      <c r="A789" s="65"/>
      <c r="B789" s="78"/>
      <c r="C789" s="78"/>
      <c r="D789" s="78"/>
      <c r="E789" s="78"/>
    </row>
    <row r="790">
      <c r="A790" s="65"/>
      <c r="B790" s="78"/>
      <c r="C790" s="78"/>
      <c r="D790" s="78"/>
      <c r="E790" s="78"/>
    </row>
    <row r="791">
      <c r="A791" s="65"/>
      <c r="B791" s="78"/>
      <c r="C791" s="78"/>
      <c r="D791" s="78"/>
      <c r="E791" s="78"/>
    </row>
    <row r="792">
      <c r="A792" s="65"/>
      <c r="B792" s="78"/>
      <c r="C792" s="78"/>
      <c r="D792" s="78"/>
      <c r="E792" s="78"/>
    </row>
    <row r="793">
      <c r="A793" s="65"/>
      <c r="B793" s="78"/>
      <c r="C793" s="78"/>
      <c r="D793" s="78"/>
      <c r="E793" s="78"/>
    </row>
    <row r="794">
      <c r="A794" s="65"/>
      <c r="B794" s="78"/>
      <c r="C794" s="78"/>
      <c r="D794" s="78"/>
      <c r="E794" s="78"/>
    </row>
    <row r="795">
      <c r="A795" s="65"/>
      <c r="B795" s="78"/>
      <c r="C795" s="78"/>
      <c r="D795" s="78"/>
      <c r="E795" s="78"/>
    </row>
    <row r="796">
      <c r="A796" s="65"/>
      <c r="B796" s="78"/>
      <c r="C796" s="78"/>
      <c r="D796" s="78"/>
      <c r="E796" s="78"/>
    </row>
    <row r="797">
      <c r="A797" s="65"/>
      <c r="B797" s="78"/>
      <c r="C797" s="78"/>
      <c r="D797" s="78"/>
      <c r="E797" s="78"/>
    </row>
    <row r="798">
      <c r="A798" s="65"/>
      <c r="B798" s="78"/>
      <c r="C798" s="78"/>
      <c r="D798" s="78"/>
      <c r="E798" s="78"/>
    </row>
    <row r="799">
      <c r="A799" s="65"/>
      <c r="B799" s="78"/>
      <c r="C799" s="78"/>
      <c r="D799" s="78"/>
      <c r="E799" s="78"/>
    </row>
    <row r="800">
      <c r="A800" s="65"/>
      <c r="B800" s="78"/>
      <c r="C800" s="78"/>
      <c r="D800" s="78"/>
      <c r="E800" s="78"/>
    </row>
    <row r="801">
      <c r="A801" s="65"/>
      <c r="B801" s="78"/>
      <c r="C801" s="78"/>
      <c r="D801" s="78"/>
      <c r="E801" s="78"/>
    </row>
    <row r="802">
      <c r="A802" s="65"/>
      <c r="B802" s="78"/>
      <c r="C802" s="78"/>
      <c r="D802" s="78"/>
      <c r="E802" s="78"/>
    </row>
    <row r="803">
      <c r="A803" s="65"/>
      <c r="B803" s="78"/>
      <c r="C803" s="78"/>
      <c r="D803" s="78"/>
      <c r="E803" s="78"/>
    </row>
    <row r="804">
      <c r="A804" s="65"/>
      <c r="B804" s="78"/>
      <c r="C804" s="78"/>
      <c r="D804" s="78"/>
      <c r="E804" s="78"/>
    </row>
    <row r="805">
      <c r="A805" s="65"/>
      <c r="B805" s="78"/>
      <c r="C805" s="78"/>
      <c r="D805" s="78"/>
      <c r="E805" s="78"/>
    </row>
    <row r="806">
      <c r="A806" s="65"/>
      <c r="B806" s="78"/>
      <c r="C806" s="78"/>
      <c r="D806" s="78"/>
      <c r="E806" s="78"/>
    </row>
    <row r="807">
      <c r="A807" s="65"/>
      <c r="B807" s="78"/>
      <c r="C807" s="78"/>
      <c r="D807" s="78"/>
      <c r="E807" s="78"/>
    </row>
    <row r="808">
      <c r="A808" s="65"/>
      <c r="B808" s="78"/>
      <c r="C808" s="78"/>
      <c r="D808" s="78"/>
      <c r="E808" s="78"/>
    </row>
    <row r="809">
      <c r="A809" s="65"/>
      <c r="B809" s="78"/>
      <c r="C809" s="78"/>
      <c r="D809" s="78"/>
      <c r="E809" s="78"/>
    </row>
    <row r="810">
      <c r="A810" s="65"/>
      <c r="B810" s="78"/>
      <c r="C810" s="78"/>
      <c r="D810" s="78"/>
      <c r="E810" s="78"/>
    </row>
    <row r="811">
      <c r="A811" s="65"/>
      <c r="B811" s="78"/>
      <c r="C811" s="78"/>
      <c r="D811" s="78"/>
      <c r="E811" s="78"/>
    </row>
    <row r="812">
      <c r="A812" s="65"/>
      <c r="B812" s="78"/>
      <c r="C812" s="78"/>
      <c r="D812" s="78"/>
      <c r="E812" s="78"/>
    </row>
    <row r="813">
      <c r="A813" s="65"/>
      <c r="B813" s="78"/>
      <c r="C813" s="78"/>
      <c r="D813" s="78"/>
      <c r="E813" s="78"/>
    </row>
    <row r="814">
      <c r="A814" s="65"/>
      <c r="B814" s="78"/>
      <c r="C814" s="78"/>
      <c r="D814" s="78"/>
      <c r="E814" s="78"/>
    </row>
    <row r="815">
      <c r="A815" s="65"/>
      <c r="B815" s="78"/>
      <c r="C815" s="78"/>
      <c r="D815" s="78"/>
      <c r="E815" s="78"/>
    </row>
    <row r="816">
      <c r="A816" s="65"/>
      <c r="B816" s="78"/>
      <c r="C816" s="78"/>
      <c r="D816" s="78"/>
      <c r="E816" s="78"/>
    </row>
    <row r="817">
      <c r="A817" s="65"/>
      <c r="B817" s="78"/>
      <c r="C817" s="78"/>
      <c r="D817" s="78"/>
      <c r="E817" s="78"/>
    </row>
    <row r="818">
      <c r="A818" s="65"/>
      <c r="B818" s="78"/>
      <c r="C818" s="78"/>
      <c r="D818" s="78"/>
      <c r="E818" s="78"/>
    </row>
    <row r="819">
      <c r="A819" s="65"/>
      <c r="B819" s="78"/>
      <c r="C819" s="78"/>
      <c r="D819" s="78"/>
      <c r="E819" s="78"/>
    </row>
    <row r="820">
      <c r="A820" s="65"/>
      <c r="B820" s="78"/>
      <c r="C820" s="78"/>
      <c r="D820" s="78"/>
      <c r="E820" s="78"/>
    </row>
    <row r="821">
      <c r="A821" s="65"/>
      <c r="B821" s="78"/>
      <c r="C821" s="78"/>
      <c r="D821" s="78"/>
      <c r="E821" s="78"/>
    </row>
    <row r="822">
      <c r="A822" s="65"/>
      <c r="B822" s="78"/>
      <c r="C822" s="78"/>
      <c r="D822" s="78"/>
      <c r="E822" s="78"/>
    </row>
    <row r="823">
      <c r="A823" s="65"/>
      <c r="B823" s="78"/>
      <c r="C823" s="78"/>
      <c r="D823" s="78"/>
      <c r="E823" s="78"/>
    </row>
    <row r="824">
      <c r="A824" s="65"/>
      <c r="B824" s="78"/>
      <c r="C824" s="78"/>
      <c r="D824" s="78"/>
      <c r="E824" s="78"/>
    </row>
    <row r="825">
      <c r="A825" s="65"/>
      <c r="B825" s="78"/>
      <c r="C825" s="78"/>
      <c r="D825" s="78"/>
      <c r="E825" s="78"/>
    </row>
    <row r="826">
      <c r="A826" s="65"/>
      <c r="B826" s="78"/>
      <c r="C826" s="78"/>
      <c r="D826" s="78"/>
      <c r="E826" s="78"/>
    </row>
    <row r="827">
      <c r="A827" s="65"/>
      <c r="B827" s="78"/>
      <c r="C827" s="78"/>
      <c r="D827" s="78"/>
      <c r="E827" s="78"/>
    </row>
    <row r="828">
      <c r="A828" s="65"/>
      <c r="B828" s="78"/>
      <c r="C828" s="78"/>
      <c r="D828" s="78"/>
      <c r="E828" s="78"/>
    </row>
    <row r="829">
      <c r="A829" s="65"/>
      <c r="B829" s="78"/>
      <c r="C829" s="78"/>
      <c r="D829" s="78"/>
      <c r="E829" s="78"/>
    </row>
    <row r="830">
      <c r="A830" s="65"/>
      <c r="B830" s="78"/>
      <c r="C830" s="78"/>
      <c r="D830" s="78"/>
      <c r="E830" s="78"/>
    </row>
    <row r="831">
      <c r="A831" s="65"/>
      <c r="B831" s="78"/>
      <c r="C831" s="78"/>
      <c r="D831" s="78"/>
      <c r="E831" s="78"/>
    </row>
    <row r="832">
      <c r="A832" s="65"/>
      <c r="B832" s="78"/>
      <c r="C832" s="78"/>
      <c r="D832" s="78"/>
      <c r="E832" s="78"/>
    </row>
    <row r="833">
      <c r="A833" s="65"/>
      <c r="B833" s="78"/>
      <c r="C833" s="78"/>
      <c r="D833" s="78"/>
      <c r="E833" s="78"/>
    </row>
    <row r="834">
      <c r="A834" s="65"/>
      <c r="B834" s="78"/>
      <c r="C834" s="78"/>
      <c r="D834" s="78"/>
      <c r="E834" s="78"/>
    </row>
    <row r="835">
      <c r="A835" s="65"/>
      <c r="B835" s="78"/>
      <c r="C835" s="78"/>
      <c r="D835" s="78"/>
      <c r="E835" s="78"/>
    </row>
    <row r="836">
      <c r="A836" s="65"/>
      <c r="B836" s="78"/>
      <c r="C836" s="78"/>
      <c r="D836" s="78"/>
      <c r="E836" s="78"/>
    </row>
    <row r="837">
      <c r="A837" s="65"/>
      <c r="B837" s="78"/>
      <c r="C837" s="78"/>
      <c r="D837" s="78"/>
      <c r="E837" s="78"/>
    </row>
    <row r="838">
      <c r="A838" s="65"/>
      <c r="B838" s="78"/>
      <c r="C838" s="78"/>
      <c r="D838" s="78"/>
      <c r="E838" s="78"/>
    </row>
    <row r="839">
      <c r="A839" s="65"/>
      <c r="B839" s="78"/>
      <c r="C839" s="78"/>
      <c r="D839" s="78"/>
      <c r="E839" s="78"/>
    </row>
    <row r="840">
      <c r="A840" s="65"/>
      <c r="B840" s="78"/>
      <c r="C840" s="78"/>
      <c r="D840" s="78"/>
      <c r="E840" s="78"/>
    </row>
    <row r="841">
      <c r="A841" s="65"/>
      <c r="B841" s="78"/>
      <c r="C841" s="78"/>
      <c r="D841" s="78"/>
      <c r="E841" s="78"/>
    </row>
    <row r="842">
      <c r="A842" s="65"/>
      <c r="B842" s="78"/>
      <c r="C842" s="78"/>
      <c r="D842" s="78"/>
      <c r="E842" s="78"/>
    </row>
    <row r="843">
      <c r="A843" s="65"/>
      <c r="B843" s="78"/>
      <c r="C843" s="78"/>
      <c r="D843" s="78"/>
      <c r="E843" s="78"/>
    </row>
    <row r="844">
      <c r="A844" s="65"/>
      <c r="B844" s="78"/>
      <c r="C844" s="78"/>
      <c r="D844" s="78"/>
      <c r="E844" s="78"/>
    </row>
    <row r="845">
      <c r="A845" s="65"/>
      <c r="B845" s="78"/>
      <c r="C845" s="78"/>
      <c r="D845" s="78"/>
      <c r="E845" s="78"/>
    </row>
    <row r="846">
      <c r="A846" s="65"/>
      <c r="B846" s="78"/>
      <c r="C846" s="78"/>
      <c r="D846" s="78"/>
      <c r="E846" s="78"/>
    </row>
    <row r="847">
      <c r="A847" s="65"/>
      <c r="B847" s="78"/>
      <c r="C847" s="78"/>
      <c r="D847" s="78"/>
      <c r="E847" s="78"/>
    </row>
    <row r="848">
      <c r="A848" s="65"/>
      <c r="B848" s="78"/>
      <c r="C848" s="78"/>
      <c r="D848" s="78"/>
      <c r="E848" s="78"/>
    </row>
    <row r="849">
      <c r="A849" s="65"/>
      <c r="B849" s="78"/>
      <c r="C849" s="78"/>
      <c r="D849" s="78"/>
      <c r="E849" s="78"/>
    </row>
    <row r="850">
      <c r="A850" s="65"/>
      <c r="B850" s="78"/>
      <c r="C850" s="78"/>
      <c r="D850" s="78"/>
      <c r="E850" s="78"/>
    </row>
    <row r="851">
      <c r="A851" s="65"/>
      <c r="B851" s="78"/>
      <c r="C851" s="78"/>
      <c r="D851" s="78"/>
      <c r="E851" s="78"/>
    </row>
    <row r="852">
      <c r="A852" s="65"/>
      <c r="B852" s="78"/>
      <c r="C852" s="78"/>
      <c r="D852" s="78"/>
      <c r="E852" s="78"/>
    </row>
    <row r="853">
      <c r="A853" s="65"/>
      <c r="B853" s="78"/>
      <c r="C853" s="78"/>
      <c r="D853" s="78"/>
      <c r="E853" s="78"/>
    </row>
    <row r="854">
      <c r="A854" s="65"/>
      <c r="B854" s="78"/>
      <c r="C854" s="78"/>
      <c r="D854" s="78"/>
      <c r="E854" s="78"/>
    </row>
    <row r="855">
      <c r="A855" s="65"/>
      <c r="B855" s="78"/>
      <c r="C855" s="78"/>
      <c r="D855" s="78"/>
      <c r="E855" s="78"/>
    </row>
    <row r="856">
      <c r="A856" s="65"/>
      <c r="B856" s="78"/>
      <c r="C856" s="78"/>
      <c r="D856" s="78"/>
      <c r="E856" s="78"/>
    </row>
    <row r="857">
      <c r="A857" s="65"/>
      <c r="B857" s="78"/>
      <c r="C857" s="78"/>
      <c r="D857" s="78"/>
      <c r="E857" s="78"/>
    </row>
    <row r="858">
      <c r="A858" s="65"/>
      <c r="B858" s="78"/>
      <c r="C858" s="78"/>
      <c r="D858" s="78"/>
      <c r="E858" s="78"/>
    </row>
    <row r="859">
      <c r="A859" s="65"/>
      <c r="B859" s="78"/>
      <c r="C859" s="78"/>
      <c r="D859" s="78"/>
      <c r="E859" s="78"/>
    </row>
    <row r="860">
      <c r="A860" s="65"/>
      <c r="B860" s="78"/>
      <c r="C860" s="78"/>
      <c r="D860" s="78"/>
      <c r="E860" s="78"/>
    </row>
    <row r="861">
      <c r="A861" s="65"/>
      <c r="B861" s="78"/>
      <c r="C861" s="78"/>
      <c r="D861" s="78"/>
      <c r="E861" s="78"/>
    </row>
    <row r="862">
      <c r="A862" s="65"/>
      <c r="B862" s="78"/>
      <c r="C862" s="78"/>
      <c r="D862" s="78"/>
      <c r="E862" s="78"/>
    </row>
    <row r="863">
      <c r="A863" s="65"/>
      <c r="B863" s="78"/>
      <c r="C863" s="78"/>
      <c r="D863" s="78"/>
      <c r="E863" s="78"/>
    </row>
    <row r="864">
      <c r="A864" s="65"/>
      <c r="B864" s="78"/>
      <c r="C864" s="78"/>
      <c r="D864" s="78"/>
      <c r="E864" s="78"/>
    </row>
    <row r="865">
      <c r="A865" s="65"/>
      <c r="B865" s="78"/>
      <c r="C865" s="78"/>
      <c r="D865" s="78"/>
      <c r="E865" s="78"/>
    </row>
    <row r="866">
      <c r="A866" s="65"/>
      <c r="B866" s="78"/>
      <c r="C866" s="78"/>
      <c r="D866" s="78"/>
      <c r="E866" s="78"/>
    </row>
    <row r="867">
      <c r="A867" s="65"/>
      <c r="B867" s="78"/>
      <c r="C867" s="78"/>
      <c r="D867" s="78"/>
      <c r="E867" s="78"/>
    </row>
    <row r="868">
      <c r="A868" s="65"/>
      <c r="B868" s="78"/>
      <c r="C868" s="78"/>
      <c r="D868" s="78"/>
      <c r="E868" s="78"/>
    </row>
    <row r="869">
      <c r="A869" s="65"/>
      <c r="B869" s="78"/>
      <c r="C869" s="78"/>
      <c r="D869" s="78"/>
      <c r="E869" s="78"/>
    </row>
    <row r="870">
      <c r="A870" s="65"/>
      <c r="B870" s="78"/>
      <c r="C870" s="78"/>
      <c r="D870" s="78"/>
      <c r="E870" s="78"/>
    </row>
    <row r="871">
      <c r="A871" s="65"/>
      <c r="B871" s="78"/>
      <c r="C871" s="78"/>
      <c r="D871" s="78"/>
      <c r="E871" s="78"/>
    </row>
    <row r="872">
      <c r="A872" s="65"/>
      <c r="B872" s="78"/>
      <c r="C872" s="78"/>
      <c r="D872" s="78"/>
      <c r="E872" s="78"/>
    </row>
    <row r="873">
      <c r="A873" s="65"/>
      <c r="B873" s="78"/>
      <c r="C873" s="78"/>
      <c r="D873" s="78"/>
      <c r="E873" s="78"/>
    </row>
    <row r="874">
      <c r="A874" s="65"/>
      <c r="B874" s="78"/>
      <c r="C874" s="78"/>
      <c r="D874" s="78"/>
      <c r="E874" s="78"/>
    </row>
    <row r="875">
      <c r="A875" s="65"/>
      <c r="B875" s="78"/>
      <c r="C875" s="78"/>
      <c r="D875" s="78"/>
      <c r="E875" s="78"/>
    </row>
    <row r="876">
      <c r="A876" s="65"/>
      <c r="B876" s="78"/>
      <c r="C876" s="78"/>
      <c r="D876" s="78"/>
      <c r="E876" s="78"/>
    </row>
    <row r="877">
      <c r="A877" s="65"/>
      <c r="B877" s="78"/>
      <c r="C877" s="78"/>
      <c r="D877" s="78"/>
      <c r="E877" s="78"/>
    </row>
    <row r="878">
      <c r="A878" s="65"/>
      <c r="B878" s="78"/>
      <c r="C878" s="78"/>
      <c r="D878" s="78"/>
      <c r="E878" s="78"/>
    </row>
    <row r="879">
      <c r="A879" s="65"/>
      <c r="B879" s="78"/>
      <c r="C879" s="78"/>
      <c r="D879" s="78"/>
      <c r="E879" s="78"/>
    </row>
    <row r="880">
      <c r="A880" s="65"/>
      <c r="B880" s="78"/>
      <c r="C880" s="78"/>
      <c r="D880" s="78"/>
      <c r="E880" s="78"/>
    </row>
    <row r="881">
      <c r="A881" s="65"/>
      <c r="B881" s="78"/>
      <c r="C881" s="78"/>
      <c r="D881" s="78"/>
      <c r="E881" s="78"/>
    </row>
    <row r="882">
      <c r="A882" s="65"/>
      <c r="B882" s="78"/>
      <c r="C882" s="78"/>
      <c r="D882" s="78"/>
      <c r="E882" s="78"/>
    </row>
    <row r="883">
      <c r="A883" s="65"/>
      <c r="B883" s="78"/>
      <c r="C883" s="78"/>
      <c r="D883" s="78"/>
      <c r="E883" s="78"/>
    </row>
    <row r="884">
      <c r="A884" s="65"/>
      <c r="B884" s="78"/>
      <c r="C884" s="78"/>
      <c r="D884" s="78"/>
      <c r="E884" s="78"/>
    </row>
    <row r="885">
      <c r="A885" s="65"/>
      <c r="B885" s="78"/>
      <c r="C885" s="78"/>
      <c r="D885" s="78"/>
      <c r="E885" s="78"/>
    </row>
    <row r="886">
      <c r="A886" s="65"/>
      <c r="B886" s="78"/>
      <c r="C886" s="78"/>
      <c r="D886" s="78"/>
      <c r="E886" s="78"/>
    </row>
    <row r="887">
      <c r="A887" s="65"/>
      <c r="B887" s="78"/>
      <c r="C887" s="78"/>
      <c r="D887" s="78"/>
      <c r="E887" s="78"/>
    </row>
    <row r="888">
      <c r="A888" s="65"/>
      <c r="B888" s="78"/>
      <c r="C888" s="78"/>
      <c r="D888" s="78"/>
      <c r="E888" s="78"/>
    </row>
    <row r="889">
      <c r="A889" s="65"/>
      <c r="B889" s="78"/>
      <c r="C889" s="78"/>
      <c r="D889" s="78"/>
      <c r="E889" s="78"/>
    </row>
    <row r="890">
      <c r="A890" s="65"/>
      <c r="B890" s="78"/>
      <c r="C890" s="78"/>
      <c r="D890" s="78"/>
      <c r="E890" s="78"/>
    </row>
    <row r="891">
      <c r="A891" s="65"/>
      <c r="B891" s="78"/>
      <c r="C891" s="78"/>
      <c r="D891" s="78"/>
      <c r="E891" s="78"/>
    </row>
    <row r="892">
      <c r="A892" s="65"/>
      <c r="B892" s="78"/>
      <c r="C892" s="78"/>
      <c r="D892" s="78"/>
      <c r="E892" s="78"/>
    </row>
    <row r="893">
      <c r="A893" s="65"/>
      <c r="B893" s="78"/>
      <c r="C893" s="78"/>
      <c r="D893" s="78"/>
      <c r="E893" s="78"/>
    </row>
    <row r="894">
      <c r="A894" s="65"/>
      <c r="B894" s="78"/>
      <c r="C894" s="78"/>
      <c r="D894" s="78"/>
      <c r="E894" s="78"/>
    </row>
    <row r="895">
      <c r="A895" s="65"/>
      <c r="B895" s="78"/>
      <c r="C895" s="78"/>
      <c r="D895" s="78"/>
      <c r="E895" s="78"/>
    </row>
    <row r="896">
      <c r="A896" s="65"/>
      <c r="B896" s="78"/>
      <c r="C896" s="78"/>
      <c r="D896" s="78"/>
      <c r="E896" s="78"/>
    </row>
    <row r="897">
      <c r="A897" s="65"/>
      <c r="B897" s="78"/>
      <c r="C897" s="78"/>
      <c r="D897" s="78"/>
      <c r="E897" s="78"/>
    </row>
    <row r="898">
      <c r="A898" s="65"/>
      <c r="B898" s="78"/>
      <c r="C898" s="78"/>
      <c r="D898" s="78"/>
      <c r="E898" s="78"/>
    </row>
    <row r="899">
      <c r="A899" s="65"/>
      <c r="B899" s="78"/>
      <c r="C899" s="78"/>
      <c r="D899" s="78"/>
      <c r="E899" s="78"/>
    </row>
    <row r="900">
      <c r="A900" s="65"/>
      <c r="B900" s="78"/>
      <c r="C900" s="78"/>
      <c r="D900" s="78"/>
      <c r="E900" s="78"/>
    </row>
    <row r="901">
      <c r="A901" s="65"/>
      <c r="B901" s="78"/>
      <c r="C901" s="78"/>
      <c r="D901" s="78"/>
      <c r="E901" s="78"/>
    </row>
    <row r="902">
      <c r="A902" s="65"/>
      <c r="B902" s="78"/>
      <c r="C902" s="78"/>
      <c r="D902" s="78"/>
      <c r="E902" s="78"/>
    </row>
    <row r="903">
      <c r="A903" s="65"/>
      <c r="B903" s="78"/>
      <c r="C903" s="78"/>
      <c r="D903" s="78"/>
      <c r="E903" s="78"/>
    </row>
    <row r="904">
      <c r="A904" s="65"/>
      <c r="B904" s="78"/>
      <c r="C904" s="78"/>
      <c r="D904" s="78"/>
      <c r="E904" s="78"/>
    </row>
    <row r="905">
      <c r="A905" s="65"/>
      <c r="B905" s="78"/>
      <c r="C905" s="78"/>
      <c r="D905" s="78"/>
      <c r="E905" s="78"/>
    </row>
    <row r="906">
      <c r="A906" s="65"/>
      <c r="B906" s="78"/>
      <c r="C906" s="78"/>
      <c r="D906" s="78"/>
      <c r="E906" s="78"/>
    </row>
    <row r="907">
      <c r="A907" s="65"/>
      <c r="B907" s="78"/>
      <c r="C907" s="78"/>
      <c r="D907" s="78"/>
      <c r="E907" s="78"/>
    </row>
    <row r="908">
      <c r="A908" s="65"/>
      <c r="B908" s="78"/>
      <c r="C908" s="78"/>
      <c r="D908" s="78"/>
      <c r="E908" s="78"/>
    </row>
    <row r="909">
      <c r="A909" s="65"/>
      <c r="B909" s="78"/>
      <c r="C909" s="78"/>
      <c r="D909" s="78"/>
      <c r="E909" s="78"/>
    </row>
    <row r="910">
      <c r="A910" s="65"/>
      <c r="B910" s="78"/>
      <c r="C910" s="78"/>
      <c r="D910" s="78"/>
      <c r="E910" s="78"/>
    </row>
    <row r="911">
      <c r="A911" s="65"/>
      <c r="B911" s="78"/>
      <c r="C911" s="78"/>
      <c r="D911" s="78"/>
      <c r="E911" s="78"/>
    </row>
    <row r="912">
      <c r="A912" s="65"/>
      <c r="B912" s="78"/>
      <c r="C912" s="78"/>
      <c r="D912" s="78"/>
      <c r="E912" s="78"/>
    </row>
    <row r="913">
      <c r="A913" s="65"/>
      <c r="B913" s="78"/>
      <c r="C913" s="78"/>
      <c r="D913" s="78"/>
      <c r="E913" s="78"/>
    </row>
    <row r="914">
      <c r="A914" s="65"/>
      <c r="B914" s="78"/>
      <c r="C914" s="78"/>
      <c r="D914" s="78"/>
      <c r="E914" s="78"/>
    </row>
    <row r="915">
      <c r="A915" s="65"/>
      <c r="B915" s="78"/>
      <c r="C915" s="78"/>
      <c r="D915" s="78"/>
      <c r="E915" s="78"/>
    </row>
    <row r="916">
      <c r="A916" s="65"/>
      <c r="B916" s="78"/>
      <c r="C916" s="78"/>
      <c r="D916" s="78"/>
      <c r="E916" s="78"/>
    </row>
    <row r="917">
      <c r="A917" s="65"/>
      <c r="B917" s="78"/>
      <c r="C917" s="78"/>
      <c r="D917" s="78"/>
      <c r="E917" s="78"/>
    </row>
    <row r="918">
      <c r="A918" s="65"/>
      <c r="B918" s="78"/>
      <c r="C918" s="78"/>
      <c r="D918" s="78"/>
      <c r="E918" s="78"/>
    </row>
    <row r="919">
      <c r="A919" s="65"/>
      <c r="B919" s="78"/>
      <c r="C919" s="78"/>
      <c r="D919" s="78"/>
      <c r="E919" s="78"/>
    </row>
    <row r="920">
      <c r="A920" s="65"/>
      <c r="B920" s="78"/>
      <c r="C920" s="78"/>
      <c r="D920" s="78"/>
      <c r="E920" s="78"/>
    </row>
    <row r="921">
      <c r="A921" s="65"/>
      <c r="B921" s="78"/>
      <c r="C921" s="78"/>
      <c r="D921" s="78"/>
      <c r="E921" s="78"/>
    </row>
    <row r="922">
      <c r="A922" s="65"/>
      <c r="B922" s="78"/>
      <c r="C922" s="78"/>
      <c r="D922" s="78"/>
      <c r="E922" s="78"/>
    </row>
    <row r="923">
      <c r="A923" s="65"/>
      <c r="B923" s="78"/>
      <c r="C923" s="78"/>
      <c r="D923" s="78"/>
      <c r="E923" s="78"/>
    </row>
    <row r="924">
      <c r="A924" s="65"/>
      <c r="B924" s="78"/>
      <c r="C924" s="78"/>
      <c r="D924" s="78"/>
      <c r="E924" s="78"/>
    </row>
    <row r="925">
      <c r="A925" s="65"/>
      <c r="B925" s="78"/>
      <c r="C925" s="78"/>
      <c r="D925" s="78"/>
      <c r="E925" s="78"/>
    </row>
    <row r="926">
      <c r="A926" s="65"/>
      <c r="B926" s="78"/>
      <c r="C926" s="78"/>
      <c r="D926" s="78"/>
      <c r="E926" s="78"/>
    </row>
    <row r="927">
      <c r="A927" s="65"/>
      <c r="B927" s="78"/>
      <c r="C927" s="78"/>
      <c r="D927" s="78"/>
      <c r="E927" s="78"/>
    </row>
    <row r="928">
      <c r="A928" s="65"/>
      <c r="B928" s="78"/>
      <c r="C928" s="78"/>
      <c r="D928" s="78"/>
      <c r="E928" s="78"/>
    </row>
    <row r="929">
      <c r="A929" s="65"/>
      <c r="B929" s="78"/>
      <c r="C929" s="78"/>
      <c r="D929" s="78"/>
      <c r="E929" s="78"/>
    </row>
    <row r="930">
      <c r="A930" s="65"/>
      <c r="B930" s="78"/>
      <c r="C930" s="78"/>
      <c r="D930" s="78"/>
      <c r="E930" s="78"/>
    </row>
    <row r="931">
      <c r="A931" s="65"/>
      <c r="B931" s="78"/>
      <c r="C931" s="78"/>
      <c r="D931" s="78"/>
      <c r="E931" s="78"/>
    </row>
    <row r="932">
      <c r="A932" s="65"/>
      <c r="B932" s="78"/>
      <c r="C932" s="78"/>
      <c r="D932" s="78"/>
      <c r="E932" s="78"/>
    </row>
    <row r="933">
      <c r="A933" s="65"/>
      <c r="B933" s="78"/>
      <c r="C933" s="78"/>
      <c r="D933" s="78"/>
      <c r="E933" s="78"/>
    </row>
    <row r="934">
      <c r="A934" s="65"/>
      <c r="B934" s="78"/>
      <c r="C934" s="78"/>
      <c r="D934" s="78"/>
      <c r="E934" s="78"/>
    </row>
    <row r="935">
      <c r="A935" s="65"/>
      <c r="B935" s="78"/>
      <c r="C935" s="78"/>
      <c r="D935" s="78"/>
      <c r="E935" s="78"/>
    </row>
    <row r="936">
      <c r="A936" s="65"/>
      <c r="B936" s="78"/>
      <c r="C936" s="78"/>
      <c r="D936" s="78"/>
      <c r="E936" s="78"/>
    </row>
    <row r="937">
      <c r="A937" s="65"/>
      <c r="B937" s="78"/>
      <c r="C937" s="78"/>
      <c r="D937" s="78"/>
      <c r="E937" s="78"/>
    </row>
    <row r="938">
      <c r="A938" s="65"/>
      <c r="B938" s="78"/>
      <c r="C938" s="78"/>
      <c r="D938" s="78"/>
      <c r="E938" s="78"/>
    </row>
    <row r="939">
      <c r="A939" s="65"/>
      <c r="B939" s="78"/>
      <c r="C939" s="78"/>
      <c r="D939" s="78"/>
      <c r="E939" s="78"/>
    </row>
    <row r="940">
      <c r="A940" s="65"/>
      <c r="B940" s="78"/>
      <c r="C940" s="78"/>
      <c r="D940" s="78"/>
      <c r="E940" s="78"/>
    </row>
    <row r="941">
      <c r="A941" s="65"/>
      <c r="B941" s="78"/>
      <c r="C941" s="78"/>
      <c r="D941" s="78"/>
      <c r="E941" s="78"/>
    </row>
    <row r="942">
      <c r="A942" s="65"/>
      <c r="B942" s="78"/>
      <c r="C942" s="78"/>
      <c r="D942" s="78"/>
      <c r="E942" s="78"/>
    </row>
    <row r="943">
      <c r="A943" s="65"/>
      <c r="B943" s="78"/>
      <c r="C943" s="78"/>
      <c r="D943" s="78"/>
      <c r="E943" s="78"/>
    </row>
    <row r="944">
      <c r="A944" s="65"/>
      <c r="B944" s="78"/>
      <c r="C944" s="78"/>
      <c r="D944" s="78"/>
      <c r="E944" s="78"/>
    </row>
    <row r="945">
      <c r="A945" s="65"/>
      <c r="B945" s="78"/>
      <c r="C945" s="78"/>
      <c r="D945" s="78"/>
      <c r="E945" s="78"/>
    </row>
    <row r="946">
      <c r="A946" s="65"/>
      <c r="B946" s="78"/>
      <c r="C946" s="78"/>
      <c r="D946" s="78"/>
      <c r="E946" s="78"/>
    </row>
    <row r="947">
      <c r="A947" s="65"/>
      <c r="B947" s="78"/>
      <c r="C947" s="78"/>
      <c r="D947" s="78"/>
      <c r="E947" s="78"/>
    </row>
    <row r="948">
      <c r="A948" s="65"/>
      <c r="B948" s="78"/>
      <c r="C948" s="78"/>
      <c r="D948" s="78"/>
      <c r="E948" s="78"/>
    </row>
    <row r="949">
      <c r="A949" s="65"/>
      <c r="B949" s="78"/>
      <c r="C949" s="78"/>
      <c r="D949" s="78"/>
      <c r="E949" s="78"/>
    </row>
    <row r="950">
      <c r="A950" s="65"/>
      <c r="B950" s="78"/>
      <c r="C950" s="78"/>
      <c r="D950" s="78"/>
      <c r="E950" s="78"/>
    </row>
    <row r="951">
      <c r="A951" s="65"/>
      <c r="B951" s="78"/>
      <c r="C951" s="78"/>
      <c r="D951" s="78"/>
      <c r="E951" s="78"/>
    </row>
    <row r="952">
      <c r="A952" s="65"/>
      <c r="B952" s="78"/>
      <c r="C952" s="78"/>
      <c r="D952" s="78"/>
      <c r="E952" s="78"/>
    </row>
    <row r="953">
      <c r="A953" s="65"/>
      <c r="B953" s="78"/>
      <c r="C953" s="78"/>
      <c r="D953" s="78"/>
      <c r="E953" s="78"/>
    </row>
    <row r="954">
      <c r="A954" s="65"/>
      <c r="B954" s="78"/>
      <c r="C954" s="78"/>
      <c r="D954" s="78"/>
      <c r="E954" s="78"/>
    </row>
    <row r="955">
      <c r="A955" s="65"/>
      <c r="B955" s="78"/>
      <c r="C955" s="78"/>
      <c r="D955" s="78"/>
      <c r="E955" s="78"/>
    </row>
    <row r="956">
      <c r="A956" s="65"/>
      <c r="B956" s="78"/>
      <c r="C956" s="78"/>
      <c r="D956" s="78"/>
      <c r="E956" s="78"/>
    </row>
    <row r="957">
      <c r="A957" s="65"/>
      <c r="B957" s="78"/>
      <c r="C957" s="78"/>
      <c r="D957" s="78"/>
      <c r="E957" s="78"/>
    </row>
    <row r="958">
      <c r="A958" s="65"/>
      <c r="B958" s="78"/>
      <c r="C958" s="78"/>
      <c r="D958" s="78"/>
      <c r="E958" s="78"/>
    </row>
    <row r="959">
      <c r="A959" s="65"/>
      <c r="B959" s="78"/>
      <c r="C959" s="78"/>
      <c r="D959" s="78"/>
      <c r="E959" s="78"/>
    </row>
    <row r="960">
      <c r="A960" s="65"/>
      <c r="B960" s="78"/>
      <c r="C960" s="78"/>
      <c r="D960" s="78"/>
      <c r="E960" s="78"/>
    </row>
    <row r="961">
      <c r="A961" s="65"/>
      <c r="B961" s="78"/>
      <c r="C961" s="78"/>
      <c r="D961" s="78"/>
      <c r="E961" s="78"/>
    </row>
    <row r="962">
      <c r="A962" s="65"/>
      <c r="B962" s="78"/>
      <c r="C962" s="78"/>
      <c r="D962" s="78"/>
      <c r="E962" s="78"/>
    </row>
    <row r="963">
      <c r="A963" s="65"/>
      <c r="B963" s="78"/>
      <c r="C963" s="78"/>
      <c r="D963" s="78"/>
      <c r="E963" s="78"/>
    </row>
    <row r="964">
      <c r="A964" s="65"/>
      <c r="B964" s="78"/>
      <c r="C964" s="78"/>
      <c r="D964" s="78"/>
      <c r="E964" s="78"/>
    </row>
    <row r="965">
      <c r="A965" s="65"/>
      <c r="B965" s="78"/>
      <c r="C965" s="78"/>
      <c r="D965" s="78"/>
      <c r="E965" s="78"/>
    </row>
    <row r="966">
      <c r="A966" s="65"/>
      <c r="B966" s="78"/>
      <c r="C966" s="78"/>
      <c r="D966" s="78"/>
      <c r="E966" s="78"/>
    </row>
    <row r="967">
      <c r="A967" s="65"/>
      <c r="B967" s="78"/>
      <c r="C967" s="78"/>
      <c r="D967" s="78"/>
      <c r="E967" s="78"/>
    </row>
    <row r="968">
      <c r="A968" s="65"/>
      <c r="B968" s="78"/>
      <c r="C968" s="78"/>
      <c r="D968" s="78"/>
      <c r="E968" s="78"/>
    </row>
    <row r="969">
      <c r="A969" s="65"/>
      <c r="B969" s="78"/>
      <c r="C969" s="78"/>
      <c r="D969" s="78"/>
      <c r="E969" s="78"/>
    </row>
    <row r="970">
      <c r="A970" s="65"/>
      <c r="B970" s="78"/>
      <c r="C970" s="78"/>
      <c r="D970" s="78"/>
      <c r="E970" s="78"/>
    </row>
    <row r="971">
      <c r="A971" s="65"/>
      <c r="B971" s="78"/>
      <c r="C971" s="78"/>
      <c r="D971" s="78"/>
      <c r="E971" s="78"/>
    </row>
    <row r="972">
      <c r="A972" s="65"/>
      <c r="B972" s="78"/>
      <c r="C972" s="78"/>
      <c r="D972" s="78"/>
      <c r="E972" s="78"/>
    </row>
    <row r="973">
      <c r="A973" s="65"/>
      <c r="B973" s="78"/>
      <c r="C973" s="78"/>
      <c r="D973" s="78"/>
      <c r="E973" s="78"/>
    </row>
    <row r="974">
      <c r="A974" s="65"/>
      <c r="B974" s="78"/>
      <c r="C974" s="78"/>
      <c r="D974" s="78"/>
      <c r="E974" s="78"/>
    </row>
    <row r="975">
      <c r="A975" s="65"/>
      <c r="B975" s="78"/>
      <c r="C975" s="78"/>
      <c r="D975" s="78"/>
      <c r="E975" s="78"/>
    </row>
    <row r="976">
      <c r="A976" s="65"/>
      <c r="B976" s="78"/>
      <c r="C976" s="78"/>
      <c r="D976" s="78"/>
      <c r="E976" s="78"/>
    </row>
    <row r="977">
      <c r="A977" s="65"/>
      <c r="B977" s="78"/>
      <c r="C977" s="78"/>
      <c r="D977" s="78"/>
      <c r="E977" s="78"/>
    </row>
    <row r="978">
      <c r="A978" s="65"/>
      <c r="B978" s="78"/>
      <c r="C978" s="78"/>
      <c r="D978" s="78"/>
      <c r="E978" s="78"/>
    </row>
    <row r="979">
      <c r="A979" s="65"/>
      <c r="B979" s="78"/>
      <c r="C979" s="78"/>
      <c r="D979" s="78"/>
      <c r="E979" s="78"/>
    </row>
    <row r="980">
      <c r="A980" s="65"/>
      <c r="B980" s="78"/>
      <c r="C980" s="78"/>
      <c r="D980" s="78"/>
      <c r="E980" s="78"/>
    </row>
    <row r="981">
      <c r="A981" s="65"/>
      <c r="B981" s="78"/>
      <c r="C981" s="78"/>
      <c r="D981" s="78"/>
      <c r="E981" s="78"/>
    </row>
    <row r="982">
      <c r="A982" s="65"/>
      <c r="B982" s="78"/>
      <c r="C982" s="78"/>
      <c r="D982" s="78"/>
      <c r="E982" s="78"/>
    </row>
    <row r="983">
      <c r="A983" s="65"/>
      <c r="B983" s="78"/>
      <c r="C983" s="78"/>
      <c r="D983" s="78"/>
      <c r="E983" s="78"/>
    </row>
    <row r="984">
      <c r="A984" s="65"/>
      <c r="B984" s="78"/>
      <c r="C984" s="78"/>
      <c r="D984" s="78"/>
      <c r="E984" s="78"/>
    </row>
    <row r="985">
      <c r="A985" s="65"/>
      <c r="B985" s="78"/>
      <c r="C985" s="78"/>
      <c r="D985" s="78"/>
      <c r="E985" s="78"/>
    </row>
    <row r="986">
      <c r="A986" s="65"/>
      <c r="B986" s="78"/>
      <c r="C986" s="78"/>
      <c r="D986" s="78"/>
      <c r="E986" s="78"/>
    </row>
    <row r="987">
      <c r="A987" s="65"/>
      <c r="B987" s="78"/>
      <c r="C987" s="78"/>
      <c r="D987" s="78"/>
      <c r="E987" s="78"/>
    </row>
    <row r="988">
      <c r="A988" s="65"/>
      <c r="B988" s="78"/>
      <c r="C988" s="78"/>
      <c r="D988" s="78"/>
      <c r="E988" s="78"/>
    </row>
    <row r="989">
      <c r="A989" s="65"/>
      <c r="B989" s="78"/>
      <c r="C989" s="78"/>
      <c r="D989" s="78"/>
      <c r="E989" s="78"/>
    </row>
    <row r="990">
      <c r="A990" s="65"/>
      <c r="B990" s="78"/>
      <c r="C990" s="78"/>
      <c r="D990" s="78"/>
      <c r="E990" s="78"/>
    </row>
    <row r="991">
      <c r="A991" s="65"/>
      <c r="B991" s="78"/>
      <c r="C991" s="78"/>
      <c r="D991" s="78"/>
      <c r="E991" s="78"/>
    </row>
    <row r="992">
      <c r="A992" s="65"/>
      <c r="B992" s="78"/>
      <c r="C992" s="78"/>
      <c r="D992" s="78"/>
      <c r="E992" s="78"/>
    </row>
    <row r="993">
      <c r="A993" s="65"/>
      <c r="B993" s="78"/>
      <c r="C993" s="78"/>
      <c r="D993" s="78"/>
      <c r="E993" s="78"/>
    </row>
    <row r="994">
      <c r="A994" s="65"/>
      <c r="B994" s="78"/>
      <c r="C994" s="78"/>
      <c r="D994" s="78"/>
      <c r="E994" s="78"/>
    </row>
    <row r="995">
      <c r="A995" s="65"/>
      <c r="B995" s="78"/>
      <c r="C995" s="78"/>
      <c r="D995" s="78"/>
      <c r="E995" s="78"/>
    </row>
    <row r="996">
      <c r="A996" s="65"/>
      <c r="B996" s="78"/>
      <c r="C996" s="78"/>
      <c r="D996" s="78"/>
      <c r="E996" s="78"/>
    </row>
    <row r="997">
      <c r="A997" s="65"/>
      <c r="B997" s="78"/>
      <c r="C997" s="78"/>
      <c r="D997" s="78"/>
      <c r="E997" s="78"/>
    </row>
    <row r="998">
      <c r="A998" s="65"/>
      <c r="B998" s="78"/>
      <c r="C998" s="78"/>
      <c r="D998" s="78"/>
      <c r="E998" s="78"/>
    </row>
    <row r="999">
      <c r="A999" s="65"/>
      <c r="B999" s="78"/>
      <c r="C999" s="78"/>
      <c r="D999" s="78"/>
      <c r="E999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6.88"/>
    <col customWidth="1" min="4" max="4" width="11.38"/>
  </cols>
  <sheetData>
    <row r="1">
      <c r="B1" s="80" t="s">
        <v>225</v>
      </c>
      <c r="C1" s="80" t="s">
        <v>226</v>
      </c>
      <c r="D1" s="80" t="s">
        <v>227</v>
      </c>
    </row>
    <row r="2">
      <c r="A2" s="81" t="s">
        <v>228</v>
      </c>
      <c r="B2" s="63">
        <v>16.0</v>
      </c>
      <c r="C2" s="82">
        <v>0.7619</v>
      </c>
      <c r="D2" s="82">
        <v>0.381</v>
      </c>
    </row>
    <row r="3">
      <c r="A3" s="81" t="s">
        <v>229</v>
      </c>
      <c r="B3" s="63">
        <v>2.0</v>
      </c>
      <c r="C3" s="82">
        <v>0.0952</v>
      </c>
      <c r="D3" s="82">
        <v>0.0476</v>
      </c>
    </row>
    <row r="4">
      <c r="A4" s="81" t="s">
        <v>230</v>
      </c>
      <c r="B4" s="63">
        <v>3.0</v>
      </c>
      <c r="C4" s="82">
        <v>0.1429</v>
      </c>
      <c r="D4" s="82">
        <v>0.0714</v>
      </c>
    </row>
    <row r="5">
      <c r="A5" s="61" t="s">
        <v>204</v>
      </c>
      <c r="B5" s="80">
        <v>21.0</v>
      </c>
      <c r="C5" s="83">
        <v>1.0</v>
      </c>
      <c r="D5" s="83">
        <v>0.5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4" max="4" width="15.88"/>
    <col customWidth="1" min="6" max="6" width="14.63"/>
    <col customWidth="1" min="7" max="7" width="8.63"/>
    <col customWidth="1" min="8" max="8" width="7.88"/>
  </cols>
  <sheetData>
    <row r="1">
      <c r="A1" s="84" t="s">
        <v>231</v>
      </c>
      <c r="B1" s="84" t="s">
        <v>232</v>
      </c>
      <c r="C1" s="25" t="s">
        <v>17</v>
      </c>
      <c r="D1" s="25" t="s">
        <v>18</v>
      </c>
      <c r="E1" s="25" t="s">
        <v>233</v>
      </c>
      <c r="F1" s="25" t="s">
        <v>20</v>
      </c>
      <c r="G1" s="25" t="s">
        <v>234</v>
      </c>
      <c r="H1" s="25" t="s">
        <v>21</v>
      </c>
      <c r="I1" s="25" t="s">
        <v>22</v>
      </c>
      <c r="J1" s="25" t="s">
        <v>235</v>
      </c>
      <c r="K1" s="25" t="s">
        <v>23</v>
      </c>
      <c r="L1" s="25" t="s">
        <v>24</v>
      </c>
      <c r="M1" s="25" t="s">
        <v>236</v>
      </c>
      <c r="N1" s="25" t="s">
        <v>25</v>
      </c>
      <c r="O1" s="25" t="s">
        <v>26</v>
      </c>
      <c r="P1" s="25" t="s">
        <v>237</v>
      </c>
      <c r="Q1" s="25" t="s">
        <v>27</v>
      </c>
      <c r="R1" s="25" t="s">
        <v>28</v>
      </c>
      <c r="S1" s="25" t="s">
        <v>238</v>
      </c>
      <c r="T1" s="25" t="s">
        <v>29</v>
      </c>
      <c r="U1" s="25" t="s">
        <v>239</v>
      </c>
      <c r="V1" s="25" t="s">
        <v>240</v>
      </c>
      <c r="W1" s="25" t="s">
        <v>31</v>
      </c>
      <c r="X1" s="25" t="s">
        <v>32</v>
      </c>
      <c r="Y1" s="25" t="s">
        <v>241</v>
      </c>
      <c r="Z1" s="25" t="s">
        <v>33</v>
      </c>
      <c r="AA1" s="25" t="s">
        <v>34</v>
      </c>
      <c r="AB1" s="25" t="s">
        <v>242</v>
      </c>
      <c r="AC1" s="25" t="s">
        <v>35</v>
      </c>
      <c r="AD1" s="25" t="s">
        <v>36</v>
      </c>
      <c r="AE1" s="25" t="s">
        <v>37</v>
      </c>
      <c r="AF1" s="25" t="s">
        <v>39</v>
      </c>
      <c r="AG1" s="25" t="s">
        <v>40</v>
      </c>
      <c r="AH1" s="25" t="s">
        <v>243</v>
      </c>
      <c r="AI1" s="25" t="s">
        <v>244</v>
      </c>
      <c r="AJ1" s="25" t="s">
        <v>245</v>
      </c>
      <c r="AK1" s="44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>
      <c r="A2" s="44" t="s">
        <v>246</v>
      </c>
      <c r="B2" s="44" t="s">
        <v>247</v>
      </c>
      <c r="C2" s="86">
        <v>0.6284722222222222</v>
      </c>
      <c r="D2" s="86">
        <v>0.64375</v>
      </c>
      <c r="E2" s="87">
        <v>30.41</v>
      </c>
      <c r="F2" s="87">
        <v>0.82</v>
      </c>
      <c r="G2" s="87" t="s">
        <v>136</v>
      </c>
      <c r="H2" s="87">
        <v>38.03</v>
      </c>
      <c r="I2" s="87">
        <v>1.05</v>
      </c>
      <c r="J2" s="87" t="s">
        <v>189</v>
      </c>
      <c r="K2" s="87">
        <v>8.24</v>
      </c>
      <c r="L2" s="87">
        <v>1.05</v>
      </c>
      <c r="M2" s="87" t="s">
        <v>189</v>
      </c>
      <c r="N2" s="87">
        <v>8.48</v>
      </c>
      <c r="O2" s="87">
        <v>0.69</v>
      </c>
      <c r="P2" s="87" t="s">
        <v>121</v>
      </c>
      <c r="Q2" s="87">
        <v>30.34</v>
      </c>
      <c r="R2" s="87">
        <v>1.83</v>
      </c>
      <c r="S2" s="87" t="s">
        <v>170</v>
      </c>
      <c r="T2" s="87">
        <v>38.03</v>
      </c>
      <c r="U2" s="87">
        <v>4.49</v>
      </c>
      <c r="V2" s="87" t="s">
        <v>189</v>
      </c>
      <c r="W2" s="87">
        <v>7.51</v>
      </c>
      <c r="X2" s="87">
        <v>1.82</v>
      </c>
      <c r="Y2" s="87" t="s">
        <v>170</v>
      </c>
      <c r="Z2" s="87">
        <v>8.4</v>
      </c>
      <c r="AA2" s="87">
        <v>3.79</v>
      </c>
      <c r="AB2" s="87" t="s">
        <v>118</v>
      </c>
      <c r="AC2" s="87">
        <v>31.0</v>
      </c>
      <c r="AD2" s="87">
        <v>31.0</v>
      </c>
      <c r="AE2" s="87">
        <v>31.0</v>
      </c>
      <c r="AF2" s="87">
        <v>1.0</v>
      </c>
      <c r="AG2" s="87">
        <v>29.5</v>
      </c>
      <c r="AH2" s="88" t="s">
        <v>181</v>
      </c>
      <c r="AI2" s="88" t="s">
        <v>181</v>
      </c>
      <c r="AJ2" s="88" t="s">
        <v>181</v>
      </c>
      <c r="AK2" s="89"/>
      <c r="AL2" s="90"/>
      <c r="AM2" s="90"/>
      <c r="AN2" s="90"/>
      <c r="AO2" s="90"/>
      <c r="AP2" s="90"/>
      <c r="AQ2" s="90"/>
      <c r="AR2" s="90"/>
      <c r="AS2" s="90"/>
      <c r="AT2" s="90"/>
      <c r="AU2" s="91"/>
    </row>
    <row r="3">
      <c r="A3" s="44" t="s">
        <v>246</v>
      </c>
      <c r="B3" s="44" t="s">
        <v>248</v>
      </c>
      <c r="C3" s="86">
        <v>0.2916666666666667</v>
      </c>
      <c r="D3" s="86">
        <v>0.32013888888888886</v>
      </c>
      <c r="E3" s="87">
        <v>27.71</v>
      </c>
      <c r="F3" s="87">
        <v>1.0</v>
      </c>
      <c r="G3" s="87" t="s">
        <v>166</v>
      </c>
      <c r="H3" s="87">
        <v>33.37</v>
      </c>
      <c r="I3" s="88">
        <v>2.4</v>
      </c>
      <c r="J3" s="87" t="s">
        <v>54</v>
      </c>
      <c r="K3" s="87">
        <v>4.97</v>
      </c>
      <c r="L3" s="87">
        <v>0.57</v>
      </c>
      <c r="M3" s="87" t="s">
        <v>123</v>
      </c>
      <c r="N3" s="87">
        <v>6.42</v>
      </c>
      <c r="O3" s="87">
        <v>1.08</v>
      </c>
      <c r="P3" s="87" t="s">
        <v>192</v>
      </c>
      <c r="Q3" s="87">
        <v>27.02</v>
      </c>
      <c r="R3" s="87">
        <v>3.0</v>
      </c>
      <c r="S3" s="87" t="s">
        <v>199</v>
      </c>
      <c r="T3" s="87">
        <v>33.19</v>
      </c>
      <c r="U3" s="87">
        <v>21.65</v>
      </c>
      <c r="V3" s="87" t="s">
        <v>54</v>
      </c>
      <c r="W3" s="87">
        <v>4.0</v>
      </c>
      <c r="X3" s="87">
        <v>3.0</v>
      </c>
      <c r="Y3" s="87" t="s">
        <v>199</v>
      </c>
      <c r="Z3" s="87">
        <v>7.88</v>
      </c>
      <c r="AA3" s="87">
        <v>3.87</v>
      </c>
      <c r="AB3" s="87" t="s">
        <v>192</v>
      </c>
      <c r="AC3" s="87">
        <v>3.0</v>
      </c>
      <c r="AD3" s="87">
        <v>2.75</v>
      </c>
      <c r="AE3" s="87">
        <v>2.25</v>
      </c>
      <c r="AF3" s="87">
        <v>0.5</v>
      </c>
      <c r="AG3" s="87">
        <v>2.5</v>
      </c>
      <c r="AH3" s="88" t="s">
        <v>170</v>
      </c>
      <c r="AI3" s="88" t="s">
        <v>94</v>
      </c>
      <c r="AJ3" s="88" t="s">
        <v>89</v>
      </c>
      <c r="AK3" s="89"/>
      <c r="AL3" s="90"/>
      <c r="AM3" s="90"/>
      <c r="AN3" s="90"/>
      <c r="AO3" s="90"/>
      <c r="AP3" s="90"/>
      <c r="AQ3" s="90"/>
      <c r="AR3" s="90"/>
      <c r="AS3" s="90"/>
      <c r="AT3" s="90"/>
      <c r="AU3" s="91"/>
    </row>
    <row r="4">
      <c r="A4" s="44" t="s">
        <v>246</v>
      </c>
      <c r="B4" s="44" t="s">
        <v>208</v>
      </c>
      <c r="C4" s="86">
        <v>0.4288268321513003</v>
      </c>
      <c r="D4" s="86">
        <v>0.45067966903073287</v>
      </c>
      <c r="E4" s="87">
        <v>29.139318181818183</v>
      </c>
      <c r="F4" s="87"/>
      <c r="G4" s="87"/>
      <c r="H4" s="87">
        <v>37.13238095238095</v>
      </c>
      <c r="I4" s="87"/>
      <c r="J4" s="87"/>
      <c r="K4" s="87">
        <v>6.1652272727272734</v>
      </c>
      <c r="L4" s="87"/>
      <c r="M4" s="87"/>
      <c r="N4" s="87">
        <v>8.091666666666667</v>
      </c>
      <c r="O4" s="87"/>
      <c r="P4" s="87"/>
      <c r="Q4" s="87">
        <v>29.05727272727272</v>
      </c>
      <c r="R4" s="87"/>
      <c r="S4" s="87"/>
      <c r="T4" s="87">
        <v>37.20285714285715</v>
      </c>
      <c r="U4" s="87"/>
      <c r="V4" s="87"/>
      <c r="W4" s="87">
        <v>6.082272727272727</v>
      </c>
      <c r="X4" s="87"/>
      <c r="Y4" s="87"/>
      <c r="Z4" s="87">
        <v>8.224999999999998</v>
      </c>
      <c r="AA4" s="87"/>
      <c r="AB4" s="87"/>
      <c r="AC4" s="87">
        <v>9.821111111111112</v>
      </c>
      <c r="AD4" s="87">
        <v>9.848888888888888</v>
      </c>
      <c r="AE4" s="87">
        <v>9.865555555555556</v>
      </c>
      <c r="AF4" s="87">
        <v>0.8723404255319149</v>
      </c>
      <c r="AG4" s="87">
        <v>10.643617021276595</v>
      </c>
      <c r="AH4" s="88"/>
      <c r="AI4" s="88"/>
      <c r="AJ4" s="88"/>
      <c r="AK4" s="89"/>
      <c r="AL4" s="90"/>
      <c r="AM4" s="90"/>
      <c r="AN4" s="90"/>
      <c r="AO4" s="90"/>
      <c r="AP4" s="90"/>
      <c r="AQ4" s="90"/>
      <c r="AR4" s="90"/>
      <c r="AS4" s="90"/>
      <c r="AT4" s="90"/>
      <c r="AU4" s="91"/>
    </row>
    <row r="5">
      <c r="A5" s="44" t="s">
        <v>246</v>
      </c>
      <c r="B5" s="44" t="s">
        <v>249</v>
      </c>
      <c r="C5" s="92">
        <v>0.08704530567061228</v>
      </c>
      <c r="D5" s="92">
        <v>0.08403756996703496</v>
      </c>
      <c r="E5" s="87">
        <v>0.5511020575186305</v>
      </c>
      <c r="F5" s="87"/>
      <c r="G5" s="87"/>
      <c r="H5" s="87">
        <v>0.7884774136419263</v>
      </c>
      <c r="I5" s="87"/>
      <c r="J5" s="87"/>
      <c r="K5" s="87">
        <v>0.5314678604400845</v>
      </c>
      <c r="L5" s="87"/>
      <c r="M5" s="87"/>
      <c r="N5" s="87">
        <v>0.30893930785019763</v>
      </c>
      <c r="O5" s="87"/>
      <c r="P5" s="87"/>
      <c r="Q5" s="87">
        <v>0.585909603458543</v>
      </c>
      <c r="R5" s="87"/>
      <c r="S5" s="87"/>
      <c r="T5" s="87">
        <v>0.6982846079702903</v>
      </c>
      <c r="U5" s="87"/>
      <c r="V5" s="87"/>
      <c r="W5" s="87">
        <v>0.5414659843999037</v>
      </c>
      <c r="X5" s="87"/>
      <c r="Y5" s="87"/>
      <c r="Z5" s="87">
        <v>0.1104370475131178</v>
      </c>
      <c r="AA5" s="87"/>
      <c r="AB5" s="87"/>
      <c r="AC5" s="87">
        <v>6.585214920984398</v>
      </c>
      <c r="AD5" s="87">
        <v>6.59422516718648</v>
      </c>
      <c r="AE5" s="87">
        <v>6.641705543401674</v>
      </c>
      <c r="AF5" s="87">
        <v>0.22037727301308663</v>
      </c>
      <c r="AG5" s="87">
        <v>7.050814145260696</v>
      </c>
      <c r="AH5" s="88"/>
      <c r="AI5" s="88"/>
      <c r="AJ5" s="88"/>
      <c r="AK5" s="89"/>
      <c r="AL5" s="90"/>
      <c r="AM5" s="90"/>
      <c r="AN5" s="90"/>
      <c r="AO5" s="90"/>
      <c r="AP5" s="90"/>
      <c r="AQ5" s="90"/>
      <c r="AR5" s="90"/>
      <c r="AS5" s="90"/>
      <c r="AT5" s="90"/>
      <c r="AU5" s="91"/>
    </row>
    <row r="6">
      <c r="A6" s="44" t="s">
        <v>246</v>
      </c>
      <c r="B6" s="44" t="s">
        <v>250</v>
      </c>
      <c r="C6" s="93">
        <v>0.012696862771575492</v>
      </c>
      <c r="D6" s="93">
        <v>0.012258139428745273</v>
      </c>
      <c r="E6" s="87">
        <v>0.08308176118100716</v>
      </c>
      <c r="F6" s="87"/>
      <c r="G6" s="87"/>
      <c r="H6" s="87">
        <v>0.12166470629439524</v>
      </c>
      <c r="I6" s="87"/>
      <c r="J6" s="87"/>
      <c r="K6" s="87">
        <v>0.08012179460057856</v>
      </c>
      <c r="L6" s="87"/>
      <c r="M6" s="87"/>
      <c r="N6" s="87">
        <v>0.04767037013625549</v>
      </c>
      <c r="O6" s="87"/>
      <c r="P6" s="87"/>
      <c r="Q6" s="87">
        <v>0.08832919616990481</v>
      </c>
      <c r="R6" s="87"/>
      <c r="S6" s="87"/>
      <c r="T6" s="87">
        <v>0.10774765423678187</v>
      </c>
      <c r="U6" s="87"/>
      <c r="V6" s="87"/>
      <c r="W6" s="87">
        <v>0.08162906849976867</v>
      </c>
      <c r="X6" s="87"/>
      <c r="Y6" s="87"/>
      <c r="Z6" s="87">
        <v>0.017040806391196785</v>
      </c>
      <c r="AA6" s="87"/>
      <c r="AB6" s="87"/>
      <c r="AC6" s="87">
        <v>0.9816658806511346</v>
      </c>
      <c r="AD6" s="87">
        <v>0.9830090488512591</v>
      </c>
      <c r="AE6" s="87">
        <v>0.9900870054388882</v>
      </c>
      <c r="AF6" s="87">
        <v>0.03214532905438307</v>
      </c>
      <c r="AG6" s="87">
        <v>1.0284669453516861</v>
      </c>
      <c r="AH6" s="88"/>
      <c r="AI6" s="88"/>
      <c r="AJ6" s="88"/>
      <c r="AK6" s="89"/>
      <c r="AL6" s="90"/>
      <c r="AM6" s="90"/>
      <c r="AN6" s="90"/>
      <c r="AO6" s="90"/>
      <c r="AP6" s="90"/>
      <c r="AQ6" s="90"/>
      <c r="AR6" s="90"/>
      <c r="AS6" s="90"/>
      <c r="AT6" s="90"/>
      <c r="AU6" s="91"/>
    </row>
    <row r="7">
      <c r="A7" s="44" t="s">
        <v>251</v>
      </c>
      <c r="B7" s="44" t="s">
        <v>252</v>
      </c>
      <c r="C7" s="86">
        <v>0.6284722222222222</v>
      </c>
      <c r="D7" s="86">
        <v>0.64375</v>
      </c>
      <c r="E7" s="87">
        <v>30.41</v>
      </c>
      <c r="F7" s="94">
        <v>0.82</v>
      </c>
      <c r="G7" s="87" t="s">
        <v>136</v>
      </c>
      <c r="H7" s="87">
        <v>38.03</v>
      </c>
      <c r="I7" s="95">
        <v>1.05</v>
      </c>
      <c r="J7" s="87" t="s">
        <v>189</v>
      </c>
      <c r="K7" s="87">
        <v>8.24</v>
      </c>
      <c r="L7" s="94">
        <v>1.05</v>
      </c>
      <c r="M7" s="96" t="s">
        <v>166</v>
      </c>
      <c r="N7" s="87">
        <v>8.48</v>
      </c>
      <c r="O7" s="94">
        <v>0.69</v>
      </c>
      <c r="P7" s="97" t="s">
        <v>121</v>
      </c>
      <c r="Q7" s="87">
        <v>30.34</v>
      </c>
      <c r="R7" s="94">
        <v>1.83</v>
      </c>
      <c r="S7" s="97" t="s">
        <v>170</v>
      </c>
      <c r="T7" s="87">
        <v>38.03</v>
      </c>
      <c r="U7" s="94">
        <v>4.49</v>
      </c>
      <c r="V7" s="97" t="s">
        <v>189</v>
      </c>
      <c r="W7" s="87">
        <v>7.51</v>
      </c>
      <c r="X7" s="94">
        <v>1.82</v>
      </c>
      <c r="Y7" s="97" t="s">
        <v>170</v>
      </c>
      <c r="Z7" s="87">
        <v>8.4</v>
      </c>
      <c r="AA7" s="94">
        <v>3.79</v>
      </c>
      <c r="AB7" s="97" t="s">
        <v>118</v>
      </c>
      <c r="AC7" s="87">
        <v>31.0</v>
      </c>
      <c r="AD7" s="87">
        <v>31.0</v>
      </c>
      <c r="AE7" s="87">
        <v>31.0</v>
      </c>
      <c r="AF7" s="87">
        <v>1.0</v>
      </c>
      <c r="AG7" s="87">
        <v>29.5</v>
      </c>
      <c r="AH7" s="88" t="s">
        <v>181</v>
      </c>
      <c r="AI7" s="88" t="s">
        <v>181</v>
      </c>
      <c r="AJ7" s="88" t="s">
        <v>181</v>
      </c>
      <c r="AK7" s="27"/>
      <c r="AL7" s="91"/>
      <c r="AM7" s="91"/>
      <c r="AN7" s="91"/>
      <c r="AO7" s="91"/>
      <c r="AP7" s="91"/>
      <c r="AQ7" s="91"/>
      <c r="AR7" s="91"/>
      <c r="AS7" s="91"/>
      <c r="AT7" s="91"/>
      <c r="AU7" s="91"/>
    </row>
    <row r="8">
      <c r="A8" s="44" t="s">
        <v>251</v>
      </c>
      <c r="B8" s="44" t="s">
        <v>253</v>
      </c>
      <c r="C8" s="86">
        <v>0.3090277777777778</v>
      </c>
      <c r="D8" s="86">
        <v>0.33402777777777776</v>
      </c>
      <c r="E8" s="87">
        <v>28.07</v>
      </c>
      <c r="F8" s="94">
        <v>0.84</v>
      </c>
      <c r="G8" s="87" t="s">
        <v>94</v>
      </c>
      <c r="H8" s="87">
        <v>34.78</v>
      </c>
      <c r="I8" s="94">
        <v>0.83</v>
      </c>
      <c r="J8" s="87" t="s">
        <v>94</v>
      </c>
      <c r="K8" s="87">
        <v>4.97</v>
      </c>
      <c r="L8" s="94">
        <v>0.57</v>
      </c>
      <c r="M8" s="96" t="s">
        <v>123</v>
      </c>
      <c r="N8" s="87">
        <v>6.42</v>
      </c>
      <c r="O8" s="94">
        <v>1.08</v>
      </c>
      <c r="P8" s="97" t="s">
        <v>192</v>
      </c>
      <c r="Q8" s="87">
        <v>28.06</v>
      </c>
      <c r="R8" s="94">
        <v>18.5</v>
      </c>
      <c r="S8" s="97" t="s">
        <v>62</v>
      </c>
      <c r="T8" s="87">
        <v>36.9</v>
      </c>
      <c r="U8" s="94">
        <v>9.43</v>
      </c>
      <c r="V8" s="97" t="s">
        <v>121</v>
      </c>
      <c r="W8" s="87">
        <v>5.28</v>
      </c>
      <c r="X8" s="94">
        <v>9.08</v>
      </c>
      <c r="Y8" s="97" t="s">
        <v>89</v>
      </c>
      <c r="Z8" s="87">
        <v>7.88</v>
      </c>
      <c r="AA8" s="94">
        <v>3.87</v>
      </c>
      <c r="AB8" s="97" t="s">
        <v>192</v>
      </c>
      <c r="AC8" s="87">
        <v>3.0</v>
      </c>
      <c r="AD8" s="87">
        <v>2.75</v>
      </c>
      <c r="AE8" s="87">
        <v>2.5</v>
      </c>
      <c r="AF8" s="87">
        <v>0.5</v>
      </c>
      <c r="AG8" s="87">
        <v>2.5</v>
      </c>
      <c r="AH8" s="17" t="s">
        <v>170</v>
      </c>
      <c r="AI8" s="17" t="s">
        <v>94</v>
      </c>
      <c r="AJ8" s="17" t="s">
        <v>94</v>
      </c>
      <c r="AK8" s="27"/>
      <c r="AL8" s="91"/>
      <c r="AM8" s="91"/>
      <c r="AN8" s="91"/>
      <c r="AO8" s="91"/>
      <c r="AP8" s="91"/>
      <c r="AQ8" s="91"/>
      <c r="AR8" s="91"/>
      <c r="AS8" s="91"/>
      <c r="AT8" s="91"/>
      <c r="AU8" s="91"/>
    </row>
    <row r="9">
      <c r="A9" s="44" t="s">
        <v>251</v>
      </c>
      <c r="B9" s="44" t="s">
        <v>208</v>
      </c>
      <c r="C9" s="86">
        <v>0.43557449494949513</v>
      </c>
      <c r="D9" s="86">
        <v>0.4565814393939393</v>
      </c>
      <c r="E9" s="87">
        <v>29.199512195121955</v>
      </c>
      <c r="F9" s="98"/>
      <c r="G9" s="87"/>
      <c r="H9" s="87">
        <v>37.2241463414634</v>
      </c>
      <c r="I9" s="87"/>
      <c r="J9" s="87"/>
      <c r="K9" s="87">
        <v>6.149512195121953</v>
      </c>
      <c r="L9" s="87"/>
      <c r="M9" s="87"/>
      <c r="N9" s="87">
        <v>8.090975609756095</v>
      </c>
      <c r="O9" s="87"/>
      <c r="P9" s="87"/>
      <c r="Q9" s="87">
        <v>29.124390243902443</v>
      </c>
      <c r="R9" s="87"/>
      <c r="S9" s="87"/>
      <c r="T9" s="87">
        <v>37.30073170731707</v>
      </c>
      <c r="U9" s="87"/>
      <c r="V9" s="87"/>
      <c r="W9" s="87">
        <v>6.095365853658537</v>
      </c>
      <c r="X9" s="87"/>
      <c r="Y9" s="87"/>
      <c r="Z9" s="87">
        <v>8.22609756097561</v>
      </c>
      <c r="AA9" s="87"/>
      <c r="AB9" s="87"/>
      <c r="AC9" s="87">
        <v>9.976136363636364</v>
      </c>
      <c r="AD9" s="87">
        <v>10.010227272727272</v>
      </c>
      <c r="AE9" s="87">
        <v>10.038636363636364</v>
      </c>
      <c r="AF9" s="87">
        <v>0.8636363636363636</v>
      </c>
      <c r="AG9" s="87">
        <v>10.721590909090908</v>
      </c>
      <c r="AH9" s="17"/>
      <c r="AI9" s="17"/>
      <c r="AJ9" s="17"/>
      <c r="AK9" s="22"/>
      <c r="AL9" s="18"/>
      <c r="AM9" s="18"/>
      <c r="AN9" s="18"/>
      <c r="AO9" s="18"/>
      <c r="AP9" s="18"/>
      <c r="AQ9" s="18"/>
      <c r="AR9" s="18"/>
      <c r="AS9" s="18"/>
      <c r="AT9" s="18"/>
      <c r="AU9" s="18"/>
    </row>
    <row r="10">
      <c r="A10" s="44" t="s">
        <v>251</v>
      </c>
      <c r="B10" s="44" t="s">
        <v>249</v>
      </c>
      <c r="C10" s="86">
        <v>0.08543732597638178</v>
      </c>
      <c r="D10" s="86">
        <v>0.08265272893415539</v>
      </c>
      <c r="E10" s="87">
        <v>0.5071880874957131</v>
      </c>
      <c r="F10" s="87"/>
      <c r="G10" s="87"/>
      <c r="H10" s="87">
        <v>0.524137270234412</v>
      </c>
      <c r="I10" s="87"/>
      <c r="J10" s="87"/>
      <c r="K10" s="87">
        <v>0.5424248852122858</v>
      </c>
      <c r="L10" s="87"/>
      <c r="M10" s="87"/>
      <c r="N10" s="87">
        <v>0.312744343498398</v>
      </c>
      <c r="O10" s="87"/>
      <c r="P10" s="87"/>
      <c r="Q10" s="87">
        <v>0.50413316088355</v>
      </c>
      <c r="R10" s="87"/>
      <c r="S10" s="87"/>
      <c r="T10" s="87">
        <v>0.2956297536100056</v>
      </c>
      <c r="U10" s="87"/>
      <c r="V10" s="87"/>
      <c r="W10" s="87">
        <v>0.41589119707548305</v>
      </c>
      <c r="X10" s="87"/>
      <c r="Y10" s="87"/>
      <c r="Z10" s="87">
        <v>0.11157683560624167</v>
      </c>
      <c r="AA10" s="87"/>
      <c r="AB10" s="87"/>
      <c r="AC10" s="87">
        <v>6.57775929046496</v>
      </c>
      <c r="AD10" s="87">
        <v>6.580004767311612</v>
      </c>
      <c r="AE10" s="87">
        <v>6.615036286672642</v>
      </c>
      <c r="AF10" s="87">
        <v>0.2252553167334833</v>
      </c>
      <c r="AG10" s="87">
        <v>7.196820985259318</v>
      </c>
      <c r="AH10" s="21"/>
      <c r="AI10" s="21"/>
      <c r="AJ10" s="21"/>
      <c r="AK10" s="22"/>
      <c r="AL10" s="18"/>
      <c r="AM10" s="18"/>
      <c r="AN10" s="18"/>
      <c r="AO10" s="18"/>
      <c r="AP10" s="18"/>
      <c r="AQ10" s="18"/>
      <c r="AR10" s="18"/>
      <c r="AS10" s="18"/>
      <c r="AT10" s="18"/>
      <c r="AU10" s="18"/>
    </row>
    <row r="11">
      <c r="A11" s="44" t="s">
        <v>251</v>
      </c>
      <c r="B11" s="44" t="s">
        <v>250</v>
      </c>
      <c r="C11" s="86">
        <v>0.012880161516133781</v>
      </c>
      <c r="D11" s="86">
        <v>0.01246036771697931</v>
      </c>
      <c r="E11" s="87">
        <v>0.079209471609293</v>
      </c>
      <c r="F11" s="87"/>
      <c r="G11" s="87"/>
      <c r="H11" s="87">
        <v>0.08185648923853305</v>
      </c>
      <c r="I11" s="87"/>
      <c r="J11" s="87"/>
      <c r="K11" s="87">
        <v>0.084712534865598</v>
      </c>
      <c r="L11" s="87"/>
      <c r="M11" s="87"/>
      <c r="N11" s="87">
        <v>0.04884246063352724</v>
      </c>
      <c r="O11" s="87"/>
      <c r="P11" s="87"/>
      <c r="Q11" s="87">
        <v>0.07873237222797787</v>
      </c>
      <c r="R11" s="87"/>
      <c r="S11" s="87"/>
      <c r="T11" s="87">
        <v>0.046169610747476296</v>
      </c>
      <c r="U11" s="87"/>
      <c r="V11" s="87"/>
      <c r="W11" s="87">
        <v>0.06495129278363383</v>
      </c>
      <c r="X11" s="87"/>
      <c r="Y11" s="87"/>
      <c r="Z11" s="87">
        <v>0.01742537415625333</v>
      </c>
      <c r="AA11" s="87"/>
      <c r="AB11" s="87"/>
      <c r="AC11" s="87">
        <v>0.9916345239884833</v>
      </c>
      <c r="AD11" s="87">
        <v>0.9919730423601094</v>
      </c>
      <c r="AE11" s="87">
        <v>0.9972542426126825</v>
      </c>
      <c r="AF11" s="87">
        <v>0.03395851671080129</v>
      </c>
      <c r="AG11" s="87">
        <v>1.0849615859755013</v>
      </c>
      <c r="AH11" s="21"/>
      <c r="AI11" s="21"/>
      <c r="AJ11" s="21"/>
      <c r="AK11" s="22"/>
      <c r="AL11" s="18"/>
      <c r="AM11" s="18"/>
      <c r="AN11" s="18"/>
      <c r="AO11" s="18"/>
      <c r="AP11" s="18"/>
      <c r="AQ11" s="18"/>
      <c r="AR11" s="18"/>
      <c r="AS11" s="18"/>
      <c r="AT11" s="18"/>
      <c r="AU11" s="18"/>
    </row>
    <row r="12">
      <c r="A12" s="26"/>
      <c r="B12" s="26"/>
      <c r="C12" s="32"/>
      <c r="D12" s="46"/>
      <c r="E12" s="32"/>
      <c r="F12" s="46"/>
      <c r="G12" s="32"/>
      <c r="H12" s="32"/>
      <c r="I12" s="32"/>
      <c r="J12" s="91"/>
      <c r="K12" s="91"/>
      <c r="L12" s="91"/>
      <c r="M12" s="91"/>
      <c r="N12" s="91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>
      <c r="A13" s="26"/>
      <c r="B13" s="26"/>
      <c r="C13" s="32"/>
      <c r="D13" s="46"/>
      <c r="E13" s="32"/>
      <c r="F13" s="46"/>
      <c r="G13" s="32"/>
      <c r="H13" s="32"/>
      <c r="I13" s="32"/>
      <c r="J13" s="91"/>
      <c r="K13" s="91"/>
      <c r="L13" s="91"/>
      <c r="M13" s="91"/>
      <c r="N13" s="91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</row>
    <row r="14">
      <c r="A14" s="26"/>
      <c r="B14" s="26"/>
      <c r="C14" s="32"/>
      <c r="D14" s="46"/>
      <c r="E14" s="32"/>
      <c r="F14" s="46"/>
      <c r="G14" s="32"/>
      <c r="H14" s="32"/>
      <c r="I14" s="32"/>
      <c r="J14" s="91"/>
      <c r="K14" s="91"/>
      <c r="L14" s="91"/>
      <c r="M14" s="91"/>
      <c r="N14" s="91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</row>
    <row r="15">
      <c r="A15" s="99" t="s">
        <v>254</v>
      </c>
      <c r="B15" s="26"/>
      <c r="C15" s="32"/>
      <c r="D15" s="46"/>
      <c r="E15" s="32"/>
      <c r="F15" s="46"/>
      <c r="G15" s="32"/>
      <c r="H15" s="32"/>
      <c r="I15" s="32"/>
      <c r="J15" s="91"/>
      <c r="K15" s="91"/>
      <c r="L15" s="91"/>
      <c r="M15" s="91"/>
      <c r="N15" s="91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</row>
    <row r="16">
      <c r="A16" s="26"/>
      <c r="B16" s="26"/>
      <c r="C16" s="32"/>
      <c r="D16" s="46"/>
      <c r="E16" s="32"/>
      <c r="F16" s="46"/>
      <c r="G16" s="32"/>
      <c r="H16" s="32"/>
      <c r="I16" s="32"/>
      <c r="J16" s="91"/>
      <c r="K16" s="91"/>
      <c r="L16" s="91"/>
      <c r="M16" s="91"/>
      <c r="N16" s="91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</row>
    <row r="17">
      <c r="A17" s="26"/>
      <c r="B17" s="26"/>
      <c r="C17" s="32"/>
      <c r="D17" s="46"/>
      <c r="E17" s="32"/>
      <c r="F17" s="46"/>
      <c r="G17" s="32"/>
      <c r="H17" s="32"/>
      <c r="I17" s="32"/>
      <c r="J17" s="91"/>
      <c r="K17" s="91"/>
      <c r="L17" s="91"/>
      <c r="M17" s="91"/>
      <c r="N17" s="91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</row>
    <row r="18">
      <c r="A18" s="26"/>
      <c r="B18" s="26"/>
      <c r="C18" s="32"/>
      <c r="D18" s="46"/>
      <c r="E18" s="32"/>
      <c r="F18" s="46"/>
      <c r="G18" s="32"/>
      <c r="H18" s="32"/>
      <c r="I18" s="32"/>
      <c r="J18" s="91"/>
      <c r="K18" s="91"/>
      <c r="L18" s="91"/>
      <c r="M18" s="91"/>
      <c r="N18" s="91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</row>
    <row r="19">
      <c r="A19" s="26"/>
      <c r="B19" s="26"/>
      <c r="C19" s="32"/>
      <c r="D19" s="46"/>
      <c r="E19" s="32"/>
      <c r="F19" s="46"/>
      <c r="G19" s="32"/>
      <c r="H19" s="32"/>
      <c r="I19" s="32"/>
      <c r="J19" s="91"/>
      <c r="K19" s="91"/>
      <c r="L19" s="91"/>
      <c r="M19" s="91"/>
      <c r="N19" s="91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>
      <c r="A20" s="26"/>
      <c r="B20" s="26"/>
      <c r="C20" s="32"/>
      <c r="D20" s="46"/>
      <c r="E20" s="32"/>
      <c r="F20" s="46"/>
      <c r="G20" s="32"/>
      <c r="H20" s="32"/>
      <c r="I20" s="32"/>
      <c r="J20" s="91"/>
      <c r="K20" s="91"/>
      <c r="L20" s="91"/>
      <c r="M20" s="91"/>
      <c r="N20" s="91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</row>
    <row r="21">
      <c r="A21" s="26"/>
      <c r="B21" s="26"/>
      <c r="C21" s="32"/>
      <c r="D21" s="46"/>
      <c r="E21" s="32"/>
      <c r="F21" s="46"/>
      <c r="G21" s="32"/>
      <c r="H21" s="32"/>
      <c r="I21" s="32"/>
      <c r="J21" s="91"/>
      <c r="K21" s="91"/>
      <c r="L21" s="91"/>
      <c r="M21" s="91"/>
      <c r="N21" s="91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</row>
    <row r="22">
      <c r="A22" s="26"/>
      <c r="B22" s="26"/>
      <c r="C22" s="32"/>
      <c r="D22" s="46"/>
      <c r="E22" s="32"/>
      <c r="F22" s="46"/>
      <c r="G22" s="32"/>
      <c r="H22" s="32"/>
      <c r="I22" s="32"/>
      <c r="J22" s="91"/>
      <c r="K22" s="91"/>
      <c r="L22" s="91"/>
      <c r="M22" s="91"/>
      <c r="N22" s="91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</row>
    <row r="23">
      <c r="A23" s="26"/>
      <c r="B23" s="26"/>
      <c r="C23" s="32"/>
      <c r="D23" s="46"/>
      <c r="E23" s="32"/>
      <c r="F23" s="46"/>
      <c r="G23" s="32"/>
      <c r="H23" s="32"/>
      <c r="I23" s="32"/>
      <c r="J23" s="91"/>
      <c r="K23" s="91"/>
      <c r="L23" s="91"/>
      <c r="M23" s="91"/>
      <c r="N23" s="91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</row>
    <row r="24">
      <c r="A24" s="26"/>
      <c r="B24" s="26"/>
      <c r="C24" s="32"/>
      <c r="D24" s="46"/>
      <c r="E24" s="32"/>
      <c r="F24" s="46"/>
      <c r="G24" s="32"/>
      <c r="H24" s="32"/>
      <c r="I24" s="32"/>
      <c r="J24" s="91"/>
      <c r="K24" s="91"/>
      <c r="L24" s="91"/>
      <c r="M24" s="91"/>
      <c r="N24" s="91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</row>
    <row r="25">
      <c r="A25" s="26"/>
      <c r="B25" s="26"/>
      <c r="C25" s="32"/>
      <c r="D25" s="46"/>
      <c r="E25" s="32"/>
      <c r="F25" s="46"/>
      <c r="G25" s="32"/>
      <c r="H25" s="32"/>
      <c r="I25" s="32"/>
      <c r="J25" s="91"/>
      <c r="K25" s="91"/>
      <c r="L25" s="91"/>
      <c r="M25" s="91"/>
      <c r="N25" s="91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</row>
    <row r="26">
      <c r="A26" s="18"/>
      <c r="B26" s="18"/>
      <c r="C26" s="46"/>
      <c r="D26" s="46"/>
      <c r="E26" s="46"/>
      <c r="F26" s="46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</row>
    <row r="27">
      <c r="A27" s="18"/>
      <c r="B27" s="18"/>
      <c r="C27" s="43"/>
      <c r="D27" s="43"/>
      <c r="E27" s="43"/>
      <c r="F27" s="43"/>
      <c r="G27" s="35"/>
      <c r="H27" s="35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</row>
    <row r="28">
      <c r="A28" s="18"/>
      <c r="B28" s="18"/>
      <c r="C28" s="21"/>
      <c r="D28" s="21"/>
      <c r="E28" s="21"/>
      <c r="F28" s="21"/>
      <c r="G28" s="100"/>
      <c r="H28" s="100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40"/>
      <c r="V28" s="43"/>
      <c r="W28" s="43"/>
      <c r="X28" s="40"/>
      <c r="Y28" s="43"/>
      <c r="Z28" s="43"/>
      <c r="AA28" s="40"/>
      <c r="AB28" s="43"/>
      <c r="AC28" s="43"/>
      <c r="AD28" s="40"/>
      <c r="AE28" s="43"/>
      <c r="AF28" s="40"/>
      <c r="AG28" s="43"/>
      <c r="AH28" s="40"/>
      <c r="AI28" s="40"/>
      <c r="AJ28" s="40"/>
      <c r="AK28" s="40"/>
      <c r="AL28" s="40"/>
      <c r="AM28" s="43"/>
      <c r="AN28" s="40"/>
      <c r="AO28" s="40"/>
      <c r="AP28" s="40"/>
      <c r="AQ28" s="40"/>
      <c r="AR28" s="40"/>
      <c r="AS28" s="40"/>
      <c r="AT28" s="40"/>
      <c r="AU28" s="40"/>
    </row>
    <row r="29">
      <c r="A29" s="18"/>
      <c r="B29" s="18"/>
      <c r="C29" s="21"/>
      <c r="D29" s="21"/>
      <c r="E29" s="21"/>
      <c r="F29" s="21"/>
      <c r="G29" s="100"/>
      <c r="H29" s="100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40"/>
      <c r="V29" s="43"/>
      <c r="W29" s="43"/>
      <c r="X29" s="40"/>
      <c r="Y29" s="43"/>
      <c r="Z29" s="43"/>
      <c r="AA29" s="40"/>
      <c r="AB29" s="43"/>
      <c r="AC29" s="43"/>
      <c r="AD29" s="40"/>
      <c r="AE29" s="43"/>
      <c r="AF29" s="40"/>
      <c r="AG29" s="43"/>
      <c r="AH29" s="40"/>
      <c r="AI29" s="43"/>
      <c r="AJ29" s="40"/>
      <c r="AK29" s="43"/>
      <c r="AL29" s="40"/>
      <c r="AM29" s="43"/>
      <c r="AN29" s="40"/>
      <c r="AO29" s="40"/>
      <c r="AP29" s="40"/>
      <c r="AQ29" s="40"/>
      <c r="AR29" s="40"/>
      <c r="AS29" s="40"/>
      <c r="AT29" s="40"/>
      <c r="AU29" s="40"/>
    </row>
    <row r="30">
      <c r="A30" s="18"/>
      <c r="B30" s="18"/>
      <c r="C30" s="46"/>
      <c r="D30" s="46"/>
      <c r="E30" s="46"/>
      <c r="F30" s="46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</row>
    <row r="31">
      <c r="A31" s="18"/>
      <c r="B31" s="18"/>
      <c r="C31" s="46"/>
      <c r="D31" s="46"/>
      <c r="E31" s="46"/>
      <c r="F31" s="46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</row>
    <row r="32">
      <c r="A32" s="18"/>
      <c r="B32" s="18"/>
      <c r="C32" s="46"/>
      <c r="D32" s="46"/>
      <c r="E32" s="46"/>
      <c r="F32" s="46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</row>
    <row r="33">
      <c r="A33" s="18"/>
      <c r="B33" s="18"/>
      <c r="C33" s="46"/>
      <c r="D33" s="46"/>
      <c r="E33" s="46"/>
      <c r="F33" s="46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</row>
    <row r="34">
      <c r="A34" s="18"/>
      <c r="B34" s="18"/>
      <c r="C34" s="46"/>
      <c r="D34" s="46"/>
      <c r="E34" s="46"/>
      <c r="F34" s="46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</row>
    <row r="35">
      <c r="A35" s="18"/>
      <c r="B35" s="18"/>
      <c r="C35" s="46"/>
      <c r="D35" s="46"/>
      <c r="E35" s="46"/>
      <c r="F35" s="46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</row>
    <row r="36">
      <c r="A36" s="18"/>
      <c r="B36" s="18"/>
      <c r="C36" s="46"/>
      <c r="D36" s="46"/>
      <c r="E36" s="46"/>
      <c r="F36" s="46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</row>
    <row r="37">
      <c r="A37" s="18"/>
      <c r="B37" s="18"/>
      <c r="C37" s="46"/>
      <c r="D37" s="46"/>
      <c r="E37" s="46"/>
      <c r="F37" s="46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</row>
    <row r="38">
      <c r="A38" s="18"/>
      <c r="B38" s="18"/>
      <c r="C38" s="46"/>
      <c r="D38" s="46"/>
      <c r="E38" s="46"/>
      <c r="F38" s="46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</row>
    <row r="39">
      <c r="A39" s="18"/>
      <c r="B39" s="18"/>
      <c r="C39" s="46"/>
      <c r="D39" s="46"/>
      <c r="E39" s="46"/>
      <c r="F39" s="46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</row>
    <row r="40">
      <c r="A40" s="18"/>
      <c r="B40" s="18"/>
      <c r="C40" s="46"/>
      <c r="D40" s="46"/>
      <c r="E40" s="46"/>
      <c r="F40" s="46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</row>
    <row r="41">
      <c r="A41" s="18"/>
      <c r="B41" s="18"/>
      <c r="C41" s="46"/>
      <c r="D41" s="46"/>
      <c r="E41" s="46"/>
      <c r="F41" s="46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</row>
    <row r="42">
      <c r="A42" s="18"/>
      <c r="B42" s="18"/>
      <c r="C42" s="46"/>
      <c r="D42" s="46"/>
      <c r="E42" s="46"/>
      <c r="F42" s="46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</row>
    <row r="43">
      <c r="A43" s="18"/>
      <c r="B43" s="18"/>
      <c r="C43" s="46"/>
      <c r="D43" s="46"/>
      <c r="E43" s="46"/>
      <c r="F43" s="46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</row>
    <row r="44">
      <c r="A44" s="18"/>
      <c r="B44" s="18"/>
      <c r="C44" s="46"/>
      <c r="D44" s="46"/>
      <c r="E44" s="46"/>
      <c r="F44" s="46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</row>
    <row r="45">
      <c r="A45" s="18"/>
      <c r="B45" s="18"/>
      <c r="C45" s="46"/>
      <c r="D45" s="46"/>
      <c r="E45" s="46"/>
      <c r="F45" s="46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</row>
    <row r="46">
      <c r="A46" s="18"/>
      <c r="B46" s="18"/>
      <c r="C46" s="46"/>
      <c r="D46" s="46"/>
      <c r="E46" s="46"/>
      <c r="F46" s="46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</row>
    <row r="47">
      <c r="A47" s="18"/>
      <c r="B47" s="18"/>
      <c r="C47" s="46"/>
      <c r="D47" s="46"/>
      <c r="E47" s="46"/>
      <c r="F47" s="4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</row>
    <row r="48">
      <c r="A48" s="18"/>
      <c r="B48" s="18"/>
      <c r="C48" s="46"/>
      <c r="D48" s="46"/>
      <c r="E48" s="46"/>
      <c r="F48" s="46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</row>
    <row r="49">
      <c r="A49" s="18"/>
      <c r="B49" s="18"/>
      <c r="C49" s="46"/>
      <c r="D49" s="46"/>
      <c r="E49" s="46"/>
      <c r="F49" s="46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</row>
    <row r="50">
      <c r="A50" s="18"/>
      <c r="B50" s="18"/>
      <c r="C50" s="46"/>
      <c r="D50" s="46"/>
      <c r="E50" s="46"/>
      <c r="F50" s="46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</row>
    <row r="51">
      <c r="A51" s="18"/>
      <c r="B51" s="18"/>
      <c r="C51" s="46"/>
      <c r="D51" s="46"/>
      <c r="E51" s="46"/>
      <c r="F51" s="46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</row>
    <row r="52">
      <c r="A52" s="18"/>
      <c r="B52" s="18"/>
      <c r="C52" s="46"/>
      <c r="D52" s="46"/>
      <c r="E52" s="46"/>
      <c r="F52" s="46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</row>
    <row r="53">
      <c r="A53" s="18"/>
      <c r="B53" s="18"/>
      <c r="C53" s="46"/>
      <c r="D53" s="46"/>
      <c r="E53" s="46"/>
      <c r="F53" s="46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</row>
    <row r="54">
      <c r="A54" s="18"/>
      <c r="B54" s="18"/>
      <c r="C54" s="46"/>
      <c r="D54" s="46"/>
      <c r="E54" s="46"/>
      <c r="F54" s="46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</row>
    <row r="55">
      <c r="A55" s="18"/>
      <c r="B55" s="18"/>
      <c r="C55" s="46"/>
      <c r="D55" s="46"/>
      <c r="E55" s="46"/>
      <c r="F55" s="46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</row>
    <row r="56">
      <c r="A56" s="18"/>
      <c r="B56" s="18"/>
      <c r="C56" s="46"/>
      <c r="D56" s="46"/>
      <c r="E56" s="46"/>
      <c r="F56" s="4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</row>
    <row r="57">
      <c r="A57" s="18"/>
      <c r="B57" s="18"/>
      <c r="C57" s="46"/>
      <c r="D57" s="46"/>
      <c r="E57" s="46"/>
      <c r="F57" s="46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</row>
    <row r="58">
      <c r="A58" s="18"/>
      <c r="B58" s="18"/>
      <c r="C58" s="46"/>
      <c r="D58" s="46"/>
      <c r="E58" s="46"/>
      <c r="F58" s="46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</row>
    <row r="59">
      <c r="A59" s="18"/>
      <c r="B59" s="18"/>
      <c r="C59" s="46"/>
      <c r="D59" s="46"/>
      <c r="E59" s="46"/>
      <c r="F59" s="46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</row>
    <row r="60">
      <c r="A60" s="18"/>
      <c r="B60" s="18"/>
      <c r="C60" s="46"/>
      <c r="D60" s="46"/>
      <c r="E60" s="46"/>
      <c r="F60" s="46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</row>
    <row r="61">
      <c r="A61" s="18"/>
      <c r="B61" s="18"/>
      <c r="C61" s="46"/>
      <c r="D61" s="46"/>
      <c r="E61" s="46"/>
      <c r="F61" s="46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</row>
    <row r="62">
      <c r="A62" s="18"/>
      <c r="B62" s="18"/>
      <c r="C62" s="46"/>
      <c r="D62" s="46"/>
      <c r="E62" s="46"/>
      <c r="F62" s="46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</row>
    <row r="63">
      <c r="A63" s="18"/>
      <c r="B63" s="18"/>
      <c r="C63" s="46"/>
      <c r="D63" s="46"/>
      <c r="E63" s="46"/>
      <c r="F63" s="46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</row>
    <row r="64">
      <c r="A64" s="18"/>
      <c r="B64" s="18"/>
      <c r="C64" s="46"/>
      <c r="D64" s="46"/>
      <c r="E64" s="46"/>
      <c r="F64" s="46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</row>
    <row r="65">
      <c r="A65" s="18"/>
      <c r="B65" s="18"/>
      <c r="C65" s="46"/>
      <c r="D65" s="46"/>
      <c r="E65" s="46"/>
      <c r="F65" s="46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</row>
    <row r="66">
      <c r="A66" s="18"/>
      <c r="B66" s="18"/>
      <c r="C66" s="46"/>
      <c r="D66" s="46"/>
      <c r="E66" s="46"/>
      <c r="F66" s="4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</row>
    <row r="67">
      <c r="A67" s="18"/>
      <c r="B67" s="18"/>
      <c r="C67" s="46"/>
      <c r="D67" s="46"/>
      <c r="E67" s="46"/>
      <c r="F67" s="4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</row>
    <row r="68">
      <c r="A68" s="18"/>
      <c r="B68" s="18"/>
      <c r="C68" s="46"/>
      <c r="D68" s="46"/>
      <c r="E68" s="46"/>
      <c r="F68" s="4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</row>
    <row r="69">
      <c r="A69" s="18"/>
      <c r="B69" s="18"/>
      <c r="C69" s="46"/>
      <c r="D69" s="46"/>
      <c r="E69" s="46"/>
      <c r="F69" s="4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</row>
    <row r="70">
      <c r="A70" s="18"/>
      <c r="B70" s="18"/>
      <c r="C70" s="46"/>
      <c r="D70" s="46"/>
      <c r="E70" s="46"/>
      <c r="F70" s="4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</row>
    <row r="71">
      <c r="A71" s="18"/>
      <c r="B71" s="18"/>
      <c r="C71" s="46"/>
      <c r="D71" s="46"/>
      <c r="E71" s="46"/>
      <c r="F71" s="4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</row>
    <row r="72">
      <c r="A72" s="18"/>
      <c r="B72" s="18"/>
      <c r="C72" s="46"/>
      <c r="D72" s="46"/>
      <c r="E72" s="46"/>
      <c r="F72" s="4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</row>
    <row r="73">
      <c r="A73" s="18"/>
      <c r="B73" s="18"/>
      <c r="C73" s="46"/>
      <c r="D73" s="46"/>
      <c r="E73" s="46"/>
      <c r="F73" s="4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</row>
    <row r="74">
      <c r="A74" s="18"/>
      <c r="B74" s="18"/>
      <c r="C74" s="46"/>
      <c r="D74" s="46"/>
      <c r="E74" s="46"/>
      <c r="F74" s="4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</row>
    <row r="75">
      <c r="A75" s="18"/>
      <c r="B75" s="18"/>
      <c r="C75" s="46"/>
      <c r="D75" s="46"/>
      <c r="E75" s="46"/>
      <c r="F75" s="4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</row>
    <row r="76">
      <c r="A76" s="18"/>
      <c r="B76" s="18"/>
      <c r="C76" s="46"/>
      <c r="D76" s="46"/>
      <c r="E76" s="46"/>
      <c r="F76" s="4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</row>
    <row r="77">
      <c r="A77" s="18"/>
      <c r="B77" s="18"/>
      <c r="C77" s="46"/>
      <c r="D77" s="46"/>
      <c r="E77" s="46"/>
      <c r="F77" s="4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</row>
    <row r="78">
      <c r="A78" s="18"/>
      <c r="B78" s="18"/>
      <c r="C78" s="46"/>
      <c r="D78" s="46"/>
      <c r="E78" s="46"/>
      <c r="F78" s="4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</row>
    <row r="79">
      <c r="A79" s="18"/>
      <c r="B79" s="18"/>
      <c r="C79" s="46"/>
      <c r="D79" s="46"/>
      <c r="E79" s="46"/>
      <c r="F79" s="4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</row>
    <row r="80">
      <c r="A80" s="18"/>
      <c r="B80" s="18"/>
      <c r="C80" s="46"/>
      <c r="D80" s="46"/>
      <c r="E80" s="46"/>
      <c r="F80" s="4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</row>
    <row r="81">
      <c r="A81" s="18"/>
      <c r="B81" s="18"/>
      <c r="C81" s="46"/>
      <c r="D81" s="46"/>
      <c r="E81" s="46"/>
      <c r="F81" s="4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</row>
    <row r="82">
      <c r="A82" s="18"/>
      <c r="B82" s="18"/>
      <c r="C82" s="46"/>
      <c r="D82" s="46"/>
      <c r="E82" s="46"/>
      <c r="F82" s="4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</row>
    <row r="83">
      <c r="A83" s="18"/>
      <c r="B83" s="18"/>
      <c r="C83" s="46"/>
      <c r="D83" s="46"/>
      <c r="E83" s="46"/>
      <c r="F83" s="4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</row>
    <row r="84">
      <c r="A84" s="18"/>
      <c r="B84" s="18"/>
      <c r="C84" s="46"/>
      <c r="D84" s="46"/>
      <c r="E84" s="46"/>
      <c r="F84" s="4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</row>
    <row r="85">
      <c r="A85" s="18"/>
      <c r="B85" s="18"/>
      <c r="C85" s="46"/>
      <c r="D85" s="46"/>
      <c r="E85" s="46"/>
      <c r="F85" s="4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</row>
    <row r="86">
      <c r="A86" s="18"/>
      <c r="B86" s="18"/>
      <c r="C86" s="46"/>
      <c r="D86" s="46"/>
      <c r="E86" s="46"/>
      <c r="F86" s="4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</row>
    <row r="87">
      <c r="A87" s="18"/>
      <c r="B87" s="18"/>
      <c r="C87" s="46"/>
      <c r="D87" s="46"/>
      <c r="E87" s="46"/>
      <c r="F87" s="4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</row>
    <row r="88">
      <c r="A88" s="18"/>
      <c r="B88" s="18"/>
      <c r="C88" s="46"/>
      <c r="D88" s="46"/>
      <c r="E88" s="46"/>
      <c r="F88" s="4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</row>
    <row r="89">
      <c r="A89" s="18"/>
      <c r="B89" s="18"/>
      <c r="C89" s="46"/>
      <c r="D89" s="46"/>
      <c r="E89" s="46"/>
      <c r="F89" s="4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</row>
    <row r="90">
      <c r="A90" s="18"/>
      <c r="B90" s="18"/>
      <c r="C90" s="46"/>
      <c r="D90" s="46"/>
      <c r="E90" s="46"/>
      <c r="F90" s="4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</row>
    <row r="91">
      <c r="A91" s="18"/>
      <c r="B91" s="18"/>
      <c r="C91" s="46"/>
      <c r="D91" s="46"/>
      <c r="E91" s="46"/>
      <c r="F91" s="4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</row>
    <row r="92">
      <c r="A92" s="18"/>
      <c r="B92" s="18"/>
      <c r="C92" s="46"/>
      <c r="D92" s="46"/>
      <c r="E92" s="46"/>
      <c r="F92" s="4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</row>
    <row r="93">
      <c r="A93" s="18"/>
      <c r="B93" s="18"/>
      <c r="C93" s="46"/>
      <c r="D93" s="46"/>
      <c r="E93" s="46"/>
      <c r="F93" s="4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</row>
    <row r="94">
      <c r="A94" s="18"/>
      <c r="B94" s="18"/>
      <c r="C94" s="46"/>
      <c r="D94" s="46"/>
      <c r="E94" s="46"/>
      <c r="F94" s="4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</row>
    <row r="95">
      <c r="A95" s="18"/>
      <c r="B95" s="18"/>
      <c r="C95" s="46"/>
      <c r="D95" s="46"/>
      <c r="E95" s="46"/>
      <c r="F95" s="4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</row>
    <row r="96">
      <c r="A96" s="18"/>
      <c r="B96" s="18"/>
      <c r="C96" s="46"/>
      <c r="D96" s="46"/>
      <c r="E96" s="46"/>
      <c r="F96" s="4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</row>
    <row r="97">
      <c r="A97" s="18"/>
      <c r="B97" s="18"/>
      <c r="C97" s="46"/>
      <c r="D97" s="46"/>
      <c r="E97" s="46"/>
      <c r="F97" s="4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</row>
    <row r="98">
      <c r="A98" s="18"/>
      <c r="B98" s="18"/>
      <c r="C98" s="46"/>
      <c r="D98" s="46"/>
      <c r="E98" s="46"/>
      <c r="F98" s="4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</row>
    <row r="99">
      <c r="A99" s="18"/>
      <c r="B99" s="18"/>
      <c r="C99" s="46"/>
      <c r="D99" s="46"/>
      <c r="E99" s="46"/>
      <c r="F99" s="4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</row>
    <row r="100">
      <c r="A100" s="18"/>
      <c r="B100" s="18"/>
      <c r="C100" s="46"/>
      <c r="D100" s="46"/>
      <c r="E100" s="46"/>
      <c r="F100" s="4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</row>
    <row r="101">
      <c r="A101" s="18"/>
      <c r="B101" s="18"/>
      <c r="C101" s="46"/>
      <c r="D101" s="46"/>
      <c r="E101" s="46"/>
      <c r="F101" s="4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</row>
    <row r="102">
      <c r="A102" s="18"/>
      <c r="B102" s="18"/>
      <c r="C102" s="46"/>
      <c r="D102" s="46"/>
      <c r="E102" s="46"/>
      <c r="F102" s="4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</row>
    <row r="103">
      <c r="A103" s="18"/>
      <c r="B103" s="18"/>
      <c r="C103" s="46"/>
      <c r="D103" s="46"/>
      <c r="E103" s="46"/>
      <c r="F103" s="4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</row>
    <row r="104">
      <c r="A104" s="18"/>
      <c r="B104" s="18"/>
      <c r="C104" s="46"/>
      <c r="D104" s="46"/>
      <c r="E104" s="46"/>
      <c r="F104" s="4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</row>
    <row r="105">
      <c r="A105" s="18"/>
      <c r="B105" s="18"/>
      <c r="C105" s="46"/>
      <c r="D105" s="46"/>
      <c r="E105" s="46"/>
      <c r="F105" s="4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</row>
    <row r="106">
      <c r="A106" s="18"/>
      <c r="B106" s="18"/>
      <c r="C106" s="46"/>
      <c r="D106" s="46"/>
      <c r="E106" s="46"/>
      <c r="F106" s="4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</row>
    <row r="107">
      <c r="A107" s="18"/>
      <c r="B107" s="18"/>
      <c r="C107" s="46"/>
      <c r="D107" s="46"/>
      <c r="E107" s="46"/>
      <c r="F107" s="4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</row>
    <row r="108">
      <c r="A108" s="18"/>
      <c r="B108" s="18"/>
      <c r="C108" s="46"/>
      <c r="D108" s="46"/>
      <c r="E108" s="46"/>
      <c r="F108" s="4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</row>
    <row r="109">
      <c r="A109" s="18"/>
      <c r="B109" s="18"/>
      <c r="C109" s="46"/>
      <c r="D109" s="46"/>
      <c r="E109" s="46"/>
      <c r="F109" s="4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</row>
    <row r="110">
      <c r="A110" s="18"/>
      <c r="B110" s="18"/>
      <c r="C110" s="46"/>
      <c r="D110" s="46"/>
      <c r="E110" s="46"/>
      <c r="F110" s="4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</row>
    <row r="111">
      <c r="A111" s="18"/>
      <c r="B111" s="18"/>
      <c r="C111" s="46"/>
      <c r="D111" s="46"/>
      <c r="E111" s="46"/>
      <c r="F111" s="4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</row>
    <row r="112">
      <c r="A112" s="18"/>
      <c r="B112" s="18"/>
      <c r="C112" s="46"/>
      <c r="D112" s="46"/>
      <c r="E112" s="46"/>
      <c r="F112" s="4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</row>
    <row r="113">
      <c r="A113" s="18"/>
      <c r="B113" s="18"/>
      <c r="C113" s="46"/>
      <c r="D113" s="46"/>
      <c r="E113" s="46"/>
      <c r="F113" s="4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</row>
    <row r="114">
      <c r="A114" s="18"/>
      <c r="B114" s="18"/>
      <c r="C114" s="46"/>
      <c r="D114" s="46"/>
      <c r="E114" s="46"/>
      <c r="F114" s="4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</row>
    <row r="115">
      <c r="A115" s="18"/>
      <c r="B115" s="18"/>
      <c r="C115" s="46"/>
      <c r="D115" s="46"/>
      <c r="E115" s="46"/>
      <c r="F115" s="4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</row>
    <row r="116">
      <c r="A116" s="18"/>
      <c r="B116" s="18"/>
      <c r="C116" s="46"/>
      <c r="D116" s="46"/>
      <c r="E116" s="46"/>
      <c r="F116" s="4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</row>
    <row r="117">
      <c r="A117" s="18"/>
      <c r="B117" s="18"/>
      <c r="C117" s="46"/>
      <c r="D117" s="46"/>
      <c r="E117" s="46"/>
      <c r="F117" s="4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</row>
    <row r="118">
      <c r="A118" s="18"/>
      <c r="B118" s="18"/>
      <c r="C118" s="46"/>
      <c r="D118" s="46"/>
      <c r="E118" s="46"/>
      <c r="F118" s="4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</row>
    <row r="119">
      <c r="A119" s="18"/>
      <c r="B119" s="18"/>
      <c r="C119" s="46"/>
      <c r="D119" s="46"/>
      <c r="E119" s="46"/>
      <c r="F119" s="4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</row>
    <row r="120">
      <c r="A120" s="18"/>
      <c r="B120" s="18"/>
      <c r="C120" s="46"/>
      <c r="D120" s="46"/>
      <c r="E120" s="46"/>
      <c r="F120" s="4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</row>
    <row r="121">
      <c r="A121" s="18"/>
      <c r="B121" s="18"/>
      <c r="C121" s="46"/>
      <c r="D121" s="46"/>
      <c r="E121" s="46"/>
      <c r="F121" s="4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</row>
    <row r="122">
      <c r="A122" s="18"/>
      <c r="B122" s="18"/>
      <c r="C122" s="46"/>
      <c r="D122" s="46"/>
      <c r="E122" s="46"/>
      <c r="F122" s="4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</row>
    <row r="123">
      <c r="A123" s="18"/>
      <c r="B123" s="18"/>
      <c r="C123" s="46"/>
      <c r="D123" s="46"/>
      <c r="E123" s="46"/>
      <c r="F123" s="4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</row>
    <row r="124">
      <c r="A124" s="18"/>
      <c r="B124" s="18"/>
      <c r="C124" s="46"/>
      <c r="D124" s="46"/>
      <c r="E124" s="46"/>
      <c r="F124" s="4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</row>
    <row r="125">
      <c r="A125" s="18"/>
      <c r="B125" s="18"/>
      <c r="C125" s="46"/>
      <c r="D125" s="46"/>
      <c r="E125" s="46"/>
      <c r="F125" s="4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</row>
    <row r="126">
      <c r="A126" s="18"/>
      <c r="B126" s="18"/>
      <c r="C126" s="46"/>
      <c r="D126" s="46"/>
      <c r="E126" s="46"/>
      <c r="F126" s="4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</row>
    <row r="127">
      <c r="A127" s="18"/>
      <c r="B127" s="18"/>
      <c r="C127" s="46"/>
      <c r="D127" s="46"/>
      <c r="E127" s="46"/>
      <c r="F127" s="4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</row>
    <row r="128">
      <c r="A128" s="18"/>
      <c r="B128" s="18"/>
      <c r="C128" s="46"/>
      <c r="D128" s="46"/>
      <c r="E128" s="46"/>
      <c r="F128" s="4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</row>
    <row r="129">
      <c r="A129" s="18"/>
      <c r="B129" s="18"/>
      <c r="C129" s="46"/>
      <c r="D129" s="46"/>
      <c r="E129" s="46"/>
      <c r="F129" s="4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</row>
    <row r="130">
      <c r="A130" s="18"/>
      <c r="B130" s="18"/>
      <c r="C130" s="46"/>
      <c r="D130" s="46"/>
      <c r="E130" s="46"/>
      <c r="F130" s="4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</row>
    <row r="131">
      <c r="A131" s="18"/>
      <c r="B131" s="18"/>
      <c r="C131" s="46"/>
      <c r="D131" s="46"/>
      <c r="E131" s="46"/>
      <c r="F131" s="46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</row>
    <row r="132">
      <c r="A132" s="18"/>
      <c r="B132" s="18"/>
      <c r="C132" s="46"/>
      <c r="D132" s="46"/>
      <c r="E132" s="46"/>
      <c r="F132" s="46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</row>
    <row r="133">
      <c r="A133" s="18"/>
      <c r="B133" s="18"/>
      <c r="C133" s="46"/>
      <c r="D133" s="46"/>
      <c r="E133" s="46"/>
      <c r="F133" s="46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</row>
    <row r="134">
      <c r="A134" s="18"/>
      <c r="B134" s="18"/>
      <c r="C134" s="46"/>
      <c r="D134" s="46"/>
      <c r="E134" s="46"/>
      <c r="F134" s="46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</row>
    <row r="135">
      <c r="A135" s="18"/>
      <c r="B135" s="18"/>
      <c r="C135" s="46"/>
      <c r="D135" s="46"/>
      <c r="E135" s="46"/>
      <c r="F135" s="46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</row>
    <row r="136">
      <c r="A136" s="18"/>
      <c r="B136" s="18"/>
      <c r="C136" s="46"/>
      <c r="D136" s="46"/>
      <c r="E136" s="46"/>
      <c r="F136" s="46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</row>
    <row r="137">
      <c r="A137" s="18"/>
      <c r="B137" s="18"/>
      <c r="C137" s="46"/>
      <c r="D137" s="46"/>
      <c r="E137" s="46"/>
      <c r="F137" s="46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</row>
    <row r="138">
      <c r="A138" s="18"/>
      <c r="B138" s="18"/>
      <c r="C138" s="46"/>
      <c r="D138" s="46"/>
      <c r="E138" s="46"/>
      <c r="F138" s="46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</row>
    <row r="139">
      <c r="A139" s="18"/>
      <c r="B139" s="18"/>
      <c r="C139" s="46"/>
      <c r="D139" s="46"/>
      <c r="E139" s="46"/>
      <c r="F139" s="46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</row>
    <row r="140">
      <c r="A140" s="18"/>
      <c r="B140" s="18"/>
      <c r="C140" s="46"/>
      <c r="D140" s="46"/>
      <c r="E140" s="46"/>
      <c r="F140" s="46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</row>
    <row r="141">
      <c r="A141" s="18"/>
      <c r="B141" s="18"/>
      <c r="C141" s="46"/>
      <c r="D141" s="46"/>
      <c r="E141" s="46"/>
      <c r="F141" s="46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</row>
    <row r="142">
      <c r="A142" s="18"/>
      <c r="B142" s="18"/>
      <c r="C142" s="46"/>
      <c r="D142" s="46"/>
      <c r="E142" s="46"/>
      <c r="F142" s="46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</row>
    <row r="143">
      <c r="A143" s="18"/>
      <c r="B143" s="18"/>
      <c r="C143" s="46"/>
      <c r="D143" s="46"/>
      <c r="E143" s="46"/>
      <c r="F143" s="46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</row>
    <row r="144">
      <c r="A144" s="18"/>
      <c r="B144" s="18"/>
      <c r="C144" s="46"/>
      <c r="D144" s="46"/>
      <c r="E144" s="46"/>
      <c r="F144" s="46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</row>
    <row r="145">
      <c r="A145" s="18"/>
      <c r="B145" s="18"/>
      <c r="C145" s="46"/>
      <c r="D145" s="46"/>
      <c r="E145" s="46"/>
      <c r="F145" s="46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</row>
    <row r="146">
      <c r="A146" s="18"/>
      <c r="B146" s="18"/>
      <c r="C146" s="46"/>
      <c r="D146" s="46"/>
      <c r="E146" s="46"/>
      <c r="F146" s="46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</row>
    <row r="147">
      <c r="A147" s="18"/>
      <c r="B147" s="18"/>
      <c r="C147" s="46"/>
      <c r="D147" s="46"/>
      <c r="E147" s="46"/>
      <c r="F147" s="46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</row>
    <row r="148">
      <c r="A148" s="18"/>
      <c r="B148" s="18"/>
      <c r="C148" s="46"/>
      <c r="D148" s="46"/>
      <c r="E148" s="46"/>
      <c r="F148" s="46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</row>
    <row r="149">
      <c r="A149" s="18"/>
      <c r="B149" s="18"/>
      <c r="C149" s="46"/>
      <c r="D149" s="46"/>
      <c r="E149" s="46"/>
      <c r="F149" s="46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</row>
    <row r="150">
      <c r="A150" s="18"/>
      <c r="B150" s="18"/>
      <c r="C150" s="46"/>
      <c r="D150" s="46"/>
      <c r="E150" s="46"/>
      <c r="F150" s="46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</row>
    <row r="151">
      <c r="A151" s="18"/>
      <c r="B151" s="18"/>
      <c r="C151" s="46"/>
      <c r="D151" s="46"/>
      <c r="E151" s="46"/>
      <c r="F151" s="46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</row>
    <row r="152">
      <c r="A152" s="18"/>
      <c r="B152" s="18"/>
      <c r="C152" s="46"/>
      <c r="D152" s="46"/>
      <c r="E152" s="46"/>
      <c r="F152" s="46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</row>
    <row r="153">
      <c r="A153" s="18"/>
      <c r="B153" s="18"/>
      <c r="C153" s="46"/>
      <c r="D153" s="46"/>
      <c r="E153" s="46"/>
      <c r="F153" s="46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</row>
    <row r="154">
      <c r="A154" s="18"/>
      <c r="B154" s="18"/>
      <c r="C154" s="46"/>
      <c r="D154" s="46"/>
      <c r="E154" s="46"/>
      <c r="F154" s="46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</row>
    <row r="155">
      <c r="A155" s="18"/>
      <c r="B155" s="18"/>
      <c r="C155" s="46"/>
      <c r="D155" s="46"/>
      <c r="E155" s="46"/>
      <c r="F155" s="46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</row>
    <row r="156">
      <c r="A156" s="18"/>
      <c r="B156" s="18"/>
      <c r="C156" s="46"/>
      <c r="D156" s="46"/>
      <c r="E156" s="46"/>
      <c r="F156" s="46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</row>
    <row r="157">
      <c r="A157" s="18"/>
      <c r="B157" s="18"/>
      <c r="C157" s="46"/>
      <c r="D157" s="46"/>
      <c r="E157" s="46"/>
      <c r="F157" s="46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</row>
    <row r="158">
      <c r="A158" s="18"/>
      <c r="B158" s="18"/>
      <c r="C158" s="46"/>
      <c r="D158" s="46"/>
      <c r="E158" s="46"/>
      <c r="F158" s="46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</row>
    <row r="159">
      <c r="A159" s="18"/>
      <c r="B159" s="18"/>
      <c r="C159" s="46"/>
      <c r="D159" s="46"/>
      <c r="E159" s="46"/>
      <c r="F159" s="46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</row>
    <row r="160">
      <c r="A160" s="18"/>
      <c r="B160" s="18"/>
      <c r="C160" s="46"/>
      <c r="D160" s="46"/>
      <c r="E160" s="46"/>
      <c r="F160" s="46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</row>
    <row r="161">
      <c r="A161" s="18"/>
      <c r="B161" s="18"/>
      <c r="C161" s="46"/>
      <c r="D161" s="46"/>
      <c r="E161" s="46"/>
      <c r="F161" s="46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</row>
    <row r="162">
      <c r="A162" s="18"/>
      <c r="B162" s="18"/>
      <c r="C162" s="46"/>
      <c r="D162" s="46"/>
      <c r="E162" s="46"/>
      <c r="F162" s="46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</row>
    <row r="163">
      <c r="A163" s="18"/>
      <c r="B163" s="18"/>
      <c r="C163" s="46"/>
      <c r="D163" s="46"/>
      <c r="E163" s="46"/>
      <c r="F163" s="46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</row>
    <row r="164">
      <c r="A164" s="18"/>
      <c r="B164" s="18"/>
      <c r="C164" s="46"/>
      <c r="D164" s="46"/>
      <c r="E164" s="46"/>
      <c r="F164" s="46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</row>
    <row r="165">
      <c r="A165" s="18"/>
      <c r="B165" s="18"/>
      <c r="C165" s="46"/>
      <c r="D165" s="46"/>
      <c r="E165" s="46"/>
      <c r="F165" s="46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</row>
    <row r="166">
      <c r="A166" s="18"/>
      <c r="B166" s="18"/>
      <c r="C166" s="46"/>
      <c r="D166" s="46"/>
      <c r="E166" s="46"/>
      <c r="F166" s="46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</row>
    <row r="167">
      <c r="A167" s="18"/>
      <c r="B167" s="18"/>
      <c r="C167" s="46"/>
      <c r="D167" s="46"/>
      <c r="E167" s="46"/>
      <c r="F167" s="46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</row>
    <row r="168">
      <c r="A168" s="18"/>
      <c r="B168" s="18"/>
      <c r="C168" s="46"/>
      <c r="D168" s="46"/>
      <c r="E168" s="46"/>
      <c r="F168" s="46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</row>
    <row r="169">
      <c r="A169" s="18"/>
      <c r="B169" s="18"/>
      <c r="C169" s="46"/>
      <c r="D169" s="46"/>
      <c r="E169" s="46"/>
      <c r="F169" s="46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</row>
    <row r="170">
      <c r="A170" s="18"/>
      <c r="B170" s="18"/>
      <c r="C170" s="46"/>
      <c r="D170" s="46"/>
      <c r="E170" s="46"/>
      <c r="F170" s="46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</row>
    <row r="171">
      <c r="A171" s="18"/>
      <c r="B171" s="18"/>
      <c r="C171" s="46"/>
      <c r="D171" s="46"/>
      <c r="E171" s="46"/>
      <c r="F171" s="46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</row>
    <row r="172">
      <c r="A172" s="18"/>
      <c r="B172" s="18"/>
      <c r="C172" s="46"/>
      <c r="D172" s="46"/>
      <c r="E172" s="46"/>
      <c r="F172" s="46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</row>
    <row r="173">
      <c r="A173" s="18"/>
      <c r="B173" s="18"/>
      <c r="C173" s="46"/>
      <c r="D173" s="46"/>
      <c r="E173" s="46"/>
      <c r="F173" s="46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</row>
    <row r="174">
      <c r="A174" s="18"/>
      <c r="B174" s="18"/>
      <c r="C174" s="46"/>
      <c r="D174" s="46"/>
      <c r="E174" s="46"/>
      <c r="F174" s="46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</row>
    <row r="175">
      <c r="A175" s="18"/>
      <c r="B175" s="18"/>
      <c r="C175" s="46"/>
      <c r="D175" s="46"/>
      <c r="E175" s="46"/>
      <c r="F175" s="46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</row>
    <row r="176">
      <c r="A176" s="18"/>
      <c r="B176" s="18"/>
      <c r="C176" s="46"/>
      <c r="D176" s="46"/>
      <c r="E176" s="46"/>
      <c r="F176" s="46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</row>
    <row r="177">
      <c r="A177" s="18"/>
      <c r="B177" s="18"/>
      <c r="C177" s="46"/>
      <c r="D177" s="46"/>
      <c r="E177" s="46"/>
      <c r="F177" s="46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</row>
    <row r="178">
      <c r="A178" s="18"/>
      <c r="B178" s="18"/>
      <c r="C178" s="46"/>
      <c r="D178" s="46"/>
      <c r="E178" s="46"/>
      <c r="F178" s="46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</row>
    <row r="179">
      <c r="A179" s="18"/>
      <c r="B179" s="18"/>
      <c r="C179" s="46"/>
      <c r="D179" s="46"/>
      <c r="E179" s="46"/>
      <c r="F179" s="46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</row>
    <row r="180">
      <c r="A180" s="18"/>
      <c r="B180" s="18"/>
      <c r="C180" s="46"/>
      <c r="D180" s="46"/>
      <c r="E180" s="46"/>
      <c r="F180" s="46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</row>
    <row r="181">
      <c r="A181" s="18"/>
      <c r="B181" s="18"/>
      <c r="C181" s="46"/>
      <c r="D181" s="46"/>
      <c r="E181" s="46"/>
      <c r="F181" s="46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</row>
    <row r="182">
      <c r="A182" s="18"/>
      <c r="B182" s="18"/>
      <c r="C182" s="46"/>
      <c r="D182" s="46"/>
      <c r="E182" s="46"/>
      <c r="F182" s="46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</row>
    <row r="183">
      <c r="A183" s="18"/>
      <c r="B183" s="18"/>
      <c r="C183" s="46"/>
      <c r="D183" s="46"/>
      <c r="E183" s="46"/>
      <c r="F183" s="46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</row>
    <row r="184">
      <c r="A184" s="18"/>
      <c r="B184" s="18"/>
      <c r="C184" s="46"/>
      <c r="D184" s="46"/>
      <c r="E184" s="46"/>
      <c r="F184" s="46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</row>
    <row r="185">
      <c r="A185" s="18"/>
      <c r="B185" s="18"/>
      <c r="C185" s="46"/>
      <c r="D185" s="46"/>
      <c r="E185" s="46"/>
      <c r="F185" s="46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</row>
    <row r="186">
      <c r="A186" s="18"/>
      <c r="B186" s="18"/>
      <c r="C186" s="46"/>
      <c r="D186" s="46"/>
      <c r="E186" s="46"/>
      <c r="F186" s="46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</row>
    <row r="187">
      <c r="A187" s="18"/>
      <c r="B187" s="18"/>
      <c r="C187" s="46"/>
      <c r="D187" s="46"/>
      <c r="E187" s="46"/>
      <c r="F187" s="46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</row>
    <row r="188">
      <c r="A188" s="18"/>
      <c r="B188" s="18"/>
      <c r="C188" s="46"/>
      <c r="D188" s="46"/>
      <c r="E188" s="46"/>
      <c r="F188" s="46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</row>
    <row r="189">
      <c r="A189" s="18"/>
      <c r="B189" s="18"/>
      <c r="C189" s="46"/>
      <c r="D189" s="46"/>
      <c r="E189" s="46"/>
      <c r="F189" s="46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</row>
    <row r="190">
      <c r="A190" s="18"/>
      <c r="B190" s="18"/>
      <c r="C190" s="46"/>
      <c r="D190" s="46"/>
      <c r="E190" s="46"/>
      <c r="F190" s="46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</row>
    <row r="191">
      <c r="A191" s="18"/>
      <c r="B191" s="18"/>
      <c r="C191" s="46"/>
      <c r="D191" s="46"/>
      <c r="E191" s="46"/>
      <c r="F191" s="46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</row>
    <row r="192">
      <c r="A192" s="18"/>
      <c r="B192" s="18"/>
      <c r="C192" s="46"/>
      <c r="D192" s="46"/>
      <c r="E192" s="46"/>
      <c r="F192" s="46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</row>
    <row r="193">
      <c r="A193" s="18"/>
      <c r="B193" s="18"/>
      <c r="C193" s="46"/>
      <c r="D193" s="46"/>
      <c r="E193" s="46"/>
      <c r="F193" s="46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</row>
    <row r="194">
      <c r="A194" s="18"/>
      <c r="B194" s="18"/>
      <c r="C194" s="46"/>
      <c r="D194" s="46"/>
      <c r="E194" s="46"/>
      <c r="F194" s="46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</row>
    <row r="195">
      <c r="A195" s="18"/>
      <c r="B195" s="18"/>
      <c r="C195" s="46"/>
      <c r="D195" s="46"/>
      <c r="E195" s="46"/>
      <c r="F195" s="46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</row>
    <row r="196">
      <c r="A196" s="18"/>
      <c r="B196" s="18"/>
      <c r="C196" s="46"/>
      <c r="D196" s="46"/>
      <c r="E196" s="46"/>
      <c r="F196" s="46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</row>
    <row r="197">
      <c r="A197" s="18"/>
      <c r="B197" s="18"/>
      <c r="C197" s="46"/>
      <c r="D197" s="46"/>
      <c r="E197" s="46"/>
      <c r="F197" s="46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</row>
    <row r="198">
      <c r="A198" s="18"/>
      <c r="B198" s="18"/>
      <c r="C198" s="46"/>
      <c r="D198" s="46"/>
      <c r="E198" s="46"/>
      <c r="F198" s="4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</row>
    <row r="199">
      <c r="A199" s="18"/>
      <c r="B199" s="18"/>
      <c r="C199" s="46"/>
      <c r="D199" s="46"/>
      <c r="E199" s="46"/>
      <c r="F199" s="4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</row>
    <row r="200">
      <c r="A200" s="18"/>
      <c r="B200" s="18"/>
      <c r="C200" s="46"/>
      <c r="D200" s="46"/>
      <c r="E200" s="46"/>
      <c r="F200" s="4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</row>
    <row r="201">
      <c r="A201" s="18"/>
      <c r="B201" s="18"/>
      <c r="C201" s="46"/>
      <c r="D201" s="46"/>
      <c r="E201" s="46"/>
      <c r="F201" s="46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</row>
    <row r="202">
      <c r="A202" s="18"/>
      <c r="B202" s="18"/>
      <c r="C202" s="46"/>
      <c r="D202" s="46"/>
      <c r="E202" s="46"/>
      <c r="F202" s="46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</row>
    <row r="203">
      <c r="A203" s="18"/>
      <c r="B203" s="18"/>
      <c r="C203" s="46"/>
      <c r="D203" s="46"/>
      <c r="E203" s="46"/>
      <c r="F203" s="4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</row>
    <row r="204">
      <c r="A204" s="18"/>
      <c r="B204" s="18"/>
      <c r="C204" s="46"/>
      <c r="D204" s="46"/>
      <c r="E204" s="46"/>
      <c r="F204" s="46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</row>
    <row r="205">
      <c r="A205" s="18"/>
      <c r="B205" s="18"/>
      <c r="C205" s="46"/>
      <c r="D205" s="46"/>
      <c r="E205" s="46"/>
      <c r="F205" s="46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</row>
    <row r="206">
      <c r="A206" s="18"/>
      <c r="B206" s="18"/>
      <c r="C206" s="46"/>
      <c r="D206" s="46"/>
      <c r="E206" s="46"/>
      <c r="F206" s="46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</row>
    <row r="207">
      <c r="A207" s="18"/>
      <c r="B207" s="18"/>
      <c r="C207" s="46"/>
      <c r="D207" s="46"/>
      <c r="E207" s="46"/>
      <c r="F207" s="46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</row>
    <row r="208">
      <c r="A208" s="18"/>
      <c r="B208" s="18"/>
      <c r="C208" s="46"/>
      <c r="D208" s="46"/>
      <c r="E208" s="46"/>
      <c r="F208" s="46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</row>
    <row r="209">
      <c r="A209" s="18"/>
      <c r="B209" s="18"/>
      <c r="C209" s="46"/>
      <c r="D209" s="46"/>
      <c r="E209" s="46"/>
      <c r="F209" s="46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</row>
    <row r="210">
      <c r="A210" s="18"/>
      <c r="B210" s="18"/>
      <c r="C210" s="46"/>
      <c r="D210" s="46"/>
      <c r="E210" s="46"/>
      <c r="F210" s="46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</row>
    <row r="211">
      <c r="A211" s="18"/>
      <c r="B211" s="18"/>
      <c r="C211" s="46"/>
      <c r="D211" s="46"/>
      <c r="E211" s="46"/>
      <c r="F211" s="46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</row>
    <row r="212">
      <c r="A212" s="18"/>
      <c r="B212" s="18"/>
      <c r="C212" s="46"/>
      <c r="D212" s="46"/>
      <c r="E212" s="46"/>
      <c r="F212" s="46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</row>
    <row r="213">
      <c r="A213" s="18"/>
      <c r="B213" s="18"/>
      <c r="C213" s="46"/>
      <c r="D213" s="46"/>
      <c r="E213" s="46"/>
      <c r="F213" s="46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</row>
    <row r="214">
      <c r="A214" s="18"/>
      <c r="B214" s="18"/>
      <c r="C214" s="46"/>
      <c r="D214" s="46"/>
      <c r="E214" s="46"/>
      <c r="F214" s="46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</row>
    <row r="215">
      <c r="A215" s="18"/>
      <c r="B215" s="18"/>
      <c r="C215" s="46"/>
      <c r="D215" s="46"/>
      <c r="E215" s="46"/>
      <c r="F215" s="46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</row>
    <row r="216">
      <c r="A216" s="18"/>
      <c r="B216" s="18"/>
      <c r="C216" s="46"/>
      <c r="D216" s="46"/>
      <c r="E216" s="46"/>
      <c r="F216" s="46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</row>
    <row r="217">
      <c r="A217" s="18"/>
      <c r="B217" s="18"/>
      <c r="C217" s="46"/>
      <c r="D217" s="46"/>
      <c r="E217" s="46"/>
      <c r="F217" s="46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</row>
    <row r="218">
      <c r="A218" s="18"/>
      <c r="B218" s="18"/>
      <c r="C218" s="46"/>
      <c r="D218" s="46"/>
      <c r="E218" s="46"/>
      <c r="F218" s="46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</row>
    <row r="219">
      <c r="A219" s="18"/>
      <c r="B219" s="18"/>
      <c r="C219" s="46"/>
      <c r="D219" s="46"/>
      <c r="E219" s="46"/>
      <c r="F219" s="46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</row>
    <row r="220">
      <c r="A220" s="18"/>
      <c r="B220" s="18"/>
      <c r="C220" s="46"/>
      <c r="D220" s="46"/>
      <c r="E220" s="46"/>
      <c r="F220" s="46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</row>
    <row r="221">
      <c r="A221" s="18"/>
      <c r="B221" s="18"/>
      <c r="C221" s="46"/>
      <c r="D221" s="46"/>
      <c r="E221" s="46"/>
      <c r="F221" s="46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</row>
    <row r="222">
      <c r="A222" s="18"/>
      <c r="B222" s="18"/>
      <c r="C222" s="46"/>
      <c r="D222" s="46"/>
      <c r="E222" s="46"/>
      <c r="F222" s="46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</row>
    <row r="223">
      <c r="A223" s="18"/>
      <c r="B223" s="18"/>
      <c r="C223" s="46"/>
      <c r="D223" s="46"/>
      <c r="E223" s="46"/>
      <c r="F223" s="46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</row>
    <row r="224">
      <c r="A224" s="18"/>
      <c r="B224" s="18"/>
      <c r="C224" s="46"/>
      <c r="D224" s="46"/>
      <c r="E224" s="46"/>
      <c r="F224" s="46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</row>
    <row r="225">
      <c r="A225" s="18"/>
      <c r="B225" s="18"/>
      <c r="C225" s="46"/>
      <c r="D225" s="46"/>
      <c r="E225" s="46"/>
      <c r="F225" s="46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</row>
    <row r="226">
      <c r="A226" s="18"/>
      <c r="B226" s="18"/>
      <c r="C226" s="46"/>
      <c r="D226" s="46"/>
      <c r="E226" s="46"/>
      <c r="F226" s="46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</row>
    <row r="227">
      <c r="A227" s="18"/>
      <c r="B227" s="18"/>
      <c r="C227" s="46"/>
      <c r="D227" s="46"/>
      <c r="E227" s="46"/>
      <c r="F227" s="46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</row>
    <row r="228">
      <c r="A228" s="18"/>
      <c r="B228" s="18"/>
      <c r="C228" s="46"/>
      <c r="D228" s="46"/>
      <c r="E228" s="46"/>
      <c r="F228" s="46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</row>
    <row r="229">
      <c r="A229" s="18"/>
      <c r="B229" s="18"/>
      <c r="C229" s="46"/>
      <c r="D229" s="46"/>
      <c r="E229" s="46"/>
      <c r="F229" s="46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</row>
    <row r="230">
      <c r="A230" s="18"/>
      <c r="B230" s="18"/>
      <c r="C230" s="46"/>
      <c r="D230" s="46"/>
      <c r="E230" s="46"/>
      <c r="F230" s="46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</row>
    <row r="231">
      <c r="A231" s="18"/>
      <c r="B231" s="18"/>
      <c r="C231" s="46"/>
      <c r="D231" s="46"/>
      <c r="E231" s="46"/>
      <c r="F231" s="46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</row>
    <row r="232">
      <c r="A232" s="18"/>
      <c r="B232" s="18"/>
      <c r="C232" s="46"/>
      <c r="D232" s="46"/>
      <c r="E232" s="46"/>
      <c r="F232" s="46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</row>
    <row r="233">
      <c r="A233" s="18"/>
      <c r="B233" s="18"/>
      <c r="C233" s="46"/>
      <c r="D233" s="46"/>
      <c r="E233" s="46"/>
      <c r="F233" s="46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</row>
    <row r="234">
      <c r="A234" s="18"/>
      <c r="B234" s="18"/>
      <c r="C234" s="46"/>
      <c r="D234" s="46"/>
      <c r="E234" s="46"/>
      <c r="F234" s="46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</row>
    <row r="235">
      <c r="A235" s="18"/>
      <c r="B235" s="18"/>
      <c r="C235" s="46"/>
      <c r="D235" s="46"/>
      <c r="E235" s="46"/>
      <c r="F235" s="46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</row>
    <row r="236">
      <c r="A236" s="18"/>
      <c r="B236" s="18"/>
      <c r="C236" s="46"/>
      <c r="D236" s="46"/>
      <c r="E236" s="46"/>
      <c r="F236" s="46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</row>
    <row r="237">
      <c r="A237" s="18"/>
      <c r="B237" s="18"/>
      <c r="C237" s="46"/>
      <c r="D237" s="46"/>
      <c r="E237" s="46"/>
      <c r="F237" s="46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</row>
    <row r="238">
      <c r="A238" s="18"/>
      <c r="B238" s="18"/>
      <c r="C238" s="46"/>
      <c r="D238" s="46"/>
      <c r="E238" s="46"/>
      <c r="F238" s="46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</row>
    <row r="239">
      <c r="A239" s="18"/>
      <c r="B239" s="18"/>
      <c r="C239" s="46"/>
      <c r="D239" s="46"/>
      <c r="E239" s="46"/>
      <c r="F239" s="46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</row>
    <row r="240">
      <c r="A240" s="18"/>
      <c r="B240" s="18"/>
      <c r="C240" s="46"/>
      <c r="D240" s="46"/>
      <c r="E240" s="46"/>
      <c r="F240" s="46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</row>
    <row r="241">
      <c r="A241" s="18"/>
      <c r="B241" s="18"/>
      <c r="C241" s="46"/>
      <c r="D241" s="46"/>
      <c r="E241" s="46"/>
      <c r="F241" s="46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</row>
    <row r="242">
      <c r="A242" s="18"/>
      <c r="B242" s="18"/>
      <c r="C242" s="46"/>
      <c r="D242" s="46"/>
      <c r="E242" s="46"/>
      <c r="F242" s="46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</row>
    <row r="243">
      <c r="A243" s="18"/>
      <c r="B243" s="18"/>
      <c r="C243" s="46"/>
      <c r="D243" s="46"/>
      <c r="E243" s="46"/>
      <c r="F243" s="46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</row>
    <row r="244">
      <c r="A244" s="18"/>
      <c r="B244" s="18"/>
      <c r="C244" s="46"/>
      <c r="D244" s="46"/>
      <c r="E244" s="46"/>
      <c r="F244" s="46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</row>
    <row r="245">
      <c r="A245" s="18"/>
      <c r="B245" s="18"/>
      <c r="C245" s="46"/>
      <c r="D245" s="46"/>
      <c r="E245" s="46"/>
      <c r="F245" s="46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</row>
    <row r="246">
      <c r="A246" s="18"/>
      <c r="B246" s="18"/>
      <c r="C246" s="46"/>
      <c r="D246" s="46"/>
      <c r="E246" s="46"/>
      <c r="F246" s="46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</row>
    <row r="247">
      <c r="A247" s="18"/>
      <c r="B247" s="18"/>
      <c r="C247" s="46"/>
      <c r="D247" s="46"/>
      <c r="E247" s="46"/>
      <c r="F247" s="46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</row>
    <row r="248">
      <c r="A248" s="18"/>
      <c r="B248" s="18"/>
      <c r="C248" s="46"/>
      <c r="D248" s="46"/>
      <c r="E248" s="46"/>
      <c r="F248" s="46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</row>
    <row r="249">
      <c r="A249" s="18"/>
      <c r="B249" s="18"/>
      <c r="C249" s="46"/>
      <c r="D249" s="46"/>
      <c r="E249" s="46"/>
      <c r="F249" s="46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</row>
    <row r="250">
      <c r="A250" s="18"/>
      <c r="B250" s="18"/>
      <c r="C250" s="46"/>
      <c r="D250" s="46"/>
      <c r="E250" s="46"/>
      <c r="F250" s="46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</row>
    <row r="251">
      <c r="A251" s="18"/>
      <c r="B251" s="18"/>
      <c r="C251" s="46"/>
      <c r="D251" s="46"/>
      <c r="E251" s="46"/>
      <c r="F251" s="46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</row>
    <row r="252">
      <c r="A252" s="18"/>
      <c r="B252" s="18"/>
      <c r="C252" s="46"/>
      <c r="D252" s="46"/>
      <c r="E252" s="46"/>
      <c r="F252" s="46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</row>
    <row r="253">
      <c r="A253" s="18"/>
      <c r="B253" s="18"/>
      <c r="C253" s="46"/>
      <c r="D253" s="46"/>
      <c r="E253" s="46"/>
      <c r="F253" s="46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</row>
    <row r="254">
      <c r="A254" s="18"/>
      <c r="B254" s="18"/>
      <c r="C254" s="46"/>
      <c r="D254" s="46"/>
      <c r="E254" s="46"/>
      <c r="F254" s="46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</row>
    <row r="255">
      <c r="A255" s="18"/>
      <c r="B255" s="18"/>
      <c r="C255" s="46"/>
      <c r="D255" s="46"/>
      <c r="E255" s="46"/>
      <c r="F255" s="46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</row>
    <row r="256">
      <c r="A256" s="18"/>
      <c r="B256" s="18"/>
      <c r="C256" s="46"/>
      <c r="D256" s="46"/>
      <c r="E256" s="46"/>
      <c r="F256" s="46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</row>
    <row r="257">
      <c r="A257" s="18"/>
      <c r="B257" s="18"/>
      <c r="C257" s="46"/>
      <c r="D257" s="46"/>
      <c r="E257" s="46"/>
      <c r="F257" s="46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</row>
    <row r="258">
      <c r="A258" s="18"/>
      <c r="B258" s="18"/>
      <c r="C258" s="46"/>
      <c r="D258" s="46"/>
      <c r="E258" s="46"/>
      <c r="F258" s="46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</row>
    <row r="259">
      <c r="A259" s="18"/>
      <c r="B259" s="18"/>
      <c r="C259" s="46"/>
      <c r="D259" s="46"/>
      <c r="E259" s="46"/>
      <c r="F259" s="46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</row>
    <row r="260">
      <c r="A260" s="18"/>
      <c r="B260" s="18"/>
      <c r="C260" s="46"/>
      <c r="D260" s="46"/>
      <c r="E260" s="46"/>
      <c r="F260" s="46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</row>
    <row r="261">
      <c r="A261" s="18"/>
      <c r="B261" s="18"/>
      <c r="C261" s="46"/>
      <c r="D261" s="46"/>
      <c r="E261" s="46"/>
      <c r="F261" s="46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</row>
    <row r="262">
      <c r="A262" s="18"/>
      <c r="B262" s="18"/>
      <c r="C262" s="46"/>
      <c r="D262" s="46"/>
      <c r="E262" s="46"/>
      <c r="F262" s="46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</row>
    <row r="263">
      <c r="A263" s="18"/>
      <c r="B263" s="18"/>
      <c r="C263" s="46"/>
      <c r="D263" s="46"/>
      <c r="E263" s="46"/>
      <c r="F263" s="46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</row>
    <row r="264">
      <c r="A264" s="18"/>
      <c r="B264" s="18"/>
      <c r="C264" s="46"/>
      <c r="D264" s="46"/>
      <c r="E264" s="46"/>
      <c r="F264" s="46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</row>
    <row r="265">
      <c r="A265" s="18"/>
      <c r="B265" s="18"/>
      <c r="C265" s="46"/>
      <c r="D265" s="46"/>
      <c r="E265" s="46"/>
      <c r="F265" s="46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</row>
    <row r="266">
      <c r="A266" s="18"/>
      <c r="B266" s="18"/>
      <c r="C266" s="46"/>
      <c r="D266" s="46"/>
      <c r="E266" s="46"/>
      <c r="F266" s="46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</row>
    <row r="267">
      <c r="A267" s="18"/>
      <c r="B267" s="18"/>
      <c r="C267" s="46"/>
      <c r="D267" s="46"/>
      <c r="E267" s="46"/>
      <c r="F267" s="4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</row>
    <row r="268">
      <c r="A268" s="18"/>
      <c r="B268" s="18"/>
      <c r="C268" s="46"/>
      <c r="D268" s="46"/>
      <c r="E268" s="46"/>
      <c r="F268" s="4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</row>
    <row r="269">
      <c r="A269" s="18"/>
      <c r="B269" s="18"/>
      <c r="C269" s="46"/>
      <c r="D269" s="46"/>
      <c r="E269" s="46"/>
      <c r="F269" s="4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</row>
    <row r="270">
      <c r="A270" s="18"/>
      <c r="B270" s="18"/>
      <c r="C270" s="46"/>
      <c r="D270" s="46"/>
      <c r="E270" s="46"/>
      <c r="F270" s="4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</row>
    <row r="271">
      <c r="A271" s="18"/>
      <c r="B271" s="18"/>
      <c r="C271" s="46"/>
      <c r="D271" s="46"/>
      <c r="E271" s="46"/>
      <c r="F271" s="46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</row>
    <row r="272">
      <c r="A272" s="18"/>
      <c r="B272" s="18"/>
      <c r="C272" s="46"/>
      <c r="D272" s="46"/>
      <c r="E272" s="46"/>
      <c r="F272" s="46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</row>
    <row r="273">
      <c r="A273" s="18"/>
      <c r="B273" s="18"/>
      <c r="C273" s="46"/>
      <c r="D273" s="46"/>
      <c r="E273" s="46"/>
      <c r="F273" s="46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</row>
    <row r="274">
      <c r="A274" s="18"/>
      <c r="B274" s="18"/>
      <c r="C274" s="46"/>
      <c r="D274" s="46"/>
      <c r="E274" s="46"/>
      <c r="F274" s="46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</row>
    <row r="275">
      <c r="A275" s="18"/>
      <c r="B275" s="18"/>
      <c r="C275" s="46"/>
      <c r="D275" s="46"/>
      <c r="E275" s="46"/>
      <c r="F275" s="46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</row>
    <row r="276">
      <c r="A276" s="18"/>
      <c r="B276" s="18"/>
      <c r="C276" s="46"/>
      <c r="D276" s="46"/>
      <c r="E276" s="46"/>
      <c r="F276" s="46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</row>
    <row r="277">
      <c r="A277" s="18"/>
      <c r="B277" s="18"/>
      <c r="C277" s="46"/>
      <c r="D277" s="46"/>
      <c r="E277" s="46"/>
      <c r="F277" s="46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</row>
    <row r="278">
      <c r="A278" s="18"/>
      <c r="B278" s="18"/>
      <c r="C278" s="46"/>
      <c r="D278" s="46"/>
      <c r="E278" s="46"/>
      <c r="F278" s="46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</row>
    <row r="279">
      <c r="A279" s="18"/>
      <c r="B279" s="18"/>
      <c r="C279" s="46"/>
      <c r="D279" s="46"/>
      <c r="E279" s="46"/>
      <c r="F279" s="46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</row>
    <row r="280">
      <c r="A280" s="18"/>
      <c r="B280" s="18"/>
      <c r="C280" s="46"/>
      <c r="D280" s="46"/>
      <c r="E280" s="46"/>
      <c r="F280" s="46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</row>
    <row r="281">
      <c r="A281" s="18"/>
      <c r="B281" s="18"/>
      <c r="C281" s="46"/>
      <c r="D281" s="46"/>
      <c r="E281" s="46"/>
      <c r="F281" s="46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</row>
    <row r="282">
      <c r="A282" s="18"/>
      <c r="B282" s="18"/>
      <c r="C282" s="46"/>
      <c r="D282" s="46"/>
      <c r="E282" s="46"/>
      <c r="F282" s="46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</row>
    <row r="283">
      <c r="A283" s="18"/>
      <c r="B283" s="18"/>
      <c r="C283" s="46"/>
      <c r="D283" s="46"/>
      <c r="E283" s="46"/>
      <c r="F283" s="46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</row>
    <row r="284">
      <c r="A284" s="18"/>
      <c r="B284" s="18"/>
      <c r="C284" s="46"/>
      <c r="D284" s="46"/>
      <c r="E284" s="46"/>
      <c r="F284" s="46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</row>
    <row r="285">
      <c r="A285" s="18"/>
      <c r="B285" s="18"/>
      <c r="C285" s="46"/>
      <c r="D285" s="46"/>
      <c r="E285" s="46"/>
      <c r="F285" s="46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</row>
    <row r="286">
      <c r="A286" s="18"/>
      <c r="B286" s="18"/>
      <c r="C286" s="46"/>
      <c r="D286" s="46"/>
      <c r="E286" s="46"/>
      <c r="F286" s="46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</row>
    <row r="287">
      <c r="A287" s="18"/>
      <c r="B287" s="18"/>
      <c r="C287" s="46"/>
      <c r="D287" s="46"/>
      <c r="E287" s="46"/>
      <c r="F287" s="46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</row>
    <row r="288">
      <c r="A288" s="18"/>
      <c r="B288" s="18"/>
      <c r="C288" s="46"/>
      <c r="D288" s="46"/>
      <c r="E288" s="46"/>
      <c r="F288" s="46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</row>
    <row r="289">
      <c r="A289" s="18"/>
      <c r="B289" s="18"/>
      <c r="C289" s="46"/>
      <c r="D289" s="46"/>
      <c r="E289" s="46"/>
      <c r="F289" s="46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</row>
    <row r="290">
      <c r="A290" s="18"/>
      <c r="B290" s="18"/>
      <c r="C290" s="46"/>
      <c r="D290" s="46"/>
      <c r="E290" s="46"/>
      <c r="F290" s="46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</row>
    <row r="291">
      <c r="A291" s="18"/>
      <c r="B291" s="18"/>
      <c r="C291" s="46"/>
      <c r="D291" s="46"/>
      <c r="E291" s="46"/>
      <c r="F291" s="46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</row>
    <row r="292">
      <c r="A292" s="18"/>
      <c r="B292" s="18"/>
      <c r="C292" s="46"/>
      <c r="D292" s="46"/>
      <c r="E292" s="46"/>
      <c r="F292" s="46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</row>
    <row r="293">
      <c r="A293" s="18"/>
      <c r="B293" s="18"/>
      <c r="C293" s="46"/>
      <c r="D293" s="46"/>
      <c r="E293" s="46"/>
      <c r="F293" s="46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</row>
    <row r="294">
      <c r="A294" s="18"/>
      <c r="B294" s="18"/>
      <c r="C294" s="46"/>
      <c r="D294" s="46"/>
      <c r="E294" s="46"/>
      <c r="F294" s="46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</row>
    <row r="295">
      <c r="A295" s="18"/>
      <c r="B295" s="18"/>
      <c r="C295" s="46"/>
      <c r="D295" s="46"/>
      <c r="E295" s="46"/>
      <c r="F295" s="46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</row>
    <row r="296">
      <c r="A296" s="18"/>
      <c r="B296" s="18"/>
      <c r="C296" s="46"/>
      <c r="D296" s="46"/>
      <c r="E296" s="46"/>
      <c r="F296" s="46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</row>
    <row r="297">
      <c r="A297" s="18"/>
      <c r="B297" s="18"/>
      <c r="C297" s="46"/>
      <c r="D297" s="46"/>
      <c r="E297" s="46"/>
      <c r="F297" s="46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</row>
    <row r="298">
      <c r="A298" s="18"/>
      <c r="B298" s="18"/>
      <c r="C298" s="46"/>
      <c r="D298" s="46"/>
      <c r="E298" s="46"/>
      <c r="F298" s="46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</row>
    <row r="299">
      <c r="A299" s="18"/>
      <c r="B299" s="18"/>
      <c r="C299" s="46"/>
      <c r="D299" s="46"/>
      <c r="E299" s="46"/>
      <c r="F299" s="46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</row>
    <row r="300">
      <c r="A300" s="18"/>
      <c r="B300" s="18"/>
      <c r="C300" s="46"/>
      <c r="D300" s="46"/>
      <c r="E300" s="46"/>
      <c r="F300" s="46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</row>
    <row r="301">
      <c r="A301" s="18"/>
      <c r="B301" s="18"/>
      <c r="C301" s="46"/>
      <c r="D301" s="46"/>
      <c r="E301" s="46"/>
      <c r="F301" s="46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</row>
    <row r="302">
      <c r="A302" s="18"/>
      <c r="B302" s="18"/>
      <c r="C302" s="46"/>
      <c r="D302" s="46"/>
      <c r="E302" s="46"/>
      <c r="F302" s="46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</row>
    <row r="303">
      <c r="A303" s="18"/>
      <c r="B303" s="18"/>
      <c r="C303" s="46"/>
      <c r="D303" s="46"/>
      <c r="E303" s="46"/>
      <c r="F303" s="46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</row>
    <row r="304">
      <c r="A304" s="18"/>
      <c r="B304" s="18"/>
      <c r="C304" s="46"/>
      <c r="D304" s="46"/>
      <c r="E304" s="46"/>
      <c r="F304" s="4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</row>
    <row r="305">
      <c r="A305" s="18"/>
      <c r="B305" s="18"/>
      <c r="C305" s="46"/>
      <c r="D305" s="46"/>
      <c r="E305" s="46"/>
      <c r="F305" s="46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</row>
    <row r="306">
      <c r="A306" s="18"/>
      <c r="B306" s="18"/>
      <c r="C306" s="46"/>
      <c r="D306" s="46"/>
      <c r="E306" s="46"/>
      <c r="F306" s="46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</row>
    <row r="307">
      <c r="A307" s="18"/>
      <c r="B307" s="18"/>
      <c r="C307" s="46"/>
      <c r="D307" s="46"/>
      <c r="E307" s="46"/>
      <c r="F307" s="46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</row>
    <row r="308">
      <c r="A308" s="18"/>
      <c r="B308" s="18"/>
      <c r="C308" s="46"/>
      <c r="D308" s="46"/>
      <c r="E308" s="46"/>
      <c r="F308" s="46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</row>
    <row r="309">
      <c r="A309" s="18"/>
      <c r="B309" s="18"/>
      <c r="C309" s="46"/>
      <c r="D309" s="46"/>
      <c r="E309" s="46"/>
      <c r="F309" s="46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</row>
    <row r="310">
      <c r="A310" s="18"/>
      <c r="B310" s="18"/>
      <c r="C310" s="46"/>
      <c r="D310" s="46"/>
      <c r="E310" s="46"/>
      <c r="F310" s="46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</row>
    <row r="311">
      <c r="A311" s="18"/>
      <c r="B311" s="18"/>
      <c r="C311" s="46"/>
      <c r="D311" s="46"/>
      <c r="E311" s="46"/>
      <c r="F311" s="4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</row>
    <row r="312">
      <c r="A312" s="18"/>
      <c r="B312" s="18"/>
      <c r="C312" s="46"/>
      <c r="D312" s="46"/>
      <c r="E312" s="46"/>
      <c r="F312" s="46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</row>
    <row r="313">
      <c r="A313" s="18"/>
      <c r="B313" s="18"/>
      <c r="C313" s="46"/>
      <c r="D313" s="46"/>
      <c r="E313" s="46"/>
      <c r="F313" s="46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</row>
    <row r="314">
      <c r="A314" s="18"/>
      <c r="B314" s="18"/>
      <c r="C314" s="46"/>
      <c r="D314" s="46"/>
      <c r="E314" s="46"/>
      <c r="F314" s="46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</row>
    <row r="315">
      <c r="A315" s="18"/>
      <c r="B315" s="18"/>
      <c r="C315" s="46"/>
      <c r="D315" s="46"/>
      <c r="E315" s="46"/>
      <c r="F315" s="46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</row>
    <row r="316">
      <c r="A316" s="18"/>
      <c r="B316" s="18"/>
      <c r="C316" s="46"/>
      <c r="D316" s="46"/>
      <c r="E316" s="46"/>
      <c r="F316" s="46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</row>
    <row r="317">
      <c r="A317" s="18"/>
      <c r="B317" s="18"/>
      <c r="C317" s="46"/>
      <c r="D317" s="46"/>
      <c r="E317" s="46"/>
      <c r="F317" s="46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</row>
    <row r="318">
      <c r="A318" s="18"/>
      <c r="B318" s="18"/>
      <c r="C318" s="46"/>
      <c r="D318" s="46"/>
      <c r="E318" s="46"/>
      <c r="F318" s="4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</row>
    <row r="319">
      <c r="A319" s="18"/>
      <c r="B319" s="18"/>
      <c r="C319" s="46"/>
      <c r="D319" s="46"/>
      <c r="E319" s="46"/>
      <c r="F319" s="46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</row>
    <row r="320">
      <c r="A320" s="18"/>
      <c r="B320" s="18"/>
      <c r="C320" s="46"/>
      <c r="D320" s="46"/>
      <c r="E320" s="46"/>
      <c r="F320" s="46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</row>
    <row r="321">
      <c r="A321" s="18"/>
      <c r="B321" s="18"/>
      <c r="C321" s="46"/>
      <c r="D321" s="46"/>
      <c r="E321" s="46"/>
      <c r="F321" s="46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</row>
    <row r="322">
      <c r="A322" s="18"/>
      <c r="B322" s="18"/>
      <c r="C322" s="46"/>
      <c r="D322" s="46"/>
      <c r="E322" s="46"/>
      <c r="F322" s="46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</row>
    <row r="323">
      <c r="A323" s="18"/>
      <c r="B323" s="18"/>
      <c r="C323" s="46"/>
      <c r="D323" s="46"/>
      <c r="E323" s="46"/>
      <c r="F323" s="46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</row>
    <row r="324">
      <c r="A324" s="18"/>
      <c r="B324" s="18"/>
      <c r="C324" s="46"/>
      <c r="D324" s="46"/>
      <c r="E324" s="46"/>
      <c r="F324" s="46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</row>
    <row r="325">
      <c r="A325" s="18"/>
      <c r="B325" s="18"/>
      <c r="C325" s="46"/>
      <c r="D325" s="46"/>
      <c r="E325" s="46"/>
      <c r="F325" s="4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</row>
    <row r="326">
      <c r="A326" s="18"/>
      <c r="B326" s="18"/>
      <c r="C326" s="46"/>
      <c r="D326" s="46"/>
      <c r="E326" s="46"/>
      <c r="F326" s="46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</row>
    <row r="327">
      <c r="A327" s="18"/>
      <c r="B327" s="18"/>
      <c r="C327" s="46"/>
      <c r="D327" s="46"/>
      <c r="E327" s="46"/>
      <c r="F327" s="46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</row>
    <row r="328">
      <c r="A328" s="18"/>
      <c r="B328" s="18"/>
      <c r="C328" s="46"/>
      <c r="D328" s="46"/>
      <c r="E328" s="46"/>
      <c r="F328" s="46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</row>
    <row r="329">
      <c r="A329" s="18"/>
      <c r="B329" s="18"/>
      <c r="C329" s="46"/>
      <c r="D329" s="46"/>
      <c r="E329" s="46"/>
      <c r="F329" s="46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</row>
    <row r="330">
      <c r="A330" s="18"/>
      <c r="B330" s="18"/>
      <c r="C330" s="46"/>
      <c r="D330" s="46"/>
      <c r="E330" s="46"/>
      <c r="F330" s="46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</row>
    <row r="331">
      <c r="A331" s="18"/>
      <c r="B331" s="18"/>
      <c r="C331" s="46"/>
      <c r="D331" s="46"/>
      <c r="E331" s="46"/>
      <c r="F331" s="46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</row>
    <row r="332">
      <c r="A332" s="18"/>
      <c r="B332" s="18"/>
      <c r="C332" s="46"/>
      <c r="D332" s="46"/>
      <c r="E332" s="46"/>
      <c r="F332" s="4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</row>
    <row r="333">
      <c r="A333" s="18"/>
      <c r="B333" s="18"/>
      <c r="C333" s="46"/>
      <c r="D333" s="46"/>
      <c r="E333" s="46"/>
      <c r="F333" s="46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</row>
    <row r="334">
      <c r="A334" s="18"/>
      <c r="B334" s="18"/>
      <c r="C334" s="46"/>
      <c r="D334" s="46"/>
      <c r="E334" s="46"/>
      <c r="F334" s="46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</row>
    <row r="335">
      <c r="A335" s="18"/>
      <c r="B335" s="18"/>
      <c r="C335" s="46"/>
      <c r="D335" s="46"/>
      <c r="E335" s="46"/>
      <c r="F335" s="4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</row>
    <row r="336">
      <c r="A336" s="18"/>
      <c r="B336" s="18"/>
      <c r="C336" s="46"/>
      <c r="D336" s="46"/>
      <c r="E336" s="46"/>
      <c r="F336" s="46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</row>
    <row r="337">
      <c r="A337" s="18"/>
      <c r="B337" s="18"/>
      <c r="C337" s="46"/>
      <c r="D337" s="46"/>
      <c r="E337" s="46"/>
      <c r="F337" s="46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</row>
    <row r="338">
      <c r="A338" s="18"/>
      <c r="B338" s="18"/>
      <c r="C338" s="46"/>
      <c r="D338" s="46"/>
      <c r="E338" s="46"/>
      <c r="F338" s="46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</row>
    <row r="339">
      <c r="A339" s="18"/>
      <c r="B339" s="18"/>
      <c r="C339" s="46"/>
      <c r="D339" s="46"/>
      <c r="E339" s="46"/>
      <c r="F339" s="4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</row>
    <row r="340">
      <c r="A340" s="18"/>
      <c r="B340" s="18"/>
      <c r="C340" s="46"/>
      <c r="D340" s="46"/>
      <c r="E340" s="46"/>
      <c r="F340" s="46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</row>
    <row r="341">
      <c r="A341" s="18"/>
      <c r="B341" s="18"/>
      <c r="C341" s="46"/>
      <c r="D341" s="46"/>
      <c r="E341" s="46"/>
      <c r="F341" s="46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</row>
    <row r="342">
      <c r="A342" s="18"/>
      <c r="B342" s="18"/>
      <c r="C342" s="46"/>
      <c r="D342" s="46"/>
      <c r="E342" s="46"/>
      <c r="F342" s="46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</row>
    <row r="343">
      <c r="A343" s="18"/>
      <c r="B343" s="18"/>
      <c r="C343" s="46"/>
      <c r="D343" s="46"/>
      <c r="E343" s="46"/>
      <c r="F343" s="4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</row>
    <row r="344">
      <c r="A344" s="18"/>
      <c r="B344" s="18"/>
      <c r="C344" s="46"/>
      <c r="D344" s="46"/>
      <c r="E344" s="46"/>
      <c r="F344" s="4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</row>
    <row r="345">
      <c r="A345" s="18"/>
      <c r="B345" s="18"/>
      <c r="C345" s="46"/>
      <c r="D345" s="46"/>
      <c r="E345" s="46"/>
      <c r="F345" s="46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</row>
    <row r="346">
      <c r="A346" s="18"/>
      <c r="B346" s="18"/>
      <c r="C346" s="46"/>
      <c r="D346" s="46"/>
      <c r="E346" s="46"/>
      <c r="F346" s="46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</row>
    <row r="347">
      <c r="A347" s="18"/>
      <c r="B347" s="18"/>
      <c r="C347" s="46"/>
      <c r="D347" s="46"/>
      <c r="E347" s="46"/>
      <c r="F347" s="46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</row>
    <row r="348">
      <c r="A348" s="18"/>
      <c r="B348" s="18"/>
      <c r="C348" s="46"/>
      <c r="D348" s="46"/>
      <c r="E348" s="46"/>
      <c r="F348" s="46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</row>
    <row r="349">
      <c r="A349" s="18"/>
      <c r="B349" s="18"/>
      <c r="C349" s="46"/>
      <c r="D349" s="46"/>
      <c r="E349" s="46"/>
      <c r="F349" s="46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</row>
    <row r="350">
      <c r="A350" s="18"/>
      <c r="B350" s="18"/>
      <c r="C350" s="46"/>
      <c r="D350" s="46"/>
      <c r="E350" s="46"/>
      <c r="F350" s="46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</row>
    <row r="351">
      <c r="A351" s="18"/>
      <c r="B351" s="18"/>
      <c r="C351" s="46"/>
      <c r="D351" s="46"/>
      <c r="E351" s="46"/>
      <c r="F351" s="4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</row>
    <row r="352">
      <c r="A352" s="18"/>
      <c r="B352" s="18"/>
      <c r="C352" s="46"/>
      <c r="D352" s="46"/>
      <c r="E352" s="46"/>
      <c r="F352" s="46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</row>
    <row r="353">
      <c r="A353" s="18"/>
      <c r="B353" s="18"/>
      <c r="C353" s="46"/>
      <c r="D353" s="46"/>
      <c r="E353" s="46"/>
      <c r="F353" s="46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</row>
    <row r="354">
      <c r="A354" s="18"/>
      <c r="B354" s="18"/>
      <c r="C354" s="46"/>
      <c r="D354" s="46"/>
      <c r="E354" s="46"/>
      <c r="F354" s="46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</row>
    <row r="355">
      <c r="A355" s="18"/>
      <c r="B355" s="18"/>
      <c r="C355" s="46"/>
      <c r="D355" s="46"/>
      <c r="E355" s="46"/>
      <c r="F355" s="46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</row>
    <row r="356">
      <c r="A356" s="18"/>
      <c r="B356" s="18"/>
      <c r="C356" s="46"/>
      <c r="D356" s="46"/>
      <c r="E356" s="46"/>
      <c r="F356" s="46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</row>
    <row r="357">
      <c r="A357" s="18"/>
      <c r="B357" s="18"/>
      <c r="C357" s="46"/>
      <c r="D357" s="46"/>
      <c r="E357" s="46"/>
      <c r="F357" s="46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</row>
    <row r="358">
      <c r="A358" s="18"/>
      <c r="B358" s="18"/>
      <c r="C358" s="46"/>
      <c r="D358" s="46"/>
      <c r="E358" s="46"/>
      <c r="F358" s="4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</row>
    <row r="359">
      <c r="A359" s="18"/>
      <c r="B359" s="18"/>
      <c r="C359" s="46"/>
      <c r="D359" s="46"/>
      <c r="E359" s="46"/>
      <c r="F359" s="4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</row>
    <row r="360">
      <c r="A360" s="18"/>
      <c r="B360" s="18"/>
      <c r="C360" s="46"/>
      <c r="D360" s="46"/>
      <c r="E360" s="46"/>
      <c r="F360" s="46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</row>
    <row r="361">
      <c r="A361" s="18"/>
      <c r="B361" s="18"/>
      <c r="C361" s="46"/>
      <c r="D361" s="46"/>
      <c r="E361" s="46"/>
      <c r="F361" s="46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</row>
    <row r="362">
      <c r="A362" s="18"/>
      <c r="B362" s="18"/>
      <c r="C362" s="46"/>
      <c r="D362" s="46"/>
      <c r="E362" s="46"/>
      <c r="F362" s="46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</row>
    <row r="363">
      <c r="A363" s="18"/>
      <c r="B363" s="18"/>
      <c r="C363" s="46"/>
      <c r="D363" s="46"/>
      <c r="E363" s="46"/>
      <c r="F363" s="46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</row>
    <row r="364">
      <c r="A364" s="18"/>
      <c r="B364" s="18"/>
      <c r="C364" s="46"/>
      <c r="D364" s="46"/>
      <c r="E364" s="46"/>
      <c r="F364" s="46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</row>
    <row r="365">
      <c r="A365" s="18"/>
      <c r="B365" s="18"/>
      <c r="C365" s="46"/>
      <c r="D365" s="46"/>
      <c r="E365" s="46"/>
      <c r="F365" s="4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</row>
    <row r="366">
      <c r="A366" s="18"/>
      <c r="B366" s="18"/>
      <c r="C366" s="46"/>
      <c r="D366" s="46"/>
      <c r="E366" s="46"/>
      <c r="F366" s="46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</row>
    <row r="367">
      <c r="A367" s="18"/>
      <c r="B367" s="18"/>
      <c r="C367" s="46"/>
      <c r="D367" s="46"/>
      <c r="E367" s="46"/>
      <c r="F367" s="46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</row>
    <row r="368">
      <c r="A368" s="18"/>
      <c r="B368" s="18"/>
      <c r="C368" s="46"/>
      <c r="D368" s="46"/>
      <c r="E368" s="46"/>
      <c r="F368" s="46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</row>
    <row r="369">
      <c r="A369" s="18"/>
      <c r="B369" s="18"/>
      <c r="C369" s="46"/>
      <c r="D369" s="46"/>
      <c r="E369" s="46"/>
      <c r="F369" s="46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</row>
    <row r="370">
      <c r="A370" s="18"/>
      <c r="B370" s="18"/>
      <c r="C370" s="46"/>
      <c r="D370" s="46"/>
      <c r="E370" s="46"/>
      <c r="F370" s="46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</row>
    <row r="371">
      <c r="A371" s="18"/>
      <c r="B371" s="18"/>
      <c r="C371" s="46"/>
      <c r="D371" s="46"/>
      <c r="E371" s="46"/>
      <c r="F371" s="46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</row>
    <row r="372">
      <c r="A372" s="18"/>
      <c r="B372" s="18"/>
      <c r="C372" s="46"/>
      <c r="D372" s="46"/>
      <c r="E372" s="46"/>
      <c r="F372" s="4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</row>
    <row r="373">
      <c r="A373" s="18"/>
      <c r="B373" s="18"/>
      <c r="C373" s="46"/>
      <c r="D373" s="46"/>
      <c r="E373" s="46"/>
      <c r="F373" s="46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</row>
    <row r="374">
      <c r="A374" s="18"/>
      <c r="B374" s="18"/>
      <c r="C374" s="46"/>
      <c r="D374" s="46"/>
      <c r="E374" s="46"/>
      <c r="F374" s="46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</row>
    <row r="375">
      <c r="A375" s="18"/>
      <c r="B375" s="18"/>
      <c r="C375" s="46"/>
      <c r="D375" s="46"/>
      <c r="E375" s="46"/>
      <c r="F375" s="46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</row>
    <row r="376">
      <c r="A376" s="18"/>
      <c r="B376" s="18"/>
      <c r="C376" s="46"/>
      <c r="D376" s="46"/>
      <c r="E376" s="46"/>
      <c r="F376" s="46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</row>
    <row r="377">
      <c r="A377" s="18"/>
      <c r="B377" s="18"/>
      <c r="C377" s="46"/>
      <c r="D377" s="46"/>
      <c r="E377" s="46"/>
      <c r="F377" s="46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</row>
    <row r="378">
      <c r="A378" s="18"/>
      <c r="B378" s="18"/>
      <c r="C378" s="46"/>
      <c r="D378" s="46"/>
      <c r="E378" s="46"/>
      <c r="F378" s="46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</row>
    <row r="379">
      <c r="A379" s="18"/>
      <c r="B379" s="18"/>
      <c r="C379" s="46"/>
      <c r="D379" s="46"/>
      <c r="E379" s="46"/>
      <c r="F379" s="46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</row>
    <row r="380">
      <c r="A380" s="18"/>
      <c r="B380" s="18"/>
      <c r="C380" s="46"/>
      <c r="D380" s="46"/>
      <c r="E380" s="46"/>
      <c r="F380" s="46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</row>
    <row r="381">
      <c r="A381" s="18"/>
      <c r="B381" s="18"/>
      <c r="C381" s="46"/>
      <c r="D381" s="46"/>
      <c r="E381" s="46"/>
      <c r="F381" s="46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</row>
    <row r="382">
      <c r="A382" s="18"/>
      <c r="B382" s="18"/>
      <c r="C382" s="46"/>
      <c r="D382" s="46"/>
      <c r="E382" s="46"/>
      <c r="F382" s="46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</row>
    <row r="383">
      <c r="A383" s="18"/>
      <c r="B383" s="18"/>
      <c r="C383" s="46"/>
      <c r="D383" s="46"/>
      <c r="E383" s="46"/>
      <c r="F383" s="46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</row>
    <row r="384">
      <c r="A384" s="18"/>
      <c r="B384" s="18"/>
      <c r="C384" s="46"/>
      <c r="D384" s="46"/>
      <c r="E384" s="46"/>
      <c r="F384" s="46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</row>
    <row r="385">
      <c r="A385" s="18"/>
      <c r="B385" s="18"/>
      <c r="C385" s="46"/>
      <c r="D385" s="46"/>
      <c r="E385" s="46"/>
      <c r="F385" s="46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</row>
    <row r="386">
      <c r="A386" s="18"/>
      <c r="B386" s="18"/>
      <c r="C386" s="46"/>
      <c r="D386" s="46"/>
      <c r="E386" s="46"/>
      <c r="F386" s="46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</row>
    <row r="387">
      <c r="A387" s="18"/>
      <c r="B387" s="18"/>
      <c r="C387" s="46"/>
      <c r="D387" s="46"/>
      <c r="E387" s="46"/>
      <c r="F387" s="46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</row>
    <row r="388">
      <c r="A388" s="18"/>
      <c r="B388" s="18"/>
      <c r="C388" s="46"/>
      <c r="D388" s="46"/>
      <c r="E388" s="46"/>
      <c r="F388" s="46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</row>
    <row r="389">
      <c r="A389" s="18"/>
      <c r="B389" s="18"/>
      <c r="C389" s="46"/>
      <c r="D389" s="46"/>
      <c r="E389" s="46"/>
      <c r="F389" s="46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</row>
    <row r="390">
      <c r="A390" s="18"/>
      <c r="B390" s="18"/>
      <c r="C390" s="46"/>
      <c r="D390" s="46"/>
      <c r="E390" s="46"/>
      <c r="F390" s="46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</row>
    <row r="391">
      <c r="A391" s="18"/>
      <c r="B391" s="18"/>
      <c r="C391" s="46"/>
      <c r="D391" s="46"/>
      <c r="E391" s="46"/>
      <c r="F391" s="46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</row>
    <row r="392">
      <c r="A392" s="18"/>
      <c r="B392" s="18"/>
      <c r="C392" s="46"/>
      <c r="D392" s="46"/>
      <c r="E392" s="46"/>
      <c r="F392" s="46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</row>
    <row r="393">
      <c r="A393" s="18"/>
      <c r="B393" s="18"/>
      <c r="C393" s="46"/>
      <c r="D393" s="46"/>
      <c r="E393" s="46"/>
      <c r="F393" s="46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</row>
    <row r="394">
      <c r="A394" s="18"/>
      <c r="B394" s="18"/>
      <c r="C394" s="46"/>
      <c r="D394" s="46"/>
      <c r="E394" s="46"/>
      <c r="F394" s="46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</row>
    <row r="395">
      <c r="A395" s="18"/>
      <c r="B395" s="18"/>
      <c r="C395" s="46"/>
      <c r="D395" s="46"/>
      <c r="E395" s="46"/>
      <c r="F395" s="46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</row>
    <row r="396">
      <c r="A396" s="18"/>
      <c r="B396" s="18"/>
      <c r="C396" s="46"/>
      <c r="D396" s="46"/>
      <c r="E396" s="46"/>
      <c r="F396" s="46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</row>
    <row r="397">
      <c r="A397" s="18"/>
      <c r="B397" s="18"/>
      <c r="C397" s="46"/>
      <c r="D397" s="46"/>
      <c r="E397" s="46"/>
      <c r="F397" s="46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</row>
    <row r="398">
      <c r="A398" s="18"/>
      <c r="B398" s="18"/>
      <c r="C398" s="46"/>
      <c r="D398" s="46"/>
      <c r="E398" s="46"/>
      <c r="F398" s="46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</row>
    <row r="399">
      <c r="A399" s="18"/>
      <c r="B399" s="18"/>
      <c r="C399" s="46"/>
      <c r="D399" s="46"/>
      <c r="E399" s="46"/>
      <c r="F399" s="46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</row>
    <row r="400">
      <c r="A400" s="18"/>
      <c r="B400" s="18"/>
      <c r="C400" s="46"/>
      <c r="D400" s="46"/>
      <c r="E400" s="46"/>
      <c r="F400" s="46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</row>
    <row r="401">
      <c r="A401" s="18"/>
      <c r="B401" s="18"/>
      <c r="C401" s="46"/>
      <c r="D401" s="46"/>
      <c r="E401" s="46"/>
      <c r="F401" s="46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</row>
    <row r="402">
      <c r="A402" s="18"/>
      <c r="B402" s="18"/>
      <c r="C402" s="46"/>
      <c r="D402" s="46"/>
      <c r="E402" s="46"/>
      <c r="F402" s="46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</row>
    <row r="403">
      <c r="A403" s="18"/>
      <c r="B403" s="18"/>
      <c r="C403" s="46"/>
      <c r="D403" s="46"/>
      <c r="E403" s="46"/>
      <c r="F403" s="46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</row>
    <row r="404">
      <c r="A404" s="18"/>
      <c r="B404" s="18"/>
      <c r="C404" s="46"/>
      <c r="D404" s="46"/>
      <c r="E404" s="46"/>
      <c r="F404" s="46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</row>
    <row r="405">
      <c r="A405" s="18"/>
      <c r="B405" s="18"/>
      <c r="C405" s="46"/>
      <c r="D405" s="46"/>
      <c r="E405" s="46"/>
      <c r="F405" s="46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</row>
    <row r="406">
      <c r="A406" s="18"/>
      <c r="B406" s="18"/>
      <c r="C406" s="46"/>
      <c r="D406" s="46"/>
      <c r="E406" s="46"/>
      <c r="F406" s="46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</row>
    <row r="407">
      <c r="A407" s="18"/>
      <c r="B407" s="18"/>
      <c r="C407" s="46"/>
      <c r="D407" s="46"/>
      <c r="E407" s="46"/>
      <c r="F407" s="46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</row>
    <row r="408">
      <c r="A408" s="18"/>
      <c r="B408" s="18"/>
      <c r="C408" s="46"/>
      <c r="D408" s="46"/>
      <c r="E408" s="46"/>
      <c r="F408" s="46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</row>
    <row r="409">
      <c r="A409" s="18"/>
      <c r="B409" s="18"/>
      <c r="C409" s="46"/>
      <c r="D409" s="46"/>
      <c r="E409" s="46"/>
      <c r="F409" s="46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</row>
    <row r="410">
      <c r="A410" s="18"/>
      <c r="B410" s="18"/>
      <c r="C410" s="46"/>
      <c r="D410" s="46"/>
      <c r="E410" s="46"/>
      <c r="F410" s="46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</row>
    <row r="411">
      <c r="A411" s="18"/>
      <c r="B411" s="18"/>
      <c r="C411" s="46"/>
      <c r="D411" s="46"/>
      <c r="E411" s="46"/>
      <c r="F411" s="46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</row>
    <row r="412">
      <c r="A412" s="18"/>
      <c r="B412" s="18"/>
      <c r="C412" s="46"/>
      <c r="D412" s="46"/>
      <c r="E412" s="46"/>
      <c r="F412" s="46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</row>
    <row r="413">
      <c r="A413" s="18"/>
      <c r="B413" s="18"/>
      <c r="C413" s="46"/>
      <c r="D413" s="46"/>
      <c r="E413" s="46"/>
      <c r="F413" s="46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</row>
    <row r="414">
      <c r="A414" s="18"/>
      <c r="B414" s="18"/>
      <c r="C414" s="46"/>
      <c r="D414" s="46"/>
      <c r="E414" s="46"/>
      <c r="F414" s="46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</row>
    <row r="415">
      <c r="A415" s="18"/>
      <c r="B415" s="18"/>
      <c r="C415" s="46"/>
      <c r="D415" s="46"/>
      <c r="E415" s="46"/>
      <c r="F415" s="46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</row>
    <row r="416">
      <c r="A416" s="18"/>
      <c r="B416" s="18"/>
      <c r="C416" s="46"/>
      <c r="D416" s="46"/>
      <c r="E416" s="46"/>
      <c r="F416" s="46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</row>
    <row r="417">
      <c r="A417" s="18"/>
      <c r="B417" s="18"/>
      <c r="C417" s="46"/>
      <c r="D417" s="46"/>
      <c r="E417" s="46"/>
      <c r="F417" s="46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</row>
    <row r="418">
      <c r="A418" s="18"/>
      <c r="B418" s="18"/>
      <c r="C418" s="46"/>
      <c r="D418" s="46"/>
      <c r="E418" s="46"/>
      <c r="F418" s="46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</row>
    <row r="419">
      <c r="A419" s="18"/>
      <c r="B419" s="18"/>
      <c r="C419" s="46"/>
      <c r="D419" s="46"/>
      <c r="E419" s="46"/>
      <c r="F419" s="46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</row>
    <row r="420">
      <c r="A420" s="18"/>
      <c r="B420" s="18"/>
      <c r="C420" s="46"/>
      <c r="D420" s="46"/>
      <c r="E420" s="46"/>
      <c r="F420" s="46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</row>
    <row r="421">
      <c r="A421" s="18"/>
      <c r="B421" s="18"/>
      <c r="C421" s="46"/>
      <c r="D421" s="46"/>
      <c r="E421" s="46"/>
      <c r="F421" s="46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</row>
    <row r="422">
      <c r="A422" s="18"/>
      <c r="B422" s="18"/>
      <c r="C422" s="46"/>
      <c r="D422" s="46"/>
      <c r="E422" s="46"/>
      <c r="F422" s="46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</row>
    <row r="423">
      <c r="A423" s="18"/>
      <c r="B423" s="18"/>
      <c r="C423" s="46"/>
      <c r="D423" s="46"/>
      <c r="E423" s="46"/>
      <c r="F423" s="46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</row>
    <row r="424">
      <c r="A424" s="18"/>
      <c r="B424" s="18"/>
      <c r="C424" s="46"/>
      <c r="D424" s="46"/>
      <c r="E424" s="46"/>
      <c r="F424" s="46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</row>
    <row r="425">
      <c r="A425" s="18"/>
      <c r="B425" s="18"/>
      <c r="C425" s="46"/>
      <c r="D425" s="46"/>
      <c r="E425" s="46"/>
      <c r="F425" s="46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</row>
    <row r="426">
      <c r="A426" s="18"/>
      <c r="B426" s="18"/>
      <c r="C426" s="46"/>
      <c r="D426" s="46"/>
      <c r="E426" s="46"/>
      <c r="F426" s="46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</row>
    <row r="427">
      <c r="A427" s="18"/>
      <c r="B427" s="18"/>
      <c r="C427" s="46"/>
      <c r="D427" s="46"/>
      <c r="E427" s="46"/>
      <c r="F427" s="46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</row>
    <row r="428">
      <c r="A428" s="18"/>
      <c r="B428" s="18"/>
      <c r="C428" s="46"/>
      <c r="D428" s="46"/>
      <c r="E428" s="46"/>
      <c r="F428" s="46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</row>
    <row r="429">
      <c r="A429" s="18"/>
      <c r="B429" s="18"/>
      <c r="C429" s="46"/>
      <c r="D429" s="46"/>
      <c r="E429" s="46"/>
      <c r="F429" s="46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</row>
    <row r="430">
      <c r="A430" s="18"/>
      <c r="B430" s="18"/>
      <c r="C430" s="46"/>
      <c r="D430" s="46"/>
      <c r="E430" s="46"/>
      <c r="F430" s="46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</row>
    <row r="431">
      <c r="A431" s="18"/>
      <c r="B431" s="18"/>
      <c r="C431" s="46"/>
      <c r="D431" s="46"/>
      <c r="E431" s="46"/>
      <c r="F431" s="46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</row>
    <row r="432">
      <c r="A432" s="18"/>
      <c r="B432" s="18"/>
      <c r="C432" s="46"/>
      <c r="D432" s="46"/>
      <c r="E432" s="46"/>
      <c r="F432" s="46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</row>
    <row r="433">
      <c r="A433" s="18"/>
      <c r="B433" s="18"/>
      <c r="C433" s="46"/>
      <c r="D433" s="46"/>
      <c r="E433" s="46"/>
      <c r="F433" s="46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</row>
    <row r="434">
      <c r="A434" s="18"/>
      <c r="B434" s="18"/>
      <c r="C434" s="46"/>
      <c r="D434" s="46"/>
      <c r="E434" s="46"/>
      <c r="F434" s="46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</row>
    <row r="435">
      <c r="A435" s="18"/>
      <c r="B435" s="18"/>
      <c r="C435" s="46"/>
      <c r="D435" s="46"/>
      <c r="E435" s="46"/>
      <c r="F435" s="46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</row>
    <row r="436">
      <c r="A436" s="18"/>
      <c r="B436" s="18"/>
      <c r="C436" s="46"/>
      <c r="D436" s="46"/>
      <c r="E436" s="46"/>
      <c r="F436" s="46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</row>
    <row r="437">
      <c r="A437" s="18"/>
      <c r="B437" s="18"/>
      <c r="C437" s="46"/>
      <c r="D437" s="46"/>
      <c r="E437" s="46"/>
      <c r="F437" s="46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</row>
    <row r="438">
      <c r="A438" s="18"/>
      <c r="B438" s="18"/>
      <c r="C438" s="46"/>
      <c r="D438" s="46"/>
      <c r="E438" s="46"/>
      <c r="F438" s="46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</row>
    <row r="439">
      <c r="A439" s="18"/>
      <c r="B439" s="18"/>
      <c r="C439" s="46"/>
      <c r="D439" s="46"/>
      <c r="E439" s="46"/>
      <c r="F439" s="46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</row>
    <row r="440">
      <c r="A440" s="18"/>
      <c r="B440" s="18"/>
      <c r="C440" s="46"/>
      <c r="D440" s="46"/>
      <c r="E440" s="46"/>
      <c r="F440" s="46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</row>
    <row r="441">
      <c r="A441" s="18"/>
      <c r="B441" s="18"/>
      <c r="C441" s="46"/>
      <c r="D441" s="46"/>
      <c r="E441" s="46"/>
      <c r="F441" s="46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</row>
    <row r="442">
      <c r="A442" s="18"/>
      <c r="B442" s="18"/>
      <c r="C442" s="46"/>
      <c r="D442" s="46"/>
      <c r="E442" s="46"/>
      <c r="F442" s="46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</row>
    <row r="443">
      <c r="A443" s="18"/>
      <c r="B443" s="18"/>
      <c r="C443" s="46"/>
      <c r="D443" s="46"/>
      <c r="E443" s="46"/>
      <c r="F443" s="46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</row>
    <row r="444">
      <c r="A444" s="18"/>
      <c r="B444" s="18"/>
      <c r="C444" s="46"/>
      <c r="D444" s="46"/>
      <c r="E444" s="46"/>
      <c r="F444" s="46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</row>
    <row r="445">
      <c r="A445" s="18"/>
      <c r="B445" s="18"/>
      <c r="C445" s="46"/>
      <c r="D445" s="46"/>
      <c r="E445" s="46"/>
      <c r="F445" s="46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</row>
    <row r="446">
      <c r="A446" s="18"/>
      <c r="B446" s="18"/>
      <c r="C446" s="46"/>
      <c r="D446" s="46"/>
      <c r="E446" s="46"/>
      <c r="F446" s="46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</row>
    <row r="447">
      <c r="A447" s="18"/>
      <c r="B447" s="18"/>
      <c r="C447" s="46"/>
      <c r="D447" s="46"/>
      <c r="E447" s="46"/>
      <c r="F447" s="46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</row>
    <row r="448">
      <c r="A448" s="18"/>
      <c r="B448" s="18"/>
      <c r="C448" s="46"/>
      <c r="D448" s="46"/>
      <c r="E448" s="46"/>
      <c r="F448" s="46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</row>
    <row r="449">
      <c r="A449" s="18"/>
      <c r="B449" s="18"/>
      <c r="C449" s="46"/>
      <c r="D449" s="46"/>
      <c r="E449" s="46"/>
      <c r="F449" s="46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</row>
    <row r="450">
      <c r="A450" s="18"/>
      <c r="B450" s="18"/>
      <c r="C450" s="46"/>
      <c r="D450" s="46"/>
      <c r="E450" s="46"/>
      <c r="F450" s="46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</row>
    <row r="451">
      <c r="A451" s="18"/>
      <c r="B451" s="18"/>
      <c r="C451" s="46"/>
      <c r="D451" s="46"/>
      <c r="E451" s="46"/>
      <c r="F451" s="46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</row>
    <row r="452">
      <c r="A452" s="18"/>
      <c r="B452" s="18"/>
      <c r="C452" s="46"/>
      <c r="D452" s="46"/>
      <c r="E452" s="46"/>
      <c r="F452" s="46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</row>
    <row r="453">
      <c r="A453" s="18"/>
      <c r="B453" s="18"/>
      <c r="C453" s="46"/>
      <c r="D453" s="46"/>
      <c r="E453" s="46"/>
      <c r="F453" s="46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</row>
    <row r="454">
      <c r="A454" s="18"/>
      <c r="B454" s="18"/>
      <c r="C454" s="46"/>
      <c r="D454" s="46"/>
      <c r="E454" s="46"/>
      <c r="F454" s="46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</row>
    <row r="455">
      <c r="A455" s="18"/>
      <c r="B455" s="18"/>
      <c r="C455" s="46"/>
      <c r="D455" s="46"/>
      <c r="E455" s="46"/>
      <c r="F455" s="46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</row>
    <row r="456">
      <c r="A456" s="18"/>
      <c r="B456" s="18"/>
      <c r="C456" s="46"/>
      <c r="D456" s="46"/>
      <c r="E456" s="46"/>
      <c r="F456" s="46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</row>
    <row r="457">
      <c r="A457" s="18"/>
      <c r="B457" s="18"/>
      <c r="C457" s="46"/>
      <c r="D457" s="46"/>
      <c r="E457" s="46"/>
      <c r="F457" s="46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</row>
    <row r="458">
      <c r="A458" s="18"/>
      <c r="B458" s="18"/>
      <c r="C458" s="46"/>
      <c r="D458" s="46"/>
      <c r="E458" s="46"/>
      <c r="F458" s="46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</row>
    <row r="459">
      <c r="A459" s="18"/>
      <c r="B459" s="18"/>
      <c r="C459" s="46"/>
      <c r="D459" s="46"/>
      <c r="E459" s="46"/>
      <c r="F459" s="46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</row>
    <row r="460">
      <c r="A460" s="18"/>
      <c r="B460" s="18"/>
      <c r="C460" s="46"/>
      <c r="D460" s="46"/>
      <c r="E460" s="46"/>
      <c r="F460" s="46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</row>
    <row r="461">
      <c r="A461" s="18"/>
      <c r="B461" s="18"/>
      <c r="C461" s="46"/>
      <c r="D461" s="46"/>
      <c r="E461" s="46"/>
      <c r="F461" s="46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</row>
    <row r="462">
      <c r="A462" s="18"/>
      <c r="B462" s="18"/>
      <c r="C462" s="46"/>
      <c r="D462" s="46"/>
      <c r="E462" s="46"/>
      <c r="F462" s="46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</row>
    <row r="463">
      <c r="A463" s="18"/>
      <c r="B463" s="18"/>
      <c r="C463" s="46"/>
      <c r="D463" s="46"/>
      <c r="E463" s="46"/>
      <c r="F463" s="46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</row>
    <row r="464">
      <c r="A464" s="18"/>
      <c r="B464" s="18"/>
      <c r="C464" s="46"/>
      <c r="D464" s="46"/>
      <c r="E464" s="46"/>
      <c r="F464" s="46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</row>
    <row r="465">
      <c r="A465" s="18"/>
      <c r="B465" s="18"/>
      <c r="C465" s="46"/>
      <c r="D465" s="46"/>
      <c r="E465" s="46"/>
      <c r="F465" s="46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</row>
    <row r="466">
      <c r="A466" s="18"/>
      <c r="B466" s="18"/>
      <c r="C466" s="46"/>
      <c r="D466" s="46"/>
      <c r="E466" s="46"/>
      <c r="F466" s="46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</row>
    <row r="467">
      <c r="A467" s="18"/>
      <c r="B467" s="18"/>
      <c r="C467" s="46"/>
      <c r="D467" s="46"/>
      <c r="E467" s="46"/>
      <c r="F467" s="46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</row>
    <row r="468">
      <c r="A468" s="18"/>
      <c r="B468" s="18"/>
      <c r="C468" s="46"/>
      <c r="D468" s="46"/>
      <c r="E468" s="46"/>
      <c r="F468" s="46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</row>
    <row r="469">
      <c r="A469" s="18"/>
      <c r="B469" s="18"/>
      <c r="C469" s="46"/>
      <c r="D469" s="46"/>
      <c r="E469" s="46"/>
      <c r="F469" s="46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</row>
    <row r="470">
      <c r="A470" s="18"/>
      <c r="B470" s="18"/>
      <c r="C470" s="46"/>
      <c r="D470" s="46"/>
      <c r="E470" s="46"/>
      <c r="F470" s="46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</row>
    <row r="471">
      <c r="A471" s="18"/>
      <c r="B471" s="18"/>
      <c r="C471" s="46"/>
      <c r="D471" s="46"/>
      <c r="E471" s="46"/>
      <c r="F471" s="46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</row>
    <row r="472">
      <c r="A472" s="18"/>
      <c r="B472" s="18"/>
      <c r="C472" s="46"/>
      <c r="D472" s="46"/>
      <c r="E472" s="46"/>
      <c r="F472" s="46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</row>
    <row r="473">
      <c r="A473" s="18"/>
      <c r="B473" s="18"/>
      <c r="C473" s="46"/>
      <c r="D473" s="46"/>
      <c r="E473" s="46"/>
      <c r="F473" s="46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</row>
    <row r="474">
      <c r="A474" s="18"/>
      <c r="B474" s="18"/>
      <c r="C474" s="46"/>
      <c r="D474" s="46"/>
      <c r="E474" s="46"/>
      <c r="F474" s="46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</row>
    <row r="475">
      <c r="A475" s="18"/>
      <c r="B475" s="18"/>
      <c r="C475" s="46"/>
      <c r="D475" s="46"/>
      <c r="E475" s="46"/>
      <c r="F475" s="46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</row>
    <row r="476">
      <c r="A476" s="18"/>
      <c r="B476" s="18"/>
      <c r="C476" s="46"/>
      <c r="D476" s="46"/>
      <c r="E476" s="46"/>
      <c r="F476" s="46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</row>
    <row r="477">
      <c r="A477" s="18"/>
      <c r="B477" s="18"/>
      <c r="C477" s="46"/>
      <c r="D477" s="46"/>
      <c r="E477" s="46"/>
      <c r="F477" s="46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</row>
    <row r="478">
      <c r="A478" s="18"/>
      <c r="B478" s="18"/>
      <c r="C478" s="46"/>
      <c r="D478" s="46"/>
      <c r="E478" s="46"/>
      <c r="F478" s="46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</row>
    <row r="479">
      <c r="A479" s="18"/>
      <c r="B479" s="18"/>
      <c r="C479" s="46"/>
      <c r="D479" s="46"/>
      <c r="E479" s="46"/>
      <c r="F479" s="46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</row>
    <row r="480">
      <c r="A480" s="18"/>
      <c r="B480" s="18"/>
      <c r="C480" s="46"/>
      <c r="D480" s="46"/>
      <c r="E480" s="46"/>
      <c r="F480" s="46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</row>
    <row r="481">
      <c r="A481" s="18"/>
      <c r="B481" s="18"/>
      <c r="C481" s="46"/>
      <c r="D481" s="46"/>
      <c r="E481" s="46"/>
      <c r="F481" s="46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</row>
    <row r="482">
      <c r="A482" s="18"/>
      <c r="B482" s="18"/>
      <c r="C482" s="46"/>
      <c r="D482" s="46"/>
      <c r="E482" s="46"/>
      <c r="F482" s="46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</row>
    <row r="483">
      <c r="A483" s="18"/>
      <c r="B483" s="18"/>
      <c r="C483" s="46"/>
      <c r="D483" s="46"/>
      <c r="E483" s="46"/>
      <c r="F483" s="46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</row>
    <row r="484">
      <c r="A484" s="18"/>
      <c r="B484" s="18"/>
      <c r="C484" s="46"/>
      <c r="D484" s="46"/>
      <c r="E484" s="46"/>
      <c r="F484" s="46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</row>
    <row r="485">
      <c r="A485" s="18"/>
      <c r="B485" s="18"/>
      <c r="C485" s="46"/>
      <c r="D485" s="46"/>
      <c r="E485" s="46"/>
      <c r="F485" s="46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</row>
    <row r="486">
      <c r="A486" s="18"/>
      <c r="B486" s="18"/>
      <c r="C486" s="46"/>
      <c r="D486" s="46"/>
      <c r="E486" s="46"/>
      <c r="F486" s="46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</row>
    <row r="487">
      <c r="A487" s="18"/>
      <c r="B487" s="18"/>
      <c r="C487" s="46"/>
      <c r="D487" s="46"/>
      <c r="E487" s="46"/>
      <c r="F487" s="46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</row>
    <row r="488">
      <c r="A488" s="18"/>
      <c r="B488" s="18"/>
      <c r="C488" s="46"/>
      <c r="D488" s="46"/>
      <c r="E488" s="46"/>
      <c r="F488" s="46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</row>
    <row r="489">
      <c r="A489" s="18"/>
      <c r="B489" s="18"/>
      <c r="C489" s="46"/>
      <c r="D489" s="46"/>
      <c r="E489" s="46"/>
      <c r="F489" s="46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</row>
    <row r="490">
      <c r="A490" s="18"/>
      <c r="B490" s="18"/>
      <c r="C490" s="46"/>
      <c r="D490" s="46"/>
      <c r="E490" s="46"/>
      <c r="F490" s="46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</row>
    <row r="491">
      <c r="A491" s="18"/>
      <c r="B491" s="18"/>
      <c r="C491" s="46"/>
      <c r="D491" s="46"/>
      <c r="E491" s="46"/>
      <c r="F491" s="46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</row>
    <row r="492">
      <c r="A492" s="18"/>
      <c r="B492" s="18"/>
      <c r="C492" s="46"/>
      <c r="D492" s="46"/>
      <c r="E492" s="46"/>
      <c r="F492" s="46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</row>
    <row r="493">
      <c r="A493" s="18"/>
      <c r="B493" s="18"/>
      <c r="C493" s="46"/>
      <c r="D493" s="46"/>
      <c r="E493" s="46"/>
      <c r="F493" s="46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</row>
    <row r="494">
      <c r="A494" s="18"/>
      <c r="B494" s="18"/>
      <c r="C494" s="46"/>
      <c r="D494" s="46"/>
      <c r="E494" s="46"/>
      <c r="F494" s="46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</row>
    <row r="495">
      <c r="A495" s="18"/>
      <c r="B495" s="18"/>
      <c r="C495" s="46"/>
      <c r="D495" s="46"/>
      <c r="E495" s="46"/>
      <c r="F495" s="46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</row>
    <row r="496">
      <c r="A496" s="18"/>
      <c r="B496" s="18"/>
      <c r="C496" s="46"/>
      <c r="D496" s="46"/>
      <c r="E496" s="46"/>
      <c r="F496" s="46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</row>
    <row r="497">
      <c r="A497" s="18"/>
      <c r="B497" s="18"/>
      <c r="C497" s="46"/>
      <c r="D497" s="46"/>
      <c r="E497" s="46"/>
      <c r="F497" s="46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</row>
    <row r="498">
      <c r="A498" s="18"/>
      <c r="B498" s="18"/>
      <c r="C498" s="46"/>
      <c r="D498" s="46"/>
      <c r="E498" s="46"/>
      <c r="F498" s="46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</row>
    <row r="499">
      <c r="A499" s="18"/>
      <c r="B499" s="18"/>
      <c r="C499" s="46"/>
      <c r="D499" s="46"/>
      <c r="E499" s="46"/>
      <c r="F499" s="46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</row>
    <row r="500">
      <c r="A500" s="18"/>
      <c r="B500" s="18"/>
      <c r="C500" s="46"/>
      <c r="D500" s="46"/>
      <c r="E500" s="46"/>
      <c r="F500" s="46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</row>
    <row r="501">
      <c r="A501" s="18"/>
      <c r="B501" s="18"/>
      <c r="C501" s="46"/>
      <c r="D501" s="46"/>
      <c r="E501" s="46"/>
      <c r="F501" s="46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</row>
    <row r="502">
      <c r="A502" s="18"/>
      <c r="B502" s="18"/>
      <c r="C502" s="46"/>
      <c r="D502" s="46"/>
      <c r="E502" s="46"/>
      <c r="F502" s="46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</row>
    <row r="503">
      <c r="A503" s="18"/>
      <c r="B503" s="18"/>
      <c r="C503" s="46"/>
      <c r="D503" s="46"/>
      <c r="E503" s="46"/>
      <c r="F503" s="46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</row>
    <row r="504">
      <c r="A504" s="18"/>
      <c r="B504" s="18"/>
      <c r="C504" s="46"/>
      <c r="D504" s="46"/>
      <c r="E504" s="46"/>
      <c r="F504" s="46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</row>
    <row r="505">
      <c r="A505" s="18"/>
      <c r="B505" s="18"/>
      <c r="C505" s="46"/>
      <c r="D505" s="46"/>
      <c r="E505" s="46"/>
      <c r="F505" s="4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</row>
    <row r="506">
      <c r="A506" s="18"/>
      <c r="B506" s="18"/>
      <c r="C506" s="46"/>
      <c r="D506" s="46"/>
      <c r="E506" s="46"/>
      <c r="F506" s="46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</row>
    <row r="507">
      <c r="A507" s="18"/>
      <c r="B507" s="18"/>
      <c r="C507" s="46"/>
      <c r="D507" s="46"/>
      <c r="E507" s="46"/>
      <c r="F507" s="46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</row>
    <row r="508">
      <c r="A508" s="18"/>
      <c r="B508" s="18"/>
      <c r="C508" s="46"/>
      <c r="D508" s="46"/>
      <c r="E508" s="46"/>
      <c r="F508" s="46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</row>
    <row r="509">
      <c r="A509" s="18"/>
      <c r="B509" s="18"/>
      <c r="C509" s="46"/>
      <c r="D509" s="46"/>
      <c r="E509" s="46"/>
      <c r="F509" s="46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</row>
    <row r="510">
      <c r="A510" s="18"/>
      <c r="B510" s="18"/>
      <c r="C510" s="46"/>
      <c r="D510" s="46"/>
      <c r="E510" s="46"/>
      <c r="F510" s="46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</row>
    <row r="511">
      <c r="A511" s="18"/>
      <c r="B511" s="18"/>
      <c r="C511" s="46"/>
      <c r="D511" s="46"/>
      <c r="E511" s="46"/>
      <c r="F511" s="46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</row>
    <row r="512">
      <c r="A512" s="18"/>
      <c r="B512" s="18"/>
      <c r="C512" s="46"/>
      <c r="D512" s="46"/>
      <c r="E512" s="46"/>
      <c r="F512" s="46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</row>
    <row r="513">
      <c r="A513" s="18"/>
      <c r="B513" s="18"/>
      <c r="C513" s="46"/>
      <c r="D513" s="46"/>
      <c r="E513" s="46"/>
      <c r="F513" s="46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</row>
    <row r="514">
      <c r="A514" s="18"/>
      <c r="B514" s="18"/>
      <c r="C514" s="46"/>
      <c r="D514" s="46"/>
      <c r="E514" s="46"/>
      <c r="F514" s="46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</row>
    <row r="515">
      <c r="A515" s="18"/>
      <c r="B515" s="18"/>
      <c r="C515" s="46"/>
      <c r="D515" s="46"/>
      <c r="E515" s="46"/>
      <c r="F515" s="46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</row>
    <row r="516">
      <c r="A516" s="18"/>
      <c r="B516" s="18"/>
      <c r="C516" s="46"/>
      <c r="D516" s="46"/>
      <c r="E516" s="46"/>
      <c r="F516" s="46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</row>
    <row r="517">
      <c r="A517" s="18"/>
      <c r="B517" s="18"/>
      <c r="C517" s="46"/>
      <c r="D517" s="46"/>
      <c r="E517" s="46"/>
      <c r="F517" s="46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</row>
    <row r="518">
      <c r="A518" s="18"/>
      <c r="B518" s="18"/>
      <c r="C518" s="46"/>
      <c r="D518" s="46"/>
      <c r="E518" s="46"/>
      <c r="F518" s="46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</row>
    <row r="519">
      <c r="A519" s="18"/>
      <c r="B519" s="18"/>
      <c r="C519" s="46"/>
      <c r="D519" s="46"/>
      <c r="E519" s="46"/>
      <c r="F519" s="46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</row>
    <row r="520">
      <c r="A520" s="18"/>
      <c r="B520" s="18"/>
      <c r="C520" s="46"/>
      <c r="D520" s="46"/>
      <c r="E520" s="46"/>
      <c r="F520" s="46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</row>
    <row r="521">
      <c r="A521" s="18"/>
      <c r="B521" s="18"/>
      <c r="C521" s="46"/>
      <c r="D521" s="46"/>
      <c r="E521" s="46"/>
      <c r="F521" s="46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</row>
    <row r="522">
      <c r="A522" s="18"/>
      <c r="B522" s="18"/>
      <c r="C522" s="46"/>
      <c r="D522" s="46"/>
      <c r="E522" s="46"/>
      <c r="F522" s="46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</row>
    <row r="523">
      <c r="A523" s="18"/>
      <c r="B523" s="18"/>
      <c r="C523" s="46"/>
      <c r="D523" s="46"/>
      <c r="E523" s="46"/>
      <c r="F523" s="46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</row>
    <row r="524">
      <c r="A524" s="18"/>
      <c r="B524" s="18"/>
      <c r="C524" s="46"/>
      <c r="D524" s="46"/>
      <c r="E524" s="46"/>
      <c r="F524" s="46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</row>
    <row r="525">
      <c r="A525" s="18"/>
      <c r="B525" s="18"/>
      <c r="C525" s="46"/>
      <c r="D525" s="46"/>
      <c r="E525" s="46"/>
      <c r="F525" s="46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</row>
    <row r="526">
      <c r="A526" s="18"/>
      <c r="B526" s="18"/>
      <c r="C526" s="46"/>
      <c r="D526" s="46"/>
      <c r="E526" s="46"/>
      <c r="F526" s="46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</row>
    <row r="527">
      <c r="A527" s="18"/>
      <c r="B527" s="18"/>
      <c r="C527" s="46"/>
      <c r="D527" s="46"/>
      <c r="E527" s="46"/>
      <c r="F527" s="46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</row>
    <row r="528">
      <c r="A528" s="18"/>
      <c r="B528" s="18"/>
      <c r="C528" s="46"/>
      <c r="D528" s="46"/>
      <c r="E528" s="46"/>
      <c r="F528" s="46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</row>
    <row r="529">
      <c r="A529" s="18"/>
      <c r="B529" s="18"/>
      <c r="C529" s="46"/>
      <c r="D529" s="46"/>
      <c r="E529" s="46"/>
      <c r="F529" s="46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</row>
    <row r="530">
      <c r="A530" s="18"/>
      <c r="B530" s="18"/>
      <c r="C530" s="46"/>
      <c r="D530" s="46"/>
      <c r="E530" s="46"/>
      <c r="F530" s="46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</row>
    <row r="531">
      <c r="A531" s="18"/>
      <c r="B531" s="18"/>
      <c r="C531" s="46"/>
      <c r="D531" s="46"/>
      <c r="E531" s="46"/>
      <c r="F531" s="46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</row>
    <row r="532">
      <c r="A532" s="18"/>
      <c r="B532" s="18"/>
      <c r="C532" s="46"/>
      <c r="D532" s="46"/>
      <c r="E532" s="46"/>
      <c r="F532" s="46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</row>
    <row r="533">
      <c r="A533" s="18"/>
      <c r="B533" s="18"/>
      <c r="C533" s="46"/>
      <c r="D533" s="46"/>
      <c r="E533" s="46"/>
      <c r="F533" s="46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</row>
    <row r="534">
      <c r="A534" s="18"/>
      <c r="B534" s="18"/>
      <c r="C534" s="46"/>
      <c r="D534" s="46"/>
      <c r="E534" s="46"/>
      <c r="F534" s="46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</row>
    <row r="535">
      <c r="A535" s="18"/>
      <c r="B535" s="18"/>
      <c r="C535" s="46"/>
      <c r="D535" s="46"/>
      <c r="E535" s="46"/>
      <c r="F535" s="46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</row>
    <row r="536">
      <c r="A536" s="18"/>
      <c r="B536" s="18"/>
      <c r="C536" s="46"/>
      <c r="D536" s="46"/>
      <c r="E536" s="46"/>
      <c r="F536" s="46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</row>
    <row r="537">
      <c r="A537" s="18"/>
      <c r="B537" s="18"/>
      <c r="C537" s="46"/>
      <c r="D537" s="46"/>
      <c r="E537" s="46"/>
      <c r="F537" s="46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</row>
    <row r="538">
      <c r="A538" s="18"/>
      <c r="B538" s="18"/>
      <c r="C538" s="46"/>
      <c r="D538" s="46"/>
      <c r="E538" s="46"/>
      <c r="F538" s="46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</row>
    <row r="539">
      <c r="A539" s="18"/>
      <c r="B539" s="18"/>
      <c r="C539" s="46"/>
      <c r="D539" s="46"/>
      <c r="E539" s="46"/>
      <c r="F539" s="46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</row>
    <row r="540">
      <c r="A540" s="18"/>
      <c r="B540" s="18"/>
      <c r="C540" s="46"/>
      <c r="D540" s="46"/>
      <c r="E540" s="46"/>
      <c r="F540" s="46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</row>
    <row r="541">
      <c r="A541" s="18"/>
      <c r="B541" s="18"/>
      <c r="C541" s="46"/>
      <c r="D541" s="46"/>
      <c r="E541" s="46"/>
      <c r="F541" s="46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</row>
    <row r="542">
      <c r="A542" s="18"/>
      <c r="B542" s="18"/>
      <c r="C542" s="46"/>
      <c r="D542" s="46"/>
      <c r="E542" s="46"/>
      <c r="F542" s="46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</row>
    <row r="543">
      <c r="A543" s="18"/>
      <c r="B543" s="18"/>
      <c r="C543" s="46"/>
      <c r="D543" s="46"/>
      <c r="E543" s="46"/>
      <c r="F543" s="46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</row>
    <row r="544">
      <c r="A544" s="18"/>
      <c r="B544" s="18"/>
      <c r="C544" s="46"/>
      <c r="D544" s="46"/>
      <c r="E544" s="46"/>
      <c r="F544" s="46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</row>
    <row r="545">
      <c r="A545" s="18"/>
      <c r="B545" s="18"/>
      <c r="C545" s="46"/>
      <c r="D545" s="46"/>
      <c r="E545" s="46"/>
      <c r="F545" s="46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</row>
    <row r="546">
      <c r="A546" s="18"/>
      <c r="B546" s="18"/>
      <c r="C546" s="46"/>
      <c r="D546" s="46"/>
      <c r="E546" s="46"/>
      <c r="F546" s="46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</row>
    <row r="547">
      <c r="A547" s="18"/>
      <c r="B547" s="18"/>
      <c r="C547" s="46"/>
      <c r="D547" s="46"/>
      <c r="E547" s="46"/>
      <c r="F547" s="46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</row>
    <row r="548">
      <c r="A548" s="18"/>
      <c r="B548" s="18"/>
      <c r="C548" s="46"/>
      <c r="D548" s="46"/>
      <c r="E548" s="46"/>
      <c r="F548" s="46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</row>
    <row r="549">
      <c r="A549" s="18"/>
      <c r="B549" s="18"/>
      <c r="C549" s="46"/>
      <c r="D549" s="46"/>
      <c r="E549" s="46"/>
      <c r="F549" s="46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</row>
    <row r="550">
      <c r="A550" s="18"/>
      <c r="B550" s="18"/>
      <c r="C550" s="46"/>
      <c r="D550" s="46"/>
      <c r="E550" s="46"/>
      <c r="F550" s="46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</row>
    <row r="551">
      <c r="A551" s="18"/>
      <c r="B551" s="18"/>
      <c r="C551" s="46"/>
      <c r="D551" s="46"/>
      <c r="E551" s="46"/>
      <c r="F551" s="46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</row>
    <row r="552">
      <c r="A552" s="18"/>
      <c r="B552" s="18"/>
      <c r="C552" s="46"/>
      <c r="D552" s="46"/>
      <c r="E552" s="46"/>
      <c r="F552" s="46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</row>
    <row r="553">
      <c r="A553" s="18"/>
      <c r="B553" s="18"/>
      <c r="C553" s="46"/>
      <c r="D553" s="46"/>
      <c r="E553" s="46"/>
      <c r="F553" s="46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</row>
    <row r="554">
      <c r="A554" s="18"/>
      <c r="B554" s="18"/>
      <c r="C554" s="46"/>
      <c r="D554" s="46"/>
      <c r="E554" s="46"/>
      <c r="F554" s="46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</row>
    <row r="555">
      <c r="A555" s="18"/>
      <c r="B555" s="18"/>
      <c r="C555" s="46"/>
      <c r="D555" s="46"/>
      <c r="E555" s="46"/>
      <c r="F555" s="4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</row>
    <row r="556">
      <c r="A556" s="18"/>
      <c r="B556" s="18"/>
      <c r="C556" s="46"/>
      <c r="D556" s="46"/>
      <c r="E556" s="46"/>
      <c r="F556" s="46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</row>
    <row r="557">
      <c r="A557" s="18"/>
      <c r="B557" s="18"/>
      <c r="C557" s="46"/>
      <c r="D557" s="46"/>
      <c r="E557" s="46"/>
      <c r="F557" s="46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</row>
    <row r="558">
      <c r="A558" s="18"/>
      <c r="B558" s="18"/>
      <c r="C558" s="46"/>
      <c r="D558" s="46"/>
      <c r="E558" s="46"/>
      <c r="F558" s="46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</row>
    <row r="559">
      <c r="A559" s="18"/>
      <c r="B559" s="18"/>
      <c r="C559" s="46"/>
      <c r="D559" s="46"/>
      <c r="E559" s="46"/>
      <c r="F559" s="46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</row>
    <row r="560">
      <c r="A560" s="18"/>
      <c r="B560" s="18"/>
      <c r="C560" s="46"/>
      <c r="D560" s="46"/>
      <c r="E560" s="46"/>
      <c r="F560" s="46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</row>
    <row r="561">
      <c r="A561" s="18"/>
      <c r="B561" s="18"/>
      <c r="C561" s="46"/>
      <c r="D561" s="46"/>
      <c r="E561" s="46"/>
      <c r="F561" s="46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</row>
    <row r="562">
      <c r="A562" s="18"/>
      <c r="B562" s="18"/>
      <c r="C562" s="46"/>
      <c r="D562" s="46"/>
      <c r="E562" s="46"/>
      <c r="F562" s="46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</row>
    <row r="563">
      <c r="A563" s="18"/>
      <c r="B563" s="18"/>
      <c r="C563" s="46"/>
      <c r="D563" s="46"/>
      <c r="E563" s="46"/>
      <c r="F563" s="46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</row>
    <row r="564">
      <c r="A564" s="18"/>
      <c r="B564" s="18"/>
      <c r="C564" s="46"/>
      <c r="D564" s="46"/>
      <c r="E564" s="46"/>
      <c r="F564" s="46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</row>
    <row r="565">
      <c r="A565" s="18"/>
      <c r="B565" s="18"/>
      <c r="C565" s="46"/>
      <c r="D565" s="46"/>
      <c r="E565" s="46"/>
      <c r="F565" s="46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</row>
    <row r="566">
      <c r="A566" s="18"/>
      <c r="B566" s="18"/>
      <c r="C566" s="46"/>
      <c r="D566" s="46"/>
      <c r="E566" s="46"/>
      <c r="F566" s="46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</row>
    <row r="567">
      <c r="A567" s="18"/>
      <c r="B567" s="18"/>
      <c r="C567" s="46"/>
      <c r="D567" s="46"/>
      <c r="E567" s="46"/>
      <c r="F567" s="46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</row>
    <row r="568">
      <c r="A568" s="18"/>
      <c r="B568" s="18"/>
      <c r="C568" s="46"/>
      <c r="D568" s="46"/>
      <c r="E568" s="46"/>
      <c r="F568" s="46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</row>
    <row r="569">
      <c r="A569" s="18"/>
      <c r="B569" s="18"/>
      <c r="C569" s="46"/>
      <c r="D569" s="46"/>
      <c r="E569" s="46"/>
      <c r="F569" s="46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</row>
    <row r="570">
      <c r="A570" s="18"/>
      <c r="B570" s="18"/>
      <c r="C570" s="46"/>
      <c r="D570" s="46"/>
      <c r="E570" s="46"/>
      <c r="F570" s="46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</row>
    <row r="571">
      <c r="A571" s="18"/>
      <c r="B571" s="18"/>
      <c r="C571" s="46"/>
      <c r="D571" s="46"/>
      <c r="E571" s="46"/>
      <c r="F571" s="46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</row>
    <row r="572">
      <c r="A572" s="18"/>
      <c r="B572" s="18"/>
      <c r="C572" s="46"/>
      <c r="D572" s="46"/>
      <c r="E572" s="46"/>
      <c r="F572" s="46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</row>
    <row r="573">
      <c r="A573" s="18"/>
      <c r="B573" s="18"/>
      <c r="C573" s="46"/>
      <c r="D573" s="46"/>
      <c r="E573" s="46"/>
      <c r="F573" s="46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</row>
    <row r="574">
      <c r="A574" s="18"/>
      <c r="B574" s="18"/>
      <c r="C574" s="46"/>
      <c r="D574" s="46"/>
      <c r="E574" s="46"/>
      <c r="F574" s="46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</row>
    <row r="575">
      <c r="A575" s="18"/>
      <c r="B575" s="18"/>
      <c r="C575" s="46"/>
      <c r="D575" s="46"/>
      <c r="E575" s="46"/>
      <c r="F575" s="46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</row>
    <row r="576">
      <c r="A576" s="18"/>
      <c r="B576" s="18"/>
      <c r="C576" s="46"/>
      <c r="D576" s="46"/>
      <c r="E576" s="46"/>
      <c r="F576" s="46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</row>
    <row r="577">
      <c r="A577" s="18"/>
      <c r="B577" s="18"/>
      <c r="C577" s="46"/>
      <c r="D577" s="46"/>
      <c r="E577" s="46"/>
      <c r="F577" s="46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</row>
    <row r="578">
      <c r="A578" s="18"/>
      <c r="B578" s="18"/>
      <c r="C578" s="46"/>
      <c r="D578" s="46"/>
      <c r="E578" s="46"/>
      <c r="F578" s="46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</row>
    <row r="579">
      <c r="A579" s="18"/>
      <c r="B579" s="18"/>
      <c r="C579" s="46"/>
      <c r="D579" s="46"/>
      <c r="E579" s="46"/>
      <c r="F579" s="46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</row>
    <row r="580">
      <c r="A580" s="18"/>
      <c r="B580" s="18"/>
      <c r="C580" s="46"/>
      <c r="D580" s="46"/>
      <c r="E580" s="46"/>
      <c r="F580" s="46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</row>
    <row r="581">
      <c r="A581" s="18"/>
      <c r="B581" s="18"/>
      <c r="C581" s="46"/>
      <c r="D581" s="46"/>
      <c r="E581" s="46"/>
      <c r="F581" s="46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</row>
    <row r="582">
      <c r="A582" s="18"/>
      <c r="B582" s="18"/>
      <c r="C582" s="46"/>
      <c r="D582" s="46"/>
      <c r="E582" s="46"/>
      <c r="F582" s="46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</row>
    <row r="583">
      <c r="A583" s="18"/>
      <c r="B583" s="18"/>
      <c r="C583" s="46"/>
      <c r="D583" s="46"/>
      <c r="E583" s="46"/>
      <c r="F583" s="46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</row>
    <row r="584">
      <c r="A584" s="18"/>
      <c r="B584" s="18"/>
      <c r="C584" s="46"/>
      <c r="D584" s="46"/>
      <c r="E584" s="46"/>
      <c r="F584" s="46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</row>
    <row r="585">
      <c r="A585" s="18"/>
      <c r="B585" s="18"/>
      <c r="C585" s="46"/>
      <c r="D585" s="46"/>
      <c r="E585" s="46"/>
      <c r="F585" s="4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</row>
    <row r="586">
      <c r="A586" s="18"/>
      <c r="B586" s="18"/>
      <c r="C586" s="46"/>
      <c r="D586" s="46"/>
      <c r="E586" s="46"/>
      <c r="F586" s="46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</row>
    <row r="587">
      <c r="A587" s="18"/>
      <c r="B587" s="18"/>
      <c r="C587" s="46"/>
      <c r="D587" s="46"/>
      <c r="E587" s="46"/>
      <c r="F587" s="46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</row>
    <row r="588">
      <c r="A588" s="18"/>
      <c r="B588" s="18"/>
      <c r="C588" s="46"/>
      <c r="D588" s="46"/>
      <c r="E588" s="46"/>
      <c r="F588" s="46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</row>
    <row r="589">
      <c r="A589" s="18"/>
      <c r="B589" s="18"/>
      <c r="C589" s="46"/>
      <c r="D589" s="46"/>
      <c r="E589" s="46"/>
      <c r="F589" s="46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</row>
    <row r="590">
      <c r="A590" s="18"/>
      <c r="B590" s="18"/>
      <c r="C590" s="46"/>
      <c r="D590" s="46"/>
      <c r="E590" s="46"/>
      <c r="F590" s="46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</row>
    <row r="591">
      <c r="A591" s="18"/>
      <c r="B591" s="18"/>
      <c r="C591" s="46"/>
      <c r="D591" s="46"/>
      <c r="E591" s="46"/>
      <c r="F591" s="46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</row>
    <row r="592">
      <c r="A592" s="18"/>
      <c r="B592" s="18"/>
      <c r="C592" s="46"/>
      <c r="D592" s="46"/>
      <c r="E592" s="46"/>
      <c r="F592" s="46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</row>
    <row r="593">
      <c r="A593" s="18"/>
      <c r="B593" s="18"/>
      <c r="C593" s="46"/>
      <c r="D593" s="46"/>
      <c r="E593" s="46"/>
      <c r="F593" s="46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</row>
    <row r="594">
      <c r="A594" s="18"/>
      <c r="B594" s="18"/>
      <c r="C594" s="46"/>
      <c r="D594" s="46"/>
      <c r="E594" s="46"/>
      <c r="F594" s="46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</row>
    <row r="595">
      <c r="A595" s="18"/>
      <c r="B595" s="18"/>
      <c r="C595" s="46"/>
      <c r="D595" s="46"/>
      <c r="E595" s="46"/>
      <c r="F595" s="46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</row>
    <row r="596">
      <c r="A596" s="18"/>
      <c r="B596" s="18"/>
      <c r="C596" s="46"/>
      <c r="D596" s="46"/>
      <c r="E596" s="46"/>
      <c r="F596" s="46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</row>
    <row r="597">
      <c r="A597" s="18"/>
      <c r="B597" s="18"/>
      <c r="C597" s="46"/>
      <c r="D597" s="46"/>
      <c r="E597" s="46"/>
      <c r="F597" s="46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</row>
    <row r="598">
      <c r="A598" s="18"/>
      <c r="B598" s="18"/>
      <c r="C598" s="46"/>
      <c r="D598" s="46"/>
      <c r="E598" s="46"/>
      <c r="F598" s="46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</row>
    <row r="599">
      <c r="A599" s="18"/>
      <c r="B599" s="18"/>
      <c r="C599" s="46"/>
      <c r="D599" s="46"/>
      <c r="E599" s="46"/>
      <c r="F599" s="46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</row>
    <row r="600">
      <c r="A600" s="18"/>
      <c r="B600" s="18"/>
      <c r="C600" s="46"/>
      <c r="D600" s="46"/>
      <c r="E600" s="46"/>
      <c r="F600" s="46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</row>
    <row r="601">
      <c r="A601" s="18"/>
      <c r="B601" s="18"/>
      <c r="C601" s="46"/>
      <c r="D601" s="46"/>
      <c r="E601" s="46"/>
      <c r="F601" s="46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</row>
    <row r="602">
      <c r="A602" s="18"/>
      <c r="B602" s="18"/>
      <c r="C602" s="46"/>
      <c r="D602" s="46"/>
      <c r="E602" s="46"/>
      <c r="F602" s="46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</row>
    <row r="603">
      <c r="A603" s="18"/>
      <c r="B603" s="18"/>
      <c r="C603" s="46"/>
      <c r="D603" s="46"/>
      <c r="E603" s="46"/>
      <c r="F603" s="46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</row>
    <row r="604">
      <c r="A604" s="18"/>
      <c r="B604" s="18"/>
      <c r="C604" s="46"/>
      <c r="D604" s="46"/>
      <c r="E604" s="46"/>
      <c r="F604" s="46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</row>
    <row r="605">
      <c r="A605" s="18"/>
      <c r="B605" s="18"/>
      <c r="C605" s="46"/>
      <c r="D605" s="46"/>
      <c r="E605" s="46"/>
      <c r="F605" s="4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</row>
    <row r="606">
      <c r="A606" s="18"/>
      <c r="B606" s="18"/>
      <c r="C606" s="46"/>
      <c r="D606" s="46"/>
      <c r="E606" s="46"/>
      <c r="F606" s="46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</row>
    <row r="607">
      <c r="A607" s="18"/>
      <c r="B607" s="18"/>
      <c r="C607" s="46"/>
      <c r="D607" s="46"/>
      <c r="E607" s="46"/>
      <c r="F607" s="46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</row>
    <row r="608">
      <c r="A608" s="18"/>
      <c r="B608" s="18"/>
      <c r="C608" s="46"/>
      <c r="D608" s="46"/>
      <c r="E608" s="46"/>
      <c r="F608" s="46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</row>
    <row r="609">
      <c r="A609" s="18"/>
      <c r="B609" s="18"/>
      <c r="C609" s="46"/>
      <c r="D609" s="46"/>
      <c r="E609" s="46"/>
      <c r="F609" s="46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</row>
    <row r="610">
      <c r="A610" s="18"/>
      <c r="B610" s="18"/>
      <c r="C610" s="46"/>
      <c r="D610" s="46"/>
      <c r="E610" s="46"/>
      <c r="F610" s="46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</row>
    <row r="611">
      <c r="A611" s="18"/>
      <c r="B611" s="18"/>
      <c r="C611" s="46"/>
      <c r="D611" s="46"/>
      <c r="E611" s="46"/>
      <c r="F611" s="46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</row>
    <row r="612">
      <c r="A612" s="18"/>
      <c r="B612" s="18"/>
      <c r="C612" s="46"/>
      <c r="D612" s="46"/>
      <c r="E612" s="46"/>
      <c r="F612" s="46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</row>
    <row r="613">
      <c r="A613" s="18"/>
      <c r="B613" s="18"/>
      <c r="C613" s="46"/>
      <c r="D613" s="46"/>
      <c r="E613" s="46"/>
      <c r="F613" s="46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</row>
    <row r="614">
      <c r="A614" s="18"/>
      <c r="B614" s="18"/>
      <c r="C614" s="46"/>
      <c r="D614" s="46"/>
      <c r="E614" s="46"/>
      <c r="F614" s="46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</row>
    <row r="615">
      <c r="A615" s="18"/>
      <c r="B615" s="18"/>
      <c r="C615" s="46"/>
      <c r="D615" s="46"/>
      <c r="E615" s="46"/>
      <c r="F615" s="46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</row>
    <row r="616">
      <c r="A616" s="18"/>
      <c r="B616" s="18"/>
      <c r="C616" s="46"/>
      <c r="D616" s="46"/>
      <c r="E616" s="46"/>
      <c r="F616" s="46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</row>
    <row r="617">
      <c r="A617" s="18"/>
      <c r="B617" s="18"/>
      <c r="C617" s="46"/>
      <c r="D617" s="46"/>
      <c r="E617" s="46"/>
      <c r="F617" s="46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</row>
    <row r="618">
      <c r="A618" s="18"/>
      <c r="B618" s="18"/>
      <c r="C618" s="46"/>
      <c r="D618" s="46"/>
      <c r="E618" s="46"/>
      <c r="F618" s="46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</row>
    <row r="619">
      <c r="A619" s="18"/>
      <c r="B619" s="18"/>
      <c r="C619" s="46"/>
      <c r="D619" s="46"/>
      <c r="E619" s="46"/>
      <c r="F619" s="46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</row>
    <row r="620">
      <c r="A620" s="18"/>
      <c r="B620" s="18"/>
      <c r="C620" s="46"/>
      <c r="D620" s="46"/>
      <c r="E620" s="46"/>
      <c r="F620" s="46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</row>
    <row r="621">
      <c r="A621" s="18"/>
      <c r="B621" s="18"/>
      <c r="C621" s="46"/>
      <c r="D621" s="46"/>
      <c r="E621" s="46"/>
      <c r="F621" s="46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</row>
    <row r="622">
      <c r="A622" s="18"/>
      <c r="B622" s="18"/>
      <c r="C622" s="46"/>
      <c r="D622" s="46"/>
      <c r="E622" s="46"/>
      <c r="F622" s="46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</row>
    <row r="623">
      <c r="A623" s="18"/>
      <c r="B623" s="18"/>
      <c r="C623" s="46"/>
      <c r="D623" s="46"/>
      <c r="E623" s="46"/>
      <c r="F623" s="46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</row>
    <row r="624">
      <c r="A624" s="18"/>
      <c r="B624" s="18"/>
      <c r="C624" s="46"/>
      <c r="D624" s="46"/>
      <c r="E624" s="46"/>
      <c r="F624" s="46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</row>
    <row r="625">
      <c r="A625" s="18"/>
      <c r="B625" s="18"/>
      <c r="C625" s="46"/>
      <c r="D625" s="46"/>
      <c r="E625" s="46"/>
      <c r="F625" s="46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</row>
    <row r="626">
      <c r="A626" s="18"/>
      <c r="B626" s="18"/>
      <c r="C626" s="46"/>
      <c r="D626" s="46"/>
      <c r="E626" s="46"/>
      <c r="F626" s="46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</row>
    <row r="627">
      <c r="A627" s="18"/>
      <c r="B627" s="18"/>
      <c r="C627" s="46"/>
      <c r="D627" s="46"/>
      <c r="E627" s="46"/>
      <c r="F627" s="46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</row>
    <row r="628">
      <c r="A628" s="18"/>
      <c r="B628" s="18"/>
      <c r="C628" s="46"/>
      <c r="D628" s="46"/>
      <c r="E628" s="46"/>
      <c r="F628" s="46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</row>
    <row r="629">
      <c r="A629" s="18"/>
      <c r="B629" s="18"/>
      <c r="C629" s="46"/>
      <c r="D629" s="46"/>
      <c r="E629" s="46"/>
      <c r="F629" s="46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</row>
    <row r="630">
      <c r="A630" s="18"/>
      <c r="B630" s="18"/>
      <c r="C630" s="46"/>
      <c r="D630" s="46"/>
      <c r="E630" s="46"/>
      <c r="F630" s="46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</row>
    <row r="631">
      <c r="A631" s="18"/>
      <c r="B631" s="18"/>
      <c r="C631" s="46"/>
      <c r="D631" s="46"/>
      <c r="E631" s="46"/>
      <c r="F631" s="46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</row>
    <row r="632">
      <c r="A632" s="18"/>
      <c r="B632" s="18"/>
      <c r="C632" s="46"/>
      <c r="D632" s="46"/>
      <c r="E632" s="46"/>
      <c r="F632" s="46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</row>
    <row r="633">
      <c r="A633" s="18"/>
      <c r="B633" s="18"/>
      <c r="C633" s="46"/>
      <c r="D633" s="46"/>
      <c r="E633" s="46"/>
      <c r="F633" s="46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</row>
    <row r="634">
      <c r="A634" s="18"/>
      <c r="B634" s="18"/>
      <c r="C634" s="46"/>
      <c r="D634" s="46"/>
      <c r="E634" s="46"/>
      <c r="F634" s="46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</row>
    <row r="635">
      <c r="A635" s="18"/>
      <c r="B635" s="18"/>
      <c r="C635" s="46"/>
      <c r="D635" s="46"/>
      <c r="E635" s="46"/>
      <c r="F635" s="46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</row>
    <row r="636">
      <c r="A636" s="18"/>
      <c r="B636" s="18"/>
      <c r="C636" s="46"/>
      <c r="D636" s="46"/>
      <c r="E636" s="46"/>
      <c r="F636" s="46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</row>
    <row r="637">
      <c r="A637" s="18"/>
      <c r="B637" s="18"/>
      <c r="C637" s="46"/>
      <c r="D637" s="46"/>
      <c r="E637" s="46"/>
      <c r="F637" s="46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</row>
    <row r="638">
      <c r="A638" s="18"/>
      <c r="B638" s="18"/>
      <c r="C638" s="46"/>
      <c r="D638" s="46"/>
      <c r="E638" s="46"/>
      <c r="F638" s="46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</row>
    <row r="639">
      <c r="A639" s="18"/>
      <c r="B639" s="18"/>
      <c r="C639" s="46"/>
      <c r="D639" s="46"/>
      <c r="E639" s="46"/>
      <c r="F639" s="46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</row>
    <row r="640">
      <c r="A640" s="18"/>
      <c r="B640" s="18"/>
      <c r="C640" s="46"/>
      <c r="D640" s="46"/>
      <c r="E640" s="46"/>
      <c r="F640" s="46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</row>
    <row r="641">
      <c r="A641" s="18"/>
      <c r="B641" s="18"/>
      <c r="C641" s="46"/>
      <c r="D641" s="46"/>
      <c r="E641" s="46"/>
      <c r="F641" s="46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</row>
    <row r="642">
      <c r="A642" s="18"/>
      <c r="B642" s="18"/>
      <c r="C642" s="46"/>
      <c r="D642" s="46"/>
      <c r="E642" s="46"/>
      <c r="F642" s="46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</row>
    <row r="643">
      <c r="A643" s="18"/>
      <c r="B643" s="18"/>
      <c r="C643" s="46"/>
      <c r="D643" s="46"/>
      <c r="E643" s="46"/>
      <c r="F643" s="46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</row>
    <row r="644">
      <c r="A644" s="18"/>
      <c r="B644" s="18"/>
      <c r="C644" s="46"/>
      <c r="D644" s="46"/>
      <c r="E644" s="46"/>
      <c r="F644" s="46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</row>
    <row r="645">
      <c r="A645" s="18"/>
      <c r="B645" s="18"/>
      <c r="C645" s="46"/>
      <c r="D645" s="46"/>
      <c r="E645" s="46"/>
      <c r="F645" s="46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</row>
    <row r="646">
      <c r="A646" s="18"/>
      <c r="B646" s="18"/>
      <c r="C646" s="46"/>
      <c r="D646" s="46"/>
      <c r="E646" s="46"/>
      <c r="F646" s="46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</row>
    <row r="647">
      <c r="A647" s="18"/>
      <c r="B647" s="18"/>
      <c r="C647" s="46"/>
      <c r="D647" s="46"/>
      <c r="E647" s="46"/>
      <c r="F647" s="46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</row>
    <row r="648">
      <c r="A648" s="18"/>
      <c r="B648" s="18"/>
      <c r="C648" s="46"/>
      <c r="D648" s="46"/>
      <c r="E648" s="46"/>
      <c r="F648" s="46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</row>
    <row r="649">
      <c r="A649" s="18"/>
      <c r="B649" s="18"/>
      <c r="C649" s="46"/>
      <c r="D649" s="46"/>
      <c r="E649" s="46"/>
      <c r="F649" s="46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</row>
    <row r="650">
      <c r="A650" s="18"/>
      <c r="B650" s="18"/>
      <c r="C650" s="46"/>
      <c r="D650" s="46"/>
      <c r="E650" s="46"/>
      <c r="F650" s="46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</row>
    <row r="651">
      <c r="A651" s="18"/>
      <c r="B651" s="18"/>
      <c r="C651" s="46"/>
      <c r="D651" s="46"/>
      <c r="E651" s="46"/>
      <c r="F651" s="46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</row>
    <row r="652">
      <c r="A652" s="18"/>
      <c r="B652" s="18"/>
      <c r="C652" s="46"/>
      <c r="D652" s="46"/>
      <c r="E652" s="46"/>
      <c r="F652" s="46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</row>
    <row r="653">
      <c r="A653" s="18"/>
      <c r="B653" s="18"/>
      <c r="C653" s="46"/>
      <c r="D653" s="46"/>
      <c r="E653" s="46"/>
      <c r="F653" s="46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</row>
    <row r="654">
      <c r="A654" s="18"/>
      <c r="B654" s="18"/>
      <c r="C654" s="46"/>
      <c r="D654" s="46"/>
      <c r="E654" s="46"/>
      <c r="F654" s="46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</row>
    <row r="655">
      <c r="A655" s="18"/>
      <c r="B655" s="18"/>
      <c r="C655" s="46"/>
      <c r="D655" s="46"/>
      <c r="E655" s="46"/>
      <c r="F655" s="46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</row>
    <row r="656">
      <c r="A656" s="18"/>
      <c r="B656" s="18"/>
      <c r="C656" s="46"/>
      <c r="D656" s="46"/>
      <c r="E656" s="46"/>
      <c r="F656" s="46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</row>
    <row r="657">
      <c r="A657" s="18"/>
      <c r="B657" s="18"/>
      <c r="C657" s="46"/>
      <c r="D657" s="46"/>
      <c r="E657" s="46"/>
      <c r="F657" s="46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</row>
    <row r="658">
      <c r="A658" s="18"/>
      <c r="B658" s="18"/>
      <c r="C658" s="46"/>
      <c r="D658" s="46"/>
      <c r="E658" s="46"/>
      <c r="F658" s="46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</row>
    <row r="659">
      <c r="A659" s="18"/>
      <c r="B659" s="18"/>
      <c r="C659" s="46"/>
      <c r="D659" s="46"/>
      <c r="E659" s="46"/>
      <c r="F659" s="46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</row>
    <row r="660">
      <c r="A660" s="18"/>
      <c r="B660" s="18"/>
      <c r="C660" s="46"/>
      <c r="D660" s="46"/>
      <c r="E660" s="46"/>
      <c r="F660" s="46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</row>
    <row r="661">
      <c r="A661" s="18"/>
      <c r="B661" s="18"/>
      <c r="C661" s="46"/>
      <c r="D661" s="46"/>
      <c r="E661" s="46"/>
      <c r="F661" s="46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</row>
    <row r="662">
      <c r="A662" s="18"/>
      <c r="B662" s="18"/>
      <c r="C662" s="46"/>
      <c r="D662" s="46"/>
      <c r="E662" s="46"/>
      <c r="F662" s="46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</row>
    <row r="663">
      <c r="A663" s="18"/>
      <c r="B663" s="18"/>
      <c r="C663" s="46"/>
      <c r="D663" s="46"/>
      <c r="E663" s="46"/>
      <c r="F663" s="46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</row>
    <row r="664">
      <c r="A664" s="18"/>
      <c r="B664" s="18"/>
      <c r="C664" s="46"/>
      <c r="D664" s="46"/>
      <c r="E664" s="46"/>
      <c r="F664" s="46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</row>
    <row r="665">
      <c r="A665" s="18"/>
      <c r="B665" s="18"/>
      <c r="C665" s="46"/>
      <c r="D665" s="46"/>
      <c r="E665" s="46"/>
      <c r="F665" s="46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</row>
    <row r="666">
      <c r="A666" s="18"/>
      <c r="B666" s="18"/>
      <c r="C666" s="46"/>
      <c r="D666" s="46"/>
      <c r="E666" s="46"/>
      <c r="F666" s="46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</row>
    <row r="667">
      <c r="A667" s="18"/>
      <c r="B667" s="18"/>
      <c r="C667" s="46"/>
      <c r="D667" s="46"/>
      <c r="E667" s="46"/>
      <c r="F667" s="46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</row>
    <row r="668">
      <c r="A668" s="18"/>
      <c r="B668" s="18"/>
      <c r="C668" s="46"/>
      <c r="D668" s="46"/>
      <c r="E668" s="46"/>
      <c r="F668" s="46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</row>
    <row r="669">
      <c r="A669" s="18"/>
      <c r="B669" s="18"/>
      <c r="C669" s="46"/>
      <c r="D669" s="46"/>
      <c r="E669" s="46"/>
      <c r="F669" s="46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</row>
    <row r="670">
      <c r="A670" s="18"/>
      <c r="B670" s="18"/>
      <c r="C670" s="46"/>
      <c r="D670" s="46"/>
      <c r="E670" s="46"/>
      <c r="F670" s="46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</row>
    <row r="671">
      <c r="A671" s="18"/>
      <c r="B671" s="18"/>
      <c r="C671" s="46"/>
      <c r="D671" s="46"/>
      <c r="E671" s="46"/>
      <c r="F671" s="46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</row>
    <row r="672">
      <c r="A672" s="18"/>
      <c r="B672" s="18"/>
      <c r="C672" s="46"/>
      <c r="D672" s="46"/>
      <c r="E672" s="46"/>
      <c r="F672" s="46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</row>
    <row r="673">
      <c r="A673" s="18"/>
      <c r="B673" s="18"/>
      <c r="C673" s="46"/>
      <c r="D673" s="46"/>
      <c r="E673" s="46"/>
      <c r="F673" s="46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</row>
    <row r="674">
      <c r="A674" s="18"/>
      <c r="B674" s="18"/>
      <c r="C674" s="46"/>
      <c r="D674" s="46"/>
      <c r="E674" s="46"/>
      <c r="F674" s="46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</row>
    <row r="675">
      <c r="A675" s="18"/>
      <c r="B675" s="18"/>
      <c r="C675" s="46"/>
      <c r="D675" s="46"/>
      <c r="E675" s="46"/>
      <c r="F675" s="46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</row>
    <row r="676">
      <c r="A676" s="18"/>
      <c r="B676" s="18"/>
      <c r="C676" s="46"/>
      <c r="D676" s="46"/>
      <c r="E676" s="46"/>
      <c r="F676" s="46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</row>
    <row r="677">
      <c r="A677" s="18"/>
      <c r="B677" s="18"/>
      <c r="C677" s="46"/>
      <c r="D677" s="46"/>
      <c r="E677" s="46"/>
      <c r="F677" s="46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</row>
    <row r="678">
      <c r="A678" s="18"/>
      <c r="B678" s="18"/>
      <c r="C678" s="46"/>
      <c r="D678" s="46"/>
      <c r="E678" s="46"/>
      <c r="F678" s="46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</row>
    <row r="679">
      <c r="A679" s="18"/>
      <c r="B679" s="18"/>
      <c r="C679" s="46"/>
      <c r="D679" s="46"/>
      <c r="E679" s="46"/>
      <c r="F679" s="46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</row>
    <row r="680">
      <c r="A680" s="18"/>
      <c r="B680" s="18"/>
      <c r="C680" s="46"/>
      <c r="D680" s="46"/>
      <c r="E680" s="46"/>
      <c r="F680" s="46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</row>
    <row r="681">
      <c r="A681" s="18"/>
      <c r="B681" s="18"/>
      <c r="C681" s="46"/>
      <c r="D681" s="46"/>
      <c r="E681" s="46"/>
      <c r="F681" s="46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</row>
    <row r="682">
      <c r="A682" s="18"/>
      <c r="B682" s="18"/>
      <c r="C682" s="46"/>
      <c r="D682" s="46"/>
      <c r="E682" s="46"/>
      <c r="F682" s="46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</row>
    <row r="683">
      <c r="A683" s="18"/>
      <c r="B683" s="18"/>
      <c r="C683" s="46"/>
      <c r="D683" s="46"/>
      <c r="E683" s="46"/>
      <c r="F683" s="46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</row>
    <row r="684">
      <c r="A684" s="18"/>
      <c r="B684" s="18"/>
      <c r="C684" s="46"/>
      <c r="D684" s="46"/>
      <c r="E684" s="46"/>
      <c r="F684" s="46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</row>
    <row r="685">
      <c r="A685" s="18"/>
      <c r="B685" s="18"/>
      <c r="C685" s="46"/>
      <c r="D685" s="46"/>
      <c r="E685" s="46"/>
      <c r="F685" s="46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</row>
    <row r="686">
      <c r="A686" s="18"/>
      <c r="B686" s="18"/>
      <c r="C686" s="46"/>
      <c r="D686" s="46"/>
      <c r="E686" s="46"/>
      <c r="F686" s="46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</row>
    <row r="687">
      <c r="A687" s="18"/>
      <c r="B687" s="18"/>
      <c r="C687" s="46"/>
      <c r="D687" s="46"/>
      <c r="E687" s="46"/>
      <c r="F687" s="46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</row>
    <row r="688">
      <c r="A688" s="18"/>
      <c r="B688" s="18"/>
      <c r="C688" s="46"/>
      <c r="D688" s="46"/>
      <c r="E688" s="46"/>
      <c r="F688" s="46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</row>
    <row r="689">
      <c r="A689" s="18"/>
      <c r="B689" s="18"/>
      <c r="C689" s="46"/>
      <c r="D689" s="46"/>
      <c r="E689" s="46"/>
      <c r="F689" s="46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</row>
    <row r="690">
      <c r="A690" s="18"/>
      <c r="B690" s="18"/>
      <c r="C690" s="46"/>
      <c r="D690" s="46"/>
      <c r="E690" s="46"/>
      <c r="F690" s="46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</row>
    <row r="691">
      <c r="A691" s="18"/>
      <c r="B691" s="18"/>
      <c r="C691" s="46"/>
      <c r="D691" s="46"/>
      <c r="E691" s="46"/>
      <c r="F691" s="46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</row>
    <row r="692">
      <c r="A692" s="18"/>
      <c r="B692" s="18"/>
      <c r="C692" s="46"/>
      <c r="D692" s="46"/>
      <c r="E692" s="46"/>
      <c r="F692" s="46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</row>
    <row r="693">
      <c r="A693" s="18"/>
      <c r="B693" s="18"/>
      <c r="C693" s="46"/>
      <c r="D693" s="46"/>
      <c r="E693" s="46"/>
      <c r="F693" s="46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</row>
    <row r="694">
      <c r="A694" s="18"/>
      <c r="B694" s="18"/>
      <c r="C694" s="46"/>
      <c r="D694" s="46"/>
      <c r="E694" s="46"/>
      <c r="F694" s="46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</row>
    <row r="695">
      <c r="A695" s="18"/>
      <c r="B695" s="18"/>
      <c r="C695" s="46"/>
      <c r="D695" s="46"/>
      <c r="E695" s="46"/>
      <c r="F695" s="46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</row>
    <row r="696">
      <c r="A696" s="18"/>
      <c r="B696" s="18"/>
      <c r="C696" s="46"/>
      <c r="D696" s="46"/>
      <c r="E696" s="46"/>
      <c r="F696" s="46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</row>
    <row r="697">
      <c r="A697" s="18"/>
      <c r="B697" s="18"/>
      <c r="C697" s="46"/>
      <c r="D697" s="46"/>
      <c r="E697" s="46"/>
      <c r="F697" s="46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</row>
    <row r="698">
      <c r="A698" s="18"/>
      <c r="B698" s="18"/>
      <c r="C698" s="46"/>
      <c r="D698" s="46"/>
      <c r="E698" s="46"/>
      <c r="F698" s="46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</row>
    <row r="699">
      <c r="A699" s="18"/>
      <c r="B699" s="18"/>
      <c r="C699" s="46"/>
      <c r="D699" s="46"/>
      <c r="E699" s="46"/>
      <c r="F699" s="46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</row>
    <row r="700">
      <c r="A700" s="18"/>
      <c r="B700" s="18"/>
      <c r="C700" s="46"/>
      <c r="D700" s="46"/>
      <c r="E700" s="46"/>
      <c r="F700" s="46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</row>
    <row r="701">
      <c r="A701" s="18"/>
      <c r="B701" s="18"/>
      <c r="C701" s="46"/>
      <c r="D701" s="46"/>
      <c r="E701" s="46"/>
      <c r="F701" s="46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</row>
    <row r="702">
      <c r="A702" s="18"/>
      <c r="B702" s="18"/>
      <c r="C702" s="46"/>
      <c r="D702" s="46"/>
      <c r="E702" s="46"/>
      <c r="F702" s="46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</row>
    <row r="703">
      <c r="A703" s="18"/>
      <c r="B703" s="18"/>
      <c r="C703" s="46"/>
      <c r="D703" s="46"/>
      <c r="E703" s="46"/>
      <c r="F703" s="46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</row>
    <row r="704">
      <c r="A704" s="18"/>
      <c r="B704" s="18"/>
      <c r="C704" s="46"/>
      <c r="D704" s="46"/>
      <c r="E704" s="46"/>
      <c r="F704" s="46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</row>
    <row r="705">
      <c r="A705" s="18"/>
      <c r="B705" s="18"/>
      <c r="C705" s="46"/>
      <c r="D705" s="46"/>
      <c r="E705" s="46"/>
      <c r="F705" s="46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</row>
    <row r="706">
      <c r="A706" s="18"/>
      <c r="B706" s="18"/>
      <c r="C706" s="46"/>
      <c r="D706" s="46"/>
      <c r="E706" s="46"/>
      <c r="F706" s="46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</row>
    <row r="707">
      <c r="A707" s="18"/>
      <c r="B707" s="18"/>
      <c r="C707" s="46"/>
      <c r="D707" s="46"/>
      <c r="E707" s="46"/>
      <c r="F707" s="46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</row>
    <row r="708">
      <c r="A708" s="18"/>
      <c r="B708" s="18"/>
      <c r="C708" s="46"/>
      <c r="D708" s="46"/>
      <c r="E708" s="46"/>
      <c r="F708" s="46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</row>
    <row r="709">
      <c r="A709" s="18"/>
      <c r="B709" s="18"/>
      <c r="C709" s="46"/>
      <c r="D709" s="46"/>
      <c r="E709" s="46"/>
      <c r="F709" s="46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</row>
    <row r="710">
      <c r="A710" s="18"/>
      <c r="B710" s="18"/>
      <c r="C710" s="46"/>
      <c r="D710" s="46"/>
      <c r="E710" s="46"/>
      <c r="F710" s="46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</row>
    <row r="711">
      <c r="A711" s="18"/>
      <c r="B711" s="18"/>
      <c r="C711" s="46"/>
      <c r="D711" s="46"/>
      <c r="E711" s="46"/>
      <c r="F711" s="46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</row>
    <row r="712">
      <c r="A712" s="18"/>
      <c r="B712" s="18"/>
      <c r="C712" s="46"/>
      <c r="D712" s="46"/>
      <c r="E712" s="46"/>
      <c r="F712" s="46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</row>
    <row r="713">
      <c r="A713" s="18"/>
      <c r="B713" s="18"/>
      <c r="C713" s="46"/>
      <c r="D713" s="46"/>
      <c r="E713" s="46"/>
      <c r="F713" s="46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</row>
    <row r="714">
      <c r="A714" s="18"/>
      <c r="B714" s="18"/>
      <c r="C714" s="46"/>
      <c r="D714" s="46"/>
      <c r="E714" s="46"/>
      <c r="F714" s="46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</row>
    <row r="715">
      <c r="A715" s="18"/>
      <c r="B715" s="18"/>
      <c r="C715" s="46"/>
      <c r="D715" s="46"/>
      <c r="E715" s="46"/>
      <c r="F715" s="46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</row>
    <row r="716">
      <c r="A716" s="18"/>
      <c r="B716" s="18"/>
      <c r="C716" s="46"/>
      <c r="D716" s="46"/>
      <c r="E716" s="46"/>
      <c r="F716" s="46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</row>
    <row r="717">
      <c r="A717" s="18"/>
      <c r="B717" s="18"/>
      <c r="C717" s="46"/>
      <c r="D717" s="46"/>
      <c r="E717" s="46"/>
      <c r="F717" s="46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</row>
    <row r="718">
      <c r="A718" s="18"/>
      <c r="B718" s="18"/>
      <c r="C718" s="46"/>
      <c r="D718" s="46"/>
      <c r="E718" s="46"/>
      <c r="F718" s="46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</row>
    <row r="719">
      <c r="A719" s="18"/>
      <c r="B719" s="18"/>
      <c r="C719" s="46"/>
      <c r="D719" s="46"/>
      <c r="E719" s="46"/>
      <c r="F719" s="46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</row>
    <row r="720">
      <c r="A720" s="18"/>
      <c r="B720" s="18"/>
      <c r="C720" s="46"/>
      <c r="D720" s="46"/>
      <c r="E720" s="46"/>
      <c r="F720" s="46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</row>
    <row r="721">
      <c r="A721" s="18"/>
      <c r="B721" s="18"/>
      <c r="C721" s="46"/>
      <c r="D721" s="46"/>
      <c r="E721" s="46"/>
      <c r="F721" s="46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</row>
    <row r="722">
      <c r="A722" s="18"/>
      <c r="B722" s="18"/>
      <c r="C722" s="46"/>
      <c r="D722" s="46"/>
      <c r="E722" s="46"/>
      <c r="F722" s="46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</row>
    <row r="723">
      <c r="A723" s="18"/>
      <c r="B723" s="18"/>
      <c r="C723" s="46"/>
      <c r="D723" s="46"/>
      <c r="E723" s="46"/>
      <c r="F723" s="46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</row>
    <row r="724">
      <c r="A724" s="18"/>
      <c r="B724" s="18"/>
      <c r="C724" s="46"/>
      <c r="D724" s="46"/>
      <c r="E724" s="46"/>
      <c r="F724" s="46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</row>
    <row r="725">
      <c r="A725" s="18"/>
      <c r="B725" s="18"/>
      <c r="C725" s="46"/>
      <c r="D725" s="46"/>
      <c r="E725" s="46"/>
      <c r="F725" s="46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</row>
    <row r="726">
      <c r="A726" s="18"/>
      <c r="B726" s="18"/>
      <c r="C726" s="46"/>
      <c r="D726" s="46"/>
      <c r="E726" s="46"/>
      <c r="F726" s="46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</row>
    <row r="727">
      <c r="A727" s="18"/>
      <c r="B727" s="18"/>
      <c r="C727" s="46"/>
      <c r="D727" s="46"/>
      <c r="E727" s="46"/>
      <c r="F727" s="46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</row>
    <row r="728">
      <c r="A728" s="18"/>
      <c r="B728" s="18"/>
      <c r="C728" s="46"/>
      <c r="D728" s="46"/>
      <c r="E728" s="46"/>
      <c r="F728" s="46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</row>
    <row r="729">
      <c r="A729" s="18"/>
      <c r="B729" s="18"/>
      <c r="C729" s="46"/>
      <c r="D729" s="46"/>
      <c r="E729" s="46"/>
      <c r="F729" s="46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</row>
    <row r="730">
      <c r="A730" s="18"/>
      <c r="B730" s="18"/>
      <c r="C730" s="46"/>
      <c r="D730" s="46"/>
      <c r="E730" s="46"/>
      <c r="F730" s="46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</row>
    <row r="731">
      <c r="A731" s="18"/>
      <c r="B731" s="18"/>
      <c r="C731" s="46"/>
      <c r="D731" s="46"/>
      <c r="E731" s="46"/>
      <c r="F731" s="46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</row>
    <row r="732">
      <c r="A732" s="18"/>
      <c r="B732" s="18"/>
      <c r="C732" s="46"/>
      <c r="D732" s="46"/>
      <c r="E732" s="46"/>
      <c r="F732" s="46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</row>
    <row r="733">
      <c r="A733" s="18"/>
      <c r="B733" s="18"/>
      <c r="C733" s="46"/>
      <c r="D733" s="46"/>
      <c r="E733" s="46"/>
      <c r="F733" s="46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</row>
    <row r="734">
      <c r="A734" s="18"/>
      <c r="B734" s="18"/>
      <c r="C734" s="46"/>
      <c r="D734" s="46"/>
      <c r="E734" s="46"/>
      <c r="F734" s="46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</row>
    <row r="735">
      <c r="A735" s="18"/>
      <c r="B735" s="18"/>
      <c r="C735" s="46"/>
      <c r="D735" s="46"/>
      <c r="E735" s="46"/>
      <c r="F735" s="46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</row>
    <row r="736">
      <c r="A736" s="18"/>
      <c r="B736" s="18"/>
      <c r="C736" s="46"/>
      <c r="D736" s="46"/>
      <c r="E736" s="46"/>
      <c r="F736" s="46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</row>
    <row r="737">
      <c r="A737" s="18"/>
      <c r="B737" s="18"/>
      <c r="C737" s="46"/>
      <c r="D737" s="46"/>
      <c r="E737" s="46"/>
      <c r="F737" s="46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</row>
    <row r="738">
      <c r="A738" s="18"/>
      <c r="B738" s="18"/>
      <c r="C738" s="46"/>
      <c r="D738" s="46"/>
      <c r="E738" s="46"/>
      <c r="F738" s="46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</row>
    <row r="739">
      <c r="A739" s="18"/>
      <c r="B739" s="18"/>
      <c r="C739" s="46"/>
      <c r="D739" s="46"/>
      <c r="E739" s="46"/>
      <c r="F739" s="46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</row>
    <row r="740">
      <c r="A740" s="18"/>
      <c r="B740" s="18"/>
      <c r="C740" s="46"/>
      <c r="D740" s="46"/>
      <c r="E740" s="46"/>
      <c r="F740" s="46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</row>
    <row r="741">
      <c r="A741" s="18"/>
      <c r="B741" s="18"/>
      <c r="C741" s="46"/>
      <c r="D741" s="46"/>
      <c r="E741" s="46"/>
      <c r="F741" s="46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</row>
    <row r="742">
      <c r="A742" s="18"/>
      <c r="B742" s="18"/>
      <c r="C742" s="46"/>
      <c r="D742" s="46"/>
      <c r="E742" s="46"/>
      <c r="F742" s="46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</row>
    <row r="743">
      <c r="A743" s="18"/>
      <c r="B743" s="18"/>
      <c r="C743" s="46"/>
      <c r="D743" s="46"/>
      <c r="E743" s="46"/>
      <c r="F743" s="46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</row>
    <row r="744">
      <c r="A744" s="18"/>
      <c r="B744" s="18"/>
      <c r="C744" s="46"/>
      <c r="D744" s="46"/>
      <c r="E744" s="46"/>
      <c r="F744" s="46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</row>
    <row r="745">
      <c r="A745" s="18"/>
      <c r="B745" s="18"/>
      <c r="C745" s="46"/>
      <c r="D745" s="46"/>
      <c r="E745" s="46"/>
      <c r="F745" s="46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</row>
    <row r="746">
      <c r="A746" s="18"/>
      <c r="B746" s="18"/>
      <c r="C746" s="46"/>
      <c r="D746" s="46"/>
      <c r="E746" s="46"/>
      <c r="F746" s="46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</row>
    <row r="747">
      <c r="A747" s="18"/>
      <c r="B747" s="18"/>
      <c r="C747" s="46"/>
      <c r="D747" s="46"/>
      <c r="E747" s="46"/>
      <c r="F747" s="46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</row>
    <row r="748">
      <c r="A748" s="18"/>
      <c r="B748" s="18"/>
      <c r="C748" s="46"/>
      <c r="D748" s="46"/>
      <c r="E748" s="46"/>
      <c r="F748" s="46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</row>
    <row r="749">
      <c r="A749" s="18"/>
      <c r="B749" s="18"/>
      <c r="C749" s="46"/>
      <c r="D749" s="46"/>
      <c r="E749" s="46"/>
      <c r="F749" s="46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</row>
    <row r="750">
      <c r="A750" s="18"/>
      <c r="B750" s="18"/>
      <c r="C750" s="46"/>
      <c r="D750" s="46"/>
      <c r="E750" s="46"/>
      <c r="F750" s="46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</row>
    <row r="751">
      <c r="A751" s="18"/>
      <c r="B751" s="18"/>
      <c r="C751" s="46"/>
      <c r="D751" s="46"/>
      <c r="E751" s="46"/>
      <c r="F751" s="46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</row>
    <row r="752">
      <c r="A752" s="18"/>
      <c r="B752" s="18"/>
      <c r="C752" s="46"/>
      <c r="D752" s="46"/>
      <c r="E752" s="46"/>
      <c r="F752" s="46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</row>
    <row r="753">
      <c r="A753" s="18"/>
      <c r="B753" s="18"/>
      <c r="C753" s="46"/>
      <c r="D753" s="46"/>
      <c r="E753" s="46"/>
      <c r="F753" s="46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</row>
    <row r="754">
      <c r="A754" s="18"/>
      <c r="B754" s="18"/>
      <c r="C754" s="46"/>
      <c r="D754" s="46"/>
      <c r="E754" s="46"/>
      <c r="F754" s="46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</row>
    <row r="755">
      <c r="A755" s="18"/>
      <c r="B755" s="18"/>
      <c r="C755" s="46"/>
      <c r="D755" s="46"/>
      <c r="E755" s="46"/>
      <c r="F755" s="46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</row>
    <row r="756">
      <c r="A756" s="18"/>
      <c r="B756" s="18"/>
      <c r="C756" s="46"/>
      <c r="D756" s="46"/>
      <c r="E756" s="46"/>
      <c r="F756" s="46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</row>
    <row r="757">
      <c r="A757" s="18"/>
      <c r="B757" s="18"/>
      <c r="C757" s="46"/>
      <c r="D757" s="46"/>
      <c r="E757" s="46"/>
      <c r="F757" s="46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</row>
    <row r="758">
      <c r="A758" s="18"/>
      <c r="B758" s="18"/>
      <c r="C758" s="46"/>
      <c r="D758" s="46"/>
      <c r="E758" s="46"/>
      <c r="F758" s="46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</row>
    <row r="759">
      <c r="A759" s="18"/>
      <c r="B759" s="18"/>
      <c r="C759" s="46"/>
      <c r="D759" s="46"/>
      <c r="E759" s="46"/>
      <c r="F759" s="46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</row>
    <row r="760">
      <c r="A760" s="18"/>
      <c r="B760" s="18"/>
      <c r="C760" s="46"/>
      <c r="D760" s="46"/>
      <c r="E760" s="46"/>
      <c r="F760" s="46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</row>
    <row r="761">
      <c r="A761" s="18"/>
      <c r="B761" s="18"/>
      <c r="C761" s="46"/>
      <c r="D761" s="46"/>
      <c r="E761" s="46"/>
      <c r="F761" s="46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</row>
    <row r="762">
      <c r="A762" s="18"/>
      <c r="B762" s="18"/>
      <c r="C762" s="46"/>
      <c r="D762" s="46"/>
      <c r="E762" s="46"/>
      <c r="F762" s="46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</row>
    <row r="763">
      <c r="A763" s="18"/>
      <c r="B763" s="18"/>
      <c r="C763" s="46"/>
      <c r="D763" s="46"/>
      <c r="E763" s="46"/>
      <c r="F763" s="46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</row>
    <row r="764">
      <c r="A764" s="18"/>
      <c r="B764" s="18"/>
      <c r="C764" s="46"/>
      <c r="D764" s="46"/>
      <c r="E764" s="46"/>
      <c r="F764" s="46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</row>
    <row r="765">
      <c r="A765" s="18"/>
      <c r="B765" s="18"/>
      <c r="C765" s="46"/>
      <c r="D765" s="46"/>
      <c r="E765" s="46"/>
      <c r="F765" s="46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</row>
    <row r="766">
      <c r="A766" s="18"/>
      <c r="B766" s="18"/>
      <c r="C766" s="46"/>
      <c r="D766" s="46"/>
      <c r="E766" s="46"/>
      <c r="F766" s="46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</row>
    <row r="767">
      <c r="A767" s="18"/>
      <c r="B767" s="18"/>
      <c r="C767" s="46"/>
      <c r="D767" s="46"/>
      <c r="E767" s="46"/>
      <c r="F767" s="46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</row>
    <row r="768">
      <c r="A768" s="18"/>
      <c r="B768" s="18"/>
      <c r="C768" s="46"/>
      <c r="D768" s="46"/>
      <c r="E768" s="46"/>
      <c r="F768" s="46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</row>
    <row r="769">
      <c r="A769" s="18"/>
      <c r="B769" s="18"/>
      <c r="C769" s="46"/>
      <c r="D769" s="46"/>
      <c r="E769" s="46"/>
      <c r="F769" s="46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</row>
    <row r="770">
      <c r="A770" s="18"/>
      <c r="B770" s="18"/>
      <c r="C770" s="46"/>
      <c r="D770" s="46"/>
      <c r="E770" s="46"/>
      <c r="F770" s="46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</row>
    <row r="771">
      <c r="A771" s="18"/>
      <c r="B771" s="18"/>
      <c r="C771" s="46"/>
      <c r="D771" s="46"/>
      <c r="E771" s="46"/>
      <c r="F771" s="46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</row>
    <row r="772">
      <c r="A772" s="18"/>
      <c r="B772" s="18"/>
      <c r="C772" s="46"/>
      <c r="D772" s="46"/>
      <c r="E772" s="46"/>
      <c r="F772" s="46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</row>
    <row r="773">
      <c r="A773" s="18"/>
      <c r="B773" s="18"/>
      <c r="C773" s="46"/>
      <c r="D773" s="46"/>
      <c r="E773" s="46"/>
      <c r="F773" s="46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</row>
    <row r="774">
      <c r="A774" s="18"/>
      <c r="B774" s="18"/>
      <c r="C774" s="46"/>
      <c r="D774" s="46"/>
      <c r="E774" s="46"/>
      <c r="F774" s="46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</row>
    <row r="775">
      <c r="A775" s="18"/>
      <c r="B775" s="18"/>
      <c r="C775" s="46"/>
      <c r="D775" s="46"/>
      <c r="E775" s="46"/>
      <c r="F775" s="46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</row>
    <row r="776">
      <c r="A776" s="18"/>
      <c r="B776" s="18"/>
      <c r="C776" s="46"/>
      <c r="D776" s="46"/>
      <c r="E776" s="46"/>
      <c r="F776" s="46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</row>
    <row r="777">
      <c r="A777" s="18"/>
      <c r="B777" s="18"/>
      <c r="C777" s="46"/>
      <c r="D777" s="46"/>
      <c r="E777" s="46"/>
      <c r="F777" s="46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</row>
    <row r="778">
      <c r="A778" s="18"/>
      <c r="B778" s="18"/>
      <c r="C778" s="46"/>
      <c r="D778" s="46"/>
      <c r="E778" s="46"/>
      <c r="F778" s="46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</row>
    <row r="779">
      <c r="A779" s="18"/>
      <c r="B779" s="18"/>
      <c r="C779" s="46"/>
      <c r="D779" s="46"/>
      <c r="E779" s="46"/>
      <c r="F779" s="46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</row>
    <row r="780">
      <c r="A780" s="18"/>
      <c r="B780" s="18"/>
      <c r="C780" s="46"/>
      <c r="D780" s="46"/>
      <c r="E780" s="46"/>
      <c r="F780" s="46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</row>
    <row r="781">
      <c r="A781" s="18"/>
      <c r="B781" s="18"/>
      <c r="C781" s="46"/>
      <c r="D781" s="46"/>
      <c r="E781" s="46"/>
      <c r="F781" s="46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</row>
    <row r="782">
      <c r="A782" s="18"/>
      <c r="B782" s="18"/>
      <c r="C782" s="46"/>
      <c r="D782" s="46"/>
      <c r="E782" s="46"/>
      <c r="F782" s="46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</row>
    <row r="783">
      <c r="A783" s="18"/>
      <c r="B783" s="18"/>
      <c r="C783" s="46"/>
      <c r="D783" s="46"/>
      <c r="E783" s="46"/>
      <c r="F783" s="46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</row>
    <row r="784">
      <c r="A784" s="18"/>
      <c r="B784" s="18"/>
      <c r="C784" s="46"/>
      <c r="D784" s="46"/>
      <c r="E784" s="46"/>
      <c r="F784" s="46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</row>
    <row r="785">
      <c r="A785" s="18"/>
      <c r="B785" s="18"/>
      <c r="C785" s="46"/>
      <c r="D785" s="46"/>
      <c r="E785" s="46"/>
      <c r="F785" s="46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</row>
    <row r="786">
      <c r="A786" s="18"/>
      <c r="B786" s="18"/>
      <c r="C786" s="46"/>
      <c r="D786" s="46"/>
      <c r="E786" s="46"/>
      <c r="F786" s="46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</row>
    <row r="787">
      <c r="A787" s="18"/>
      <c r="B787" s="18"/>
      <c r="C787" s="46"/>
      <c r="D787" s="46"/>
      <c r="E787" s="46"/>
      <c r="F787" s="46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</row>
    <row r="788">
      <c r="A788" s="18"/>
      <c r="B788" s="18"/>
      <c r="C788" s="46"/>
      <c r="D788" s="46"/>
      <c r="E788" s="46"/>
      <c r="F788" s="46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</row>
    <row r="789">
      <c r="A789" s="18"/>
      <c r="B789" s="18"/>
      <c r="C789" s="46"/>
      <c r="D789" s="46"/>
      <c r="E789" s="46"/>
      <c r="F789" s="46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</row>
    <row r="790">
      <c r="A790" s="18"/>
      <c r="B790" s="18"/>
      <c r="C790" s="46"/>
      <c r="D790" s="46"/>
      <c r="E790" s="46"/>
      <c r="F790" s="46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</row>
    <row r="791">
      <c r="A791" s="18"/>
      <c r="B791" s="18"/>
      <c r="C791" s="46"/>
      <c r="D791" s="46"/>
      <c r="E791" s="46"/>
      <c r="F791" s="46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</row>
    <row r="792">
      <c r="A792" s="18"/>
      <c r="B792" s="18"/>
      <c r="C792" s="46"/>
      <c r="D792" s="46"/>
      <c r="E792" s="46"/>
      <c r="F792" s="46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</row>
    <row r="793">
      <c r="A793" s="18"/>
      <c r="B793" s="18"/>
      <c r="C793" s="46"/>
      <c r="D793" s="46"/>
      <c r="E793" s="46"/>
      <c r="F793" s="46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</row>
    <row r="794">
      <c r="A794" s="18"/>
      <c r="B794" s="18"/>
      <c r="C794" s="46"/>
      <c r="D794" s="46"/>
      <c r="E794" s="46"/>
      <c r="F794" s="46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</row>
    <row r="795">
      <c r="A795" s="18"/>
      <c r="B795" s="18"/>
      <c r="C795" s="46"/>
      <c r="D795" s="46"/>
      <c r="E795" s="46"/>
      <c r="F795" s="46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</row>
    <row r="796">
      <c r="A796" s="18"/>
      <c r="B796" s="18"/>
      <c r="C796" s="46"/>
      <c r="D796" s="46"/>
      <c r="E796" s="46"/>
      <c r="F796" s="46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</row>
    <row r="797">
      <c r="A797" s="18"/>
      <c r="B797" s="18"/>
      <c r="C797" s="46"/>
      <c r="D797" s="46"/>
      <c r="E797" s="46"/>
      <c r="F797" s="46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</row>
    <row r="798">
      <c r="A798" s="18"/>
      <c r="B798" s="18"/>
      <c r="C798" s="46"/>
      <c r="D798" s="46"/>
      <c r="E798" s="46"/>
      <c r="F798" s="46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</row>
    <row r="799">
      <c r="A799" s="18"/>
      <c r="B799" s="18"/>
      <c r="C799" s="46"/>
      <c r="D799" s="46"/>
      <c r="E799" s="46"/>
      <c r="F799" s="46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</row>
    <row r="800">
      <c r="A800" s="18"/>
      <c r="B800" s="18"/>
      <c r="C800" s="46"/>
      <c r="D800" s="46"/>
      <c r="E800" s="46"/>
      <c r="F800" s="46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</row>
    <row r="801">
      <c r="A801" s="18"/>
      <c r="B801" s="18"/>
      <c r="C801" s="46"/>
      <c r="D801" s="46"/>
      <c r="E801" s="46"/>
      <c r="F801" s="46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</row>
    <row r="802">
      <c r="A802" s="18"/>
      <c r="B802" s="18"/>
      <c r="C802" s="46"/>
      <c r="D802" s="46"/>
      <c r="E802" s="46"/>
      <c r="F802" s="46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</row>
    <row r="803">
      <c r="A803" s="18"/>
      <c r="B803" s="18"/>
      <c r="C803" s="46"/>
      <c r="D803" s="46"/>
      <c r="E803" s="46"/>
      <c r="F803" s="46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</row>
    <row r="804">
      <c r="A804" s="18"/>
      <c r="B804" s="18"/>
      <c r="C804" s="46"/>
      <c r="D804" s="46"/>
      <c r="E804" s="46"/>
      <c r="F804" s="46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</row>
    <row r="805">
      <c r="A805" s="18"/>
      <c r="B805" s="18"/>
      <c r="C805" s="46"/>
      <c r="D805" s="46"/>
      <c r="E805" s="46"/>
      <c r="F805" s="46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</row>
    <row r="806">
      <c r="A806" s="18"/>
      <c r="B806" s="18"/>
      <c r="C806" s="46"/>
      <c r="D806" s="46"/>
      <c r="E806" s="46"/>
      <c r="F806" s="46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</row>
    <row r="807">
      <c r="A807" s="18"/>
      <c r="B807" s="18"/>
      <c r="C807" s="46"/>
      <c r="D807" s="46"/>
      <c r="E807" s="46"/>
      <c r="F807" s="46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</row>
    <row r="808">
      <c r="A808" s="18"/>
      <c r="B808" s="18"/>
      <c r="C808" s="46"/>
      <c r="D808" s="46"/>
      <c r="E808" s="46"/>
      <c r="F808" s="46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</row>
    <row r="809">
      <c r="A809" s="18"/>
      <c r="B809" s="18"/>
      <c r="C809" s="46"/>
      <c r="D809" s="46"/>
      <c r="E809" s="46"/>
      <c r="F809" s="46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</row>
    <row r="810">
      <c r="A810" s="18"/>
      <c r="B810" s="18"/>
      <c r="C810" s="46"/>
      <c r="D810" s="46"/>
      <c r="E810" s="46"/>
      <c r="F810" s="46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</row>
    <row r="811">
      <c r="A811" s="18"/>
      <c r="B811" s="18"/>
      <c r="C811" s="46"/>
      <c r="D811" s="46"/>
      <c r="E811" s="46"/>
      <c r="F811" s="46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</row>
    <row r="812">
      <c r="A812" s="18"/>
      <c r="B812" s="18"/>
      <c r="C812" s="46"/>
      <c r="D812" s="46"/>
      <c r="E812" s="46"/>
      <c r="F812" s="46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</row>
    <row r="813">
      <c r="A813" s="18"/>
      <c r="B813" s="18"/>
      <c r="C813" s="46"/>
      <c r="D813" s="46"/>
      <c r="E813" s="46"/>
      <c r="F813" s="46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</row>
    <row r="814">
      <c r="A814" s="18"/>
      <c r="B814" s="18"/>
      <c r="C814" s="46"/>
      <c r="D814" s="46"/>
      <c r="E814" s="46"/>
      <c r="F814" s="46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</row>
    <row r="815">
      <c r="A815" s="18"/>
      <c r="B815" s="18"/>
      <c r="C815" s="46"/>
      <c r="D815" s="46"/>
      <c r="E815" s="46"/>
      <c r="F815" s="46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</row>
    <row r="816">
      <c r="A816" s="18"/>
      <c r="B816" s="18"/>
      <c r="C816" s="46"/>
      <c r="D816" s="46"/>
      <c r="E816" s="46"/>
      <c r="F816" s="46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</row>
    <row r="817">
      <c r="A817" s="18"/>
      <c r="B817" s="18"/>
      <c r="C817" s="46"/>
      <c r="D817" s="46"/>
      <c r="E817" s="46"/>
      <c r="F817" s="46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</row>
    <row r="818">
      <c r="A818" s="18"/>
      <c r="B818" s="18"/>
      <c r="C818" s="46"/>
      <c r="D818" s="46"/>
      <c r="E818" s="46"/>
      <c r="F818" s="46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</row>
    <row r="819">
      <c r="A819" s="18"/>
      <c r="B819" s="18"/>
      <c r="C819" s="46"/>
      <c r="D819" s="46"/>
      <c r="E819" s="46"/>
      <c r="F819" s="46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</row>
    <row r="820">
      <c r="A820" s="18"/>
      <c r="B820" s="18"/>
      <c r="C820" s="46"/>
      <c r="D820" s="46"/>
      <c r="E820" s="46"/>
      <c r="F820" s="46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</row>
    <row r="821">
      <c r="A821" s="18"/>
      <c r="B821" s="18"/>
      <c r="C821" s="46"/>
      <c r="D821" s="46"/>
      <c r="E821" s="46"/>
      <c r="F821" s="46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</row>
    <row r="822">
      <c r="A822" s="18"/>
      <c r="B822" s="18"/>
      <c r="C822" s="46"/>
      <c r="D822" s="46"/>
      <c r="E822" s="46"/>
      <c r="F822" s="46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</row>
    <row r="823">
      <c r="A823" s="18"/>
      <c r="B823" s="18"/>
      <c r="C823" s="46"/>
      <c r="D823" s="46"/>
      <c r="E823" s="46"/>
      <c r="F823" s="46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</row>
    <row r="824">
      <c r="A824" s="18"/>
      <c r="B824" s="18"/>
      <c r="C824" s="46"/>
      <c r="D824" s="46"/>
      <c r="E824" s="46"/>
      <c r="F824" s="46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</row>
    <row r="825">
      <c r="A825" s="18"/>
      <c r="B825" s="18"/>
      <c r="C825" s="46"/>
      <c r="D825" s="46"/>
      <c r="E825" s="46"/>
      <c r="F825" s="46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</row>
    <row r="826">
      <c r="A826" s="18"/>
      <c r="B826" s="18"/>
      <c r="C826" s="46"/>
      <c r="D826" s="46"/>
      <c r="E826" s="46"/>
      <c r="F826" s="46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</row>
    <row r="827">
      <c r="A827" s="18"/>
      <c r="B827" s="18"/>
      <c r="C827" s="46"/>
      <c r="D827" s="46"/>
      <c r="E827" s="46"/>
      <c r="F827" s="46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</row>
    <row r="828">
      <c r="A828" s="18"/>
      <c r="B828" s="18"/>
      <c r="C828" s="46"/>
      <c r="D828" s="46"/>
      <c r="E828" s="46"/>
      <c r="F828" s="46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</row>
    <row r="829">
      <c r="A829" s="18"/>
      <c r="B829" s="18"/>
      <c r="C829" s="46"/>
      <c r="D829" s="46"/>
      <c r="E829" s="46"/>
      <c r="F829" s="46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</row>
    <row r="830">
      <c r="A830" s="18"/>
      <c r="B830" s="18"/>
      <c r="C830" s="46"/>
      <c r="D830" s="46"/>
      <c r="E830" s="46"/>
      <c r="F830" s="46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</row>
    <row r="831">
      <c r="A831" s="18"/>
      <c r="B831" s="18"/>
      <c r="C831" s="46"/>
      <c r="D831" s="46"/>
      <c r="E831" s="46"/>
      <c r="F831" s="46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</row>
    <row r="832">
      <c r="A832" s="18"/>
      <c r="B832" s="18"/>
      <c r="C832" s="46"/>
      <c r="D832" s="46"/>
      <c r="E832" s="46"/>
      <c r="F832" s="46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</row>
    <row r="833">
      <c r="A833" s="18"/>
      <c r="B833" s="18"/>
      <c r="C833" s="46"/>
      <c r="D833" s="46"/>
      <c r="E833" s="46"/>
      <c r="F833" s="46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</row>
    <row r="834">
      <c r="A834" s="18"/>
      <c r="B834" s="18"/>
      <c r="C834" s="46"/>
      <c r="D834" s="46"/>
      <c r="E834" s="46"/>
      <c r="F834" s="46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</row>
    <row r="835">
      <c r="A835" s="18"/>
      <c r="B835" s="18"/>
      <c r="C835" s="46"/>
      <c r="D835" s="46"/>
      <c r="E835" s="46"/>
      <c r="F835" s="46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</row>
    <row r="836">
      <c r="A836" s="18"/>
      <c r="B836" s="18"/>
      <c r="C836" s="46"/>
      <c r="D836" s="46"/>
      <c r="E836" s="46"/>
      <c r="F836" s="46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</row>
    <row r="837">
      <c r="A837" s="18"/>
      <c r="B837" s="18"/>
      <c r="C837" s="46"/>
      <c r="D837" s="46"/>
      <c r="E837" s="46"/>
      <c r="F837" s="46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</row>
    <row r="838">
      <c r="A838" s="18"/>
      <c r="B838" s="18"/>
      <c r="C838" s="46"/>
      <c r="D838" s="46"/>
      <c r="E838" s="46"/>
      <c r="F838" s="46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</row>
    <row r="839">
      <c r="A839" s="18"/>
      <c r="B839" s="18"/>
      <c r="C839" s="46"/>
      <c r="D839" s="46"/>
      <c r="E839" s="46"/>
      <c r="F839" s="46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</row>
    <row r="840">
      <c r="A840" s="18"/>
      <c r="B840" s="18"/>
      <c r="C840" s="46"/>
      <c r="D840" s="46"/>
      <c r="E840" s="46"/>
      <c r="F840" s="46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</row>
    <row r="841">
      <c r="A841" s="18"/>
      <c r="B841" s="18"/>
      <c r="C841" s="46"/>
      <c r="D841" s="46"/>
      <c r="E841" s="46"/>
      <c r="F841" s="46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</row>
    <row r="842">
      <c r="A842" s="18"/>
      <c r="B842" s="18"/>
      <c r="C842" s="46"/>
      <c r="D842" s="46"/>
      <c r="E842" s="46"/>
      <c r="F842" s="46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</row>
    <row r="843">
      <c r="A843" s="18"/>
      <c r="B843" s="18"/>
      <c r="C843" s="46"/>
      <c r="D843" s="46"/>
      <c r="E843" s="46"/>
      <c r="F843" s="46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</row>
    <row r="844">
      <c r="A844" s="18"/>
      <c r="B844" s="18"/>
      <c r="C844" s="46"/>
      <c r="D844" s="46"/>
      <c r="E844" s="46"/>
      <c r="F844" s="46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</row>
    <row r="845">
      <c r="A845" s="18"/>
      <c r="B845" s="18"/>
      <c r="C845" s="46"/>
      <c r="D845" s="46"/>
      <c r="E845" s="46"/>
      <c r="F845" s="46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</row>
    <row r="846">
      <c r="A846" s="18"/>
      <c r="B846" s="18"/>
      <c r="C846" s="46"/>
      <c r="D846" s="46"/>
      <c r="E846" s="46"/>
      <c r="F846" s="46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</row>
    <row r="847">
      <c r="A847" s="18"/>
      <c r="B847" s="18"/>
      <c r="C847" s="46"/>
      <c r="D847" s="46"/>
      <c r="E847" s="46"/>
      <c r="F847" s="46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</row>
    <row r="848">
      <c r="A848" s="18"/>
      <c r="B848" s="18"/>
      <c r="C848" s="46"/>
      <c r="D848" s="46"/>
      <c r="E848" s="46"/>
      <c r="F848" s="46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</row>
    <row r="849">
      <c r="A849" s="18"/>
      <c r="B849" s="18"/>
      <c r="C849" s="46"/>
      <c r="D849" s="46"/>
      <c r="E849" s="46"/>
      <c r="F849" s="46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</row>
    <row r="850">
      <c r="A850" s="18"/>
      <c r="B850" s="18"/>
      <c r="C850" s="46"/>
      <c r="D850" s="46"/>
      <c r="E850" s="46"/>
      <c r="F850" s="46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</row>
    <row r="851">
      <c r="A851" s="18"/>
      <c r="B851" s="18"/>
      <c r="C851" s="46"/>
      <c r="D851" s="46"/>
      <c r="E851" s="46"/>
      <c r="F851" s="46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</row>
    <row r="852">
      <c r="A852" s="18"/>
      <c r="B852" s="18"/>
      <c r="C852" s="46"/>
      <c r="D852" s="46"/>
      <c r="E852" s="46"/>
      <c r="F852" s="46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</row>
    <row r="853">
      <c r="A853" s="18"/>
      <c r="B853" s="18"/>
      <c r="C853" s="46"/>
      <c r="D853" s="46"/>
      <c r="E853" s="46"/>
      <c r="F853" s="46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</row>
    <row r="854">
      <c r="A854" s="18"/>
      <c r="B854" s="18"/>
      <c r="C854" s="46"/>
      <c r="D854" s="46"/>
      <c r="E854" s="46"/>
      <c r="F854" s="46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</row>
    <row r="855">
      <c r="A855" s="18"/>
      <c r="B855" s="18"/>
      <c r="C855" s="46"/>
      <c r="D855" s="46"/>
      <c r="E855" s="46"/>
      <c r="F855" s="46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</row>
    <row r="856">
      <c r="A856" s="18"/>
      <c r="B856" s="18"/>
      <c r="C856" s="46"/>
      <c r="D856" s="46"/>
      <c r="E856" s="46"/>
      <c r="F856" s="46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</row>
    <row r="857">
      <c r="A857" s="18"/>
      <c r="B857" s="18"/>
      <c r="C857" s="46"/>
      <c r="D857" s="46"/>
      <c r="E857" s="46"/>
      <c r="F857" s="46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</row>
    <row r="858">
      <c r="A858" s="18"/>
      <c r="B858" s="18"/>
      <c r="C858" s="46"/>
      <c r="D858" s="46"/>
      <c r="E858" s="46"/>
      <c r="F858" s="46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</row>
    <row r="859">
      <c r="A859" s="18"/>
      <c r="B859" s="18"/>
      <c r="C859" s="46"/>
      <c r="D859" s="46"/>
      <c r="E859" s="46"/>
      <c r="F859" s="46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</row>
    <row r="860">
      <c r="A860" s="18"/>
      <c r="B860" s="18"/>
      <c r="C860" s="46"/>
      <c r="D860" s="46"/>
      <c r="E860" s="46"/>
      <c r="F860" s="46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</row>
    <row r="861">
      <c r="A861" s="18"/>
      <c r="B861" s="18"/>
      <c r="C861" s="46"/>
      <c r="D861" s="46"/>
      <c r="E861" s="46"/>
      <c r="F861" s="46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</row>
    <row r="862">
      <c r="A862" s="18"/>
      <c r="B862" s="18"/>
      <c r="C862" s="46"/>
      <c r="D862" s="46"/>
      <c r="E862" s="46"/>
      <c r="F862" s="46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</row>
    <row r="863">
      <c r="A863" s="18"/>
      <c r="B863" s="18"/>
      <c r="C863" s="46"/>
      <c r="D863" s="46"/>
      <c r="E863" s="46"/>
      <c r="F863" s="46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</row>
    <row r="864">
      <c r="A864" s="18"/>
      <c r="B864" s="18"/>
      <c r="C864" s="46"/>
      <c r="D864" s="46"/>
      <c r="E864" s="46"/>
      <c r="F864" s="46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</row>
    <row r="865">
      <c r="A865" s="18"/>
      <c r="B865" s="18"/>
      <c r="C865" s="46"/>
      <c r="D865" s="46"/>
      <c r="E865" s="46"/>
      <c r="F865" s="46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</row>
    <row r="866">
      <c r="A866" s="18"/>
      <c r="B866" s="18"/>
      <c r="C866" s="46"/>
      <c r="D866" s="46"/>
      <c r="E866" s="46"/>
      <c r="F866" s="46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</row>
    <row r="867">
      <c r="A867" s="18"/>
      <c r="B867" s="18"/>
      <c r="C867" s="46"/>
      <c r="D867" s="46"/>
      <c r="E867" s="46"/>
      <c r="F867" s="46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</row>
    <row r="868">
      <c r="A868" s="18"/>
      <c r="B868" s="18"/>
      <c r="C868" s="46"/>
      <c r="D868" s="46"/>
      <c r="E868" s="46"/>
      <c r="F868" s="46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</row>
    <row r="869">
      <c r="A869" s="18"/>
      <c r="B869" s="18"/>
      <c r="C869" s="46"/>
      <c r="D869" s="46"/>
      <c r="E869" s="46"/>
      <c r="F869" s="46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</row>
    <row r="870">
      <c r="A870" s="18"/>
      <c r="B870" s="18"/>
      <c r="C870" s="46"/>
      <c r="D870" s="46"/>
      <c r="E870" s="46"/>
      <c r="F870" s="46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</row>
    <row r="871">
      <c r="A871" s="18"/>
      <c r="B871" s="18"/>
      <c r="C871" s="46"/>
      <c r="D871" s="46"/>
      <c r="E871" s="46"/>
      <c r="F871" s="46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</row>
    <row r="872">
      <c r="A872" s="18"/>
      <c r="B872" s="18"/>
      <c r="C872" s="46"/>
      <c r="D872" s="46"/>
      <c r="E872" s="46"/>
      <c r="F872" s="46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</row>
    <row r="873">
      <c r="A873" s="18"/>
      <c r="B873" s="18"/>
      <c r="C873" s="46"/>
      <c r="D873" s="46"/>
      <c r="E873" s="46"/>
      <c r="F873" s="46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</row>
    <row r="874">
      <c r="A874" s="18"/>
      <c r="B874" s="18"/>
      <c r="C874" s="46"/>
      <c r="D874" s="46"/>
      <c r="E874" s="46"/>
      <c r="F874" s="46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</row>
    <row r="875">
      <c r="A875" s="18"/>
      <c r="B875" s="18"/>
      <c r="C875" s="46"/>
      <c r="D875" s="46"/>
      <c r="E875" s="46"/>
      <c r="F875" s="46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</row>
    <row r="876">
      <c r="A876" s="18"/>
      <c r="B876" s="18"/>
      <c r="C876" s="46"/>
      <c r="D876" s="46"/>
      <c r="E876" s="46"/>
      <c r="F876" s="46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</row>
    <row r="877">
      <c r="A877" s="18"/>
      <c r="B877" s="18"/>
      <c r="C877" s="46"/>
      <c r="D877" s="46"/>
      <c r="E877" s="46"/>
      <c r="F877" s="46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</row>
    <row r="878">
      <c r="A878" s="18"/>
      <c r="B878" s="18"/>
      <c r="C878" s="46"/>
      <c r="D878" s="46"/>
      <c r="E878" s="46"/>
      <c r="F878" s="46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</row>
    <row r="879">
      <c r="A879" s="18"/>
      <c r="B879" s="18"/>
      <c r="C879" s="46"/>
      <c r="D879" s="46"/>
      <c r="E879" s="46"/>
      <c r="F879" s="46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</row>
    <row r="880">
      <c r="A880" s="18"/>
      <c r="B880" s="18"/>
      <c r="C880" s="46"/>
      <c r="D880" s="46"/>
      <c r="E880" s="46"/>
      <c r="F880" s="46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</row>
    <row r="881">
      <c r="A881" s="18"/>
      <c r="B881" s="18"/>
      <c r="C881" s="46"/>
      <c r="D881" s="46"/>
      <c r="E881" s="46"/>
      <c r="F881" s="46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</row>
    <row r="882">
      <c r="A882" s="18"/>
      <c r="B882" s="18"/>
      <c r="C882" s="46"/>
      <c r="D882" s="46"/>
      <c r="E882" s="46"/>
      <c r="F882" s="46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</row>
    <row r="883">
      <c r="A883" s="18"/>
      <c r="B883" s="18"/>
      <c r="C883" s="46"/>
      <c r="D883" s="46"/>
      <c r="E883" s="46"/>
      <c r="F883" s="46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</row>
    <row r="884">
      <c r="A884" s="18"/>
      <c r="B884" s="18"/>
      <c r="C884" s="46"/>
      <c r="D884" s="46"/>
      <c r="E884" s="46"/>
      <c r="F884" s="46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</row>
    <row r="885">
      <c r="A885" s="18"/>
      <c r="B885" s="18"/>
      <c r="C885" s="46"/>
      <c r="D885" s="46"/>
      <c r="E885" s="46"/>
      <c r="F885" s="46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</row>
    <row r="886">
      <c r="A886" s="18"/>
      <c r="B886" s="18"/>
      <c r="C886" s="46"/>
      <c r="D886" s="46"/>
      <c r="E886" s="46"/>
      <c r="F886" s="46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</row>
    <row r="887">
      <c r="A887" s="18"/>
      <c r="B887" s="18"/>
      <c r="C887" s="46"/>
      <c r="D887" s="46"/>
      <c r="E887" s="46"/>
      <c r="F887" s="46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</row>
    <row r="888">
      <c r="A888" s="18"/>
      <c r="B888" s="18"/>
      <c r="C888" s="46"/>
      <c r="D888" s="46"/>
      <c r="E888" s="46"/>
      <c r="F888" s="46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</row>
    <row r="889">
      <c r="A889" s="18"/>
      <c r="B889" s="18"/>
      <c r="C889" s="46"/>
      <c r="D889" s="46"/>
      <c r="E889" s="46"/>
      <c r="F889" s="46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</row>
    <row r="890">
      <c r="A890" s="18"/>
      <c r="B890" s="18"/>
      <c r="C890" s="46"/>
      <c r="D890" s="46"/>
      <c r="E890" s="46"/>
      <c r="F890" s="46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</row>
    <row r="891">
      <c r="A891" s="18"/>
      <c r="B891" s="18"/>
      <c r="C891" s="46"/>
      <c r="D891" s="46"/>
      <c r="E891" s="46"/>
      <c r="F891" s="46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</row>
    <row r="892">
      <c r="A892" s="18"/>
      <c r="B892" s="18"/>
      <c r="C892" s="46"/>
      <c r="D892" s="46"/>
      <c r="E892" s="46"/>
      <c r="F892" s="46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</row>
    <row r="893">
      <c r="A893" s="18"/>
      <c r="B893" s="18"/>
      <c r="C893" s="46"/>
      <c r="D893" s="46"/>
      <c r="E893" s="46"/>
      <c r="F893" s="46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</row>
    <row r="894">
      <c r="A894" s="18"/>
      <c r="B894" s="18"/>
      <c r="C894" s="46"/>
      <c r="D894" s="46"/>
      <c r="E894" s="46"/>
      <c r="F894" s="46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</row>
    <row r="895">
      <c r="A895" s="18"/>
      <c r="B895" s="18"/>
      <c r="C895" s="46"/>
      <c r="D895" s="46"/>
      <c r="E895" s="46"/>
      <c r="F895" s="46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</row>
    <row r="896">
      <c r="A896" s="18"/>
      <c r="B896" s="18"/>
      <c r="C896" s="46"/>
      <c r="D896" s="46"/>
      <c r="E896" s="46"/>
      <c r="F896" s="46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</row>
    <row r="897">
      <c r="A897" s="18"/>
      <c r="B897" s="18"/>
      <c r="C897" s="46"/>
      <c r="D897" s="46"/>
      <c r="E897" s="46"/>
      <c r="F897" s="46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</row>
    <row r="898">
      <c r="A898" s="18"/>
      <c r="B898" s="18"/>
      <c r="C898" s="46"/>
      <c r="D898" s="46"/>
      <c r="E898" s="46"/>
      <c r="F898" s="46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</row>
    <row r="899">
      <c r="A899" s="18"/>
      <c r="B899" s="18"/>
      <c r="C899" s="46"/>
      <c r="D899" s="46"/>
      <c r="E899" s="46"/>
      <c r="F899" s="46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</row>
    <row r="900">
      <c r="A900" s="18"/>
      <c r="B900" s="18"/>
      <c r="C900" s="46"/>
      <c r="D900" s="46"/>
      <c r="E900" s="46"/>
      <c r="F900" s="46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</row>
    <row r="901">
      <c r="A901" s="18"/>
      <c r="B901" s="18"/>
      <c r="C901" s="46"/>
      <c r="D901" s="46"/>
      <c r="E901" s="46"/>
      <c r="F901" s="46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</row>
    <row r="902">
      <c r="A902" s="18"/>
      <c r="B902" s="18"/>
      <c r="C902" s="46"/>
      <c r="D902" s="46"/>
      <c r="E902" s="46"/>
      <c r="F902" s="46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</row>
    <row r="903">
      <c r="A903" s="18"/>
      <c r="B903" s="18"/>
      <c r="C903" s="46"/>
      <c r="D903" s="46"/>
      <c r="E903" s="46"/>
      <c r="F903" s="46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</row>
    <row r="904">
      <c r="A904" s="18"/>
      <c r="B904" s="18"/>
      <c r="C904" s="46"/>
      <c r="D904" s="46"/>
      <c r="E904" s="46"/>
      <c r="F904" s="46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</row>
    <row r="905">
      <c r="A905" s="18"/>
      <c r="B905" s="18"/>
      <c r="C905" s="46"/>
      <c r="D905" s="46"/>
      <c r="E905" s="46"/>
      <c r="F905" s="46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</row>
    <row r="906">
      <c r="A906" s="18"/>
      <c r="B906" s="18"/>
      <c r="C906" s="46"/>
      <c r="D906" s="46"/>
      <c r="E906" s="46"/>
      <c r="F906" s="46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</row>
    <row r="907">
      <c r="A907" s="18"/>
      <c r="B907" s="18"/>
      <c r="C907" s="46"/>
      <c r="D907" s="46"/>
      <c r="E907" s="46"/>
      <c r="F907" s="46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</row>
    <row r="908">
      <c r="A908" s="18"/>
      <c r="B908" s="18"/>
      <c r="C908" s="46"/>
      <c r="D908" s="46"/>
      <c r="E908" s="46"/>
      <c r="F908" s="46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</row>
    <row r="909">
      <c r="A909" s="18"/>
      <c r="B909" s="18"/>
      <c r="C909" s="46"/>
      <c r="D909" s="46"/>
      <c r="E909" s="46"/>
      <c r="F909" s="46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</row>
    <row r="910">
      <c r="A910" s="18"/>
      <c r="B910" s="18"/>
      <c r="C910" s="46"/>
      <c r="D910" s="46"/>
      <c r="E910" s="46"/>
      <c r="F910" s="46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</row>
    <row r="911">
      <c r="A911" s="18"/>
      <c r="B911" s="18"/>
      <c r="C911" s="46"/>
      <c r="D911" s="46"/>
      <c r="E911" s="46"/>
      <c r="F911" s="46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</row>
    <row r="912">
      <c r="A912" s="18"/>
      <c r="B912" s="18"/>
      <c r="C912" s="46"/>
      <c r="D912" s="46"/>
      <c r="E912" s="46"/>
      <c r="F912" s="46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</row>
    <row r="913">
      <c r="A913" s="18"/>
      <c r="B913" s="18"/>
      <c r="C913" s="46"/>
      <c r="D913" s="46"/>
      <c r="E913" s="46"/>
      <c r="F913" s="46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</row>
    <row r="914">
      <c r="A914" s="18"/>
      <c r="B914" s="18"/>
      <c r="C914" s="46"/>
      <c r="D914" s="46"/>
      <c r="E914" s="46"/>
      <c r="F914" s="46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</row>
    <row r="915">
      <c r="A915" s="18"/>
      <c r="B915" s="18"/>
      <c r="C915" s="46"/>
      <c r="D915" s="46"/>
      <c r="E915" s="46"/>
      <c r="F915" s="46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</row>
    <row r="916">
      <c r="A916" s="18"/>
      <c r="B916" s="18"/>
      <c r="C916" s="46"/>
      <c r="D916" s="46"/>
      <c r="E916" s="46"/>
      <c r="F916" s="46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</row>
    <row r="917">
      <c r="A917" s="18"/>
      <c r="B917" s="18"/>
      <c r="C917" s="46"/>
      <c r="D917" s="46"/>
      <c r="E917" s="46"/>
      <c r="F917" s="46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</row>
    <row r="918">
      <c r="A918" s="18"/>
      <c r="B918" s="18"/>
      <c r="C918" s="46"/>
      <c r="D918" s="46"/>
      <c r="E918" s="46"/>
      <c r="F918" s="46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</row>
    <row r="919">
      <c r="A919" s="18"/>
      <c r="B919" s="18"/>
      <c r="C919" s="46"/>
      <c r="D919" s="46"/>
      <c r="E919" s="46"/>
      <c r="F919" s="46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</row>
    <row r="920">
      <c r="A920" s="18"/>
      <c r="B920" s="18"/>
      <c r="C920" s="46"/>
      <c r="D920" s="46"/>
      <c r="E920" s="46"/>
      <c r="F920" s="46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</row>
    <row r="921">
      <c r="A921" s="18"/>
      <c r="B921" s="18"/>
      <c r="C921" s="46"/>
      <c r="D921" s="46"/>
      <c r="E921" s="46"/>
      <c r="F921" s="46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</row>
    <row r="922">
      <c r="A922" s="18"/>
      <c r="B922" s="18"/>
      <c r="C922" s="46"/>
      <c r="D922" s="46"/>
      <c r="E922" s="46"/>
      <c r="F922" s="46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</row>
    <row r="923">
      <c r="A923" s="18"/>
      <c r="B923" s="18"/>
      <c r="C923" s="46"/>
      <c r="D923" s="46"/>
      <c r="E923" s="46"/>
      <c r="F923" s="46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</row>
    <row r="924">
      <c r="A924" s="18"/>
      <c r="B924" s="18"/>
      <c r="C924" s="46"/>
      <c r="D924" s="46"/>
      <c r="E924" s="46"/>
      <c r="F924" s="46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</row>
    <row r="925">
      <c r="A925" s="18"/>
      <c r="B925" s="18"/>
      <c r="C925" s="46"/>
      <c r="D925" s="46"/>
      <c r="E925" s="46"/>
      <c r="F925" s="46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</row>
    <row r="926">
      <c r="A926" s="18"/>
      <c r="B926" s="18"/>
      <c r="C926" s="46"/>
      <c r="D926" s="46"/>
      <c r="E926" s="46"/>
      <c r="F926" s="46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</row>
    <row r="927">
      <c r="A927" s="18"/>
      <c r="B927" s="18"/>
      <c r="C927" s="46"/>
      <c r="D927" s="46"/>
      <c r="E927" s="46"/>
      <c r="F927" s="46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</row>
    <row r="928">
      <c r="A928" s="18"/>
      <c r="B928" s="18"/>
      <c r="C928" s="46"/>
      <c r="D928" s="46"/>
      <c r="E928" s="46"/>
      <c r="F928" s="46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</row>
    <row r="929">
      <c r="A929" s="18"/>
      <c r="B929" s="18"/>
      <c r="C929" s="46"/>
      <c r="D929" s="46"/>
      <c r="E929" s="46"/>
      <c r="F929" s="46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</row>
    <row r="930">
      <c r="A930" s="18"/>
      <c r="B930" s="18"/>
      <c r="C930" s="46"/>
      <c r="D930" s="46"/>
      <c r="E930" s="46"/>
      <c r="F930" s="46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</row>
    <row r="931">
      <c r="A931" s="18"/>
      <c r="B931" s="18"/>
      <c r="C931" s="46"/>
      <c r="D931" s="46"/>
      <c r="E931" s="46"/>
      <c r="F931" s="46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</row>
    <row r="932">
      <c r="A932" s="18"/>
      <c r="B932" s="18"/>
      <c r="C932" s="46"/>
      <c r="D932" s="46"/>
      <c r="E932" s="46"/>
      <c r="F932" s="46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</row>
    <row r="933">
      <c r="A933" s="18"/>
      <c r="B933" s="18"/>
      <c r="C933" s="46"/>
      <c r="D933" s="46"/>
      <c r="E933" s="46"/>
      <c r="F933" s="46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</row>
    <row r="934">
      <c r="A934" s="18"/>
      <c r="B934" s="18"/>
      <c r="C934" s="46"/>
      <c r="D934" s="46"/>
      <c r="E934" s="46"/>
      <c r="F934" s="46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</row>
    <row r="935">
      <c r="A935" s="18"/>
      <c r="B935" s="18"/>
      <c r="C935" s="46"/>
      <c r="D935" s="46"/>
      <c r="E935" s="46"/>
      <c r="F935" s="46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</row>
    <row r="936">
      <c r="A936" s="18"/>
      <c r="B936" s="18"/>
      <c r="C936" s="46"/>
      <c r="D936" s="46"/>
      <c r="E936" s="46"/>
      <c r="F936" s="46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</row>
    <row r="937">
      <c r="A937" s="18"/>
      <c r="B937" s="18"/>
      <c r="C937" s="46"/>
      <c r="D937" s="46"/>
      <c r="E937" s="46"/>
      <c r="F937" s="46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</row>
    <row r="938">
      <c r="A938" s="18"/>
      <c r="B938" s="18"/>
      <c r="C938" s="46"/>
      <c r="D938" s="46"/>
      <c r="E938" s="46"/>
      <c r="F938" s="46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</row>
    <row r="939">
      <c r="A939" s="18"/>
      <c r="B939" s="18"/>
      <c r="C939" s="46"/>
      <c r="D939" s="46"/>
      <c r="E939" s="46"/>
      <c r="F939" s="46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</row>
    <row r="940">
      <c r="A940" s="18"/>
      <c r="B940" s="18"/>
      <c r="C940" s="46"/>
      <c r="D940" s="46"/>
      <c r="E940" s="46"/>
      <c r="F940" s="46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</row>
    <row r="941">
      <c r="A941" s="18"/>
      <c r="B941" s="18"/>
      <c r="C941" s="46"/>
      <c r="D941" s="46"/>
      <c r="E941" s="46"/>
      <c r="F941" s="46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</row>
    <row r="942">
      <c r="A942" s="18"/>
      <c r="B942" s="18"/>
      <c r="C942" s="46"/>
      <c r="D942" s="46"/>
      <c r="E942" s="46"/>
      <c r="F942" s="46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</row>
    <row r="943">
      <c r="A943" s="18"/>
      <c r="B943" s="18"/>
      <c r="C943" s="46"/>
      <c r="D943" s="46"/>
      <c r="E943" s="46"/>
      <c r="F943" s="46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</row>
    <row r="944">
      <c r="A944" s="18"/>
      <c r="B944" s="18"/>
      <c r="C944" s="46"/>
      <c r="D944" s="46"/>
      <c r="E944" s="46"/>
      <c r="F944" s="46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</row>
    <row r="945">
      <c r="A945" s="18"/>
      <c r="B945" s="18"/>
      <c r="C945" s="46"/>
      <c r="D945" s="46"/>
      <c r="E945" s="46"/>
      <c r="F945" s="46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</row>
    <row r="946">
      <c r="A946" s="18"/>
      <c r="B946" s="18"/>
      <c r="C946" s="46"/>
      <c r="D946" s="46"/>
      <c r="E946" s="46"/>
      <c r="F946" s="46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</row>
    <row r="947">
      <c r="A947" s="18"/>
      <c r="B947" s="18"/>
      <c r="C947" s="46"/>
      <c r="D947" s="46"/>
      <c r="E947" s="46"/>
      <c r="F947" s="46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</row>
    <row r="948">
      <c r="A948" s="18"/>
      <c r="B948" s="18"/>
      <c r="C948" s="46"/>
      <c r="D948" s="46"/>
      <c r="E948" s="46"/>
      <c r="F948" s="46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</row>
    <row r="949">
      <c r="A949" s="18"/>
      <c r="B949" s="18"/>
      <c r="C949" s="46"/>
      <c r="D949" s="46"/>
      <c r="E949" s="46"/>
      <c r="F949" s="46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</row>
    <row r="950">
      <c r="A950" s="18"/>
      <c r="B950" s="18"/>
      <c r="C950" s="46"/>
      <c r="D950" s="46"/>
      <c r="E950" s="46"/>
      <c r="F950" s="46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</row>
    <row r="951">
      <c r="A951" s="18"/>
      <c r="B951" s="18"/>
      <c r="C951" s="46"/>
      <c r="D951" s="46"/>
      <c r="E951" s="46"/>
      <c r="F951" s="46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</row>
    <row r="952">
      <c r="A952" s="18"/>
      <c r="B952" s="18"/>
      <c r="C952" s="46"/>
      <c r="D952" s="46"/>
      <c r="E952" s="46"/>
      <c r="F952" s="46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</row>
    <row r="953">
      <c r="A953" s="18"/>
      <c r="B953" s="18"/>
      <c r="C953" s="46"/>
      <c r="D953" s="46"/>
      <c r="E953" s="46"/>
      <c r="F953" s="46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</row>
    <row r="954">
      <c r="A954" s="18"/>
      <c r="B954" s="18"/>
      <c r="C954" s="46"/>
      <c r="D954" s="46"/>
      <c r="E954" s="46"/>
      <c r="F954" s="46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</row>
    <row r="955">
      <c r="A955" s="18"/>
      <c r="B955" s="18"/>
      <c r="C955" s="46"/>
      <c r="D955" s="46"/>
      <c r="E955" s="46"/>
      <c r="F955" s="46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</row>
    <row r="956">
      <c r="A956" s="18"/>
      <c r="B956" s="18"/>
      <c r="C956" s="46"/>
      <c r="D956" s="46"/>
      <c r="E956" s="46"/>
      <c r="F956" s="46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</row>
    <row r="957">
      <c r="A957" s="18"/>
      <c r="B957" s="18"/>
      <c r="C957" s="46"/>
      <c r="D957" s="46"/>
      <c r="E957" s="46"/>
      <c r="F957" s="46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</row>
    <row r="958">
      <c r="A958" s="18"/>
      <c r="B958" s="18"/>
      <c r="C958" s="46"/>
      <c r="D958" s="46"/>
      <c r="E958" s="46"/>
      <c r="F958" s="46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</row>
    <row r="959">
      <c r="A959" s="18"/>
      <c r="B959" s="18"/>
      <c r="C959" s="46"/>
      <c r="D959" s="46"/>
      <c r="E959" s="46"/>
      <c r="F959" s="46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</row>
    <row r="960">
      <c r="A960" s="18"/>
      <c r="B960" s="18"/>
      <c r="C960" s="46"/>
      <c r="D960" s="46"/>
      <c r="E960" s="46"/>
      <c r="F960" s="46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</row>
    <row r="961">
      <c r="A961" s="18"/>
      <c r="B961" s="18"/>
      <c r="C961" s="46"/>
      <c r="D961" s="46"/>
      <c r="E961" s="46"/>
      <c r="F961" s="46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</row>
    <row r="962">
      <c r="A962" s="18"/>
      <c r="B962" s="18"/>
      <c r="C962" s="46"/>
      <c r="D962" s="46"/>
      <c r="E962" s="46"/>
      <c r="F962" s="46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</row>
    <row r="963">
      <c r="A963" s="18"/>
      <c r="B963" s="18"/>
      <c r="C963" s="46"/>
      <c r="D963" s="46"/>
      <c r="E963" s="46"/>
      <c r="F963" s="46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</row>
    <row r="964">
      <c r="A964" s="18"/>
      <c r="B964" s="18"/>
      <c r="C964" s="46"/>
      <c r="D964" s="46"/>
      <c r="E964" s="46"/>
      <c r="F964" s="46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</row>
    <row r="965">
      <c r="A965" s="18"/>
      <c r="B965" s="18"/>
      <c r="C965" s="46"/>
      <c r="D965" s="46"/>
      <c r="E965" s="46"/>
      <c r="F965" s="46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</row>
    <row r="966">
      <c r="A966" s="18"/>
      <c r="B966" s="18"/>
      <c r="C966" s="46"/>
      <c r="D966" s="46"/>
      <c r="E966" s="46"/>
      <c r="F966" s="46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</row>
    <row r="967">
      <c r="A967" s="18"/>
      <c r="B967" s="18"/>
      <c r="C967" s="46"/>
      <c r="D967" s="46"/>
      <c r="E967" s="46"/>
      <c r="F967" s="46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</row>
    <row r="968">
      <c r="A968" s="18"/>
      <c r="B968" s="18"/>
      <c r="C968" s="46"/>
      <c r="D968" s="46"/>
      <c r="E968" s="46"/>
      <c r="F968" s="46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</row>
    <row r="969">
      <c r="A969" s="18"/>
      <c r="B969" s="18"/>
      <c r="C969" s="46"/>
      <c r="D969" s="46"/>
      <c r="E969" s="46"/>
      <c r="F969" s="46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</row>
    <row r="970">
      <c r="A970" s="18"/>
      <c r="B970" s="18"/>
      <c r="C970" s="46"/>
      <c r="D970" s="46"/>
      <c r="E970" s="46"/>
      <c r="F970" s="46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</row>
    <row r="971">
      <c r="A971" s="18"/>
      <c r="B971" s="18"/>
      <c r="C971" s="46"/>
      <c r="D971" s="46"/>
      <c r="E971" s="46"/>
      <c r="F971" s="46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</row>
    <row r="972">
      <c r="A972" s="18"/>
      <c r="B972" s="18"/>
      <c r="C972" s="46"/>
      <c r="D972" s="46"/>
      <c r="E972" s="46"/>
      <c r="F972" s="46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</row>
    <row r="973">
      <c r="A973" s="18"/>
      <c r="B973" s="18"/>
      <c r="C973" s="46"/>
      <c r="D973" s="46"/>
      <c r="E973" s="46"/>
      <c r="F973" s="46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</row>
    <row r="974">
      <c r="A974" s="18"/>
      <c r="B974" s="18"/>
      <c r="C974" s="46"/>
      <c r="D974" s="46"/>
      <c r="E974" s="46"/>
      <c r="F974" s="46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</row>
    <row r="975">
      <c r="A975" s="18"/>
      <c r="B975" s="18"/>
      <c r="C975" s="46"/>
      <c r="D975" s="46"/>
      <c r="E975" s="46"/>
      <c r="F975" s="46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</row>
    <row r="976">
      <c r="A976" s="18"/>
      <c r="B976" s="18"/>
      <c r="C976" s="46"/>
      <c r="D976" s="46"/>
      <c r="E976" s="46"/>
      <c r="F976" s="46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</row>
    <row r="977">
      <c r="A977" s="18"/>
      <c r="B977" s="18"/>
      <c r="C977" s="46"/>
      <c r="D977" s="46"/>
      <c r="E977" s="46"/>
      <c r="F977" s="46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</row>
    <row r="978">
      <c r="A978" s="18"/>
      <c r="B978" s="18"/>
      <c r="C978" s="46"/>
      <c r="D978" s="46"/>
      <c r="E978" s="46"/>
      <c r="F978" s="46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</row>
    <row r="979">
      <c r="A979" s="18"/>
      <c r="B979" s="18"/>
      <c r="C979" s="46"/>
      <c r="D979" s="46"/>
      <c r="E979" s="46"/>
      <c r="F979" s="46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</row>
    <row r="980">
      <c r="A980" s="18"/>
      <c r="B980" s="18"/>
      <c r="C980" s="46"/>
      <c r="D980" s="46"/>
      <c r="E980" s="46"/>
      <c r="F980" s="46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</row>
    <row r="981">
      <c r="A981" s="18"/>
      <c r="B981" s="18"/>
      <c r="C981" s="46"/>
      <c r="D981" s="46"/>
      <c r="E981" s="46"/>
      <c r="F981" s="46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</row>
    <row r="982">
      <c r="A982" s="18"/>
      <c r="B982" s="18"/>
      <c r="C982" s="46"/>
      <c r="D982" s="46"/>
      <c r="E982" s="46"/>
      <c r="F982" s="46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</row>
    <row r="983">
      <c r="A983" s="18"/>
      <c r="B983" s="18"/>
      <c r="C983" s="46"/>
      <c r="D983" s="46"/>
      <c r="E983" s="46"/>
      <c r="F983" s="46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</row>
    <row r="984">
      <c r="A984" s="18"/>
      <c r="B984" s="18"/>
      <c r="C984" s="46"/>
      <c r="D984" s="46"/>
      <c r="E984" s="46"/>
      <c r="F984" s="46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</row>
    <row r="985">
      <c r="A985" s="18"/>
      <c r="B985" s="18"/>
      <c r="C985" s="46"/>
      <c r="D985" s="46"/>
      <c r="E985" s="46"/>
      <c r="F985" s="46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</row>
    <row r="986">
      <c r="A986" s="18"/>
      <c r="B986" s="18"/>
      <c r="C986" s="46"/>
      <c r="D986" s="46"/>
      <c r="E986" s="46"/>
      <c r="F986" s="46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</row>
    <row r="987">
      <c r="A987" s="18"/>
      <c r="B987" s="18"/>
      <c r="C987" s="46"/>
      <c r="D987" s="46"/>
      <c r="E987" s="46"/>
      <c r="F987" s="46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</row>
    <row r="988">
      <c r="A988" s="18"/>
      <c r="B988" s="18"/>
      <c r="C988" s="46"/>
      <c r="D988" s="46"/>
      <c r="E988" s="46"/>
      <c r="F988" s="46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</row>
    <row r="989">
      <c r="A989" s="18"/>
      <c r="B989" s="18"/>
      <c r="C989" s="46"/>
      <c r="D989" s="46"/>
      <c r="E989" s="46"/>
      <c r="F989" s="46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</row>
    <row r="990">
      <c r="A990" s="18"/>
      <c r="B990" s="18"/>
      <c r="C990" s="46"/>
      <c r="D990" s="46"/>
      <c r="E990" s="46"/>
      <c r="F990" s="46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</row>
    <row r="991">
      <c r="A991" s="18"/>
      <c r="B991" s="18"/>
      <c r="C991" s="46"/>
      <c r="D991" s="46"/>
      <c r="E991" s="46"/>
      <c r="F991" s="46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</row>
    <row r="992">
      <c r="A992" s="18"/>
      <c r="B992" s="18"/>
      <c r="C992" s="46"/>
      <c r="D992" s="46"/>
      <c r="E992" s="46"/>
      <c r="F992" s="46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</row>
    <row r="993">
      <c r="A993" s="18"/>
      <c r="B993" s="18"/>
      <c r="C993" s="46"/>
      <c r="D993" s="46"/>
      <c r="E993" s="46"/>
      <c r="F993" s="46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</row>
    <row r="994">
      <c r="C994" s="62"/>
      <c r="D994" s="62"/>
      <c r="E994" s="62"/>
      <c r="F994" s="62"/>
    </row>
    <row r="995">
      <c r="C995" s="62"/>
      <c r="D995" s="62"/>
      <c r="E995" s="62"/>
      <c r="F995" s="62"/>
    </row>
    <row r="996">
      <c r="C996" s="62"/>
      <c r="D996" s="62"/>
      <c r="E996" s="62"/>
      <c r="F996" s="62"/>
    </row>
    <row r="997">
      <c r="C997" s="62"/>
      <c r="D997" s="62"/>
      <c r="E997" s="62"/>
      <c r="F997" s="62"/>
    </row>
    <row r="998">
      <c r="C998" s="62"/>
      <c r="D998" s="62"/>
      <c r="E998" s="62"/>
      <c r="F998" s="62"/>
    </row>
    <row r="999">
      <c r="C999" s="62"/>
      <c r="D999" s="62"/>
      <c r="E999" s="62"/>
      <c r="F999" s="6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99" t="s">
        <v>255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>
      <c r="A2" s="102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>
      <c r="A3" s="102" t="s">
        <v>231</v>
      </c>
      <c r="B3" s="25" t="s">
        <v>246</v>
      </c>
      <c r="C3" s="25" t="s">
        <v>246</v>
      </c>
      <c r="D3" s="25" t="s">
        <v>246</v>
      </c>
      <c r="E3" s="25" t="s">
        <v>246</v>
      </c>
      <c r="F3" s="25" t="s">
        <v>246</v>
      </c>
      <c r="G3" s="25" t="s">
        <v>246</v>
      </c>
      <c r="H3" s="25" t="s">
        <v>246</v>
      </c>
      <c r="I3" s="25" t="s">
        <v>251</v>
      </c>
      <c r="J3" s="25" t="s">
        <v>251</v>
      </c>
      <c r="K3" s="25" t="s">
        <v>251</v>
      </c>
      <c r="L3" s="25" t="s">
        <v>251</v>
      </c>
      <c r="M3" s="25" t="s">
        <v>251</v>
      </c>
      <c r="N3" s="25" t="s">
        <v>251</v>
      </c>
      <c r="O3" s="25" t="s">
        <v>251</v>
      </c>
    </row>
    <row r="4">
      <c r="A4" s="102" t="s">
        <v>232</v>
      </c>
      <c r="B4" s="25" t="s">
        <v>256</v>
      </c>
      <c r="C4" s="25" t="s">
        <v>3</v>
      </c>
      <c r="D4" s="25" t="s">
        <v>257</v>
      </c>
      <c r="E4" s="25" t="s">
        <v>3</v>
      </c>
      <c r="F4" s="25" t="s">
        <v>208</v>
      </c>
      <c r="G4" s="25" t="s">
        <v>209</v>
      </c>
      <c r="H4" s="25" t="s">
        <v>210</v>
      </c>
      <c r="I4" s="25" t="s">
        <v>253</v>
      </c>
      <c r="J4" s="25" t="s">
        <v>3</v>
      </c>
      <c r="K4" s="25" t="s">
        <v>252</v>
      </c>
      <c r="L4" s="25" t="s">
        <v>3</v>
      </c>
      <c r="M4" s="25" t="s">
        <v>208</v>
      </c>
      <c r="N4" s="25" t="s">
        <v>209</v>
      </c>
      <c r="O4" s="25" t="s">
        <v>210</v>
      </c>
    </row>
    <row r="5">
      <c r="A5" s="103" t="s">
        <v>17</v>
      </c>
      <c r="B5" s="86">
        <v>0.2916666666666667</v>
      </c>
      <c r="C5" s="86"/>
      <c r="D5" s="86">
        <v>0.6284722222222222</v>
      </c>
      <c r="E5" s="86"/>
      <c r="F5" s="86">
        <v>0.4288268321513003</v>
      </c>
      <c r="G5" s="92">
        <v>0.08704530567061228</v>
      </c>
      <c r="H5" s="93">
        <v>0.012696862771575492</v>
      </c>
      <c r="I5" s="86">
        <v>0.3090277777777778</v>
      </c>
      <c r="J5" s="86"/>
      <c r="K5" s="86">
        <v>0.6284722222222222</v>
      </c>
      <c r="L5" s="86"/>
      <c r="M5" s="86">
        <v>0.43557449494949513</v>
      </c>
      <c r="N5" s="86">
        <v>0.08543732597638178</v>
      </c>
      <c r="O5" s="86">
        <v>0.012880161516133781</v>
      </c>
    </row>
    <row r="6">
      <c r="A6" s="103" t="s">
        <v>18</v>
      </c>
      <c r="B6" s="86">
        <v>0.32013888888888886</v>
      </c>
      <c r="C6" s="86"/>
      <c r="D6" s="86">
        <v>0.64375</v>
      </c>
      <c r="E6" s="86"/>
      <c r="F6" s="86">
        <v>0.45067966903073287</v>
      </c>
      <c r="G6" s="92">
        <v>0.08403756996703496</v>
      </c>
      <c r="H6" s="93">
        <v>0.012258139428745273</v>
      </c>
      <c r="I6" s="86">
        <v>0.33402777777777776</v>
      </c>
      <c r="J6" s="86"/>
      <c r="K6" s="86">
        <v>0.64375</v>
      </c>
      <c r="L6" s="86"/>
      <c r="M6" s="86">
        <v>0.4565814393939393</v>
      </c>
      <c r="N6" s="86">
        <v>0.08265272893415539</v>
      </c>
      <c r="O6" s="86">
        <v>0.01246036771697931</v>
      </c>
    </row>
    <row r="7">
      <c r="A7" s="103" t="s">
        <v>19</v>
      </c>
      <c r="B7" s="87">
        <v>27.71</v>
      </c>
      <c r="C7" s="87" t="s">
        <v>166</v>
      </c>
      <c r="D7" s="87">
        <v>30.41</v>
      </c>
      <c r="E7" s="87" t="s">
        <v>136</v>
      </c>
      <c r="F7" s="87">
        <v>29.139318181818183</v>
      </c>
      <c r="G7" s="87">
        <v>0.5511020575186305</v>
      </c>
      <c r="H7" s="87">
        <v>0.08308176118100716</v>
      </c>
      <c r="I7" s="87">
        <v>28.07</v>
      </c>
      <c r="J7" s="87" t="s">
        <v>94</v>
      </c>
      <c r="K7" s="87">
        <v>30.41</v>
      </c>
      <c r="L7" s="87" t="s">
        <v>136</v>
      </c>
      <c r="M7" s="87">
        <v>29.199512195121955</v>
      </c>
      <c r="N7" s="87">
        <v>0.5071880874957131</v>
      </c>
      <c r="O7" s="87">
        <v>0.079209471609293</v>
      </c>
    </row>
    <row r="8">
      <c r="A8" s="103" t="s">
        <v>20</v>
      </c>
      <c r="B8" s="87">
        <v>1.0</v>
      </c>
      <c r="C8" s="87"/>
      <c r="D8" s="87">
        <v>0.82</v>
      </c>
      <c r="E8" s="87"/>
      <c r="F8" s="87"/>
      <c r="G8" s="87"/>
      <c r="H8" s="87"/>
      <c r="I8" s="104">
        <v>0.84</v>
      </c>
      <c r="J8" s="87"/>
      <c r="K8" s="104">
        <v>0.82</v>
      </c>
      <c r="L8" s="87"/>
      <c r="M8" s="105"/>
      <c r="N8" s="87"/>
      <c r="O8" s="87"/>
    </row>
    <row r="9">
      <c r="A9" s="103" t="s">
        <v>21</v>
      </c>
      <c r="B9" s="87">
        <v>33.37</v>
      </c>
      <c r="C9" s="87" t="s">
        <v>54</v>
      </c>
      <c r="D9" s="87">
        <v>38.03</v>
      </c>
      <c r="E9" s="87" t="s">
        <v>189</v>
      </c>
      <c r="F9" s="87">
        <v>37.13238095238095</v>
      </c>
      <c r="G9" s="87">
        <v>0.7884774136419263</v>
      </c>
      <c r="H9" s="87">
        <v>0.12166470629439524</v>
      </c>
      <c r="I9" s="87">
        <v>34.78</v>
      </c>
      <c r="J9" s="87" t="s">
        <v>94</v>
      </c>
      <c r="K9" s="87">
        <v>38.03</v>
      </c>
      <c r="L9" s="87" t="s">
        <v>189</v>
      </c>
      <c r="M9" s="87">
        <v>37.2241463414634</v>
      </c>
      <c r="N9" s="87">
        <v>0.524137270234412</v>
      </c>
      <c r="O9" s="87">
        <v>0.08185648923853305</v>
      </c>
    </row>
    <row r="10">
      <c r="A10" s="103" t="s">
        <v>22</v>
      </c>
      <c r="B10" s="88">
        <v>2.4</v>
      </c>
      <c r="C10" s="87"/>
      <c r="D10" s="87">
        <v>1.05</v>
      </c>
      <c r="E10" s="87"/>
      <c r="F10" s="87"/>
      <c r="G10" s="87"/>
      <c r="H10" s="87"/>
      <c r="I10" s="104">
        <v>0.83</v>
      </c>
      <c r="J10" s="87"/>
      <c r="K10" s="106">
        <v>1.05</v>
      </c>
      <c r="L10" s="87"/>
      <c r="M10" s="87"/>
      <c r="N10" s="87"/>
      <c r="O10" s="87"/>
    </row>
    <row r="11">
      <c r="A11" s="103" t="s">
        <v>23</v>
      </c>
      <c r="B11" s="87">
        <v>4.97</v>
      </c>
      <c r="C11" s="87" t="s">
        <v>123</v>
      </c>
      <c r="D11" s="87">
        <v>8.24</v>
      </c>
      <c r="E11" s="87" t="s">
        <v>189</v>
      </c>
      <c r="F11" s="87">
        <v>6.1652272727272734</v>
      </c>
      <c r="G11" s="87">
        <v>0.5314678604400845</v>
      </c>
      <c r="H11" s="87">
        <v>0.08012179460057856</v>
      </c>
      <c r="I11" s="87">
        <v>4.97</v>
      </c>
      <c r="J11" s="106" t="s">
        <v>123</v>
      </c>
      <c r="K11" s="87">
        <v>8.24</v>
      </c>
      <c r="L11" s="106" t="s">
        <v>166</v>
      </c>
      <c r="M11" s="87">
        <v>6.149512195121953</v>
      </c>
      <c r="N11" s="87">
        <v>0.5424248852122858</v>
      </c>
      <c r="O11" s="87">
        <v>0.084712534865598</v>
      </c>
    </row>
    <row r="12">
      <c r="A12" s="103" t="s">
        <v>24</v>
      </c>
      <c r="B12" s="87">
        <v>0.57</v>
      </c>
      <c r="C12" s="87"/>
      <c r="D12" s="87">
        <v>1.05</v>
      </c>
      <c r="E12" s="87"/>
      <c r="F12" s="87"/>
      <c r="G12" s="87"/>
      <c r="H12" s="87"/>
      <c r="I12" s="104">
        <v>0.57</v>
      </c>
      <c r="J12" s="87"/>
      <c r="K12" s="104">
        <v>1.05</v>
      </c>
      <c r="L12" s="87"/>
      <c r="M12" s="87"/>
      <c r="N12" s="87"/>
      <c r="O12" s="87"/>
    </row>
    <row r="13">
      <c r="A13" s="103" t="s">
        <v>258</v>
      </c>
      <c r="B13" s="87">
        <v>6.42</v>
      </c>
      <c r="C13" s="87" t="s">
        <v>192</v>
      </c>
      <c r="D13" s="87">
        <v>8.48</v>
      </c>
      <c r="E13" s="87" t="s">
        <v>121</v>
      </c>
      <c r="F13" s="87">
        <v>8.091666666666667</v>
      </c>
      <c r="G13" s="87">
        <v>0.30893930785019763</v>
      </c>
      <c r="H13" s="87">
        <v>0.04767037013625549</v>
      </c>
      <c r="I13" s="87">
        <v>6.42</v>
      </c>
      <c r="J13" s="104" t="s">
        <v>192</v>
      </c>
      <c r="K13" s="87">
        <v>8.48</v>
      </c>
      <c r="L13" s="104" t="s">
        <v>121</v>
      </c>
      <c r="M13" s="87">
        <v>8.090975609756095</v>
      </c>
      <c r="N13" s="87">
        <v>0.312744343498398</v>
      </c>
      <c r="O13" s="87">
        <v>0.04884246063352724</v>
      </c>
    </row>
    <row r="14">
      <c r="A14" s="103" t="s">
        <v>26</v>
      </c>
      <c r="B14" s="87">
        <v>1.08</v>
      </c>
      <c r="C14" s="87"/>
      <c r="D14" s="87">
        <v>0.69</v>
      </c>
      <c r="E14" s="87"/>
      <c r="F14" s="87"/>
      <c r="G14" s="87"/>
      <c r="H14" s="87"/>
      <c r="I14" s="104">
        <v>1.08</v>
      </c>
      <c r="J14" s="87"/>
      <c r="K14" s="104">
        <v>0.69</v>
      </c>
      <c r="L14" s="87"/>
      <c r="M14" s="87"/>
      <c r="N14" s="87"/>
      <c r="O14" s="87"/>
    </row>
    <row r="15">
      <c r="A15" s="103" t="s">
        <v>27</v>
      </c>
      <c r="B15" s="87">
        <v>27.02</v>
      </c>
      <c r="C15" s="87" t="s">
        <v>199</v>
      </c>
      <c r="D15" s="87">
        <v>30.34</v>
      </c>
      <c r="E15" s="87" t="s">
        <v>170</v>
      </c>
      <c r="F15" s="87">
        <v>29.05727272727272</v>
      </c>
      <c r="G15" s="87">
        <v>0.585909603458543</v>
      </c>
      <c r="H15" s="87">
        <v>0.08832919616990481</v>
      </c>
      <c r="I15" s="87">
        <v>28.06</v>
      </c>
      <c r="J15" s="104" t="s">
        <v>62</v>
      </c>
      <c r="K15" s="87">
        <v>30.34</v>
      </c>
      <c r="L15" s="104" t="s">
        <v>170</v>
      </c>
      <c r="M15" s="87">
        <v>29.124390243902443</v>
      </c>
      <c r="N15" s="87">
        <v>0.50413316088355</v>
      </c>
      <c r="O15" s="87">
        <v>0.07873237222797787</v>
      </c>
    </row>
    <row r="16">
      <c r="A16" s="103" t="s">
        <v>28</v>
      </c>
      <c r="B16" s="87">
        <v>3.0</v>
      </c>
      <c r="C16" s="87"/>
      <c r="D16" s="87">
        <v>1.83</v>
      </c>
      <c r="E16" s="87"/>
      <c r="F16" s="87"/>
      <c r="G16" s="87"/>
      <c r="H16" s="87"/>
      <c r="I16" s="104">
        <v>18.5</v>
      </c>
      <c r="J16" s="87"/>
      <c r="K16" s="104">
        <v>1.83</v>
      </c>
      <c r="L16" s="87"/>
      <c r="M16" s="87"/>
      <c r="N16" s="87"/>
      <c r="O16" s="87"/>
    </row>
    <row r="17">
      <c r="A17" s="103" t="s">
        <v>29</v>
      </c>
      <c r="B17" s="87">
        <v>33.19</v>
      </c>
      <c r="C17" s="87" t="s">
        <v>54</v>
      </c>
      <c r="D17" s="87">
        <v>38.03</v>
      </c>
      <c r="E17" s="87" t="s">
        <v>189</v>
      </c>
      <c r="F17" s="87">
        <v>37.20285714285715</v>
      </c>
      <c r="G17" s="87">
        <v>0.6982846079702903</v>
      </c>
      <c r="H17" s="87">
        <v>0.10774765423678187</v>
      </c>
      <c r="I17" s="87">
        <v>36.9</v>
      </c>
      <c r="J17" s="104" t="s">
        <v>121</v>
      </c>
      <c r="K17" s="87">
        <v>38.03</v>
      </c>
      <c r="L17" s="104" t="s">
        <v>189</v>
      </c>
      <c r="M17" s="87">
        <v>37.30073170731707</v>
      </c>
      <c r="N17" s="87">
        <v>0.2956297536100056</v>
      </c>
      <c r="O17" s="87">
        <v>0.046169610747476296</v>
      </c>
    </row>
    <row r="18">
      <c r="A18" s="103" t="s">
        <v>239</v>
      </c>
      <c r="B18" s="87">
        <v>21.65</v>
      </c>
      <c r="C18" s="87"/>
      <c r="D18" s="87">
        <v>4.49</v>
      </c>
      <c r="E18" s="87"/>
      <c r="F18" s="87"/>
      <c r="G18" s="87"/>
      <c r="H18" s="87"/>
      <c r="I18" s="104">
        <v>9.43</v>
      </c>
      <c r="J18" s="87"/>
      <c r="K18" s="104">
        <v>4.49</v>
      </c>
      <c r="L18" s="87"/>
      <c r="M18" s="87"/>
      <c r="N18" s="87"/>
      <c r="O18" s="87"/>
    </row>
    <row r="19">
      <c r="A19" s="103" t="s">
        <v>31</v>
      </c>
      <c r="B19" s="87">
        <v>4.0</v>
      </c>
      <c r="C19" s="87" t="s">
        <v>199</v>
      </c>
      <c r="D19" s="87">
        <v>7.51</v>
      </c>
      <c r="E19" s="87" t="s">
        <v>170</v>
      </c>
      <c r="F19" s="87">
        <v>6.082272727272727</v>
      </c>
      <c r="G19" s="87">
        <v>0.5414659843999037</v>
      </c>
      <c r="H19" s="87">
        <v>0.08162906849976867</v>
      </c>
      <c r="I19" s="87">
        <v>5.28</v>
      </c>
      <c r="J19" s="104" t="s">
        <v>89</v>
      </c>
      <c r="K19" s="87">
        <v>7.51</v>
      </c>
      <c r="L19" s="104" t="s">
        <v>170</v>
      </c>
      <c r="M19" s="87">
        <v>6.095365853658537</v>
      </c>
      <c r="N19" s="87">
        <v>0.41589119707548305</v>
      </c>
      <c r="O19" s="87">
        <v>0.06495129278363383</v>
      </c>
    </row>
    <row r="20">
      <c r="A20" s="103" t="s">
        <v>32</v>
      </c>
      <c r="B20" s="87">
        <v>3.0</v>
      </c>
      <c r="D20" s="87">
        <v>1.82</v>
      </c>
      <c r="F20" s="87"/>
      <c r="G20" s="87"/>
      <c r="H20" s="87"/>
      <c r="I20" s="104">
        <v>9.08</v>
      </c>
      <c r="K20" s="104">
        <v>1.82</v>
      </c>
      <c r="M20" s="87"/>
      <c r="N20" s="87"/>
      <c r="O20" s="87"/>
    </row>
    <row r="21">
      <c r="A21" s="103" t="s">
        <v>259</v>
      </c>
      <c r="B21" s="87">
        <v>7.88</v>
      </c>
      <c r="C21" s="87"/>
      <c r="D21" s="87">
        <v>8.4</v>
      </c>
      <c r="E21" s="87"/>
      <c r="F21" s="87">
        <v>8.224999999999998</v>
      </c>
      <c r="G21" s="87">
        <v>0.1104370475131178</v>
      </c>
      <c r="H21" s="87">
        <v>0.017040806391196785</v>
      </c>
      <c r="I21" s="87">
        <v>7.88</v>
      </c>
      <c r="J21" s="87"/>
      <c r="K21" s="87">
        <v>8.4</v>
      </c>
      <c r="L21" s="87"/>
      <c r="M21" s="87">
        <v>8.22609756097561</v>
      </c>
      <c r="N21" s="87">
        <v>0.11157683560624167</v>
      </c>
      <c r="O21" s="87">
        <v>0.01742537415625333</v>
      </c>
    </row>
    <row r="22">
      <c r="A22" s="103" t="s">
        <v>34</v>
      </c>
      <c r="B22" s="87">
        <v>3.87</v>
      </c>
      <c r="C22" s="87" t="s">
        <v>192</v>
      </c>
      <c r="D22" s="87">
        <v>3.79</v>
      </c>
      <c r="E22" s="87" t="s">
        <v>118</v>
      </c>
      <c r="F22" s="87"/>
      <c r="G22" s="87"/>
      <c r="H22" s="87"/>
      <c r="I22" s="104">
        <v>3.87</v>
      </c>
      <c r="J22" s="104" t="s">
        <v>192</v>
      </c>
      <c r="K22" s="104">
        <v>3.79</v>
      </c>
      <c r="L22" s="104" t="s">
        <v>118</v>
      </c>
      <c r="M22" s="87"/>
      <c r="N22" s="87"/>
      <c r="O22" s="87"/>
    </row>
    <row r="23">
      <c r="A23" s="103" t="s">
        <v>35</v>
      </c>
      <c r="B23" s="87">
        <v>3.0</v>
      </c>
      <c r="C23" s="88" t="s">
        <v>170</v>
      </c>
      <c r="D23" s="87">
        <v>31.0</v>
      </c>
      <c r="E23" s="88" t="s">
        <v>181</v>
      </c>
      <c r="F23" s="87">
        <v>9.821111111111112</v>
      </c>
      <c r="G23" s="87">
        <v>6.585214920984398</v>
      </c>
      <c r="H23" s="87">
        <v>0.9816658806511346</v>
      </c>
      <c r="I23" s="87">
        <v>3.0</v>
      </c>
      <c r="J23" s="17" t="s">
        <v>170</v>
      </c>
      <c r="K23" s="87">
        <v>31.0</v>
      </c>
      <c r="L23" s="88" t="s">
        <v>181</v>
      </c>
      <c r="M23" s="87">
        <v>9.976136363636364</v>
      </c>
      <c r="N23" s="87">
        <v>6.57775929046496</v>
      </c>
      <c r="O23" s="87">
        <v>0.9916345239884833</v>
      </c>
    </row>
    <row r="24">
      <c r="A24" s="103" t="s">
        <v>36</v>
      </c>
      <c r="B24" s="87">
        <v>2.75</v>
      </c>
      <c r="C24" s="88" t="s">
        <v>94</v>
      </c>
      <c r="D24" s="87">
        <v>31.0</v>
      </c>
      <c r="E24" s="88" t="s">
        <v>181</v>
      </c>
      <c r="F24" s="87">
        <v>9.848888888888888</v>
      </c>
      <c r="G24" s="87">
        <v>6.59422516718648</v>
      </c>
      <c r="H24" s="87">
        <v>0.9830090488512591</v>
      </c>
      <c r="I24" s="87">
        <v>2.75</v>
      </c>
      <c r="J24" s="17" t="s">
        <v>94</v>
      </c>
      <c r="K24" s="87">
        <v>31.0</v>
      </c>
      <c r="L24" s="88" t="s">
        <v>181</v>
      </c>
      <c r="M24" s="87">
        <v>10.010227272727272</v>
      </c>
      <c r="N24" s="87">
        <v>6.580004767311612</v>
      </c>
      <c r="O24" s="87">
        <v>0.9919730423601094</v>
      </c>
    </row>
    <row r="25">
      <c r="A25" s="103" t="s">
        <v>37</v>
      </c>
      <c r="B25" s="87">
        <v>2.25</v>
      </c>
      <c r="C25" s="88" t="s">
        <v>89</v>
      </c>
      <c r="D25" s="87">
        <v>31.0</v>
      </c>
      <c r="E25" s="88" t="s">
        <v>181</v>
      </c>
      <c r="F25" s="87">
        <v>9.865555555555556</v>
      </c>
      <c r="G25" s="87">
        <v>6.641705543401674</v>
      </c>
      <c r="H25" s="87">
        <v>0.9900870054388882</v>
      </c>
      <c r="I25" s="87">
        <v>2.5</v>
      </c>
      <c r="J25" s="17" t="s">
        <v>94</v>
      </c>
      <c r="K25" s="87">
        <v>31.0</v>
      </c>
      <c r="L25" s="88" t="s">
        <v>181</v>
      </c>
      <c r="M25" s="87">
        <v>10.038636363636364</v>
      </c>
      <c r="N25" s="87">
        <v>6.615036286672642</v>
      </c>
      <c r="O25" s="87">
        <v>0.9972542426126825</v>
      </c>
    </row>
    <row r="26">
      <c r="A26" s="103" t="s">
        <v>39</v>
      </c>
      <c r="B26" s="87">
        <v>0.5</v>
      </c>
      <c r="C26" s="87"/>
      <c r="D26" s="87">
        <v>1.0</v>
      </c>
      <c r="E26" s="87"/>
      <c r="F26" s="87">
        <v>0.8723404255319149</v>
      </c>
      <c r="G26" s="87">
        <v>0.22037727301308663</v>
      </c>
      <c r="H26" s="87">
        <v>0.03214532905438307</v>
      </c>
      <c r="I26" s="87">
        <v>0.5</v>
      </c>
      <c r="J26" s="87"/>
      <c r="K26" s="87">
        <v>1.0</v>
      </c>
      <c r="L26" s="87"/>
      <c r="M26" s="87">
        <v>0.8636363636363636</v>
      </c>
      <c r="N26" s="87">
        <v>0.2252553167334833</v>
      </c>
      <c r="O26" s="87">
        <v>0.03395851671080129</v>
      </c>
    </row>
    <row r="27">
      <c r="A27" s="103" t="s">
        <v>40</v>
      </c>
      <c r="B27" s="87">
        <v>2.5</v>
      </c>
      <c r="C27" s="87"/>
      <c r="D27" s="87">
        <v>29.5</v>
      </c>
      <c r="E27" s="87"/>
      <c r="F27" s="87">
        <v>10.643617021276595</v>
      </c>
      <c r="G27" s="87">
        <v>7.050814145260696</v>
      </c>
      <c r="H27" s="87">
        <v>1.0284669453516861</v>
      </c>
      <c r="I27" s="87">
        <v>2.5</v>
      </c>
      <c r="J27" s="87"/>
      <c r="K27" s="87">
        <v>29.5</v>
      </c>
      <c r="L27" s="87"/>
      <c r="M27" s="87">
        <v>10.721590909090908</v>
      </c>
      <c r="N27" s="87">
        <v>7.196820985259318</v>
      </c>
      <c r="O27" s="87">
        <v>1.0849615859755013</v>
      </c>
    </row>
    <row r="28">
      <c r="A28" s="107"/>
    </row>
    <row r="29">
      <c r="A29" s="107"/>
    </row>
    <row r="30">
      <c r="A30" s="107"/>
    </row>
    <row r="31">
      <c r="A31" s="107"/>
    </row>
    <row r="32">
      <c r="A32" s="107"/>
    </row>
    <row r="33">
      <c r="A33" s="107"/>
    </row>
    <row r="34">
      <c r="A34" s="107"/>
    </row>
    <row r="35">
      <c r="A35" s="107"/>
    </row>
    <row r="36">
      <c r="A36" s="107"/>
    </row>
    <row r="37">
      <c r="A37" s="107"/>
    </row>
    <row r="38">
      <c r="A38" s="107"/>
    </row>
    <row r="39">
      <c r="A39" s="107"/>
    </row>
    <row r="40">
      <c r="A40" s="107"/>
    </row>
    <row r="41">
      <c r="A41" s="107"/>
    </row>
    <row r="42">
      <c r="A42" s="107"/>
    </row>
    <row r="43">
      <c r="A43" s="107"/>
    </row>
    <row r="44">
      <c r="A44" s="107"/>
    </row>
    <row r="45">
      <c r="A45" s="107"/>
    </row>
    <row r="46">
      <c r="A46" s="107"/>
    </row>
    <row r="47">
      <c r="A47" s="107"/>
    </row>
    <row r="48">
      <c r="A48" s="107"/>
    </row>
    <row r="49">
      <c r="A49" s="107"/>
    </row>
    <row r="50">
      <c r="A50" s="107"/>
    </row>
    <row r="51">
      <c r="A51" s="107"/>
    </row>
    <row r="52">
      <c r="A52" s="107"/>
    </row>
    <row r="53">
      <c r="A53" s="107"/>
    </row>
    <row r="54">
      <c r="A54" s="107"/>
    </row>
    <row r="55">
      <c r="A55" s="107"/>
    </row>
    <row r="56">
      <c r="A56" s="107"/>
    </row>
    <row r="57">
      <c r="A57" s="107"/>
    </row>
    <row r="58">
      <c r="A58" s="107"/>
    </row>
    <row r="59">
      <c r="A59" s="107"/>
    </row>
    <row r="60">
      <c r="A60" s="107"/>
    </row>
    <row r="61">
      <c r="A61" s="107"/>
    </row>
    <row r="62">
      <c r="A62" s="107"/>
    </row>
    <row r="63">
      <c r="A63" s="107"/>
    </row>
    <row r="64">
      <c r="A64" s="107"/>
    </row>
    <row r="65">
      <c r="A65" s="107"/>
    </row>
    <row r="66">
      <c r="A66" s="107"/>
    </row>
    <row r="67">
      <c r="A67" s="107"/>
    </row>
    <row r="68">
      <c r="A68" s="107"/>
    </row>
    <row r="69">
      <c r="A69" s="107"/>
    </row>
    <row r="70">
      <c r="A70" s="107"/>
    </row>
    <row r="71">
      <c r="A71" s="107"/>
    </row>
    <row r="72">
      <c r="A72" s="107"/>
    </row>
    <row r="73">
      <c r="A73" s="107"/>
    </row>
    <row r="74">
      <c r="A74" s="107"/>
    </row>
    <row r="75">
      <c r="A75" s="107"/>
    </row>
    <row r="76">
      <c r="A76" s="107"/>
    </row>
    <row r="77">
      <c r="A77" s="107"/>
    </row>
    <row r="78">
      <c r="A78" s="107"/>
    </row>
    <row r="79">
      <c r="A79" s="107"/>
    </row>
    <row r="80">
      <c r="A80" s="107"/>
    </row>
    <row r="81">
      <c r="A81" s="107"/>
    </row>
    <row r="82">
      <c r="A82" s="107"/>
    </row>
    <row r="83">
      <c r="A83" s="107"/>
    </row>
    <row r="84">
      <c r="A84" s="107"/>
    </row>
    <row r="85">
      <c r="A85" s="107"/>
    </row>
    <row r="86">
      <c r="A86" s="107"/>
    </row>
    <row r="87">
      <c r="A87" s="107"/>
    </row>
    <row r="88">
      <c r="A88" s="107"/>
    </row>
    <row r="89">
      <c r="A89" s="107"/>
    </row>
    <row r="90">
      <c r="A90" s="107"/>
    </row>
    <row r="91">
      <c r="A91" s="107"/>
    </row>
    <row r="92">
      <c r="A92" s="107"/>
    </row>
    <row r="93">
      <c r="A93" s="107"/>
    </row>
    <row r="94">
      <c r="A94" s="107"/>
    </row>
    <row r="95">
      <c r="A95" s="107"/>
    </row>
    <row r="96">
      <c r="A96" s="107"/>
    </row>
    <row r="97">
      <c r="A97" s="107"/>
    </row>
    <row r="98">
      <c r="A98" s="107"/>
    </row>
    <row r="99">
      <c r="A99" s="107"/>
    </row>
    <row r="100">
      <c r="A100" s="107"/>
    </row>
    <row r="101">
      <c r="A101" s="107"/>
    </row>
    <row r="102">
      <c r="A102" s="107"/>
    </row>
    <row r="103">
      <c r="A103" s="107"/>
    </row>
    <row r="104">
      <c r="A104" s="107"/>
    </row>
    <row r="105">
      <c r="A105" s="107"/>
    </row>
    <row r="106">
      <c r="A106" s="107"/>
    </row>
    <row r="107">
      <c r="A107" s="107"/>
    </row>
    <row r="108">
      <c r="A108" s="107"/>
    </row>
    <row r="109">
      <c r="A109" s="107"/>
    </row>
    <row r="110">
      <c r="A110" s="107"/>
    </row>
    <row r="111">
      <c r="A111" s="107"/>
    </row>
    <row r="112">
      <c r="A112" s="107"/>
    </row>
    <row r="113">
      <c r="A113" s="107"/>
    </row>
    <row r="114">
      <c r="A114" s="107"/>
    </row>
    <row r="115">
      <c r="A115" s="107"/>
    </row>
    <row r="116">
      <c r="A116" s="107"/>
    </row>
    <row r="117">
      <c r="A117" s="107"/>
    </row>
    <row r="118">
      <c r="A118" s="107"/>
    </row>
    <row r="119">
      <c r="A119" s="107"/>
    </row>
    <row r="120">
      <c r="A120" s="107"/>
    </row>
    <row r="121">
      <c r="A121" s="107"/>
    </row>
    <row r="122">
      <c r="A122" s="107"/>
    </row>
    <row r="123">
      <c r="A123" s="107"/>
    </row>
    <row r="124">
      <c r="A124" s="107"/>
    </row>
    <row r="125">
      <c r="A125" s="107"/>
    </row>
    <row r="126">
      <c r="A126" s="107"/>
    </row>
    <row r="127">
      <c r="A127" s="107"/>
    </row>
    <row r="128">
      <c r="A128" s="107"/>
    </row>
    <row r="129">
      <c r="A129" s="107"/>
    </row>
    <row r="130">
      <c r="A130" s="107"/>
    </row>
    <row r="131">
      <c r="A131" s="107"/>
    </row>
    <row r="132">
      <c r="A132" s="107"/>
    </row>
    <row r="133">
      <c r="A133" s="107"/>
    </row>
    <row r="134">
      <c r="A134" s="107"/>
    </row>
    <row r="135">
      <c r="A135" s="107"/>
    </row>
    <row r="136">
      <c r="A136" s="107"/>
    </row>
    <row r="137">
      <c r="A137" s="107"/>
    </row>
    <row r="138">
      <c r="A138" s="107"/>
    </row>
    <row r="139">
      <c r="A139" s="107"/>
    </row>
    <row r="140">
      <c r="A140" s="107"/>
    </row>
    <row r="141">
      <c r="A141" s="107"/>
    </row>
    <row r="142">
      <c r="A142" s="107"/>
    </row>
    <row r="143">
      <c r="A143" s="107"/>
    </row>
    <row r="144">
      <c r="A144" s="107"/>
    </row>
    <row r="145">
      <c r="A145" s="107"/>
    </row>
    <row r="146">
      <c r="A146" s="107"/>
    </row>
    <row r="147">
      <c r="A147" s="107"/>
    </row>
    <row r="148">
      <c r="A148" s="107"/>
    </row>
    <row r="149">
      <c r="A149" s="107"/>
    </row>
    <row r="150">
      <c r="A150" s="107"/>
    </row>
    <row r="151">
      <c r="A151" s="107"/>
    </row>
    <row r="152">
      <c r="A152" s="107"/>
    </row>
    <row r="153">
      <c r="A153" s="107"/>
    </row>
    <row r="154">
      <c r="A154" s="107"/>
    </row>
    <row r="155">
      <c r="A155" s="107"/>
    </row>
    <row r="156">
      <c r="A156" s="107"/>
    </row>
    <row r="157">
      <c r="A157" s="107"/>
    </row>
    <row r="158">
      <c r="A158" s="107"/>
    </row>
    <row r="159">
      <c r="A159" s="107"/>
    </row>
    <row r="160">
      <c r="A160" s="107"/>
    </row>
    <row r="161">
      <c r="A161" s="107"/>
    </row>
    <row r="162">
      <c r="A162" s="107"/>
    </row>
    <row r="163">
      <c r="A163" s="107"/>
    </row>
    <row r="164">
      <c r="A164" s="107"/>
    </row>
    <row r="165">
      <c r="A165" s="107"/>
    </row>
    <row r="166">
      <c r="A166" s="107"/>
    </row>
    <row r="167">
      <c r="A167" s="107"/>
    </row>
    <row r="168">
      <c r="A168" s="107"/>
    </row>
    <row r="169">
      <c r="A169" s="107"/>
    </row>
    <row r="170">
      <c r="A170" s="107"/>
    </row>
    <row r="171">
      <c r="A171" s="107"/>
    </row>
    <row r="172">
      <c r="A172" s="107"/>
    </row>
    <row r="173">
      <c r="A173" s="107"/>
    </row>
    <row r="174">
      <c r="A174" s="107"/>
    </row>
    <row r="175">
      <c r="A175" s="107"/>
    </row>
    <row r="176">
      <c r="A176" s="107"/>
    </row>
    <row r="177">
      <c r="A177" s="107"/>
    </row>
    <row r="178">
      <c r="A178" s="107"/>
    </row>
    <row r="179">
      <c r="A179" s="107"/>
    </row>
    <row r="180">
      <c r="A180" s="107"/>
    </row>
    <row r="181">
      <c r="A181" s="107"/>
    </row>
    <row r="182">
      <c r="A182" s="107"/>
    </row>
    <row r="183">
      <c r="A183" s="107"/>
    </row>
    <row r="184">
      <c r="A184" s="107"/>
    </row>
    <row r="185">
      <c r="A185" s="107"/>
    </row>
    <row r="186">
      <c r="A186" s="107"/>
    </row>
    <row r="187">
      <c r="A187" s="107"/>
    </row>
    <row r="188">
      <c r="A188" s="107"/>
    </row>
    <row r="189">
      <c r="A189" s="107"/>
    </row>
    <row r="190">
      <c r="A190" s="107"/>
    </row>
    <row r="191">
      <c r="A191" s="107"/>
    </row>
    <row r="192">
      <c r="A192" s="107"/>
    </row>
    <row r="193">
      <c r="A193" s="107"/>
    </row>
    <row r="194">
      <c r="A194" s="107"/>
    </row>
    <row r="195">
      <c r="A195" s="107"/>
    </row>
    <row r="196">
      <c r="A196" s="107"/>
    </row>
    <row r="197">
      <c r="A197" s="107"/>
    </row>
    <row r="198">
      <c r="A198" s="107"/>
    </row>
    <row r="199">
      <c r="A199" s="107"/>
    </row>
    <row r="200">
      <c r="A200" s="107"/>
    </row>
    <row r="201">
      <c r="A201" s="107"/>
    </row>
    <row r="202">
      <c r="A202" s="107"/>
    </row>
    <row r="203">
      <c r="A203" s="107"/>
    </row>
    <row r="204">
      <c r="A204" s="107"/>
    </row>
    <row r="205">
      <c r="A205" s="107"/>
    </row>
    <row r="206">
      <c r="A206" s="107"/>
    </row>
    <row r="207">
      <c r="A207" s="107"/>
    </row>
    <row r="208">
      <c r="A208" s="107"/>
    </row>
    <row r="209">
      <c r="A209" s="107"/>
    </row>
    <row r="210">
      <c r="A210" s="107"/>
    </row>
    <row r="211">
      <c r="A211" s="107"/>
    </row>
    <row r="212">
      <c r="A212" s="107"/>
    </row>
    <row r="213">
      <c r="A213" s="107"/>
    </row>
    <row r="214">
      <c r="A214" s="107"/>
    </row>
    <row r="215">
      <c r="A215" s="107"/>
    </row>
    <row r="216">
      <c r="A216" s="107"/>
    </row>
    <row r="217">
      <c r="A217" s="107"/>
    </row>
    <row r="218">
      <c r="A218" s="107"/>
    </row>
    <row r="219">
      <c r="A219" s="107"/>
    </row>
    <row r="220">
      <c r="A220" s="107"/>
    </row>
    <row r="221">
      <c r="A221" s="107"/>
    </row>
    <row r="222">
      <c r="A222" s="107"/>
    </row>
    <row r="223">
      <c r="A223" s="107"/>
    </row>
    <row r="224">
      <c r="A224" s="107"/>
    </row>
    <row r="225">
      <c r="A225" s="107"/>
    </row>
    <row r="226">
      <c r="A226" s="107"/>
    </row>
    <row r="227">
      <c r="A227" s="107"/>
    </row>
    <row r="228">
      <c r="A228" s="107"/>
    </row>
    <row r="229">
      <c r="A229" s="107"/>
    </row>
    <row r="230">
      <c r="A230" s="107"/>
    </row>
    <row r="231">
      <c r="A231" s="107"/>
    </row>
    <row r="232">
      <c r="A232" s="107"/>
    </row>
    <row r="233">
      <c r="A233" s="107"/>
    </row>
    <row r="234">
      <c r="A234" s="107"/>
    </row>
    <row r="235">
      <c r="A235" s="107"/>
    </row>
    <row r="236">
      <c r="A236" s="107"/>
    </row>
    <row r="237">
      <c r="A237" s="107"/>
    </row>
    <row r="238">
      <c r="A238" s="107"/>
    </row>
    <row r="239">
      <c r="A239" s="107"/>
    </row>
    <row r="240">
      <c r="A240" s="107"/>
    </row>
    <row r="241">
      <c r="A241" s="107"/>
    </row>
    <row r="242">
      <c r="A242" s="107"/>
    </row>
    <row r="243">
      <c r="A243" s="107"/>
    </row>
    <row r="244">
      <c r="A244" s="107"/>
    </row>
    <row r="245">
      <c r="A245" s="107"/>
    </row>
    <row r="246">
      <c r="A246" s="107"/>
    </row>
    <row r="247">
      <c r="A247" s="107"/>
    </row>
    <row r="248">
      <c r="A248" s="107"/>
    </row>
    <row r="249">
      <c r="A249" s="107"/>
    </row>
    <row r="250">
      <c r="A250" s="107"/>
    </row>
    <row r="251">
      <c r="A251" s="107"/>
    </row>
    <row r="252">
      <c r="A252" s="107"/>
    </row>
    <row r="253">
      <c r="A253" s="107"/>
    </row>
    <row r="254">
      <c r="A254" s="107"/>
    </row>
    <row r="255">
      <c r="A255" s="107"/>
    </row>
    <row r="256">
      <c r="A256" s="107"/>
    </row>
    <row r="257">
      <c r="A257" s="107"/>
    </row>
    <row r="258">
      <c r="A258" s="107"/>
    </row>
    <row r="259">
      <c r="A259" s="107"/>
    </row>
    <row r="260">
      <c r="A260" s="107"/>
    </row>
    <row r="261">
      <c r="A261" s="107"/>
    </row>
    <row r="262">
      <c r="A262" s="107"/>
    </row>
    <row r="263">
      <c r="A263" s="107"/>
    </row>
    <row r="264">
      <c r="A264" s="107"/>
    </row>
    <row r="265">
      <c r="A265" s="107"/>
    </row>
    <row r="266">
      <c r="A266" s="107"/>
    </row>
    <row r="267">
      <c r="A267" s="107"/>
    </row>
    <row r="268">
      <c r="A268" s="107"/>
    </row>
    <row r="269">
      <c r="A269" s="107"/>
    </row>
    <row r="270">
      <c r="A270" s="107"/>
    </row>
    <row r="271">
      <c r="A271" s="107"/>
    </row>
    <row r="272">
      <c r="A272" s="107"/>
    </row>
    <row r="273">
      <c r="A273" s="107"/>
    </row>
    <row r="274">
      <c r="A274" s="107"/>
    </row>
    <row r="275">
      <c r="A275" s="107"/>
    </row>
    <row r="276">
      <c r="A276" s="107"/>
    </row>
    <row r="277">
      <c r="A277" s="107"/>
    </row>
    <row r="278">
      <c r="A278" s="107"/>
    </row>
    <row r="279">
      <c r="A279" s="107"/>
    </row>
    <row r="280">
      <c r="A280" s="107"/>
    </row>
    <row r="281">
      <c r="A281" s="107"/>
    </row>
    <row r="282">
      <c r="A282" s="107"/>
    </row>
    <row r="283">
      <c r="A283" s="107"/>
    </row>
    <row r="284">
      <c r="A284" s="107"/>
    </row>
    <row r="285">
      <c r="A285" s="107"/>
    </row>
    <row r="286">
      <c r="A286" s="107"/>
    </row>
    <row r="287">
      <c r="A287" s="107"/>
    </row>
    <row r="288">
      <c r="A288" s="107"/>
    </row>
    <row r="289">
      <c r="A289" s="107"/>
    </row>
    <row r="290">
      <c r="A290" s="107"/>
    </row>
    <row r="291">
      <c r="A291" s="107"/>
    </row>
    <row r="292">
      <c r="A292" s="107"/>
    </row>
    <row r="293">
      <c r="A293" s="107"/>
    </row>
    <row r="294">
      <c r="A294" s="107"/>
    </row>
    <row r="295">
      <c r="A295" s="107"/>
    </row>
    <row r="296">
      <c r="A296" s="107"/>
    </row>
    <row r="297">
      <c r="A297" s="107"/>
    </row>
    <row r="298">
      <c r="A298" s="107"/>
    </row>
    <row r="299">
      <c r="A299" s="107"/>
    </row>
    <row r="300">
      <c r="A300" s="107"/>
    </row>
    <row r="301">
      <c r="A301" s="107"/>
    </row>
    <row r="302">
      <c r="A302" s="107"/>
    </row>
    <row r="303">
      <c r="A303" s="107"/>
    </row>
    <row r="304">
      <c r="A304" s="107"/>
    </row>
    <row r="305">
      <c r="A305" s="107"/>
    </row>
    <row r="306">
      <c r="A306" s="107"/>
    </row>
    <row r="307">
      <c r="A307" s="107"/>
    </row>
    <row r="308">
      <c r="A308" s="107"/>
    </row>
    <row r="309">
      <c r="A309" s="107"/>
    </row>
    <row r="310">
      <c r="A310" s="107"/>
    </row>
    <row r="311">
      <c r="A311" s="107"/>
    </row>
    <row r="312">
      <c r="A312" s="107"/>
    </row>
    <row r="313">
      <c r="A313" s="107"/>
    </row>
    <row r="314">
      <c r="A314" s="107"/>
    </row>
    <row r="315">
      <c r="A315" s="107"/>
    </row>
    <row r="316">
      <c r="A316" s="107"/>
    </row>
    <row r="317">
      <c r="A317" s="107"/>
    </row>
    <row r="318">
      <c r="A318" s="107"/>
    </row>
    <row r="319">
      <c r="A319" s="107"/>
    </row>
    <row r="320">
      <c r="A320" s="107"/>
    </row>
    <row r="321">
      <c r="A321" s="107"/>
    </row>
    <row r="322">
      <c r="A322" s="107"/>
    </row>
    <row r="323">
      <c r="A323" s="107"/>
    </row>
    <row r="324">
      <c r="A324" s="107"/>
    </row>
    <row r="325">
      <c r="A325" s="107"/>
    </row>
    <row r="326">
      <c r="A326" s="107"/>
    </row>
    <row r="327">
      <c r="A327" s="107"/>
    </row>
    <row r="328">
      <c r="A328" s="107"/>
    </row>
    <row r="329">
      <c r="A329" s="107"/>
    </row>
    <row r="330">
      <c r="A330" s="107"/>
    </row>
    <row r="331">
      <c r="A331" s="107"/>
    </row>
    <row r="332">
      <c r="A332" s="107"/>
    </row>
    <row r="333">
      <c r="A333" s="107"/>
    </row>
    <row r="334">
      <c r="A334" s="107"/>
    </row>
    <row r="335">
      <c r="A335" s="107"/>
    </row>
    <row r="336">
      <c r="A336" s="107"/>
    </row>
    <row r="337">
      <c r="A337" s="107"/>
    </row>
    <row r="338">
      <c r="A338" s="107"/>
    </row>
    <row r="339">
      <c r="A339" s="107"/>
    </row>
    <row r="340">
      <c r="A340" s="107"/>
    </row>
    <row r="341">
      <c r="A341" s="107"/>
    </row>
    <row r="342">
      <c r="A342" s="107"/>
    </row>
    <row r="343">
      <c r="A343" s="107"/>
    </row>
    <row r="344">
      <c r="A344" s="107"/>
    </row>
    <row r="345">
      <c r="A345" s="107"/>
    </row>
    <row r="346">
      <c r="A346" s="107"/>
    </row>
    <row r="347">
      <c r="A347" s="107"/>
    </row>
    <row r="348">
      <c r="A348" s="107"/>
    </row>
    <row r="349">
      <c r="A349" s="107"/>
    </row>
    <row r="350">
      <c r="A350" s="107"/>
    </row>
    <row r="351">
      <c r="A351" s="107"/>
    </row>
    <row r="352">
      <c r="A352" s="107"/>
    </row>
    <row r="353">
      <c r="A353" s="107"/>
    </row>
    <row r="354">
      <c r="A354" s="107"/>
    </row>
    <row r="355">
      <c r="A355" s="107"/>
    </row>
    <row r="356">
      <c r="A356" s="107"/>
    </row>
    <row r="357">
      <c r="A357" s="107"/>
    </row>
    <row r="358">
      <c r="A358" s="107"/>
    </row>
    <row r="359">
      <c r="A359" s="107"/>
    </row>
    <row r="360">
      <c r="A360" s="107"/>
    </row>
    <row r="361">
      <c r="A361" s="107"/>
    </row>
    <row r="362">
      <c r="A362" s="107"/>
    </row>
    <row r="363">
      <c r="A363" s="107"/>
    </row>
    <row r="364">
      <c r="A364" s="107"/>
    </row>
    <row r="365">
      <c r="A365" s="107"/>
    </row>
    <row r="366">
      <c r="A366" s="107"/>
    </row>
    <row r="367">
      <c r="A367" s="107"/>
    </row>
    <row r="368">
      <c r="A368" s="107"/>
    </row>
    <row r="369">
      <c r="A369" s="107"/>
    </row>
    <row r="370">
      <c r="A370" s="107"/>
    </row>
    <row r="371">
      <c r="A371" s="107"/>
    </row>
    <row r="372">
      <c r="A372" s="107"/>
    </row>
    <row r="373">
      <c r="A373" s="107"/>
    </row>
    <row r="374">
      <c r="A374" s="107"/>
    </row>
    <row r="375">
      <c r="A375" s="107"/>
    </row>
    <row r="376">
      <c r="A376" s="107"/>
    </row>
    <row r="377">
      <c r="A377" s="107"/>
    </row>
    <row r="378">
      <c r="A378" s="107"/>
    </row>
    <row r="379">
      <c r="A379" s="107"/>
    </row>
    <row r="380">
      <c r="A380" s="107"/>
    </row>
    <row r="381">
      <c r="A381" s="107"/>
    </row>
    <row r="382">
      <c r="A382" s="107"/>
    </row>
    <row r="383">
      <c r="A383" s="107"/>
    </row>
    <row r="384">
      <c r="A384" s="107"/>
    </row>
    <row r="385">
      <c r="A385" s="107"/>
    </row>
    <row r="386">
      <c r="A386" s="107"/>
    </row>
    <row r="387">
      <c r="A387" s="107"/>
    </row>
    <row r="388">
      <c r="A388" s="107"/>
    </row>
    <row r="389">
      <c r="A389" s="107"/>
    </row>
    <row r="390">
      <c r="A390" s="107"/>
    </row>
    <row r="391">
      <c r="A391" s="107"/>
    </row>
    <row r="392">
      <c r="A392" s="107"/>
    </row>
    <row r="393">
      <c r="A393" s="107"/>
    </row>
    <row r="394">
      <c r="A394" s="107"/>
    </row>
    <row r="395">
      <c r="A395" s="107"/>
    </row>
    <row r="396">
      <c r="A396" s="107"/>
    </row>
    <row r="397">
      <c r="A397" s="107"/>
    </row>
    <row r="398">
      <c r="A398" s="107"/>
    </row>
    <row r="399">
      <c r="A399" s="107"/>
    </row>
    <row r="400">
      <c r="A400" s="107"/>
    </row>
    <row r="401">
      <c r="A401" s="107"/>
    </row>
    <row r="402">
      <c r="A402" s="107"/>
    </row>
    <row r="403">
      <c r="A403" s="107"/>
    </row>
    <row r="404">
      <c r="A404" s="107"/>
    </row>
    <row r="405">
      <c r="A405" s="107"/>
    </row>
    <row r="406">
      <c r="A406" s="107"/>
    </row>
    <row r="407">
      <c r="A407" s="107"/>
    </row>
    <row r="408">
      <c r="A408" s="107"/>
    </row>
    <row r="409">
      <c r="A409" s="107"/>
    </row>
    <row r="410">
      <c r="A410" s="107"/>
    </row>
    <row r="411">
      <c r="A411" s="107"/>
    </row>
    <row r="412">
      <c r="A412" s="107"/>
    </row>
    <row r="413">
      <c r="A413" s="107"/>
    </row>
    <row r="414">
      <c r="A414" s="107"/>
    </row>
    <row r="415">
      <c r="A415" s="107"/>
    </row>
    <row r="416">
      <c r="A416" s="107"/>
    </row>
    <row r="417">
      <c r="A417" s="107"/>
    </row>
    <row r="418">
      <c r="A418" s="107"/>
    </row>
    <row r="419">
      <c r="A419" s="107"/>
    </row>
    <row r="420">
      <c r="A420" s="107"/>
    </row>
    <row r="421">
      <c r="A421" s="107"/>
    </row>
    <row r="422">
      <c r="A422" s="107"/>
    </row>
    <row r="423">
      <c r="A423" s="107"/>
    </row>
    <row r="424">
      <c r="A424" s="107"/>
    </row>
    <row r="425">
      <c r="A425" s="107"/>
    </row>
    <row r="426">
      <c r="A426" s="107"/>
    </row>
    <row r="427">
      <c r="A427" s="107"/>
    </row>
    <row r="428">
      <c r="A428" s="107"/>
    </row>
    <row r="429">
      <c r="A429" s="107"/>
    </row>
    <row r="430">
      <c r="A430" s="107"/>
    </row>
    <row r="431">
      <c r="A431" s="107"/>
    </row>
    <row r="432">
      <c r="A432" s="107"/>
    </row>
    <row r="433">
      <c r="A433" s="107"/>
    </row>
    <row r="434">
      <c r="A434" s="107"/>
    </row>
    <row r="435">
      <c r="A435" s="107"/>
    </row>
    <row r="436">
      <c r="A436" s="107"/>
    </row>
    <row r="437">
      <c r="A437" s="107"/>
    </row>
    <row r="438">
      <c r="A438" s="107"/>
    </row>
    <row r="439">
      <c r="A439" s="107"/>
    </row>
    <row r="440">
      <c r="A440" s="107"/>
    </row>
    <row r="441">
      <c r="A441" s="107"/>
    </row>
    <row r="442">
      <c r="A442" s="107"/>
    </row>
    <row r="443">
      <c r="A443" s="107"/>
    </row>
    <row r="444">
      <c r="A444" s="107"/>
    </row>
    <row r="445">
      <c r="A445" s="107"/>
    </row>
    <row r="446">
      <c r="A446" s="107"/>
    </row>
    <row r="447">
      <c r="A447" s="107"/>
    </row>
    <row r="448">
      <c r="A448" s="107"/>
    </row>
    <row r="449">
      <c r="A449" s="107"/>
    </row>
    <row r="450">
      <c r="A450" s="107"/>
    </row>
    <row r="451">
      <c r="A451" s="107"/>
    </row>
    <row r="452">
      <c r="A452" s="107"/>
    </row>
    <row r="453">
      <c r="A453" s="107"/>
    </row>
    <row r="454">
      <c r="A454" s="107"/>
    </row>
    <row r="455">
      <c r="A455" s="107"/>
    </row>
    <row r="456">
      <c r="A456" s="107"/>
    </row>
    <row r="457">
      <c r="A457" s="107"/>
    </row>
    <row r="458">
      <c r="A458" s="107"/>
    </row>
    <row r="459">
      <c r="A459" s="107"/>
    </row>
    <row r="460">
      <c r="A460" s="107"/>
    </row>
    <row r="461">
      <c r="A461" s="107"/>
    </row>
    <row r="462">
      <c r="A462" s="107"/>
    </row>
    <row r="463">
      <c r="A463" s="107"/>
    </row>
    <row r="464">
      <c r="A464" s="107"/>
    </row>
    <row r="465">
      <c r="A465" s="107"/>
    </row>
    <row r="466">
      <c r="A466" s="107"/>
    </row>
    <row r="467">
      <c r="A467" s="107"/>
    </row>
    <row r="468">
      <c r="A468" s="107"/>
    </row>
    <row r="469">
      <c r="A469" s="107"/>
    </row>
    <row r="470">
      <c r="A470" s="107"/>
    </row>
    <row r="471">
      <c r="A471" s="107"/>
    </row>
    <row r="472">
      <c r="A472" s="107"/>
    </row>
    <row r="473">
      <c r="A473" s="107"/>
    </row>
    <row r="474">
      <c r="A474" s="107"/>
    </row>
    <row r="475">
      <c r="A475" s="107"/>
    </row>
    <row r="476">
      <c r="A476" s="107"/>
    </row>
    <row r="477">
      <c r="A477" s="107"/>
    </row>
    <row r="478">
      <c r="A478" s="107"/>
    </row>
    <row r="479">
      <c r="A479" s="107"/>
    </row>
    <row r="480">
      <c r="A480" s="107"/>
    </row>
    <row r="481">
      <c r="A481" s="107"/>
    </row>
    <row r="482">
      <c r="A482" s="107"/>
    </row>
    <row r="483">
      <c r="A483" s="107"/>
    </row>
    <row r="484">
      <c r="A484" s="107"/>
    </row>
    <row r="485">
      <c r="A485" s="107"/>
    </row>
    <row r="486">
      <c r="A486" s="107"/>
    </row>
    <row r="487">
      <c r="A487" s="107"/>
    </row>
    <row r="488">
      <c r="A488" s="107"/>
    </row>
    <row r="489">
      <c r="A489" s="107"/>
    </row>
    <row r="490">
      <c r="A490" s="107"/>
    </row>
    <row r="491">
      <c r="A491" s="107"/>
    </row>
    <row r="492">
      <c r="A492" s="107"/>
    </row>
    <row r="493">
      <c r="A493" s="107"/>
    </row>
    <row r="494">
      <c r="A494" s="107"/>
    </row>
    <row r="495">
      <c r="A495" s="107"/>
    </row>
    <row r="496">
      <c r="A496" s="107"/>
    </row>
    <row r="497">
      <c r="A497" s="107"/>
    </row>
    <row r="498">
      <c r="A498" s="107"/>
    </row>
    <row r="499">
      <c r="A499" s="107"/>
    </row>
    <row r="500">
      <c r="A500" s="107"/>
    </row>
    <row r="501">
      <c r="A501" s="107"/>
    </row>
    <row r="502">
      <c r="A502" s="107"/>
    </row>
    <row r="503">
      <c r="A503" s="107"/>
    </row>
    <row r="504">
      <c r="A504" s="107"/>
    </row>
    <row r="505">
      <c r="A505" s="107"/>
    </row>
    <row r="506">
      <c r="A506" s="107"/>
    </row>
    <row r="507">
      <c r="A507" s="107"/>
    </row>
    <row r="508">
      <c r="A508" s="107"/>
    </row>
    <row r="509">
      <c r="A509" s="107"/>
    </row>
    <row r="510">
      <c r="A510" s="107"/>
    </row>
    <row r="511">
      <c r="A511" s="107"/>
    </row>
    <row r="512">
      <c r="A512" s="107"/>
    </row>
    <row r="513">
      <c r="A513" s="107"/>
    </row>
    <row r="514">
      <c r="A514" s="107"/>
    </row>
    <row r="515">
      <c r="A515" s="107"/>
    </row>
    <row r="516">
      <c r="A516" s="107"/>
    </row>
    <row r="517">
      <c r="A517" s="107"/>
    </row>
    <row r="518">
      <c r="A518" s="107"/>
    </row>
    <row r="519">
      <c r="A519" s="107"/>
    </row>
    <row r="520">
      <c r="A520" s="107"/>
    </row>
    <row r="521">
      <c r="A521" s="107"/>
    </row>
    <row r="522">
      <c r="A522" s="107"/>
    </row>
    <row r="523">
      <c r="A523" s="107"/>
    </row>
    <row r="524">
      <c r="A524" s="107"/>
    </row>
    <row r="525">
      <c r="A525" s="107"/>
    </row>
    <row r="526">
      <c r="A526" s="107"/>
    </row>
    <row r="527">
      <c r="A527" s="107"/>
    </row>
    <row r="528">
      <c r="A528" s="107"/>
    </row>
    <row r="529">
      <c r="A529" s="107"/>
    </row>
    <row r="530">
      <c r="A530" s="107"/>
    </row>
    <row r="531">
      <c r="A531" s="107"/>
    </row>
    <row r="532">
      <c r="A532" s="107"/>
    </row>
    <row r="533">
      <c r="A533" s="107"/>
    </row>
    <row r="534">
      <c r="A534" s="107"/>
    </row>
    <row r="535">
      <c r="A535" s="107"/>
    </row>
    <row r="536">
      <c r="A536" s="107"/>
    </row>
    <row r="537">
      <c r="A537" s="107"/>
    </row>
    <row r="538">
      <c r="A538" s="107"/>
    </row>
    <row r="539">
      <c r="A539" s="107"/>
    </row>
    <row r="540">
      <c r="A540" s="107"/>
    </row>
    <row r="541">
      <c r="A541" s="107"/>
    </row>
    <row r="542">
      <c r="A542" s="107"/>
    </row>
    <row r="543">
      <c r="A543" s="107"/>
    </row>
    <row r="544">
      <c r="A544" s="107"/>
    </row>
    <row r="545">
      <c r="A545" s="107"/>
    </row>
    <row r="546">
      <c r="A546" s="107"/>
    </row>
    <row r="547">
      <c r="A547" s="107"/>
    </row>
    <row r="548">
      <c r="A548" s="107"/>
    </row>
    <row r="549">
      <c r="A549" s="107"/>
    </row>
    <row r="550">
      <c r="A550" s="107"/>
    </row>
    <row r="551">
      <c r="A551" s="107"/>
    </row>
    <row r="552">
      <c r="A552" s="107"/>
    </row>
    <row r="553">
      <c r="A553" s="107"/>
    </row>
    <row r="554">
      <c r="A554" s="107"/>
    </row>
    <row r="555">
      <c r="A555" s="107"/>
    </row>
    <row r="556">
      <c r="A556" s="107"/>
    </row>
    <row r="557">
      <c r="A557" s="107"/>
    </row>
    <row r="558">
      <c r="A558" s="107"/>
    </row>
    <row r="559">
      <c r="A559" s="107"/>
    </row>
    <row r="560">
      <c r="A560" s="107"/>
    </row>
    <row r="561">
      <c r="A561" s="107"/>
    </row>
    <row r="562">
      <c r="A562" s="107"/>
    </row>
    <row r="563">
      <c r="A563" s="107"/>
    </row>
    <row r="564">
      <c r="A564" s="107"/>
    </row>
    <row r="565">
      <c r="A565" s="107"/>
    </row>
    <row r="566">
      <c r="A566" s="107"/>
    </row>
    <row r="567">
      <c r="A567" s="107"/>
    </row>
    <row r="568">
      <c r="A568" s="107"/>
    </row>
    <row r="569">
      <c r="A569" s="107"/>
    </row>
    <row r="570">
      <c r="A570" s="107"/>
    </row>
    <row r="571">
      <c r="A571" s="107"/>
    </row>
    <row r="572">
      <c r="A572" s="107"/>
    </row>
    <row r="573">
      <c r="A573" s="107"/>
    </row>
    <row r="574">
      <c r="A574" s="107"/>
    </row>
    <row r="575">
      <c r="A575" s="107"/>
    </row>
    <row r="576">
      <c r="A576" s="107"/>
    </row>
    <row r="577">
      <c r="A577" s="107"/>
    </row>
    <row r="578">
      <c r="A578" s="107"/>
    </row>
    <row r="579">
      <c r="A579" s="107"/>
    </row>
    <row r="580">
      <c r="A580" s="107"/>
    </row>
    <row r="581">
      <c r="A581" s="107"/>
    </row>
    <row r="582">
      <c r="A582" s="107"/>
    </row>
    <row r="583">
      <c r="A583" s="107"/>
    </row>
    <row r="584">
      <c r="A584" s="107"/>
    </row>
    <row r="585">
      <c r="A585" s="107"/>
    </row>
    <row r="586">
      <c r="A586" s="107"/>
    </row>
    <row r="587">
      <c r="A587" s="107"/>
    </row>
    <row r="588">
      <c r="A588" s="107"/>
    </row>
    <row r="589">
      <c r="A589" s="107"/>
    </row>
    <row r="590">
      <c r="A590" s="107"/>
    </row>
    <row r="591">
      <c r="A591" s="107"/>
    </row>
    <row r="592">
      <c r="A592" s="107"/>
    </row>
    <row r="593">
      <c r="A593" s="107"/>
    </row>
    <row r="594">
      <c r="A594" s="107"/>
    </row>
    <row r="595">
      <c r="A595" s="107"/>
    </row>
    <row r="596">
      <c r="A596" s="107"/>
    </row>
    <row r="597">
      <c r="A597" s="107"/>
    </row>
    <row r="598">
      <c r="A598" s="107"/>
    </row>
    <row r="599">
      <c r="A599" s="107"/>
    </row>
    <row r="600">
      <c r="A600" s="107"/>
    </row>
    <row r="601">
      <c r="A601" s="107"/>
    </row>
    <row r="602">
      <c r="A602" s="107"/>
    </row>
    <row r="603">
      <c r="A603" s="107"/>
    </row>
    <row r="604">
      <c r="A604" s="107"/>
    </row>
    <row r="605">
      <c r="A605" s="107"/>
    </row>
    <row r="606">
      <c r="A606" s="107"/>
    </row>
    <row r="607">
      <c r="A607" s="107"/>
    </row>
    <row r="608">
      <c r="A608" s="107"/>
    </row>
    <row r="609">
      <c r="A609" s="107"/>
    </row>
    <row r="610">
      <c r="A610" s="107"/>
    </row>
    <row r="611">
      <c r="A611" s="107"/>
    </row>
    <row r="612">
      <c r="A612" s="107"/>
    </row>
    <row r="613">
      <c r="A613" s="107"/>
    </row>
    <row r="614">
      <c r="A614" s="107"/>
    </row>
    <row r="615">
      <c r="A615" s="107"/>
    </row>
    <row r="616">
      <c r="A616" s="107"/>
    </row>
    <row r="617">
      <c r="A617" s="107"/>
    </row>
    <row r="618">
      <c r="A618" s="107"/>
    </row>
    <row r="619">
      <c r="A619" s="107"/>
    </row>
    <row r="620">
      <c r="A620" s="107"/>
    </row>
    <row r="621">
      <c r="A621" s="107"/>
    </row>
    <row r="622">
      <c r="A622" s="107"/>
    </row>
    <row r="623">
      <c r="A623" s="107"/>
    </row>
    <row r="624">
      <c r="A624" s="107"/>
    </row>
    <row r="625">
      <c r="A625" s="107"/>
    </row>
    <row r="626">
      <c r="A626" s="107"/>
    </row>
    <row r="627">
      <c r="A627" s="107"/>
    </row>
    <row r="628">
      <c r="A628" s="107"/>
    </row>
    <row r="629">
      <c r="A629" s="107"/>
    </row>
    <row r="630">
      <c r="A630" s="107"/>
    </row>
    <row r="631">
      <c r="A631" s="107"/>
    </row>
    <row r="632">
      <c r="A632" s="107"/>
    </row>
    <row r="633">
      <c r="A633" s="107"/>
    </row>
    <row r="634">
      <c r="A634" s="107"/>
    </row>
    <row r="635">
      <c r="A635" s="107"/>
    </row>
    <row r="636">
      <c r="A636" s="107"/>
    </row>
    <row r="637">
      <c r="A637" s="107"/>
    </row>
    <row r="638">
      <c r="A638" s="107"/>
    </row>
    <row r="639">
      <c r="A639" s="107"/>
    </row>
    <row r="640">
      <c r="A640" s="107"/>
    </row>
    <row r="641">
      <c r="A641" s="107"/>
    </row>
    <row r="642">
      <c r="A642" s="107"/>
    </row>
    <row r="643">
      <c r="A643" s="107"/>
    </row>
    <row r="644">
      <c r="A644" s="107"/>
    </row>
    <row r="645">
      <c r="A645" s="107"/>
    </row>
    <row r="646">
      <c r="A646" s="107"/>
    </row>
    <row r="647">
      <c r="A647" s="107"/>
    </row>
    <row r="648">
      <c r="A648" s="107"/>
    </row>
    <row r="649">
      <c r="A649" s="107"/>
    </row>
    <row r="650">
      <c r="A650" s="107"/>
    </row>
    <row r="651">
      <c r="A651" s="107"/>
    </row>
    <row r="652">
      <c r="A652" s="107"/>
    </row>
    <row r="653">
      <c r="A653" s="107"/>
    </row>
    <row r="654">
      <c r="A654" s="107"/>
    </row>
    <row r="655">
      <c r="A655" s="107"/>
    </row>
    <row r="656">
      <c r="A656" s="107"/>
    </row>
    <row r="657">
      <c r="A657" s="107"/>
    </row>
    <row r="658">
      <c r="A658" s="107"/>
    </row>
    <row r="659">
      <c r="A659" s="107"/>
    </row>
    <row r="660">
      <c r="A660" s="107"/>
    </row>
    <row r="661">
      <c r="A661" s="107"/>
    </row>
    <row r="662">
      <c r="A662" s="107"/>
    </row>
    <row r="663">
      <c r="A663" s="107"/>
    </row>
    <row r="664">
      <c r="A664" s="107"/>
    </row>
    <row r="665">
      <c r="A665" s="107"/>
    </row>
    <row r="666">
      <c r="A666" s="107"/>
    </row>
    <row r="667">
      <c r="A667" s="107"/>
    </row>
    <row r="668">
      <c r="A668" s="107"/>
    </row>
    <row r="669">
      <c r="A669" s="107"/>
    </row>
    <row r="670">
      <c r="A670" s="107"/>
    </row>
    <row r="671">
      <c r="A671" s="107"/>
    </row>
    <row r="672">
      <c r="A672" s="107"/>
    </row>
    <row r="673">
      <c r="A673" s="107"/>
    </row>
    <row r="674">
      <c r="A674" s="107"/>
    </row>
    <row r="675">
      <c r="A675" s="107"/>
    </row>
    <row r="676">
      <c r="A676" s="107"/>
    </row>
    <row r="677">
      <c r="A677" s="107"/>
    </row>
    <row r="678">
      <c r="A678" s="107"/>
    </row>
    <row r="679">
      <c r="A679" s="107"/>
    </row>
    <row r="680">
      <c r="A680" s="107"/>
    </row>
    <row r="681">
      <c r="A681" s="107"/>
    </row>
    <row r="682">
      <c r="A682" s="107"/>
    </row>
    <row r="683">
      <c r="A683" s="107"/>
    </row>
    <row r="684">
      <c r="A684" s="107"/>
    </row>
    <row r="685">
      <c r="A685" s="107"/>
    </row>
    <row r="686">
      <c r="A686" s="107"/>
    </row>
    <row r="687">
      <c r="A687" s="107"/>
    </row>
    <row r="688">
      <c r="A688" s="107"/>
    </row>
    <row r="689">
      <c r="A689" s="107"/>
    </row>
    <row r="690">
      <c r="A690" s="107"/>
    </row>
    <row r="691">
      <c r="A691" s="107"/>
    </row>
    <row r="692">
      <c r="A692" s="107"/>
    </row>
    <row r="693">
      <c r="A693" s="107"/>
    </row>
    <row r="694">
      <c r="A694" s="107"/>
    </row>
    <row r="695">
      <c r="A695" s="107"/>
    </row>
    <row r="696">
      <c r="A696" s="107"/>
    </row>
    <row r="697">
      <c r="A697" s="107"/>
    </row>
    <row r="698">
      <c r="A698" s="107"/>
    </row>
    <row r="699">
      <c r="A699" s="107"/>
    </row>
    <row r="700">
      <c r="A700" s="107"/>
    </row>
    <row r="701">
      <c r="A701" s="107"/>
    </row>
    <row r="702">
      <c r="A702" s="107"/>
    </row>
    <row r="703">
      <c r="A703" s="107"/>
    </row>
    <row r="704">
      <c r="A704" s="107"/>
    </row>
    <row r="705">
      <c r="A705" s="107"/>
    </row>
    <row r="706">
      <c r="A706" s="107"/>
    </row>
    <row r="707">
      <c r="A707" s="107"/>
    </row>
    <row r="708">
      <c r="A708" s="107"/>
    </row>
    <row r="709">
      <c r="A709" s="107"/>
    </row>
    <row r="710">
      <c r="A710" s="107"/>
    </row>
    <row r="711">
      <c r="A711" s="107"/>
    </row>
    <row r="712">
      <c r="A712" s="107"/>
    </row>
    <row r="713">
      <c r="A713" s="107"/>
    </row>
    <row r="714">
      <c r="A714" s="107"/>
    </row>
    <row r="715">
      <c r="A715" s="107"/>
    </row>
    <row r="716">
      <c r="A716" s="107"/>
    </row>
    <row r="717">
      <c r="A717" s="107"/>
    </row>
    <row r="718">
      <c r="A718" s="107"/>
    </row>
    <row r="719">
      <c r="A719" s="107"/>
    </row>
    <row r="720">
      <c r="A720" s="107"/>
    </row>
    <row r="721">
      <c r="A721" s="107"/>
    </row>
    <row r="722">
      <c r="A722" s="107"/>
    </row>
    <row r="723">
      <c r="A723" s="107"/>
    </row>
    <row r="724">
      <c r="A724" s="107"/>
    </row>
    <row r="725">
      <c r="A725" s="107"/>
    </row>
    <row r="726">
      <c r="A726" s="107"/>
    </row>
    <row r="727">
      <c r="A727" s="107"/>
    </row>
    <row r="728">
      <c r="A728" s="107"/>
    </row>
    <row r="729">
      <c r="A729" s="107"/>
    </row>
    <row r="730">
      <c r="A730" s="107"/>
    </row>
    <row r="731">
      <c r="A731" s="107"/>
    </row>
    <row r="732">
      <c r="A732" s="107"/>
    </row>
    <row r="733">
      <c r="A733" s="107"/>
    </row>
    <row r="734">
      <c r="A734" s="107"/>
    </row>
    <row r="735">
      <c r="A735" s="107"/>
    </row>
    <row r="736">
      <c r="A736" s="107"/>
    </row>
    <row r="737">
      <c r="A737" s="107"/>
    </row>
    <row r="738">
      <c r="A738" s="107"/>
    </row>
    <row r="739">
      <c r="A739" s="107"/>
    </row>
    <row r="740">
      <c r="A740" s="107"/>
    </row>
    <row r="741">
      <c r="A741" s="107"/>
    </row>
    <row r="742">
      <c r="A742" s="107"/>
    </row>
    <row r="743">
      <c r="A743" s="107"/>
    </row>
    <row r="744">
      <c r="A744" s="107"/>
    </row>
    <row r="745">
      <c r="A745" s="107"/>
    </row>
    <row r="746">
      <c r="A746" s="107"/>
    </row>
    <row r="747">
      <c r="A747" s="107"/>
    </row>
    <row r="748">
      <c r="A748" s="107"/>
    </row>
    <row r="749">
      <c r="A749" s="107"/>
    </row>
    <row r="750">
      <c r="A750" s="107"/>
    </row>
    <row r="751">
      <c r="A751" s="107"/>
    </row>
    <row r="752">
      <c r="A752" s="107"/>
    </row>
    <row r="753">
      <c r="A753" s="107"/>
    </row>
    <row r="754">
      <c r="A754" s="107"/>
    </row>
    <row r="755">
      <c r="A755" s="107"/>
    </row>
    <row r="756">
      <c r="A756" s="107"/>
    </row>
    <row r="757">
      <c r="A757" s="107"/>
    </row>
    <row r="758">
      <c r="A758" s="107"/>
    </row>
    <row r="759">
      <c r="A759" s="107"/>
    </row>
    <row r="760">
      <c r="A760" s="107"/>
    </row>
    <row r="761">
      <c r="A761" s="107"/>
    </row>
    <row r="762">
      <c r="A762" s="107"/>
    </row>
    <row r="763">
      <c r="A763" s="107"/>
    </row>
    <row r="764">
      <c r="A764" s="107"/>
    </row>
    <row r="765">
      <c r="A765" s="107"/>
    </row>
    <row r="766">
      <c r="A766" s="107"/>
    </row>
    <row r="767">
      <c r="A767" s="107"/>
    </row>
    <row r="768">
      <c r="A768" s="107"/>
    </row>
    <row r="769">
      <c r="A769" s="107"/>
    </row>
    <row r="770">
      <c r="A770" s="107"/>
    </row>
    <row r="771">
      <c r="A771" s="107"/>
    </row>
    <row r="772">
      <c r="A772" s="107"/>
    </row>
    <row r="773">
      <c r="A773" s="107"/>
    </row>
    <row r="774">
      <c r="A774" s="107"/>
    </row>
    <row r="775">
      <c r="A775" s="107"/>
    </row>
    <row r="776">
      <c r="A776" s="107"/>
    </row>
    <row r="777">
      <c r="A777" s="107"/>
    </row>
    <row r="778">
      <c r="A778" s="107"/>
    </row>
    <row r="779">
      <c r="A779" s="107"/>
    </row>
    <row r="780">
      <c r="A780" s="107"/>
    </row>
    <row r="781">
      <c r="A781" s="107"/>
    </row>
    <row r="782">
      <c r="A782" s="107"/>
    </row>
    <row r="783">
      <c r="A783" s="107"/>
    </row>
    <row r="784">
      <c r="A784" s="107"/>
    </row>
    <row r="785">
      <c r="A785" s="107"/>
    </row>
    <row r="786">
      <c r="A786" s="107"/>
    </row>
    <row r="787">
      <c r="A787" s="107"/>
    </row>
    <row r="788">
      <c r="A788" s="107"/>
    </row>
    <row r="789">
      <c r="A789" s="107"/>
    </row>
    <row r="790">
      <c r="A790" s="107"/>
    </row>
    <row r="791">
      <c r="A791" s="107"/>
    </row>
    <row r="792">
      <c r="A792" s="107"/>
    </row>
    <row r="793">
      <c r="A793" s="107"/>
    </row>
    <row r="794">
      <c r="A794" s="107"/>
    </row>
    <row r="795">
      <c r="A795" s="107"/>
    </row>
    <row r="796">
      <c r="A796" s="107"/>
    </row>
    <row r="797">
      <c r="A797" s="107"/>
    </row>
    <row r="798">
      <c r="A798" s="107"/>
    </row>
    <row r="799">
      <c r="A799" s="107"/>
    </row>
    <row r="800">
      <c r="A800" s="107"/>
    </row>
    <row r="801">
      <c r="A801" s="107"/>
    </row>
    <row r="802">
      <c r="A802" s="107"/>
    </row>
    <row r="803">
      <c r="A803" s="107"/>
    </row>
    <row r="804">
      <c r="A804" s="107"/>
    </row>
    <row r="805">
      <c r="A805" s="107"/>
    </row>
    <row r="806">
      <c r="A806" s="107"/>
    </row>
    <row r="807">
      <c r="A807" s="107"/>
    </row>
    <row r="808">
      <c r="A808" s="107"/>
    </row>
    <row r="809">
      <c r="A809" s="107"/>
    </row>
    <row r="810">
      <c r="A810" s="107"/>
    </row>
    <row r="811">
      <c r="A811" s="107"/>
    </row>
    <row r="812">
      <c r="A812" s="107"/>
    </row>
    <row r="813">
      <c r="A813" s="107"/>
    </row>
    <row r="814">
      <c r="A814" s="107"/>
    </row>
    <row r="815">
      <c r="A815" s="107"/>
    </row>
    <row r="816">
      <c r="A816" s="107"/>
    </row>
    <row r="817">
      <c r="A817" s="107"/>
    </row>
    <row r="818">
      <c r="A818" s="107"/>
    </row>
    <row r="819">
      <c r="A819" s="107"/>
    </row>
    <row r="820">
      <c r="A820" s="107"/>
    </row>
    <row r="821">
      <c r="A821" s="107"/>
    </row>
    <row r="822">
      <c r="A822" s="107"/>
    </row>
    <row r="823">
      <c r="A823" s="107"/>
    </row>
    <row r="824">
      <c r="A824" s="107"/>
    </row>
    <row r="825">
      <c r="A825" s="107"/>
    </row>
    <row r="826">
      <c r="A826" s="107"/>
    </row>
    <row r="827">
      <c r="A827" s="107"/>
    </row>
    <row r="828">
      <c r="A828" s="107"/>
    </row>
    <row r="829">
      <c r="A829" s="107"/>
    </row>
    <row r="830">
      <c r="A830" s="107"/>
    </row>
    <row r="831">
      <c r="A831" s="107"/>
    </row>
    <row r="832">
      <c r="A832" s="107"/>
    </row>
    <row r="833">
      <c r="A833" s="107"/>
    </row>
    <row r="834">
      <c r="A834" s="107"/>
    </row>
    <row r="835">
      <c r="A835" s="107"/>
    </row>
    <row r="836">
      <c r="A836" s="107"/>
    </row>
    <row r="837">
      <c r="A837" s="107"/>
    </row>
    <row r="838">
      <c r="A838" s="107"/>
    </row>
    <row r="839">
      <c r="A839" s="107"/>
    </row>
    <row r="840">
      <c r="A840" s="107"/>
    </row>
    <row r="841">
      <c r="A841" s="107"/>
    </row>
    <row r="842">
      <c r="A842" s="107"/>
    </row>
    <row r="843">
      <c r="A843" s="107"/>
    </row>
    <row r="844">
      <c r="A844" s="107"/>
    </row>
    <row r="845">
      <c r="A845" s="107"/>
    </row>
    <row r="846">
      <c r="A846" s="107"/>
    </row>
    <row r="847">
      <c r="A847" s="107"/>
    </row>
    <row r="848">
      <c r="A848" s="107"/>
    </row>
    <row r="849">
      <c r="A849" s="107"/>
    </row>
    <row r="850">
      <c r="A850" s="107"/>
    </row>
    <row r="851">
      <c r="A851" s="107"/>
    </row>
    <row r="852">
      <c r="A852" s="107"/>
    </row>
    <row r="853">
      <c r="A853" s="107"/>
    </row>
    <row r="854">
      <c r="A854" s="107"/>
    </row>
    <row r="855">
      <c r="A855" s="107"/>
    </row>
    <row r="856">
      <c r="A856" s="107"/>
    </row>
    <row r="857">
      <c r="A857" s="107"/>
    </row>
    <row r="858">
      <c r="A858" s="107"/>
    </row>
    <row r="859">
      <c r="A859" s="107"/>
    </row>
    <row r="860">
      <c r="A860" s="107"/>
    </row>
    <row r="861">
      <c r="A861" s="107"/>
    </row>
    <row r="862">
      <c r="A862" s="107"/>
    </row>
    <row r="863">
      <c r="A863" s="107"/>
    </row>
    <row r="864">
      <c r="A864" s="107"/>
    </row>
    <row r="865">
      <c r="A865" s="107"/>
    </row>
    <row r="866">
      <c r="A866" s="107"/>
    </row>
    <row r="867">
      <c r="A867" s="107"/>
    </row>
    <row r="868">
      <c r="A868" s="107"/>
    </row>
    <row r="869">
      <c r="A869" s="107"/>
    </row>
    <row r="870">
      <c r="A870" s="107"/>
    </row>
    <row r="871">
      <c r="A871" s="107"/>
    </row>
    <row r="872">
      <c r="A872" s="107"/>
    </row>
    <row r="873">
      <c r="A873" s="107"/>
    </row>
    <row r="874">
      <c r="A874" s="107"/>
    </row>
    <row r="875">
      <c r="A875" s="107"/>
    </row>
    <row r="876">
      <c r="A876" s="107"/>
    </row>
    <row r="877">
      <c r="A877" s="107"/>
    </row>
    <row r="878">
      <c r="A878" s="107"/>
    </row>
    <row r="879">
      <c r="A879" s="107"/>
    </row>
    <row r="880">
      <c r="A880" s="107"/>
    </row>
    <row r="881">
      <c r="A881" s="107"/>
    </row>
    <row r="882">
      <c r="A882" s="107"/>
    </row>
    <row r="883">
      <c r="A883" s="107"/>
    </row>
    <row r="884">
      <c r="A884" s="107"/>
    </row>
    <row r="885">
      <c r="A885" s="107"/>
    </row>
    <row r="886">
      <c r="A886" s="107"/>
    </row>
    <row r="887">
      <c r="A887" s="107"/>
    </row>
    <row r="888">
      <c r="A888" s="107"/>
    </row>
    <row r="889">
      <c r="A889" s="107"/>
    </row>
    <row r="890">
      <c r="A890" s="107"/>
    </row>
    <row r="891">
      <c r="A891" s="107"/>
    </row>
    <row r="892">
      <c r="A892" s="107"/>
    </row>
    <row r="893">
      <c r="A893" s="107"/>
    </row>
    <row r="894">
      <c r="A894" s="107"/>
    </row>
    <row r="895">
      <c r="A895" s="107"/>
    </row>
    <row r="896">
      <c r="A896" s="107"/>
    </row>
    <row r="897">
      <c r="A897" s="107"/>
    </row>
    <row r="898">
      <c r="A898" s="107"/>
    </row>
    <row r="899">
      <c r="A899" s="107"/>
    </row>
    <row r="900">
      <c r="A900" s="107"/>
    </row>
    <row r="901">
      <c r="A901" s="107"/>
    </row>
    <row r="902">
      <c r="A902" s="107"/>
    </row>
    <row r="903">
      <c r="A903" s="107"/>
    </row>
    <row r="904">
      <c r="A904" s="107"/>
    </row>
    <row r="905">
      <c r="A905" s="107"/>
    </row>
    <row r="906">
      <c r="A906" s="107"/>
    </row>
    <row r="907">
      <c r="A907" s="107"/>
    </row>
    <row r="908">
      <c r="A908" s="107"/>
    </row>
    <row r="909">
      <c r="A909" s="107"/>
    </row>
    <row r="910">
      <c r="A910" s="107"/>
    </row>
    <row r="911">
      <c r="A911" s="107"/>
    </row>
    <row r="912">
      <c r="A912" s="107"/>
    </row>
    <row r="913">
      <c r="A913" s="107"/>
    </row>
    <row r="914">
      <c r="A914" s="107"/>
    </row>
    <row r="915">
      <c r="A915" s="107"/>
    </row>
    <row r="916">
      <c r="A916" s="107"/>
    </row>
    <row r="917">
      <c r="A917" s="107"/>
    </row>
    <row r="918">
      <c r="A918" s="107"/>
    </row>
    <row r="919">
      <c r="A919" s="107"/>
    </row>
    <row r="920">
      <c r="A920" s="107"/>
    </row>
    <row r="921">
      <c r="A921" s="107"/>
    </row>
    <row r="922">
      <c r="A922" s="107"/>
    </row>
    <row r="923">
      <c r="A923" s="107"/>
    </row>
    <row r="924">
      <c r="A924" s="107"/>
    </row>
    <row r="925">
      <c r="A925" s="107"/>
    </row>
    <row r="926">
      <c r="A926" s="107"/>
    </row>
    <row r="927">
      <c r="A927" s="107"/>
    </row>
    <row r="928">
      <c r="A928" s="107"/>
    </row>
    <row r="929">
      <c r="A929" s="107"/>
    </row>
    <row r="930">
      <c r="A930" s="107"/>
    </row>
    <row r="931">
      <c r="A931" s="107"/>
    </row>
    <row r="932">
      <c r="A932" s="107"/>
    </row>
    <row r="933">
      <c r="A933" s="107"/>
    </row>
    <row r="934">
      <c r="A934" s="107"/>
    </row>
    <row r="935">
      <c r="A935" s="107"/>
    </row>
    <row r="936">
      <c r="A936" s="107"/>
    </row>
    <row r="937">
      <c r="A937" s="107"/>
    </row>
    <row r="938">
      <c r="A938" s="107"/>
    </row>
    <row r="939">
      <c r="A939" s="107"/>
    </row>
    <row r="940">
      <c r="A940" s="107"/>
    </row>
    <row r="941">
      <c r="A941" s="107"/>
    </row>
    <row r="942">
      <c r="A942" s="107"/>
    </row>
    <row r="943">
      <c r="A943" s="107"/>
    </row>
    <row r="944">
      <c r="A944" s="107"/>
    </row>
    <row r="945">
      <c r="A945" s="107"/>
    </row>
    <row r="946">
      <c r="A946" s="107"/>
    </row>
    <row r="947">
      <c r="A947" s="107"/>
    </row>
    <row r="948">
      <c r="A948" s="107"/>
    </row>
    <row r="949">
      <c r="A949" s="107"/>
    </row>
    <row r="950">
      <c r="A950" s="107"/>
    </row>
    <row r="951">
      <c r="A951" s="107"/>
    </row>
    <row r="952">
      <c r="A952" s="107"/>
    </row>
    <row r="953">
      <c r="A953" s="107"/>
    </row>
    <row r="954">
      <c r="A954" s="107"/>
    </row>
    <row r="955">
      <c r="A955" s="107"/>
    </row>
    <row r="956">
      <c r="A956" s="107"/>
    </row>
    <row r="957">
      <c r="A957" s="107"/>
    </row>
    <row r="958">
      <c r="A958" s="107"/>
    </row>
    <row r="959">
      <c r="A959" s="107"/>
    </row>
    <row r="960">
      <c r="A960" s="107"/>
    </row>
    <row r="961">
      <c r="A961" s="107"/>
    </row>
    <row r="962">
      <c r="A962" s="107"/>
    </row>
    <row r="963">
      <c r="A963" s="107"/>
    </row>
    <row r="964">
      <c r="A964" s="107"/>
    </row>
    <row r="965">
      <c r="A965" s="107"/>
    </row>
    <row r="966">
      <c r="A966" s="107"/>
    </row>
    <row r="967">
      <c r="A967" s="107"/>
    </row>
    <row r="968">
      <c r="A968" s="107"/>
    </row>
    <row r="969">
      <c r="A969" s="107"/>
    </row>
    <row r="970">
      <c r="A970" s="107"/>
    </row>
    <row r="971">
      <c r="A971" s="107"/>
    </row>
    <row r="972">
      <c r="A972" s="107"/>
    </row>
    <row r="973">
      <c r="A973" s="107"/>
    </row>
    <row r="974">
      <c r="A974" s="107"/>
    </row>
    <row r="975">
      <c r="A975" s="107"/>
    </row>
    <row r="976">
      <c r="A976" s="107"/>
    </row>
    <row r="977">
      <c r="A977" s="107"/>
    </row>
    <row r="978">
      <c r="A978" s="107"/>
    </row>
    <row r="979">
      <c r="A979" s="107"/>
    </row>
    <row r="980">
      <c r="A980" s="107"/>
    </row>
    <row r="981">
      <c r="A981" s="107"/>
    </row>
    <row r="982">
      <c r="A982" s="107"/>
    </row>
    <row r="983">
      <c r="A983" s="107"/>
    </row>
    <row r="984">
      <c r="A984" s="107"/>
    </row>
    <row r="985">
      <c r="A985" s="107"/>
    </row>
    <row r="986">
      <c r="A986" s="107"/>
    </row>
    <row r="987">
      <c r="A987" s="107"/>
    </row>
    <row r="988">
      <c r="A988" s="107"/>
    </row>
    <row r="989">
      <c r="A989" s="107"/>
    </row>
    <row r="990">
      <c r="A990" s="107"/>
    </row>
    <row r="991">
      <c r="A991" s="10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19.38"/>
  </cols>
  <sheetData>
    <row r="1">
      <c r="A1" s="103" t="s">
        <v>3</v>
      </c>
      <c r="B1" s="25" t="s">
        <v>133</v>
      </c>
      <c r="C1" s="25" t="s">
        <v>134</v>
      </c>
      <c r="D1" s="25" t="s">
        <v>260</v>
      </c>
      <c r="E1" s="25" t="s">
        <v>261</v>
      </c>
      <c r="F1" s="25" t="s">
        <v>136</v>
      </c>
      <c r="G1" s="25" t="s">
        <v>137</v>
      </c>
      <c r="H1" s="25" t="s">
        <v>260</v>
      </c>
      <c r="I1" s="25" t="s">
        <v>261</v>
      </c>
      <c r="J1" s="25" t="s">
        <v>173</v>
      </c>
      <c r="K1" s="25" t="s">
        <v>177</v>
      </c>
      <c r="L1" s="25" t="s">
        <v>260</v>
      </c>
      <c r="M1" s="25" t="s">
        <v>261</v>
      </c>
      <c r="N1" s="25" t="s">
        <v>192</v>
      </c>
      <c r="O1" s="25" t="s">
        <v>196</v>
      </c>
      <c r="P1" s="25" t="s">
        <v>260</v>
      </c>
      <c r="Q1" s="25" t="s">
        <v>261</v>
      </c>
      <c r="R1" s="25" t="s">
        <v>199</v>
      </c>
      <c r="S1" s="25" t="s">
        <v>201</v>
      </c>
      <c r="T1" s="25" t="s">
        <v>260</v>
      </c>
      <c r="U1" s="25" t="s">
        <v>261</v>
      </c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85"/>
      <c r="AR1" s="108"/>
      <c r="AS1" s="85"/>
    </row>
    <row r="2">
      <c r="A2" s="103" t="s">
        <v>12</v>
      </c>
      <c r="B2" s="109">
        <v>45089.0</v>
      </c>
      <c r="C2" s="109">
        <v>45089.0</v>
      </c>
      <c r="D2" s="109"/>
      <c r="E2" s="109"/>
      <c r="F2" s="109">
        <v>45089.0</v>
      </c>
      <c r="G2" s="109">
        <v>45089.0</v>
      </c>
      <c r="H2" s="109"/>
      <c r="I2" s="109"/>
      <c r="J2" s="109">
        <v>45103.0</v>
      </c>
      <c r="K2" s="109">
        <v>45103.0</v>
      </c>
      <c r="L2" s="109"/>
      <c r="M2" s="109"/>
      <c r="N2" s="109">
        <v>45105.0</v>
      </c>
      <c r="O2" s="109">
        <v>45105.0</v>
      </c>
      <c r="P2" s="109"/>
      <c r="Q2" s="109"/>
      <c r="R2" s="109">
        <v>45106.0</v>
      </c>
      <c r="S2" s="109">
        <v>45106.0</v>
      </c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22"/>
      <c r="AR2" s="108"/>
      <c r="AS2" s="18"/>
    </row>
    <row r="3">
      <c r="A3" s="112" t="s">
        <v>19</v>
      </c>
      <c r="B3" s="113">
        <v>29.63</v>
      </c>
      <c r="C3" s="113">
        <v>29.64</v>
      </c>
      <c r="D3" s="113">
        <f t="shared" ref="D3:D21" si="1">ABS(C3-B3)</f>
        <v>0.01</v>
      </c>
      <c r="E3" s="113" t="str">
        <f>IF(D3&gt;0.1,"No", "Yes")</f>
        <v>Yes</v>
      </c>
      <c r="F3" s="113">
        <v>30.41</v>
      </c>
      <c r="G3" s="114"/>
      <c r="H3" s="113">
        <f t="shared" ref="H3:H21" si="2">ABS(G3-F3)</f>
        <v>30.41</v>
      </c>
      <c r="I3" s="113" t="str">
        <f>IF(H3&gt;0.1,"No", "Yes")</f>
        <v>No</v>
      </c>
      <c r="J3" s="113">
        <v>29.51</v>
      </c>
      <c r="K3" s="115"/>
      <c r="L3" s="113">
        <f t="shared" ref="L3:L21" si="3">ABS(K3-J3)</f>
        <v>29.51</v>
      </c>
      <c r="M3" s="113" t="str">
        <f>IF(L3&gt;0.1,"No", "Yes")</f>
        <v>No</v>
      </c>
      <c r="N3" s="113">
        <v>29.56</v>
      </c>
      <c r="O3" s="114"/>
      <c r="P3" s="113">
        <f t="shared" ref="P3:P21" si="4">ABS(O3-N3)</f>
        <v>29.56</v>
      </c>
      <c r="Q3" s="113" t="str">
        <f>IF(P3&gt;0.1,"No", "Yes")</f>
        <v>No</v>
      </c>
      <c r="R3" s="113">
        <v>27.71</v>
      </c>
      <c r="S3" s="113">
        <v>28.48</v>
      </c>
      <c r="T3" s="113">
        <f t="shared" ref="T3:T21" si="5">ABS(S3-R3)</f>
        <v>0.77</v>
      </c>
      <c r="U3" s="113" t="str">
        <f>IF(T3&gt;0.1,"No", "Yes")</f>
        <v>No</v>
      </c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7"/>
      <c r="AR3" s="118"/>
      <c r="AS3" s="119"/>
    </row>
    <row r="4">
      <c r="A4" s="103" t="s">
        <v>20</v>
      </c>
      <c r="B4" s="110">
        <v>0.71</v>
      </c>
      <c r="C4" s="110">
        <v>0.53</v>
      </c>
      <c r="D4" s="110">
        <f t="shared" si="1"/>
        <v>0.18</v>
      </c>
      <c r="E4" s="110"/>
      <c r="F4" s="110">
        <v>0.82</v>
      </c>
      <c r="G4" s="19"/>
      <c r="H4" s="110">
        <f t="shared" si="2"/>
        <v>0.82</v>
      </c>
      <c r="I4" s="110"/>
      <c r="J4" s="110">
        <v>1.21</v>
      </c>
      <c r="K4" s="19"/>
      <c r="L4" s="110">
        <f t="shared" si="3"/>
        <v>1.21</v>
      </c>
      <c r="M4" s="110"/>
      <c r="N4" s="110">
        <v>1.08</v>
      </c>
      <c r="O4" s="19"/>
      <c r="P4" s="110">
        <f t="shared" si="4"/>
        <v>1.08</v>
      </c>
      <c r="Q4" s="110"/>
      <c r="R4" s="110">
        <v>1.0</v>
      </c>
      <c r="S4" s="110">
        <v>1.0</v>
      </c>
      <c r="T4" s="110">
        <f t="shared" si="5"/>
        <v>0</v>
      </c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22"/>
      <c r="AR4" s="25"/>
      <c r="AS4" s="18"/>
    </row>
    <row r="5">
      <c r="A5" s="112" t="s">
        <v>21</v>
      </c>
      <c r="B5" s="113">
        <v>37.07</v>
      </c>
      <c r="C5" s="113">
        <v>37.13</v>
      </c>
      <c r="D5" s="113">
        <f t="shared" si="1"/>
        <v>0.06</v>
      </c>
      <c r="E5" s="113" t="str">
        <f>IF(D5&gt;0.5,"No", "Yes")</f>
        <v>Yes</v>
      </c>
      <c r="F5" s="113">
        <v>37.12</v>
      </c>
      <c r="G5" s="114"/>
      <c r="H5" s="113">
        <f t="shared" si="2"/>
        <v>37.12</v>
      </c>
      <c r="I5" s="113" t="str">
        <f>IF(H5&gt;0.5,"No", "Yes")</f>
        <v>No</v>
      </c>
      <c r="J5" s="113">
        <v>37.25</v>
      </c>
      <c r="K5" s="114"/>
      <c r="L5" s="113">
        <f t="shared" si="3"/>
        <v>37.25</v>
      </c>
      <c r="M5" s="113" t="str">
        <f>IF(L5&gt;0.5,"No", "Yes")</f>
        <v>No</v>
      </c>
      <c r="N5" s="113">
        <v>37.87</v>
      </c>
      <c r="O5" s="114"/>
      <c r="P5" s="113">
        <f t="shared" si="4"/>
        <v>37.87</v>
      </c>
      <c r="Q5" s="113" t="str">
        <f>IF(P5&gt;0.5,"No", "Yes")</f>
        <v>No</v>
      </c>
      <c r="R5" s="114"/>
      <c r="S5" s="114"/>
      <c r="T5" s="113">
        <f t="shared" si="5"/>
        <v>0</v>
      </c>
      <c r="U5" s="113" t="str">
        <f>IF(T5&gt;0.5,"No", "Yes")</f>
        <v>Yes</v>
      </c>
      <c r="V5" s="114"/>
      <c r="W5" s="114"/>
      <c r="X5" s="114"/>
      <c r="Y5" s="114"/>
      <c r="Z5" s="114"/>
      <c r="AA5" s="114"/>
      <c r="AB5" s="114"/>
      <c r="AC5" s="114"/>
      <c r="AD5" s="113"/>
      <c r="AE5" s="113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7"/>
      <c r="AR5" s="120"/>
      <c r="AS5" s="119"/>
    </row>
    <row r="6">
      <c r="A6" s="103" t="s">
        <v>22</v>
      </c>
      <c r="B6" s="110">
        <v>0.74</v>
      </c>
      <c r="C6" s="110">
        <v>0.58</v>
      </c>
      <c r="D6" s="110">
        <f t="shared" si="1"/>
        <v>0.16</v>
      </c>
      <c r="E6" s="110"/>
      <c r="F6" s="110">
        <v>0.8</v>
      </c>
      <c r="G6" s="19"/>
      <c r="H6" s="110">
        <f t="shared" si="2"/>
        <v>0.8</v>
      </c>
      <c r="I6" s="110"/>
      <c r="J6" s="110">
        <v>1.21</v>
      </c>
      <c r="K6" s="19"/>
      <c r="L6" s="110">
        <f t="shared" si="3"/>
        <v>1.21</v>
      </c>
      <c r="M6" s="110"/>
      <c r="N6" s="110">
        <v>1.08</v>
      </c>
      <c r="O6" s="19"/>
      <c r="P6" s="110">
        <f t="shared" si="4"/>
        <v>1.08</v>
      </c>
      <c r="Q6" s="110"/>
      <c r="R6" s="19"/>
      <c r="S6" s="19"/>
      <c r="T6" s="110">
        <f t="shared" si="5"/>
        <v>0</v>
      </c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8"/>
      <c r="AR6" s="108"/>
      <c r="AS6" s="18"/>
    </row>
    <row r="7">
      <c r="A7" s="112" t="s">
        <v>23</v>
      </c>
      <c r="B7" s="113">
        <v>6.44</v>
      </c>
      <c r="C7" s="113">
        <v>6.52</v>
      </c>
      <c r="D7" s="113">
        <f t="shared" si="1"/>
        <v>0.08</v>
      </c>
      <c r="E7" s="113" t="str">
        <f>IF(D7&gt;0.2,"No", "Yes")</f>
        <v>Yes</v>
      </c>
      <c r="F7" s="113">
        <v>6.41</v>
      </c>
      <c r="G7" s="114"/>
      <c r="H7" s="113">
        <f t="shared" si="2"/>
        <v>6.41</v>
      </c>
      <c r="I7" s="113" t="str">
        <f>IF(H7&gt;0.2,"No", "Yes")</f>
        <v>No</v>
      </c>
      <c r="J7" s="113">
        <v>6.31</v>
      </c>
      <c r="K7" s="114"/>
      <c r="L7" s="113">
        <f t="shared" si="3"/>
        <v>6.31</v>
      </c>
      <c r="M7" s="113" t="str">
        <f>IF(L7&gt;0.2,"No", "Yes")</f>
        <v>No</v>
      </c>
      <c r="N7" s="113">
        <v>5.69</v>
      </c>
      <c r="O7" s="114"/>
      <c r="P7" s="113">
        <f t="shared" si="4"/>
        <v>5.69</v>
      </c>
      <c r="Q7" s="113" t="str">
        <f>IF(P7&gt;0.2,"No", "Yes")</f>
        <v>No</v>
      </c>
      <c r="R7" s="113">
        <v>6.58</v>
      </c>
      <c r="S7" s="113">
        <v>5.99</v>
      </c>
      <c r="T7" s="113">
        <f t="shared" si="5"/>
        <v>0.59</v>
      </c>
      <c r="U7" s="113" t="str">
        <f>IF(T7&gt;0.2,"No", "Yes")</f>
        <v>No</v>
      </c>
      <c r="V7" s="114"/>
      <c r="W7" s="114"/>
      <c r="X7" s="114"/>
      <c r="Y7" s="114"/>
      <c r="Z7" s="114"/>
      <c r="AA7" s="114"/>
      <c r="AB7" s="114"/>
      <c r="AC7" s="114"/>
      <c r="AD7" s="113"/>
      <c r="AE7" s="113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9"/>
      <c r="AR7" s="118"/>
      <c r="AS7" s="121"/>
    </row>
    <row r="8">
      <c r="A8" s="103" t="s">
        <v>24</v>
      </c>
      <c r="B8" s="110">
        <v>0.73</v>
      </c>
      <c r="C8" s="110">
        <v>0.6</v>
      </c>
      <c r="D8" s="110">
        <f t="shared" si="1"/>
        <v>0.13</v>
      </c>
      <c r="E8" s="110"/>
      <c r="F8" s="110">
        <v>0.77</v>
      </c>
      <c r="G8" s="19"/>
      <c r="H8" s="110">
        <f t="shared" si="2"/>
        <v>0.77</v>
      </c>
      <c r="I8" s="110"/>
      <c r="J8" s="110">
        <v>1.2</v>
      </c>
      <c r="K8" s="19"/>
      <c r="L8" s="110">
        <f t="shared" si="3"/>
        <v>1.2</v>
      </c>
      <c r="M8" s="110"/>
      <c r="N8" s="110">
        <v>1.08</v>
      </c>
      <c r="O8" s="19"/>
      <c r="P8" s="110">
        <f t="shared" si="4"/>
        <v>1.08</v>
      </c>
      <c r="Q8" s="110"/>
      <c r="R8" s="110">
        <v>1.0</v>
      </c>
      <c r="S8" s="110">
        <v>1.0</v>
      </c>
      <c r="T8" s="110">
        <f t="shared" si="5"/>
        <v>0</v>
      </c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91"/>
      <c r="AR8" s="108"/>
      <c r="AS8" s="18"/>
    </row>
    <row r="9">
      <c r="A9" s="112" t="s">
        <v>25</v>
      </c>
      <c r="B9" s="113">
        <v>8.14</v>
      </c>
      <c r="C9" s="113">
        <v>8.13</v>
      </c>
      <c r="D9" s="113">
        <f t="shared" si="1"/>
        <v>0.01</v>
      </c>
      <c r="E9" s="113" t="str">
        <f>IF(D9&gt;0.1,"No", "Yes")</f>
        <v>Yes</v>
      </c>
      <c r="F9" s="113">
        <v>8.01</v>
      </c>
      <c r="G9" s="114"/>
      <c r="H9" s="113">
        <f t="shared" si="2"/>
        <v>8.01</v>
      </c>
      <c r="I9" s="113" t="str">
        <f>IF(H9&gt;0.1,"No", "Yes")</f>
        <v>No</v>
      </c>
      <c r="J9" s="113">
        <v>8.24</v>
      </c>
      <c r="K9" s="114"/>
      <c r="L9" s="113">
        <f t="shared" si="3"/>
        <v>8.24</v>
      </c>
      <c r="M9" s="113" t="str">
        <f>IF(L9&gt;0.1,"No", "Yes")</f>
        <v>No</v>
      </c>
      <c r="N9" s="113">
        <v>6.42</v>
      </c>
      <c r="O9" s="114"/>
      <c r="P9" s="113">
        <f t="shared" si="4"/>
        <v>6.42</v>
      </c>
      <c r="Q9" s="113" t="str">
        <f>IF(P9&gt;0.1,"No", "Yes")</f>
        <v>No</v>
      </c>
      <c r="R9" s="114"/>
      <c r="S9" s="114"/>
      <c r="T9" s="113">
        <f t="shared" si="5"/>
        <v>0</v>
      </c>
      <c r="U9" s="113" t="str">
        <f>IF(T9&gt;0.1,"No", "Yes")</f>
        <v>Yes</v>
      </c>
      <c r="V9" s="114"/>
      <c r="W9" s="114"/>
      <c r="X9" s="114"/>
      <c r="Y9" s="114"/>
      <c r="Z9" s="114"/>
      <c r="AA9" s="113"/>
      <c r="AB9" s="113"/>
      <c r="AC9" s="113"/>
      <c r="AD9" s="113"/>
      <c r="AE9" s="113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9"/>
      <c r="AR9" s="118"/>
      <c r="AS9" s="119"/>
    </row>
    <row r="10">
      <c r="A10" s="103" t="s">
        <v>26</v>
      </c>
      <c r="B10" s="110">
        <v>0.73</v>
      </c>
      <c r="C10" s="110">
        <v>0.59</v>
      </c>
      <c r="D10" s="110">
        <f t="shared" si="1"/>
        <v>0.14</v>
      </c>
      <c r="E10" s="110"/>
      <c r="F10" s="110">
        <v>0.79</v>
      </c>
      <c r="G10" s="19"/>
      <c r="H10" s="110">
        <f t="shared" si="2"/>
        <v>0.79</v>
      </c>
      <c r="I10" s="110"/>
      <c r="J10" s="110">
        <v>1.21</v>
      </c>
      <c r="K10" s="19"/>
      <c r="L10" s="110">
        <f t="shared" si="3"/>
        <v>1.21</v>
      </c>
      <c r="M10" s="110"/>
      <c r="N10" s="110">
        <v>1.08</v>
      </c>
      <c r="O10" s="19"/>
      <c r="P10" s="110">
        <f t="shared" si="4"/>
        <v>1.08</v>
      </c>
      <c r="Q10" s="110"/>
      <c r="R10" s="19"/>
      <c r="S10" s="19"/>
      <c r="T10" s="110">
        <f t="shared" si="5"/>
        <v>0</v>
      </c>
      <c r="U10" s="110"/>
      <c r="V10" s="19"/>
      <c r="W10" s="110"/>
      <c r="X10" s="110"/>
      <c r="Y10" s="19"/>
      <c r="Z10" s="19"/>
      <c r="AA10" s="110"/>
      <c r="AB10" s="110"/>
      <c r="AC10" s="110"/>
      <c r="AD10" s="110"/>
      <c r="AE10" s="110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22"/>
      <c r="AR10" s="108"/>
    </row>
    <row r="11">
      <c r="A11" s="112" t="s">
        <v>27</v>
      </c>
      <c r="B11" s="113">
        <v>29.54</v>
      </c>
      <c r="C11" s="113">
        <v>29.54</v>
      </c>
      <c r="D11" s="113">
        <f t="shared" si="1"/>
        <v>0</v>
      </c>
      <c r="E11" s="113" t="str">
        <f>IF(D11&gt;0.1,"No", "Yes")</f>
        <v>Yes</v>
      </c>
      <c r="F11" s="113">
        <v>30.27</v>
      </c>
      <c r="G11" s="114"/>
      <c r="H11" s="113">
        <f t="shared" si="2"/>
        <v>30.27</v>
      </c>
      <c r="I11" s="113" t="str">
        <f>IF(H11&gt;0.1,"No", "Yes")</f>
        <v>No</v>
      </c>
      <c r="J11" s="113">
        <v>29.45</v>
      </c>
      <c r="K11" s="114"/>
      <c r="L11" s="113">
        <f t="shared" si="3"/>
        <v>29.45</v>
      </c>
      <c r="M11" s="113" t="str">
        <f>IF(L11&gt;0.1,"No", "Yes")</f>
        <v>No</v>
      </c>
      <c r="N11" s="113">
        <v>29.52</v>
      </c>
      <c r="O11" s="114"/>
      <c r="P11" s="113">
        <f t="shared" si="4"/>
        <v>29.52</v>
      </c>
      <c r="Q11" s="113" t="str">
        <f>IF(P11&gt;0.1,"No", "Yes")</f>
        <v>No</v>
      </c>
      <c r="R11" s="113">
        <v>27.02</v>
      </c>
      <c r="S11" s="113">
        <v>28.65</v>
      </c>
      <c r="T11" s="113">
        <f t="shared" si="5"/>
        <v>1.63</v>
      </c>
      <c r="U11" s="113" t="str">
        <f>IF(T11&gt;0.1,"No", "Yes")</f>
        <v>No</v>
      </c>
      <c r="V11" s="114"/>
      <c r="W11" s="113"/>
      <c r="X11" s="113"/>
      <c r="Y11" s="114"/>
      <c r="Z11" s="114"/>
      <c r="AA11" s="113"/>
      <c r="AB11" s="113"/>
      <c r="AC11" s="113"/>
      <c r="AD11" s="113"/>
      <c r="AE11" s="113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23"/>
      <c r="AR11" s="118"/>
      <c r="AS11" s="124"/>
    </row>
    <row r="12">
      <c r="A12" s="103" t="s">
        <v>28</v>
      </c>
      <c r="B12" s="110">
        <v>16.5</v>
      </c>
      <c r="C12" s="110">
        <v>16.13</v>
      </c>
      <c r="D12" s="110">
        <f t="shared" si="1"/>
        <v>0.37</v>
      </c>
      <c r="E12" s="110"/>
      <c r="F12" s="110">
        <v>4.82</v>
      </c>
      <c r="G12" s="19"/>
      <c r="H12" s="110">
        <f t="shared" si="2"/>
        <v>4.82</v>
      </c>
      <c r="I12" s="110"/>
      <c r="J12" s="110">
        <v>15.26</v>
      </c>
      <c r="K12" s="19"/>
      <c r="L12" s="110">
        <f t="shared" si="3"/>
        <v>15.26</v>
      </c>
      <c r="M12" s="110"/>
      <c r="N12" s="110">
        <v>3.87</v>
      </c>
      <c r="O12" s="19"/>
      <c r="P12" s="110">
        <f t="shared" si="4"/>
        <v>3.87</v>
      </c>
      <c r="Q12" s="110"/>
      <c r="R12" s="110">
        <v>3.0</v>
      </c>
      <c r="S12" s="110">
        <v>3.0</v>
      </c>
      <c r="T12" s="110">
        <f t="shared" si="5"/>
        <v>0</v>
      </c>
      <c r="U12" s="110"/>
    </row>
    <row r="13">
      <c r="A13" s="112" t="s">
        <v>29</v>
      </c>
      <c r="B13" s="113">
        <v>37.16</v>
      </c>
      <c r="C13" s="113">
        <v>37.12</v>
      </c>
      <c r="D13" s="113">
        <f t="shared" si="1"/>
        <v>0.04</v>
      </c>
      <c r="E13" s="113" t="str">
        <f>IF(D13&gt;0.5,"No", "Yes")</f>
        <v>Yes</v>
      </c>
      <c r="F13" s="113">
        <v>37.17</v>
      </c>
      <c r="G13" s="114"/>
      <c r="H13" s="113">
        <f t="shared" si="2"/>
        <v>37.17</v>
      </c>
      <c r="I13" s="113" t="str">
        <f>IF(H13&gt;0.5,"No", "Yes")</f>
        <v>No</v>
      </c>
      <c r="J13" s="113">
        <v>37.46</v>
      </c>
      <c r="K13" s="114"/>
      <c r="L13" s="113">
        <f t="shared" si="3"/>
        <v>37.46</v>
      </c>
      <c r="M13" s="113" t="str">
        <f>IF(L13&gt;0.5,"No", "Yes")</f>
        <v>No</v>
      </c>
      <c r="N13" s="113">
        <v>37.84</v>
      </c>
      <c r="O13" s="114"/>
      <c r="P13" s="113">
        <f t="shared" si="4"/>
        <v>37.84</v>
      </c>
      <c r="Q13" s="113" t="str">
        <f>IF(P13&gt;0.5,"No", "Yes")</f>
        <v>No</v>
      </c>
      <c r="R13" s="114"/>
      <c r="S13" s="114"/>
      <c r="T13" s="113">
        <f t="shared" si="5"/>
        <v>0</v>
      </c>
      <c r="U13" s="113" t="str">
        <f>IF(T13&gt;0.5,"No", "Yes")</f>
        <v>Yes</v>
      </c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</row>
    <row r="14">
      <c r="A14" s="103" t="s">
        <v>239</v>
      </c>
      <c r="B14" s="110">
        <v>17.1</v>
      </c>
      <c r="C14" s="110">
        <v>16.2</v>
      </c>
      <c r="D14" s="110">
        <f t="shared" si="1"/>
        <v>0.9</v>
      </c>
      <c r="E14" s="110"/>
      <c r="F14" s="110">
        <v>4.85</v>
      </c>
      <c r="G14" s="19"/>
      <c r="H14" s="110">
        <f t="shared" si="2"/>
        <v>4.85</v>
      </c>
      <c r="I14" s="110"/>
      <c r="J14" s="110">
        <v>15.27</v>
      </c>
      <c r="K14" s="19"/>
      <c r="L14" s="110">
        <f t="shared" si="3"/>
        <v>15.27</v>
      </c>
      <c r="M14" s="110"/>
      <c r="N14" s="110">
        <v>3.87</v>
      </c>
      <c r="O14" s="19"/>
      <c r="P14" s="110">
        <f t="shared" si="4"/>
        <v>3.87</v>
      </c>
      <c r="Q14" s="110"/>
      <c r="R14" s="19"/>
      <c r="S14" s="19"/>
      <c r="T14" s="110">
        <f t="shared" si="5"/>
        <v>0</v>
      </c>
      <c r="U14" s="110"/>
    </row>
    <row r="15">
      <c r="A15" s="112" t="s">
        <v>31</v>
      </c>
      <c r="B15" s="113">
        <v>6.58</v>
      </c>
      <c r="C15" s="113">
        <v>6.47</v>
      </c>
      <c r="D15" s="113">
        <f t="shared" si="1"/>
        <v>0.11</v>
      </c>
      <c r="E15" s="113" t="str">
        <f>IF(D15&gt;0.2,"No", "Yes")</f>
        <v>Yes</v>
      </c>
      <c r="F15" s="113">
        <v>6.18</v>
      </c>
      <c r="G15" s="114"/>
      <c r="H15" s="113">
        <f t="shared" si="2"/>
        <v>6.18</v>
      </c>
      <c r="I15" s="113" t="str">
        <f>IF(H15&gt;0.2,"No", "Yes")</f>
        <v>No</v>
      </c>
      <c r="J15" s="113">
        <v>5.8</v>
      </c>
      <c r="K15" s="114"/>
      <c r="L15" s="113">
        <f t="shared" si="3"/>
        <v>5.8</v>
      </c>
      <c r="M15" s="113" t="str">
        <f>IF(L15&gt;0.2,"No", "Yes")</f>
        <v>No</v>
      </c>
      <c r="N15" s="113">
        <v>5.47</v>
      </c>
      <c r="O15" s="114"/>
      <c r="P15" s="113">
        <f t="shared" si="4"/>
        <v>5.47</v>
      </c>
      <c r="Q15" s="113" t="str">
        <f>IF(P15&gt;0.2,"No", "Yes")</f>
        <v>No</v>
      </c>
      <c r="R15" s="113">
        <v>7.13</v>
      </c>
      <c r="S15" s="113">
        <v>4.0</v>
      </c>
      <c r="T15" s="113">
        <f t="shared" si="5"/>
        <v>3.13</v>
      </c>
      <c r="U15" s="113" t="str">
        <f>IF(T15&gt;0.2,"No", "Yes")</f>
        <v>No</v>
      </c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</row>
    <row r="16">
      <c r="A16" s="103" t="s">
        <v>32</v>
      </c>
      <c r="B16" s="110">
        <v>16.65</v>
      </c>
      <c r="C16" s="110">
        <v>16.3</v>
      </c>
      <c r="D16" s="110">
        <f t="shared" si="1"/>
        <v>0.35</v>
      </c>
      <c r="E16" s="110"/>
      <c r="F16" s="110">
        <v>4.84</v>
      </c>
      <c r="G16" s="19"/>
      <c r="H16" s="110">
        <f t="shared" si="2"/>
        <v>4.84</v>
      </c>
      <c r="I16" s="110"/>
      <c r="J16" s="110">
        <v>15.24</v>
      </c>
      <c r="K16" s="19"/>
      <c r="L16" s="110">
        <f t="shared" si="3"/>
        <v>15.24</v>
      </c>
      <c r="M16" s="110"/>
      <c r="N16" s="110">
        <v>3.87</v>
      </c>
      <c r="O16" s="19"/>
      <c r="P16" s="110">
        <f t="shared" si="4"/>
        <v>3.87</v>
      </c>
      <c r="Q16" s="110"/>
      <c r="R16" s="110">
        <v>3.0</v>
      </c>
      <c r="S16" s="110">
        <v>3.0</v>
      </c>
      <c r="T16" s="110">
        <f t="shared" si="5"/>
        <v>0</v>
      </c>
      <c r="U16" s="110"/>
    </row>
    <row r="17">
      <c r="A17" s="112" t="s">
        <v>259</v>
      </c>
      <c r="B17" s="113">
        <v>8.14</v>
      </c>
      <c r="C17" s="113">
        <v>8.14</v>
      </c>
      <c r="D17" s="113">
        <f t="shared" si="1"/>
        <v>0</v>
      </c>
      <c r="E17" s="113" t="str">
        <f>IF(D17&gt;0.1,"No", "Yes")</f>
        <v>Yes</v>
      </c>
      <c r="F17" s="113">
        <v>8.05</v>
      </c>
      <c r="G17" s="114"/>
      <c r="H17" s="113">
        <f t="shared" si="2"/>
        <v>8.05</v>
      </c>
      <c r="I17" s="113" t="str">
        <f>IF(H17&gt;0.1,"No", "Yes")</f>
        <v>No</v>
      </c>
      <c r="J17" s="113">
        <v>8.26</v>
      </c>
      <c r="K17" s="114"/>
      <c r="L17" s="113">
        <f t="shared" si="3"/>
        <v>8.26</v>
      </c>
      <c r="M17" s="113" t="str">
        <f>IF(L17&gt;0.1,"No", "Yes")</f>
        <v>No</v>
      </c>
      <c r="N17" s="113">
        <v>7.88</v>
      </c>
      <c r="O17" s="114"/>
      <c r="P17" s="113">
        <f t="shared" si="4"/>
        <v>7.88</v>
      </c>
      <c r="Q17" s="113" t="str">
        <f>IF(P17&gt;0.1,"No", "Yes")</f>
        <v>No</v>
      </c>
      <c r="R17" s="114"/>
      <c r="S17" s="114"/>
      <c r="T17" s="113">
        <f t="shared" si="5"/>
        <v>0</v>
      </c>
      <c r="U17" s="113" t="str">
        <f>IF(T17&gt;0.1,"No", "Yes")</f>
        <v>Yes</v>
      </c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</row>
    <row r="18">
      <c r="A18" s="103" t="s">
        <v>34</v>
      </c>
      <c r="B18" s="110">
        <v>16.65</v>
      </c>
      <c r="C18" s="110">
        <v>16.33</v>
      </c>
      <c r="D18" s="110">
        <f t="shared" si="1"/>
        <v>0.32</v>
      </c>
      <c r="E18" s="110"/>
      <c r="F18" s="110">
        <v>4.82</v>
      </c>
      <c r="G18" s="19"/>
      <c r="H18" s="110">
        <f t="shared" si="2"/>
        <v>4.82</v>
      </c>
      <c r="I18" s="110"/>
      <c r="J18" s="110">
        <v>15.23</v>
      </c>
      <c r="K18" s="19"/>
      <c r="L18" s="110">
        <f t="shared" si="3"/>
        <v>15.23</v>
      </c>
      <c r="M18" s="110"/>
      <c r="N18" s="110">
        <v>3.87</v>
      </c>
      <c r="O18" s="19"/>
      <c r="P18" s="110">
        <f t="shared" si="4"/>
        <v>3.87</v>
      </c>
      <c r="Q18" s="110"/>
      <c r="R18" s="19"/>
      <c r="S18" s="19"/>
      <c r="T18" s="110">
        <f t="shared" si="5"/>
        <v>0</v>
      </c>
      <c r="U18" s="110"/>
    </row>
    <row r="19">
      <c r="A19" s="112" t="s">
        <v>35</v>
      </c>
      <c r="B19" s="113">
        <v>13.0</v>
      </c>
      <c r="C19" s="113">
        <v>13.0</v>
      </c>
      <c r="D19" s="113">
        <f t="shared" si="1"/>
        <v>0</v>
      </c>
      <c r="E19" s="113" t="str">
        <f t="shared" ref="E19:E21" si="6">IF(D19&gt;0.2,"No", "Yes")</f>
        <v>Yes</v>
      </c>
      <c r="F19" s="113">
        <v>4.0</v>
      </c>
      <c r="G19" s="113">
        <v>4.0</v>
      </c>
      <c r="H19" s="113">
        <f t="shared" si="2"/>
        <v>0</v>
      </c>
      <c r="I19" s="113" t="str">
        <f t="shared" ref="I19:I21" si="7">IF(H19&gt;0.2,"No", "Yes")</f>
        <v>Yes</v>
      </c>
      <c r="J19" s="113">
        <v>17.0</v>
      </c>
      <c r="K19" s="113">
        <v>17.0</v>
      </c>
      <c r="L19" s="113">
        <f t="shared" si="3"/>
        <v>0</v>
      </c>
      <c r="M19" s="113" t="str">
        <f t="shared" ref="M19:M21" si="8">IF(L19&gt;0.2,"No", "Yes")</f>
        <v>Yes</v>
      </c>
      <c r="N19" s="113">
        <v>3.5</v>
      </c>
      <c r="O19" s="113">
        <v>3.5</v>
      </c>
      <c r="P19" s="113">
        <f t="shared" si="4"/>
        <v>0</v>
      </c>
      <c r="Q19" s="113" t="str">
        <f t="shared" ref="Q19:Q21" si="9">IF(P19&gt;0.2,"No", "Yes")</f>
        <v>Yes</v>
      </c>
      <c r="R19" s="113">
        <v>3.5</v>
      </c>
      <c r="S19" s="113">
        <v>3.5</v>
      </c>
      <c r="T19" s="113">
        <f t="shared" si="5"/>
        <v>0</v>
      </c>
      <c r="U19" s="113" t="str">
        <f t="shared" ref="U19:U21" si="10">IF(T19&gt;0.2,"No", "Yes")</f>
        <v>Yes</v>
      </c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</row>
    <row r="20">
      <c r="A20" s="112" t="s">
        <v>36</v>
      </c>
      <c r="B20" s="113">
        <v>13.0</v>
      </c>
      <c r="C20" s="113">
        <v>13.0</v>
      </c>
      <c r="D20" s="113">
        <f t="shared" si="1"/>
        <v>0</v>
      </c>
      <c r="E20" s="113" t="str">
        <f t="shared" si="6"/>
        <v>Yes</v>
      </c>
      <c r="F20" s="113">
        <v>4.0</v>
      </c>
      <c r="G20" s="113">
        <v>4.0</v>
      </c>
      <c r="H20" s="113">
        <f t="shared" si="2"/>
        <v>0</v>
      </c>
      <c r="I20" s="113" t="str">
        <f t="shared" si="7"/>
        <v>Yes</v>
      </c>
      <c r="J20" s="113">
        <v>17.0</v>
      </c>
      <c r="K20" s="113">
        <v>17.0</v>
      </c>
      <c r="L20" s="113">
        <f t="shared" si="3"/>
        <v>0</v>
      </c>
      <c r="M20" s="113" t="str">
        <f t="shared" si="8"/>
        <v>Yes</v>
      </c>
      <c r="N20" s="113">
        <v>3.5</v>
      </c>
      <c r="O20" s="113">
        <v>3.5</v>
      </c>
      <c r="P20" s="113">
        <f t="shared" si="4"/>
        <v>0</v>
      </c>
      <c r="Q20" s="113" t="str">
        <f t="shared" si="9"/>
        <v>Yes</v>
      </c>
      <c r="R20" s="113">
        <v>3.5</v>
      </c>
      <c r="S20" s="113">
        <v>3.5</v>
      </c>
      <c r="T20" s="113">
        <f t="shared" si="5"/>
        <v>0</v>
      </c>
      <c r="U20" s="113" t="str">
        <f t="shared" si="10"/>
        <v>Yes</v>
      </c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</row>
    <row r="21">
      <c r="A21" s="112" t="s">
        <v>37</v>
      </c>
      <c r="B21" s="113">
        <v>13.0</v>
      </c>
      <c r="C21" s="113">
        <v>13.0</v>
      </c>
      <c r="D21" s="113">
        <f t="shared" si="1"/>
        <v>0</v>
      </c>
      <c r="E21" s="113" t="str">
        <f t="shared" si="6"/>
        <v>Yes</v>
      </c>
      <c r="F21" s="113">
        <v>4.0</v>
      </c>
      <c r="G21" s="113">
        <v>4.0</v>
      </c>
      <c r="H21" s="113">
        <f t="shared" si="2"/>
        <v>0</v>
      </c>
      <c r="I21" s="113" t="str">
        <f t="shared" si="7"/>
        <v>Yes</v>
      </c>
      <c r="J21" s="113">
        <v>17.0</v>
      </c>
      <c r="K21" s="113">
        <v>17.0</v>
      </c>
      <c r="L21" s="113">
        <f t="shared" si="3"/>
        <v>0</v>
      </c>
      <c r="M21" s="113" t="str">
        <f t="shared" si="8"/>
        <v>Yes</v>
      </c>
      <c r="N21" s="113">
        <v>3.5</v>
      </c>
      <c r="O21" s="113">
        <v>3.5</v>
      </c>
      <c r="P21" s="113">
        <f t="shared" si="4"/>
        <v>0</v>
      </c>
      <c r="Q21" s="113" t="str">
        <f t="shared" si="9"/>
        <v>Yes</v>
      </c>
      <c r="R21" s="113">
        <v>3.5</v>
      </c>
      <c r="S21" s="113">
        <v>3.5</v>
      </c>
      <c r="T21" s="113">
        <f t="shared" si="5"/>
        <v>0</v>
      </c>
      <c r="U21" s="113" t="str">
        <f t="shared" si="10"/>
        <v>Yes</v>
      </c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</row>
    <row r="22">
      <c r="A22" s="107"/>
    </row>
    <row r="23">
      <c r="A23" s="107"/>
    </row>
    <row r="24">
      <c r="A24" s="107"/>
    </row>
    <row r="25">
      <c r="A25" s="107"/>
    </row>
    <row r="26">
      <c r="A26" s="107"/>
    </row>
    <row r="27">
      <c r="A27" s="103" t="s">
        <v>3</v>
      </c>
      <c r="B27" s="103" t="s">
        <v>12</v>
      </c>
      <c r="C27" s="112" t="s">
        <v>19</v>
      </c>
      <c r="D27" s="103" t="s">
        <v>260</v>
      </c>
      <c r="E27" s="112" t="s">
        <v>21</v>
      </c>
      <c r="F27" s="103" t="s">
        <v>260</v>
      </c>
      <c r="G27" s="112" t="s">
        <v>23</v>
      </c>
      <c r="H27" s="103" t="s">
        <v>260</v>
      </c>
      <c r="I27" s="112" t="s">
        <v>25</v>
      </c>
      <c r="J27" s="103" t="s">
        <v>260</v>
      </c>
      <c r="K27" s="112" t="s">
        <v>27</v>
      </c>
      <c r="L27" s="103" t="s">
        <v>260</v>
      </c>
      <c r="M27" s="112" t="s">
        <v>29</v>
      </c>
      <c r="N27" s="103" t="s">
        <v>260</v>
      </c>
      <c r="O27" s="112" t="s">
        <v>31</v>
      </c>
      <c r="P27" s="103" t="s">
        <v>260</v>
      </c>
      <c r="Q27" s="112" t="s">
        <v>259</v>
      </c>
      <c r="R27" s="103" t="s">
        <v>260</v>
      </c>
      <c r="S27" s="112" t="s">
        <v>35</v>
      </c>
      <c r="T27" s="103" t="s">
        <v>260</v>
      </c>
      <c r="U27" s="112" t="s">
        <v>36</v>
      </c>
      <c r="V27" s="103" t="s">
        <v>260</v>
      </c>
      <c r="W27" s="112" t="s">
        <v>37</v>
      </c>
      <c r="X27" s="103" t="s">
        <v>260</v>
      </c>
    </row>
    <row r="28">
      <c r="A28" s="25" t="s">
        <v>133</v>
      </c>
      <c r="B28" s="109">
        <v>45089.0</v>
      </c>
      <c r="C28" s="113">
        <v>29.63</v>
      </c>
      <c r="D28" s="113">
        <v>0.1</v>
      </c>
      <c r="E28" s="113">
        <v>37.07</v>
      </c>
      <c r="F28" s="113">
        <v>0.5</v>
      </c>
      <c r="G28" s="113">
        <v>6.44</v>
      </c>
      <c r="H28" s="113">
        <v>0.2</v>
      </c>
      <c r="I28" s="113">
        <v>8.14</v>
      </c>
      <c r="J28" s="113">
        <v>0.1</v>
      </c>
      <c r="K28" s="113">
        <v>29.54</v>
      </c>
      <c r="L28" s="113">
        <v>0.1</v>
      </c>
      <c r="M28" s="113">
        <v>37.16</v>
      </c>
      <c r="N28" s="113">
        <v>0.5</v>
      </c>
      <c r="O28" s="113">
        <v>6.58</v>
      </c>
      <c r="P28" s="113">
        <v>0.2</v>
      </c>
      <c r="Q28" s="113">
        <v>8.14</v>
      </c>
      <c r="R28" s="113">
        <v>0.1</v>
      </c>
      <c r="S28" s="113">
        <v>13.0</v>
      </c>
      <c r="T28" s="113">
        <v>0.2</v>
      </c>
      <c r="U28" s="113">
        <v>13.0</v>
      </c>
      <c r="V28" s="113">
        <v>0.2</v>
      </c>
      <c r="W28" s="113">
        <v>13.0</v>
      </c>
      <c r="X28" s="113">
        <v>0.2</v>
      </c>
    </row>
    <row r="29">
      <c r="A29" s="25" t="s">
        <v>134</v>
      </c>
      <c r="B29" s="109">
        <v>45089.0</v>
      </c>
      <c r="C29" s="113">
        <v>29.64</v>
      </c>
      <c r="D29" s="113" t="str">
        <f>IF(or(ABS(C28-C29)&gt;D$28,C28=0,C29=0),"no","yes")</f>
        <v>yes</v>
      </c>
      <c r="E29" s="113">
        <v>37.13</v>
      </c>
      <c r="F29" s="113" t="str">
        <f>IF(or(ABS(E28-E29)&gt;F$28,E28=0,E29=0),"no","yes")</f>
        <v>yes</v>
      </c>
      <c r="G29" s="113">
        <v>6.52</v>
      </c>
      <c r="H29" s="113" t="str">
        <f>IF(or(ABS(G28-G29)&gt;H$28,G28=0,G29=0),"no","yes")</f>
        <v>yes</v>
      </c>
      <c r="I29" s="113">
        <v>8.13</v>
      </c>
      <c r="J29" s="113" t="str">
        <f>IF(or(ABS(I28-I29)&gt;J$28,I28=0,I29=0),"no","yes")</f>
        <v>yes</v>
      </c>
      <c r="K29" s="113">
        <v>29.54</v>
      </c>
      <c r="L29" s="113" t="str">
        <f>IF(or(ABS(K28-K29)&gt;L$28,K28=0,K29=0),"no","yes")</f>
        <v>yes</v>
      </c>
      <c r="M29" s="113">
        <v>37.12</v>
      </c>
      <c r="N29" s="113" t="str">
        <f>IF(or(ABS(M28-M29)&gt;N$28,M28=0,M29=0),"no","yes")</f>
        <v>yes</v>
      </c>
      <c r="O29" s="113">
        <v>6.47</v>
      </c>
      <c r="P29" s="113" t="str">
        <f>IF(or(ABS(O28-O29)&gt;P$28,O28=0,O29=0),"no","yes")</f>
        <v>yes</v>
      </c>
      <c r="Q29" s="113">
        <v>8.14</v>
      </c>
      <c r="R29" s="113" t="str">
        <f>IF(or(ABS(Q28-Q29)&gt;R$28,Q28=0,Q29=0),"no","yes")</f>
        <v>yes</v>
      </c>
      <c r="S29" s="113">
        <v>13.0</v>
      </c>
      <c r="T29" s="113" t="str">
        <f>IF(or(ABS(S28-S29)&gt;T$28,S28=0,S29=0),"no","yes")</f>
        <v>yes</v>
      </c>
      <c r="U29" s="113">
        <v>13.0</v>
      </c>
      <c r="V29" s="113" t="str">
        <f>IF(or(ABS(U28-U29)&gt;V$28,U28=0,U29=0),"no","yes")</f>
        <v>yes</v>
      </c>
      <c r="W29" s="113">
        <v>13.0</v>
      </c>
      <c r="X29" s="113" t="str">
        <f>IF(or(ABS(W28-W29)&gt;X$28,W28=0,W29=0),"no","yes")</f>
        <v>yes</v>
      </c>
    </row>
    <row r="30">
      <c r="A30" s="25" t="s">
        <v>136</v>
      </c>
      <c r="B30" s="109">
        <v>45089.0</v>
      </c>
      <c r="C30" s="113">
        <v>30.41</v>
      </c>
      <c r="D30" s="110"/>
      <c r="E30" s="113">
        <v>37.12</v>
      </c>
      <c r="F30" s="110"/>
      <c r="G30" s="113">
        <v>6.41</v>
      </c>
      <c r="H30" s="110"/>
      <c r="I30" s="113">
        <v>8.01</v>
      </c>
      <c r="J30" s="110"/>
      <c r="K30" s="113">
        <v>30.27</v>
      </c>
      <c r="L30" s="110"/>
      <c r="M30" s="113">
        <v>37.17</v>
      </c>
      <c r="N30" s="110"/>
      <c r="O30" s="113">
        <v>6.18</v>
      </c>
      <c r="P30" s="110"/>
      <c r="Q30" s="113">
        <v>8.05</v>
      </c>
      <c r="R30" s="110"/>
      <c r="S30" s="113">
        <v>4.0</v>
      </c>
      <c r="T30" s="113"/>
      <c r="U30" s="113">
        <v>4.0</v>
      </c>
      <c r="V30" s="113"/>
      <c r="W30" s="113">
        <v>4.0</v>
      </c>
    </row>
    <row r="31">
      <c r="A31" s="25" t="s">
        <v>137</v>
      </c>
      <c r="B31" s="109">
        <v>45089.0</v>
      </c>
      <c r="C31" s="114"/>
      <c r="D31" s="113" t="str">
        <f>IF(or(ABS(C30-C31)&gt;D$28,C30=0,C31=0),"no","yes")</f>
        <v>no</v>
      </c>
      <c r="E31" s="114"/>
      <c r="F31" s="113" t="str">
        <f>IF(or(ABS(E30-E31)&gt;F$28,E30=0,E31=0),"no","yes")</f>
        <v>no</v>
      </c>
      <c r="G31" s="114"/>
      <c r="H31" s="113" t="str">
        <f>IF(or(ABS(G30-G31)&gt;H$28,G30=0,G31=0),"no","yes")</f>
        <v>no</v>
      </c>
      <c r="I31" s="114"/>
      <c r="J31" s="113" t="str">
        <f>IF(or(ABS(I30-I31)&gt;J$28,I30=0,I31=0),"no","yes")</f>
        <v>no</v>
      </c>
      <c r="K31" s="114"/>
      <c r="L31" s="113" t="str">
        <f>IF(or(ABS(K30-K31)&gt;L$28,K30=0,K31=0),"no","yes")</f>
        <v>no</v>
      </c>
      <c r="M31" s="114"/>
      <c r="N31" s="113" t="str">
        <f>IF(or(ABS(M30-M31)&gt;N$28,M30=0,M31=0),"no","yes")</f>
        <v>no</v>
      </c>
      <c r="O31" s="114"/>
      <c r="P31" s="113" t="str">
        <f>IF(or(ABS(O30-O31)&gt;P$28,O30=0,O31=0),"no","yes")</f>
        <v>no</v>
      </c>
      <c r="Q31" s="114"/>
      <c r="R31" s="113" t="str">
        <f>IF(or(ABS(Q30-Q31)&gt;R$28,Q30=0,Q31=0),"no","yes")</f>
        <v>no</v>
      </c>
      <c r="S31" s="113">
        <v>4.0</v>
      </c>
      <c r="T31" s="113" t="str">
        <f>IF(or(ABS(S30-S31)&gt;T$28,S30=0,S31=0),"no","yes")</f>
        <v>yes</v>
      </c>
      <c r="U31" s="113">
        <v>4.0</v>
      </c>
      <c r="V31" s="113" t="str">
        <f>IF(or(ABS(U30-U31)&gt;V$28,U30=0,U31=0),"no","yes")</f>
        <v>yes</v>
      </c>
      <c r="W31" s="113">
        <v>4.0</v>
      </c>
      <c r="X31" s="113" t="str">
        <f>IF(or(ABS(W30-W31)&gt;X$28,W30=0,W31=0),"no","yes")</f>
        <v>yes</v>
      </c>
    </row>
    <row r="32">
      <c r="A32" s="25" t="s">
        <v>173</v>
      </c>
      <c r="B32" s="109">
        <v>45103.0</v>
      </c>
      <c r="C32" s="113">
        <v>29.51</v>
      </c>
      <c r="D32" s="110"/>
      <c r="E32" s="113">
        <v>37.25</v>
      </c>
      <c r="F32" s="110"/>
      <c r="G32" s="113">
        <v>6.31</v>
      </c>
      <c r="H32" s="110"/>
      <c r="I32" s="113">
        <v>8.24</v>
      </c>
      <c r="J32" s="110"/>
      <c r="K32" s="113">
        <v>29.45</v>
      </c>
      <c r="L32" s="110"/>
      <c r="M32" s="113">
        <v>37.46</v>
      </c>
      <c r="N32" s="110"/>
      <c r="O32" s="113">
        <v>5.8</v>
      </c>
      <c r="P32" s="110"/>
      <c r="Q32" s="113">
        <v>8.26</v>
      </c>
      <c r="R32" s="110"/>
      <c r="S32" s="113">
        <v>17.0</v>
      </c>
      <c r="T32" s="113"/>
      <c r="U32" s="113">
        <v>17.0</v>
      </c>
      <c r="V32" s="113"/>
      <c r="W32" s="113">
        <v>17.0</v>
      </c>
    </row>
    <row r="33">
      <c r="A33" s="25" t="s">
        <v>177</v>
      </c>
      <c r="B33" s="109">
        <v>45103.0</v>
      </c>
      <c r="C33" s="115"/>
      <c r="D33" s="113" t="str">
        <f>IF(or(ABS(C32-C33)&gt;D$28,C32=0,C33=0),"no","yes")</f>
        <v>no</v>
      </c>
      <c r="E33" s="114"/>
      <c r="F33" s="113" t="str">
        <f>IF(or(ABS(E32-E33)&gt;F$28,E32=0,E33=0),"no","yes")</f>
        <v>no</v>
      </c>
      <c r="G33" s="114"/>
      <c r="H33" s="113" t="str">
        <f>IF(or(ABS(G32-G33)&gt;H$28,G32=0,G33=0),"no","yes")</f>
        <v>no</v>
      </c>
      <c r="I33" s="114"/>
      <c r="J33" s="113" t="str">
        <f>IF(or(ABS(I32-I33)&gt;J$28,I32=0,I33=0),"no","yes")</f>
        <v>no</v>
      </c>
      <c r="K33" s="114"/>
      <c r="L33" s="113" t="str">
        <f>IF(or(ABS(K32-K33)&gt;L$28,K32=0,K33=0),"no","yes")</f>
        <v>no</v>
      </c>
      <c r="M33" s="114"/>
      <c r="N33" s="113" t="str">
        <f>IF(or(ABS(M32-M33)&gt;N$28,M32=0,M33=0),"no","yes")</f>
        <v>no</v>
      </c>
      <c r="O33" s="114"/>
      <c r="P33" s="113" t="str">
        <f>IF(or(ABS(O32-O33)&gt;P$28,O32=0,O33=0),"no","yes")</f>
        <v>no</v>
      </c>
      <c r="Q33" s="114"/>
      <c r="R33" s="113" t="str">
        <f>IF(or(ABS(Q32-Q33)&gt;R$28,Q32=0,Q33=0),"no","yes")</f>
        <v>no</v>
      </c>
      <c r="S33" s="113">
        <v>17.0</v>
      </c>
      <c r="T33" s="113" t="str">
        <f>IF(or(ABS(S32-S33)&gt;T$28,S32=0,S33=0),"no","yes")</f>
        <v>yes</v>
      </c>
      <c r="U33" s="113">
        <v>17.0</v>
      </c>
      <c r="V33" s="113" t="str">
        <f>IF(or(ABS(U32-U33)&gt;V$28,U32=0,U33=0),"no","yes")</f>
        <v>yes</v>
      </c>
      <c r="W33" s="113">
        <v>17.0</v>
      </c>
      <c r="X33" s="113" t="str">
        <f>IF(or(ABS(W32-W33)&gt;X$28,W32=0,W33=0),"no","yes")</f>
        <v>yes</v>
      </c>
    </row>
    <row r="34">
      <c r="A34" s="25" t="s">
        <v>192</v>
      </c>
      <c r="B34" s="109">
        <v>45105.0</v>
      </c>
      <c r="C34" s="113">
        <v>29.56</v>
      </c>
      <c r="D34" s="110"/>
      <c r="E34" s="113">
        <v>37.87</v>
      </c>
      <c r="F34" s="110"/>
      <c r="G34" s="113">
        <v>5.69</v>
      </c>
      <c r="H34" s="110"/>
      <c r="I34" s="113">
        <v>6.42</v>
      </c>
      <c r="J34" s="110"/>
      <c r="K34" s="113">
        <v>29.52</v>
      </c>
      <c r="L34" s="110"/>
      <c r="M34" s="113">
        <v>37.84</v>
      </c>
      <c r="N34" s="110"/>
      <c r="O34" s="113">
        <v>5.47</v>
      </c>
      <c r="P34" s="110"/>
      <c r="Q34" s="113">
        <v>7.88</v>
      </c>
      <c r="R34" s="110"/>
      <c r="S34" s="113">
        <v>3.5</v>
      </c>
      <c r="T34" s="113"/>
      <c r="U34" s="113">
        <v>3.5</v>
      </c>
      <c r="V34" s="113"/>
      <c r="W34" s="113">
        <v>3.5</v>
      </c>
    </row>
    <row r="35">
      <c r="A35" s="25" t="s">
        <v>196</v>
      </c>
      <c r="B35" s="109">
        <v>45105.0</v>
      </c>
      <c r="C35" s="114"/>
      <c r="D35" s="113" t="str">
        <f>IF(or(ABS(C34-C35)&gt;D$28,C34=0,C35=0),"no","yes")</f>
        <v>no</v>
      </c>
      <c r="E35" s="114"/>
      <c r="F35" s="113" t="str">
        <f>IF(or(ABS(E34-E35)&gt;F$28,E34=0,E35=0),"no","yes")</f>
        <v>no</v>
      </c>
      <c r="G35" s="114"/>
      <c r="H35" s="113" t="str">
        <f>IF(or(ABS(G34-G35)&gt;H$28,G34=0,G35=0),"no","yes")</f>
        <v>no</v>
      </c>
      <c r="I35" s="114"/>
      <c r="J35" s="113" t="str">
        <f>IF(or(ABS(I34-I35)&gt;J$28,I34=0,I35=0),"no","yes")</f>
        <v>no</v>
      </c>
      <c r="K35" s="114"/>
      <c r="L35" s="113" t="str">
        <f>IF(or(ABS(K34-K35)&gt;L$28,K34=0,K35=0),"no","yes")</f>
        <v>no</v>
      </c>
      <c r="M35" s="114"/>
      <c r="N35" s="113" t="str">
        <f>IF(or(ABS(M34-M35)&gt;N$28,M34=0,M35=0),"no","yes")</f>
        <v>no</v>
      </c>
      <c r="O35" s="114"/>
      <c r="P35" s="113" t="str">
        <f>IF(or(ABS(O34-O35)&gt;P$28,O34=0,O35=0),"no","yes")</f>
        <v>no</v>
      </c>
      <c r="Q35" s="114"/>
      <c r="R35" s="113" t="str">
        <f>IF(or(ABS(Q34-Q35)&gt;R$28,Q34=0,Q35=0),"no","yes")</f>
        <v>no</v>
      </c>
      <c r="S35" s="113">
        <v>3.5</v>
      </c>
      <c r="T35" s="113" t="str">
        <f>IF(or(ABS(S34-S35)&gt;T$28,S34=0,S35=0),"no","yes")</f>
        <v>yes</v>
      </c>
      <c r="U35" s="113">
        <v>3.5</v>
      </c>
      <c r="V35" s="113" t="str">
        <f>IF(or(ABS(U34-U35)&gt;V$28,U34=0,U35=0),"no","yes")</f>
        <v>yes</v>
      </c>
      <c r="W35" s="113">
        <v>3.5</v>
      </c>
      <c r="X35" s="113" t="str">
        <f>IF(or(ABS(W34-W35)&gt;X$28,W34=0,W35=0),"no","yes")</f>
        <v>yes</v>
      </c>
    </row>
    <row r="36">
      <c r="A36" s="25" t="s">
        <v>199</v>
      </c>
      <c r="B36" s="109">
        <v>45106.0</v>
      </c>
      <c r="C36" s="113">
        <v>27.71</v>
      </c>
      <c r="D36" s="110"/>
      <c r="E36" s="114"/>
      <c r="F36" s="19"/>
      <c r="G36" s="113">
        <v>6.58</v>
      </c>
      <c r="H36" s="110"/>
      <c r="I36" s="114"/>
      <c r="J36" s="19"/>
      <c r="K36" s="113">
        <v>27.02</v>
      </c>
      <c r="L36" s="110"/>
      <c r="M36" s="114"/>
      <c r="N36" s="19"/>
      <c r="O36" s="113">
        <v>7.13</v>
      </c>
      <c r="P36" s="110"/>
      <c r="Q36" s="114"/>
      <c r="R36" s="19"/>
      <c r="S36" s="113">
        <v>3.5</v>
      </c>
      <c r="T36" s="113"/>
      <c r="U36" s="113">
        <v>3.5</v>
      </c>
      <c r="V36" s="113"/>
      <c r="W36" s="113">
        <v>3.5</v>
      </c>
    </row>
    <row r="37">
      <c r="A37" s="25" t="s">
        <v>201</v>
      </c>
      <c r="B37" s="109">
        <v>45106.0</v>
      </c>
      <c r="C37" s="113">
        <v>28.48</v>
      </c>
      <c r="D37" s="113" t="str">
        <f>IF(or(ABS(C36-C37)&gt;D$28,C36=0,C37=0),"no","yes")</f>
        <v>no</v>
      </c>
      <c r="E37" s="114"/>
      <c r="F37" s="113" t="str">
        <f>IF(or(ABS(E36-E37)&gt;F$28,E36=0,E37=0),"no","yes")</f>
        <v>no</v>
      </c>
      <c r="G37" s="113">
        <v>5.99</v>
      </c>
      <c r="H37" s="113" t="str">
        <f>IF(or(ABS(G36-G37)&gt;H$28,G36=0,G37=0),"no","yes")</f>
        <v>no</v>
      </c>
      <c r="I37" s="114"/>
      <c r="J37" s="113" t="str">
        <f>IF(or(ABS(I36-I37)&gt;J$28,I36=0,I37=0),"no","yes")</f>
        <v>no</v>
      </c>
      <c r="K37" s="113">
        <v>28.65</v>
      </c>
      <c r="L37" s="113" t="str">
        <f>IF(or(ABS(K36-K37)&gt;L$28,K36=0,K37=0),"no","yes")</f>
        <v>no</v>
      </c>
      <c r="M37" s="114"/>
      <c r="N37" s="113" t="str">
        <f>IF(or(ABS(M36-M37)&gt;N$28,M36=0,M37=0),"no","yes")</f>
        <v>no</v>
      </c>
      <c r="O37" s="113">
        <v>4.0</v>
      </c>
      <c r="P37" s="113" t="str">
        <f>IF(or(ABS(O36-O37)&gt;P$28,O36=0,O37=0),"no","yes")</f>
        <v>no</v>
      </c>
      <c r="Q37" s="114"/>
      <c r="R37" s="113" t="str">
        <f>IF(or(ABS(Q36-Q37)&gt;R$28,Q36=0,Q37=0),"no","yes")</f>
        <v>no</v>
      </c>
      <c r="S37" s="113">
        <v>3.5</v>
      </c>
      <c r="T37" s="113" t="str">
        <f>IF(or(ABS(S36-S37)&gt;T$28,S36=0,S37=0),"no","yes")</f>
        <v>yes</v>
      </c>
      <c r="U37" s="113">
        <v>3.5</v>
      </c>
      <c r="V37" s="113" t="str">
        <f>IF(or(ABS(U36-U37)&gt;V$28,U36=0,U37=0),"no","yes")</f>
        <v>yes</v>
      </c>
      <c r="W37" s="113">
        <v>3.5</v>
      </c>
      <c r="X37" s="113" t="str">
        <f>IF(or(ABS(W36-W37)&gt;X$28,W36=0,W37=0),"no","yes")</f>
        <v>yes</v>
      </c>
    </row>
    <row r="38">
      <c r="A38" s="107"/>
    </row>
    <row r="39">
      <c r="A39" s="107"/>
    </row>
    <row r="40">
      <c r="B40" s="125" t="s">
        <v>3</v>
      </c>
      <c r="C40" s="126" t="s">
        <v>133</v>
      </c>
      <c r="D40" s="127" t="s">
        <v>134</v>
      </c>
      <c r="E40" s="126" t="s">
        <v>136</v>
      </c>
      <c r="F40" s="127" t="s">
        <v>137</v>
      </c>
      <c r="G40" s="126" t="s">
        <v>173</v>
      </c>
      <c r="H40" s="127" t="s">
        <v>177</v>
      </c>
      <c r="I40" s="126" t="s">
        <v>192</v>
      </c>
      <c r="J40" s="127" t="s">
        <v>196</v>
      </c>
      <c r="K40" s="126" t="s">
        <v>199</v>
      </c>
      <c r="L40" s="127" t="s">
        <v>201</v>
      </c>
    </row>
    <row r="41">
      <c r="B41" s="128" t="s">
        <v>12</v>
      </c>
      <c r="C41" s="129">
        <v>45089.0</v>
      </c>
      <c r="D41" s="130">
        <v>45089.0</v>
      </c>
      <c r="E41" s="129">
        <v>45089.0</v>
      </c>
      <c r="F41" s="130">
        <v>45089.0</v>
      </c>
      <c r="G41" s="129">
        <v>45103.0</v>
      </c>
      <c r="H41" s="130">
        <v>45103.0</v>
      </c>
      <c r="I41" s="129">
        <v>45105.0</v>
      </c>
      <c r="J41" s="130">
        <v>45105.0</v>
      </c>
      <c r="K41" s="129">
        <v>45106.0</v>
      </c>
      <c r="L41" s="130">
        <v>45106.0</v>
      </c>
    </row>
    <row r="42">
      <c r="B42" s="125" t="s">
        <v>19</v>
      </c>
      <c r="C42" s="131">
        <v>29.63</v>
      </c>
      <c r="D42" s="132">
        <v>29.64</v>
      </c>
      <c r="E42" s="131">
        <v>30.41</v>
      </c>
      <c r="F42" s="133"/>
      <c r="G42" s="131">
        <v>29.51</v>
      </c>
      <c r="H42" s="134"/>
      <c r="I42" s="131">
        <v>29.56</v>
      </c>
      <c r="J42" s="133"/>
      <c r="K42" s="131">
        <v>27.71</v>
      </c>
      <c r="L42" s="132">
        <v>28.48</v>
      </c>
    </row>
    <row r="43">
      <c r="B43" s="128" t="s">
        <v>262</v>
      </c>
      <c r="C43" s="135"/>
      <c r="D43" s="136" t="str">
        <f>IF(or(ABS(C42-D42)&gt;0.2,C42=0,D42=0),"no","yes")</f>
        <v>yes</v>
      </c>
      <c r="E43" s="137"/>
      <c r="F43" s="136" t="str">
        <f>IF(or(ABS(E42-F42)&gt;0.2,E42=0,F42=0),"no","yes")</f>
        <v>no</v>
      </c>
      <c r="G43" s="137"/>
      <c r="H43" s="136" t="str">
        <f>IF(or(ABS(G42-H42)&gt;0.2,G42=0,H42=0),"no","yes")</f>
        <v>no</v>
      </c>
      <c r="I43" s="137"/>
      <c r="J43" s="136" t="str">
        <f>IF(or(ABS(I42-J42)&gt;0.2,I42=0,J42=0),"no","yes")</f>
        <v>no</v>
      </c>
      <c r="K43" s="137"/>
      <c r="L43" s="136" t="str">
        <f>IF(or(ABS(K42-L42)&gt;0.2,K42=0,L42=0),"no","yes")</f>
        <v>no</v>
      </c>
    </row>
    <row r="44">
      <c r="B44" s="125" t="s">
        <v>21</v>
      </c>
      <c r="C44" s="131">
        <v>37.07</v>
      </c>
      <c r="D44" s="132">
        <v>37.13</v>
      </c>
      <c r="E44" s="131">
        <v>37.12</v>
      </c>
      <c r="F44" s="133"/>
      <c r="G44" s="131">
        <v>37.25</v>
      </c>
      <c r="H44" s="133"/>
      <c r="I44" s="131">
        <v>37.87</v>
      </c>
      <c r="J44" s="133"/>
      <c r="K44" s="138"/>
      <c r="L44" s="133"/>
    </row>
    <row r="45">
      <c r="B45" s="128" t="s">
        <v>262</v>
      </c>
      <c r="C45" s="135"/>
      <c r="D45" s="136" t="str">
        <f>IF(or(ABS(C44-D44)&gt;0.2,C44=0,D44=0),"no","yes")</f>
        <v>yes</v>
      </c>
      <c r="E45" s="137"/>
      <c r="F45" s="136" t="str">
        <f>IF(or(ABS(E44-F44)&gt;0.2,E44=0,F44=0),"no","yes")</f>
        <v>no</v>
      </c>
      <c r="G45" s="137"/>
      <c r="H45" s="136" t="str">
        <f>IF(or(ABS(G44-H44)&gt;0.2,G44=0,H44=0),"no","yes")</f>
        <v>no</v>
      </c>
      <c r="I45" s="137"/>
      <c r="J45" s="136" t="str">
        <f>IF(or(ABS(I44-J44)&gt;0.2,I44=0,J44=0),"no","yes")</f>
        <v>no</v>
      </c>
      <c r="K45" s="139"/>
      <c r="L45" s="136" t="str">
        <f>IF(or(ABS(K44-L44)&gt;0.2,K44=0,L44=0),"no","yes")</f>
        <v>no</v>
      </c>
    </row>
    <row r="46">
      <c r="B46" s="125" t="s">
        <v>23</v>
      </c>
      <c r="C46" s="131">
        <v>6.44</v>
      </c>
      <c r="D46" s="132">
        <v>6.52</v>
      </c>
      <c r="E46" s="131">
        <v>6.41</v>
      </c>
      <c r="F46" s="133"/>
      <c r="G46" s="131">
        <v>6.31</v>
      </c>
      <c r="H46" s="133"/>
      <c r="I46" s="131">
        <v>5.69</v>
      </c>
      <c r="J46" s="133"/>
      <c r="K46" s="131">
        <v>6.58</v>
      </c>
      <c r="L46" s="132">
        <v>5.99</v>
      </c>
    </row>
    <row r="47">
      <c r="B47" s="128" t="s">
        <v>262</v>
      </c>
      <c r="C47" s="135"/>
      <c r="D47" s="136" t="str">
        <f>IF(or(ABS(C46-D46)&gt;0.2,C46=0,D46=0),"no","yes")</f>
        <v>yes</v>
      </c>
      <c r="E47" s="137"/>
      <c r="F47" s="136" t="str">
        <f>IF(or(ABS(E46-F46)&gt;0.2,E46=0,F46=0),"no","yes")</f>
        <v>no</v>
      </c>
      <c r="G47" s="137"/>
      <c r="H47" s="136" t="str">
        <f>IF(or(ABS(G46-H46)&gt;0.2,G46=0,H46=0),"no","yes")</f>
        <v>no</v>
      </c>
      <c r="I47" s="137"/>
      <c r="J47" s="136" t="str">
        <f>IF(or(ABS(I46-J46)&gt;0.2,I46=0,J46=0),"no","yes")</f>
        <v>no</v>
      </c>
      <c r="K47" s="137"/>
      <c r="L47" s="136" t="str">
        <f>IF(or(ABS(K46-L46)&gt;0.2,K46=0,L46=0),"no","yes")</f>
        <v>no</v>
      </c>
    </row>
    <row r="48">
      <c r="B48" s="125" t="s">
        <v>25</v>
      </c>
      <c r="C48" s="131">
        <v>8.14</v>
      </c>
      <c r="D48" s="132">
        <v>8.13</v>
      </c>
      <c r="E48" s="131">
        <v>8.01</v>
      </c>
      <c r="F48" s="133"/>
      <c r="G48" s="131">
        <v>8.24</v>
      </c>
      <c r="H48" s="133"/>
      <c r="I48" s="131">
        <v>6.42</v>
      </c>
      <c r="J48" s="133"/>
      <c r="K48" s="138"/>
      <c r="L48" s="133"/>
    </row>
    <row r="49">
      <c r="B49" s="128" t="s">
        <v>263</v>
      </c>
      <c r="C49" s="135"/>
      <c r="D49" s="136" t="str">
        <f>IF(or(ABS(C48-D48)&gt;0.1,C48=0,D48=0),"no","yes")</f>
        <v>yes</v>
      </c>
      <c r="E49" s="137"/>
      <c r="F49" s="136" t="str">
        <f>IF(or(ABS(E48-F48)&gt;0.1,E48=0,F48=0),"no","yes")</f>
        <v>no</v>
      </c>
      <c r="G49" s="137"/>
      <c r="H49" s="136" t="str">
        <f>IF(or(ABS(G48-H48)&gt;0.1,G48=0,H48=0),"no","yes")</f>
        <v>no</v>
      </c>
      <c r="I49" s="137"/>
      <c r="J49" s="136" t="str">
        <f>IF(or(ABS(I48-J48)&gt;0.1,I48=0,J48=0),"no","yes")</f>
        <v>no</v>
      </c>
      <c r="K49" s="139"/>
      <c r="L49" s="136" t="str">
        <f>IF(or(ABS(K48-L48)&gt;0.1,K48=0,L48=0),"no","yes")</f>
        <v>no</v>
      </c>
    </row>
    <row r="50">
      <c r="B50" s="125" t="s">
        <v>27</v>
      </c>
      <c r="C50" s="131">
        <v>29.54</v>
      </c>
      <c r="D50" s="132">
        <v>29.54</v>
      </c>
      <c r="E50" s="131">
        <v>30.27</v>
      </c>
      <c r="F50" s="133"/>
      <c r="G50" s="131">
        <v>29.45</v>
      </c>
      <c r="H50" s="133"/>
      <c r="I50" s="131">
        <v>29.52</v>
      </c>
      <c r="J50" s="133"/>
      <c r="K50" s="131">
        <v>27.02</v>
      </c>
      <c r="L50" s="132">
        <v>28.65</v>
      </c>
    </row>
    <row r="51">
      <c r="B51" s="128" t="s">
        <v>262</v>
      </c>
      <c r="C51" s="135"/>
      <c r="D51" s="136" t="str">
        <f>IF(or(ABS(C50-D50)&gt;0.2,C50=0,D50=0),"no","yes")</f>
        <v>yes</v>
      </c>
      <c r="E51" s="137"/>
      <c r="F51" s="136" t="str">
        <f>IF(or(ABS(E50-F50)&gt;0.2,E50=0,F50=0),"no","yes")</f>
        <v>no</v>
      </c>
      <c r="G51" s="137"/>
      <c r="H51" s="136" t="str">
        <f>IF(or(ABS(G50-H50)&gt;0.2,G50=0,H50=0),"no","yes")</f>
        <v>no</v>
      </c>
      <c r="I51" s="137"/>
      <c r="J51" s="136" t="str">
        <f>IF(or(ABS(I50-J50)&gt;0.2,I50=0,J50=0),"no","yes")</f>
        <v>no</v>
      </c>
      <c r="K51" s="137"/>
      <c r="L51" s="136" t="str">
        <f>IF(or(ABS(K50-L50)&gt;0.2,K50=0,L50=0),"no","yes")</f>
        <v>no</v>
      </c>
    </row>
    <row r="52">
      <c r="B52" s="125" t="s">
        <v>29</v>
      </c>
      <c r="C52" s="131">
        <v>37.16</v>
      </c>
      <c r="D52" s="132">
        <v>37.12</v>
      </c>
      <c r="E52" s="131">
        <v>37.17</v>
      </c>
      <c r="F52" s="133"/>
      <c r="G52" s="131">
        <v>37.46</v>
      </c>
      <c r="H52" s="133"/>
      <c r="I52" s="131">
        <v>37.84</v>
      </c>
      <c r="J52" s="133"/>
      <c r="K52" s="138"/>
      <c r="L52" s="133"/>
    </row>
    <row r="53">
      <c r="B53" s="128" t="s">
        <v>262</v>
      </c>
      <c r="C53" s="135"/>
      <c r="D53" s="136" t="str">
        <f>IF(or(ABS(C52-D52)&gt;0.2,C52=0,D52=0),"no","yes")</f>
        <v>yes</v>
      </c>
      <c r="E53" s="137"/>
      <c r="F53" s="136" t="str">
        <f>IF(or(ABS(E52-F52)&gt;0.2,E52=0,F52=0),"no","yes")</f>
        <v>no</v>
      </c>
      <c r="G53" s="137"/>
      <c r="H53" s="136" t="str">
        <f>IF(or(ABS(G52-H52)&gt;0.2,G52=0,H52=0),"no","yes")</f>
        <v>no</v>
      </c>
      <c r="I53" s="137"/>
      <c r="J53" s="136" t="str">
        <f>IF(or(ABS(I52-J52)&gt;0.2,I52=0,J52=0),"no","yes")</f>
        <v>no</v>
      </c>
      <c r="K53" s="139"/>
      <c r="L53" s="136" t="str">
        <f>IF(or(ABS(K52-L52)&gt;0.2,K52=0,L52=0),"no","yes")</f>
        <v>no</v>
      </c>
    </row>
    <row r="54">
      <c r="B54" s="125" t="s">
        <v>31</v>
      </c>
      <c r="C54" s="131">
        <v>6.58</v>
      </c>
      <c r="D54" s="132">
        <v>6.47</v>
      </c>
      <c r="E54" s="131">
        <v>6.18</v>
      </c>
      <c r="F54" s="133"/>
      <c r="G54" s="131">
        <v>5.8</v>
      </c>
      <c r="H54" s="133"/>
      <c r="I54" s="131">
        <v>5.47</v>
      </c>
      <c r="J54" s="133"/>
      <c r="K54" s="131">
        <v>7.13</v>
      </c>
      <c r="L54" s="132">
        <v>4.0</v>
      </c>
    </row>
    <row r="55">
      <c r="B55" s="128" t="s">
        <v>262</v>
      </c>
      <c r="C55" s="135"/>
      <c r="D55" s="136" t="str">
        <f>IF(or(ABS(C54-D54)&gt;0.2,C54=0,D54=0),"no","yes")</f>
        <v>yes</v>
      </c>
      <c r="E55" s="137"/>
      <c r="F55" s="136" t="str">
        <f>IF(or(ABS(E54-F54)&gt;0.2,E54=0,F54=0),"no","yes")</f>
        <v>no</v>
      </c>
      <c r="G55" s="137"/>
      <c r="H55" s="136" t="str">
        <f>IF(or(ABS(G54-H54)&gt;0.2,G54=0,H54=0),"no","yes")</f>
        <v>no</v>
      </c>
      <c r="I55" s="137"/>
      <c r="J55" s="136" t="str">
        <f>IF(or(ABS(I54-J54)&gt;0.2,I54=0,J54=0),"no","yes")</f>
        <v>no</v>
      </c>
      <c r="K55" s="137"/>
      <c r="L55" s="136" t="str">
        <f>IF(or(ABS(K54-L54)&gt;0.2,K54=0,L54=0),"no","yes")</f>
        <v>no</v>
      </c>
    </row>
    <row r="56">
      <c r="B56" s="125" t="s">
        <v>259</v>
      </c>
      <c r="C56" s="131">
        <v>8.14</v>
      </c>
      <c r="D56" s="132">
        <v>8.14</v>
      </c>
      <c r="E56" s="131">
        <v>8.05</v>
      </c>
      <c r="F56" s="133"/>
      <c r="G56" s="131">
        <v>8.26</v>
      </c>
      <c r="H56" s="133"/>
      <c r="I56" s="131">
        <v>7.88</v>
      </c>
      <c r="J56" s="133"/>
      <c r="K56" s="138"/>
      <c r="L56" s="133"/>
    </row>
    <row r="57">
      <c r="B57" s="128" t="s">
        <v>263</v>
      </c>
      <c r="C57" s="135"/>
      <c r="D57" s="136" t="str">
        <f>IF(or(ABS(C56-D56)&gt;0.1,C56=0,D56=0),"no","yes")</f>
        <v>yes</v>
      </c>
      <c r="E57" s="137"/>
      <c r="F57" s="136" t="str">
        <f>IF(or(ABS(E56-F56)&gt;0.1,E56=0,F56=0),"no","yes")</f>
        <v>no</v>
      </c>
      <c r="G57" s="137"/>
      <c r="H57" s="136" t="str">
        <f>IF(or(ABS(G56-H56)&gt;0.1,G56=0,H56=0),"no","yes")</f>
        <v>no</v>
      </c>
      <c r="I57" s="137"/>
      <c r="J57" s="136" t="str">
        <f>IF(or(ABS(I56-J56)&gt;0.1,I56=0,J56=0),"no","yes")</f>
        <v>no</v>
      </c>
      <c r="K57" s="139"/>
      <c r="L57" s="136" t="str">
        <f>IF(or(ABS(K56-L56)&gt;0.1,K56=0,L56=0),"no","yes")</f>
        <v>no</v>
      </c>
    </row>
    <row r="58">
      <c r="B58" s="125" t="s">
        <v>35</v>
      </c>
      <c r="C58" s="131">
        <v>13.0</v>
      </c>
      <c r="D58" s="132">
        <v>13.0</v>
      </c>
      <c r="E58" s="131">
        <v>4.0</v>
      </c>
      <c r="F58" s="132">
        <v>4.0</v>
      </c>
      <c r="G58" s="131">
        <v>17.0</v>
      </c>
      <c r="H58" s="132">
        <v>17.0</v>
      </c>
      <c r="I58" s="131">
        <v>3.5</v>
      </c>
      <c r="J58" s="132">
        <v>3.5</v>
      </c>
      <c r="K58" s="131">
        <v>3.5</v>
      </c>
      <c r="L58" s="132">
        <v>3.5</v>
      </c>
    </row>
    <row r="59">
      <c r="B59" s="128" t="s">
        <v>262</v>
      </c>
      <c r="C59" s="135"/>
      <c r="D59" s="136" t="str">
        <f>IF(or(ABS(C58-D58)&gt;0.2,C58=0,D58=0),"no","yes")</f>
        <v>yes</v>
      </c>
      <c r="E59" s="135"/>
      <c r="F59" s="136" t="str">
        <f>IF(or(ABS(E58-F58)&gt;0.2,E58=0,F58=0),"no","yes")</f>
        <v>yes</v>
      </c>
      <c r="G59" s="135"/>
      <c r="H59" s="136" t="str">
        <f>IF(or(ABS(G58-H58)&gt;0.2,G58=0,H58=0),"no","yes")</f>
        <v>yes</v>
      </c>
      <c r="I59" s="135"/>
      <c r="J59" s="136" t="str">
        <f>IF(or(ABS(I58-J58)&gt;0.2,I58=0,J58=0),"no","yes")</f>
        <v>yes</v>
      </c>
      <c r="K59" s="135"/>
      <c r="L59" s="136" t="str">
        <f>IF(or(ABS(K58-L58)&gt;0.2,K58=0,L58=0),"no","yes")</f>
        <v>yes</v>
      </c>
    </row>
    <row r="60">
      <c r="B60" s="125" t="s">
        <v>36</v>
      </c>
      <c r="C60" s="131">
        <v>13.0</v>
      </c>
      <c r="D60" s="132">
        <v>13.0</v>
      </c>
      <c r="E60" s="131">
        <v>4.0</v>
      </c>
      <c r="F60" s="132">
        <v>4.0</v>
      </c>
      <c r="G60" s="131">
        <v>17.0</v>
      </c>
      <c r="H60" s="132">
        <v>17.0</v>
      </c>
      <c r="I60" s="131">
        <v>3.5</v>
      </c>
      <c r="J60" s="132">
        <v>3.5</v>
      </c>
      <c r="K60" s="131">
        <v>3.5</v>
      </c>
      <c r="L60" s="132">
        <v>3.5</v>
      </c>
    </row>
    <row r="61">
      <c r="B61" s="128" t="s">
        <v>262</v>
      </c>
      <c r="C61" s="135"/>
      <c r="D61" s="136" t="str">
        <f>IF(or(ABS(C60-D60)&gt;0.2,C60=0,D60=0),"no","yes")</f>
        <v>yes</v>
      </c>
      <c r="E61" s="135"/>
      <c r="F61" s="136" t="str">
        <f>IF(or(ABS(E60-F60)&gt;0.2,E60=0,F60=0),"no","yes")</f>
        <v>yes</v>
      </c>
      <c r="G61" s="135"/>
      <c r="H61" s="136" t="str">
        <f>IF(or(ABS(G60-H60)&gt;0.2,G60=0,H60=0),"no","yes")</f>
        <v>yes</v>
      </c>
      <c r="I61" s="135"/>
      <c r="J61" s="136" t="str">
        <f>IF(or(ABS(I60-J60)&gt;0.2,I60=0,J60=0),"no","yes")</f>
        <v>yes</v>
      </c>
      <c r="K61" s="135"/>
      <c r="L61" s="136" t="str">
        <f>IF(or(ABS(K60-L60)&gt;0.2,K60=0,L60=0),"no","yes")</f>
        <v>yes</v>
      </c>
    </row>
    <row r="62">
      <c r="B62" s="125" t="s">
        <v>37</v>
      </c>
      <c r="C62" s="140">
        <v>13.0</v>
      </c>
      <c r="D62" s="132">
        <v>13.0</v>
      </c>
      <c r="E62" s="131">
        <v>4.0</v>
      </c>
      <c r="F62" s="132">
        <v>4.0</v>
      </c>
      <c r="G62" s="131">
        <v>17.0</v>
      </c>
      <c r="H62" s="132">
        <v>17.0</v>
      </c>
      <c r="I62" s="131">
        <v>3.5</v>
      </c>
      <c r="J62" s="132">
        <v>3.5</v>
      </c>
      <c r="K62" s="131">
        <v>3.5</v>
      </c>
      <c r="L62" s="132">
        <v>3.5</v>
      </c>
    </row>
    <row r="63">
      <c r="B63" s="128" t="s">
        <v>262</v>
      </c>
      <c r="C63" s="141"/>
      <c r="D63" s="136" t="str">
        <f>IF(or(ABS(C62-D62)&gt;0.2,C62=0,D62=0),"no","yes")</f>
        <v>yes</v>
      </c>
      <c r="E63" s="142"/>
      <c r="F63" s="136" t="str">
        <f>IF(or(ABS(E62-F62)&gt;0.2,E62=0,F62=0),"no","yes")</f>
        <v>yes</v>
      </c>
      <c r="G63" s="142"/>
      <c r="H63" s="136" t="str">
        <f>IF(or(ABS(G62-H62)&gt;0.2,G62=0,H62=0),"no","yes")</f>
        <v>yes</v>
      </c>
      <c r="I63" s="142"/>
      <c r="J63" s="136" t="str">
        <f>IF(or(ABS(I62-J62)&gt;0.2,I62=0,J62=0),"no","yes")</f>
        <v>yes</v>
      </c>
      <c r="K63" s="142"/>
      <c r="L63" s="136" t="str">
        <f>IF(or(ABS(K62-L62)&gt;0.2,K62=0,L62=0),"no","yes")</f>
        <v>yes</v>
      </c>
    </row>
    <row r="64">
      <c r="A64" s="107"/>
    </row>
    <row r="65">
      <c r="A65" s="107"/>
    </row>
    <row r="66">
      <c r="A66" s="107"/>
    </row>
    <row r="67">
      <c r="A67" s="107"/>
    </row>
    <row r="68">
      <c r="A68" s="107"/>
    </row>
    <row r="69">
      <c r="A69" s="107"/>
    </row>
    <row r="70">
      <c r="A70" s="107"/>
    </row>
    <row r="71">
      <c r="A71" s="107"/>
    </row>
    <row r="72">
      <c r="A72" s="107"/>
    </row>
    <row r="73">
      <c r="A73" s="107"/>
    </row>
    <row r="74">
      <c r="A74" s="107"/>
    </row>
    <row r="75">
      <c r="A75" s="107"/>
    </row>
    <row r="76">
      <c r="A76" s="107"/>
    </row>
    <row r="77">
      <c r="A77" s="107"/>
    </row>
    <row r="78">
      <c r="A78" s="107"/>
    </row>
    <row r="79">
      <c r="A79" s="107"/>
    </row>
    <row r="80">
      <c r="A80" s="107"/>
    </row>
    <row r="81">
      <c r="A81" s="107"/>
    </row>
    <row r="82">
      <c r="A82" s="107"/>
    </row>
    <row r="83">
      <c r="A83" s="107"/>
    </row>
    <row r="84">
      <c r="A84" s="107"/>
    </row>
    <row r="85">
      <c r="A85" s="107"/>
    </row>
    <row r="86">
      <c r="A86" s="107"/>
    </row>
    <row r="87">
      <c r="A87" s="107"/>
    </row>
    <row r="88">
      <c r="A88" s="107"/>
    </row>
    <row r="89">
      <c r="A89" s="107"/>
    </row>
    <row r="90">
      <c r="A90" s="107"/>
    </row>
    <row r="91">
      <c r="A91" s="107"/>
    </row>
    <row r="92">
      <c r="A92" s="107"/>
    </row>
    <row r="93">
      <c r="A93" s="107"/>
    </row>
    <row r="94">
      <c r="A94" s="107"/>
    </row>
    <row r="95">
      <c r="A95" s="107"/>
    </row>
    <row r="96">
      <c r="A96" s="107"/>
    </row>
    <row r="97">
      <c r="A97" s="107"/>
    </row>
    <row r="98">
      <c r="A98" s="107"/>
    </row>
    <row r="99">
      <c r="A99" s="107"/>
    </row>
    <row r="100">
      <c r="A100" s="107"/>
    </row>
    <row r="101">
      <c r="A101" s="107"/>
    </row>
    <row r="102">
      <c r="A102" s="107"/>
    </row>
    <row r="103">
      <c r="A103" s="107"/>
    </row>
    <row r="104">
      <c r="A104" s="107"/>
    </row>
    <row r="105">
      <c r="A105" s="107"/>
    </row>
    <row r="106">
      <c r="A106" s="107"/>
    </row>
    <row r="107">
      <c r="A107" s="107"/>
    </row>
    <row r="108">
      <c r="A108" s="107"/>
    </row>
    <row r="109">
      <c r="A109" s="107"/>
    </row>
    <row r="110">
      <c r="A110" s="107"/>
    </row>
    <row r="111">
      <c r="A111" s="107"/>
    </row>
    <row r="112">
      <c r="A112" s="107"/>
    </row>
    <row r="113">
      <c r="A113" s="107"/>
    </row>
    <row r="114">
      <c r="A114" s="107"/>
    </row>
    <row r="115">
      <c r="A115" s="107"/>
    </row>
    <row r="116">
      <c r="A116" s="107"/>
    </row>
    <row r="117">
      <c r="A117" s="107"/>
    </row>
    <row r="118">
      <c r="A118" s="107"/>
    </row>
    <row r="119">
      <c r="A119" s="107"/>
    </row>
    <row r="120">
      <c r="A120" s="107"/>
    </row>
    <row r="121">
      <c r="A121" s="107"/>
    </row>
    <row r="122">
      <c r="A122" s="107"/>
    </row>
    <row r="123">
      <c r="A123" s="107"/>
    </row>
    <row r="124">
      <c r="A124" s="107"/>
    </row>
    <row r="125">
      <c r="A125" s="107"/>
    </row>
    <row r="126">
      <c r="A126" s="107"/>
    </row>
    <row r="127">
      <c r="A127" s="107"/>
    </row>
    <row r="128">
      <c r="A128" s="107"/>
    </row>
    <row r="129">
      <c r="A129" s="107"/>
    </row>
    <row r="130">
      <c r="A130" s="107"/>
    </row>
    <row r="131">
      <c r="A131" s="107"/>
    </row>
    <row r="132">
      <c r="A132" s="107"/>
    </row>
    <row r="133">
      <c r="A133" s="107"/>
    </row>
    <row r="134">
      <c r="A134" s="107"/>
    </row>
    <row r="135">
      <c r="A135" s="107"/>
    </row>
    <row r="136">
      <c r="A136" s="107"/>
    </row>
    <row r="137">
      <c r="A137" s="107"/>
    </row>
    <row r="138">
      <c r="A138" s="107"/>
    </row>
    <row r="139">
      <c r="A139" s="107"/>
    </row>
    <row r="140">
      <c r="A140" s="107"/>
    </row>
    <row r="141">
      <c r="A141" s="107"/>
    </row>
    <row r="142">
      <c r="A142" s="107"/>
    </row>
    <row r="143">
      <c r="A143" s="107"/>
    </row>
    <row r="144">
      <c r="A144" s="107"/>
    </row>
    <row r="145">
      <c r="A145" s="107"/>
    </row>
    <row r="146">
      <c r="A146" s="107"/>
    </row>
    <row r="147">
      <c r="A147" s="107"/>
    </row>
    <row r="148">
      <c r="A148" s="107"/>
    </row>
    <row r="149">
      <c r="A149" s="107"/>
    </row>
    <row r="150">
      <c r="A150" s="107"/>
    </row>
    <row r="151">
      <c r="A151" s="107"/>
    </row>
    <row r="152">
      <c r="A152" s="107"/>
    </row>
    <row r="153">
      <c r="A153" s="107"/>
    </row>
    <row r="154">
      <c r="A154" s="107"/>
    </row>
    <row r="155">
      <c r="A155" s="107"/>
    </row>
    <row r="156">
      <c r="A156" s="107"/>
    </row>
    <row r="157">
      <c r="A157" s="107"/>
    </row>
    <row r="158">
      <c r="A158" s="107"/>
    </row>
    <row r="159">
      <c r="A159" s="107"/>
    </row>
    <row r="160">
      <c r="A160" s="107"/>
    </row>
    <row r="161">
      <c r="A161" s="107"/>
    </row>
    <row r="162">
      <c r="A162" s="107"/>
    </row>
    <row r="163">
      <c r="A163" s="107"/>
    </row>
    <row r="164">
      <c r="A164" s="107"/>
    </row>
    <row r="165">
      <c r="A165" s="107"/>
    </row>
    <row r="166">
      <c r="A166" s="107"/>
    </row>
    <row r="167">
      <c r="A167" s="107"/>
    </row>
    <row r="168">
      <c r="A168" s="107"/>
    </row>
    <row r="169">
      <c r="A169" s="107"/>
    </row>
    <row r="170">
      <c r="A170" s="107"/>
    </row>
    <row r="171">
      <c r="A171" s="107"/>
    </row>
    <row r="172">
      <c r="A172" s="107"/>
    </row>
    <row r="173">
      <c r="A173" s="107"/>
    </row>
    <row r="174">
      <c r="A174" s="107"/>
    </row>
    <row r="175">
      <c r="A175" s="107"/>
    </row>
    <row r="176">
      <c r="A176" s="107"/>
    </row>
    <row r="177">
      <c r="A177" s="107"/>
    </row>
    <row r="178">
      <c r="A178" s="107"/>
    </row>
    <row r="179">
      <c r="A179" s="107"/>
    </row>
    <row r="180">
      <c r="A180" s="107"/>
    </row>
    <row r="181">
      <c r="A181" s="107"/>
    </row>
    <row r="182">
      <c r="A182" s="107"/>
    </row>
    <row r="183">
      <c r="A183" s="107"/>
    </row>
    <row r="184">
      <c r="A184" s="107"/>
    </row>
    <row r="185">
      <c r="A185" s="107"/>
    </row>
    <row r="186">
      <c r="A186" s="107"/>
    </row>
    <row r="187">
      <c r="A187" s="107"/>
    </row>
    <row r="188">
      <c r="A188" s="107"/>
    </row>
    <row r="189">
      <c r="A189" s="107"/>
    </row>
    <row r="190">
      <c r="A190" s="107"/>
    </row>
    <row r="191">
      <c r="A191" s="107"/>
    </row>
    <row r="192">
      <c r="A192" s="107"/>
    </row>
    <row r="193">
      <c r="A193" s="107"/>
    </row>
    <row r="194">
      <c r="A194" s="107"/>
    </row>
    <row r="195">
      <c r="A195" s="107"/>
    </row>
    <row r="196">
      <c r="A196" s="107"/>
    </row>
    <row r="197">
      <c r="A197" s="107"/>
    </row>
    <row r="198">
      <c r="A198" s="107"/>
    </row>
    <row r="199">
      <c r="A199" s="107"/>
    </row>
    <row r="200">
      <c r="A200" s="107"/>
    </row>
    <row r="201">
      <c r="A201" s="107"/>
    </row>
    <row r="202">
      <c r="A202" s="107"/>
    </row>
    <row r="203">
      <c r="A203" s="107"/>
    </row>
    <row r="204">
      <c r="A204" s="107"/>
    </row>
    <row r="205">
      <c r="A205" s="107"/>
    </row>
    <row r="206">
      <c r="A206" s="107"/>
    </row>
    <row r="207">
      <c r="A207" s="107"/>
    </row>
    <row r="208">
      <c r="A208" s="107"/>
    </row>
    <row r="209">
      <c r="A209" s="107"/>
    </row>
    <row r="210">
      <c r="A210" s="107"/>
    </row>
    <row r="211">
      <c r="A211" s="107"/>
    </row>
    <row r="212">
      <c r="A212" s="107"/>
    </row>
    <row r="213">
      <c r="A213" s="107"/>
    </row>
    <row r="214">
      <c r="A214" s="107"/>
    </row>
    <row r="215">
      <c r="A215" s="107"/>
    </row>
    <row r="216">
      <c r="A216" s="107"/>
    </row>
    <row r="217">
      <c r="A217" s="107"/>
    </row>
    <row r="218">
      <c r="A218" s="107"/>
    </row>
    <row r="219">
      <c r="A219" s="107"/>
    </row>
    <row r="220">
      <c r="A220" s="107"/>
    </row>
    <row r="221">
      <c r="A221" s="107"/>
    </row>
    <row r="222">
      <c r="A222" s="107"/>
    </row>
    <row r="223">
      <c r="A223" s="107"/>
    </row>
    <row r="224">
      <c r="A224" s="107"/>
    </row>
    <row r="225">
      <c r="A225" s="107"/>
    </row>
    <row r="226">
      <c r="A226" s="107"/>
    </row>
    <row r="227">
      <c r="A227" s="107"/>
    </row>
    <row r="228">
      <c r="A228" s="107"/>
    </row>
    <row r="229">
      <c r="A229" s="107"/>
    </row>
    <row r="230">
      <c r="A230" s="107"/>
    </row>
    <row r="231">
      <c r="A231" s="107"/>
    </row>
    <row r="232">
      <c r="A232" s="107"/>
    </row>
    <row r="233">
      <c r="A233" s="107"/>
    </row>
    <row r="234">
      <c r="A234" s="107"/>
    </row>
    <row r="235">
      <c r="A235" s="107"/>
    </row>
    <row r="236">
      <c r="A236" s="107"/>
    </row>
    <row r="237">
      <c r="A237" s="107"/>
    </row>
    <row r="238">
      <c r="A238" s="107"/>
    </row>
    <row r="239">
      <c r="A239" s="107"/>
    </row>
    <row r="240">
      <c r="A240" s="107"/>
    </row>
    <row r="241">
      <c r="A241" s="107"/>
    </row>
    <row r="242">
      <c r="A242" s="107"/>
    </row>
    <row r="243">
      <c r="A243" s="107"/>
    </row>
    <row r="244">
      <c r="A244" s="107"/>
    </row>
    <row r="245">
      <c r="A245" s="107"/>
    </row>
    <row r="246">
      <c r="A246" s="107"/>
    </row>
    <row r="247">
      <c r="A247" s="107"/>
    </row>
    <row r="248">
      <c r="A248" s="107"/>
    </row>
    <row r="249">
      <c r="A249" s="107"/>
    </row>
    <row r="250">
      <c r="A250" s="107"/>
    </row>
    <row r="251">
      <c r="A251" s="107"/>
    </row>
    <row r="252">
      <c r="A252" s="107"/>
    </row>
    <row r="253">
      <c r="A253" s="107"/>
    </row>
    <row r="254">
      <c r="A254" s="107"/>
    </row>
    <row r="255">
      <c r="A255" s="107"/>
    </row>
    <row r="256">
      <c r="A256" s="107"/>
    </row>
    <row r="257">
      <c r="A257" s="107"/>
    </row>
    <row r="258">
      <c r="A258" s="107"/>
    </row>
    <row r="259">
      <c r="A259" s="107"/>
    </row>
    <row r="260">
      <c r="A260" s="107"/>
    </row>
    <row r="261">
      <c r="A261" s="107"/>
    </row>
    <row r="262">
      <c r="A262" s="107"/>
    </row>
    <row r="263">
      <c r="A263" s="107"/>
    </row>
    <row r="264">
      <c r="A264" s="107"/>
    </row>
    <row r="265">
      <c r="A265" s="107"/>
    </row>
    <row r="266">
      <c r="A266" s="107"/>
    </row>
    <row r="267">
      <c r="A267" s="107"/>
    </row>
    <row r="268">
      <c r="A268" s="107"/>
    </row>
    <row r="269">
      <c r="A269" s="107"/>
    </row>
    <row r="270">
      <c r="A270" s="107"/>
    </row>
    <row r="271">
      <c r="A271" s="107"/>
    </row>
    <row r="272">
      <c r="A272" s="107"/>
    </row>
    <row r="273">
      <c r="A273" s="107"/>
    </row>
    <row r="274">
      <c r="A274" s="107"/>
    </row>
    <row r="275">
      <c r="A275" s="107"/>
    </row>
    <row r="276">
      <c r="A276" s="107"/>
    </row>
    <row r="277">
      <c r="A277" s="107"/>
    </row>
    <row r="278">
      <c r="A278" s="107"/>
    </row>
    <row r="279">
      <c r="A279" s="107"/>
    </row>
    <row r="280">
      <c r="A280" s="107"/>
    </row>
    <row r="281">
      <c r="A281" s="107"/>
    </row>
    <row r="282">
      <c r="A282" s="107"/>
    </row>
    <row r="283">
      <c r="A283" s="107"/>
    </row>
    <row r="284">
      <c r="A284" s="107"/>
    </row>
    <row r="285">
      <c r="A285" s="107"/>
    </row>
    <row r="286">
      <c r="A286" s="107"/>
    </row>
    <row r="287">
      <c r="A287" s="107"/>
    </row>
    <row r="288">
      <c r="A288" s="107"/>
    </row>
    <row r="289">
      <c r="A289" s="107"/>
    </row>
    <row r="290">
      <c r="A290" s="107"/>
    </row>
    <row r="291">
      <c r="A291" s="107"/>
    </row>
    <row r="292">
      <c r="A292" s="107"/>
    </row>
    <row r="293">
      <c r="A293" s="107"/>
    </row>
    <row r="294">
      <c r="A294" s="107"/>
    </row>
    <row r="295">
      <c r="A295" s="107"/>
    </row>
    <row r="296">
      <c r="A296" s="107"/>
    </row>
    <row r="297">
      <c r="A297" s="107"/>
    </row>
    <row r="298">
      <c r="A298" s="107"/>
    </row>
    <row r="299">
      <c r="A299" s="107"/>
    </row>
    <row r="300">
      <c r="A300" s="107"/>
    </row>
    <row r="301">
      <c r="A301" s="107"/>
    </row>
    <row r="302">
      <c r="A302" s="107"/>
    </row>
    <row r="303">
      <c r="A303" s="107"/>
    </row>
    <row r="304">
      <c r="A304" s="107"/>
    </row>
    <row r="305">
      <c r="A305" s="107"/>
    </row>
    <row r="306">
      <c r="A306" s="107"/>
    </row>
    <row r="307">
      <c r="A307" s="107"/>
    </row>
    <row r="308">
      <c r="A308" s="107"/>
    </row>
    <row r="309">
      <c r="A309" s="107"/>
    </row>
    <row r="310">
      <c r="A310" s="107"/>
    </row>
    <row r="311">
      <c r="A311" s="107"/>
    </row>
    <row r="312">
      <c r="A312" s="107"/>
    </row>
    <row r="313">
      <c r="A313" s="107"/>
    </row>
    <row r="314">
      <c r="A314" s="107"/>
    </row>
    <row r="315">
      <c r="A315" s="107"/>
    </row>
    <row r="316">
      <c r="A316" s="107"/>
    </row>
    <row r="317">
      <c r="A317" s="107"/>
    </row>
    <row r="318">
      <c r="A318" s="107"/>
    </row>
    <row r="319">
      <c r="A319" s="107"/>
    </row>
    <row r="320">
      <c r="A320" s="107"/>
    </row>
    <row r="321">
      <c r="A321" s="107"/>
    </row>
    <row r="322">
      <c r="A322" s="107"/>
    </row>
    <row r="323">
      <c r="A323" s="107"/>
    </row>
    <row r="324">
      <c r="A324" s="107"/>
    </row>
    <row r="325">
      <c r="A325" s="107"/>
    </row>
    <row r="326">
      <c r="A326" s="107"/>
    </row>
    <row r="327">
      <c r="A327" s="107"/>
    </row>
    <row r="328">
      <c r="A328" s="107"/>
    </row>
    <row r="329">
      <c r="A329" s="107"/>
    </row>
    <row r="330">
      <c r="A330" s="107"/>
    </row>
    <row r="331">
      <c r="A331" s="107"/>
    </row>
    <row r="332">
      <c r="A332" s="107"/>
    </row>
    <row r="333">
      <c r="A333" s="107"/>
    </row>
    <row r="334">
      <c r="A334" s="107"/>
    </row>
    <row r="335">
      <c r="A335" s="107"/>
    </row>
    <row r="336">
      <c r="A336" s="107"/>
    </row>
    <row r="337">
      <c r="A337" s="107"/>
    </row>
    <row r="338">
      <c r="A338" s="107"/>
    </row>
    <row r="339">
      <c r="A339" s="107"/>
    </row>
    <row r="340">
      <c r="A340" s="107"/>
    </row>
    <row r="341">
      <c r="A341" s="107"/>
    </row>
    <row r="342">
      <c r="A342" s="107"/>
    </row>
    <row r="343">
      <c r="A343" s="107"/>
    </row>
    <row r="344">
      <c r="A344" s="107"/>
    </row>
    <row r="345">
      <c r="A345" s="107"/>
    </row>
    <row r="346">
      <c r="A346" s="107"/>
    </row>
    <row r="347">
      <c r="A347" s="107"/>
    </row>
    <row r="348">
      <c r="A348" s="107"/>
    </row>
    <row r="349">
      <c r="A349" s="107"/>
    </row>
    <row r="350">
      <c r="A350" s="107"/>
    </row>
    <row r="351">
      <c r="A351" s="107"/>
    </row>
    <row r="352">
      <c r="A352" s="107"/>
    </row>
    <row r="353">
      <c r="A353" s="107"/>
    </row>
    <row r="354">
      <c r="A354" s="107"/>
    </row>
    <row r="355">
      <c r="A355" s="107"/>
    </row>
    <row r="356">
      <c r="A356" s="107"/>
    </row>
    <row r="357">
      <c r="A357" s="107"/>
    </row>
    <row r="358">
      <c r="A358" s="107"/>
    </row>
    <row r="359">
      <c r="A359" s="107"/>
    </row>
    <row r="360">
      <c r="A360" s="107"/>
    </row>
    <row r="361">
      <c r="A361" s="107"/>
    </row>
    <row r="362">
      <c r="A362" s="107"/>
    </row>
    <row r="363">
      <c r="A363" s="107"/>
    </row>
    <row r="364">
      <c r="A364" s="107"/>
    </row>
    <row r="365">
      <c r="A365" s="107"/>
    </row>
    <row r="366">
      <c r="A366" s="107"/>
    </row>
    <row r="367">
      <c r="A367" s="107"/>
    </row>
    <row r="368">
      <c r="A368" s="107"/>
    </row>
    <row r="369">
      <c r="A369" s="107"/>
    </row>
    <row r="370">
      <c r="A370" s="107"/>
    </row>
    <row r="371">
      <c r="A371" s="107"/>
    </row>
    <row r="372">
      <c r="A372" s="107"/>
    </row>
    <row r="373">
      <c r="A373" s="107"/>
    </row>
    <row r="374">
      <c r="A374" s="107"/>
    </row>
    <row r="375">
      <c r="A375" s="107"/>
    </row>
    <row r="376">
      <c r="A376" s="107"/>
    </row>
    <row r="377">
      <c r="A377" s="107"/>
    </row>
    <row r="378">
      <c r="A378" s="107"/>
    </row>
    <row r="379">
      <c r="A379" s="107"/>
    </row>
    <row r="380">
      <c r="A380" s="107"/>
    </row>
    <row r="381">
      <c r="A381" s="107"/>
    </row>
    <row r="382">
      <c r="A382" s="107"/>
    </row>
    <row r="383">
      <c r="A383" s="107"/>
    </row>
    <row r="384">
      <c r="A384" s="107"/>
    </row>
    <row r="385">
      <c r="A385" s="107"/>
    </row>
    <row r="386">
      <c r="A386" s="107"/>
    </row>
    <row r="387">
      <c r="A387" s="107"/>
    </row>
    <row r="388">
      <c r="A388" s="107"/>
    </row>
    <row r="389">
      <c r="A389" s="107"/>
    </row>
    <row r="390">
      <c r="A390" s="107"/>
    </row>
    <row r="391">
      <c r="A391" s="107"/>
    </row>
    <row r="392">
      <c r="A392" s="107"/>
    </row>
    <row r="393">
      <c r="A393" s="107"/>
    </row>
    <row r="394">
      <c r="A394" s="107"/>
    </row>
    <row r="395">
      <c r="A395" s="107"/>
    </row>
    <row r="396">
      <c r="A396" s="107"/>
    </row>
    <row r="397">
      <c r="A397" s="107"/>
    </row>
    <row r="398">
      <c r="A398" s="107"/>
    </row>
    <row r="399">
      <c r="A399" s="107"/>
    </row>
    <row r="400">
      <c r="A400" s="107"/>
    </row>
    <row r="401">
      <c r="A401" s="107"/>
    </row>
    <row r="402">
      <c r="A402" s="107"/>
    </row>
    <row r="403">
      <c r="A403" s="107"/>
    </row>
    <row r="404">
      <c r="A404" s="107"/>
    </row>
    <row r="405">
      <c r="A405" s="107"/>
    </row>
    <row r="406">
      <c r="A406" s="107"/>
    </row>
    <row r="407">
      <c r="A407" s="107"/>
    </row>
    <row r="408">
      <c r="A408" s="107"/>
    </row>
    <row r="409">
      <c r="A409" s="107"/>
    </row>
    <row r="410">
      <c r="A410" s="107"/>
    </row>
    <row r="411">
      <c r="A411" s="107"/>
    </row>
    <row r="412">
      <c r="A412" s="107"/>
    </row>
    <row r="413">
      <c r="A413" s="107"/>
    </row>
    <row r="414">
      <c r="A414" s="107"/>
    </row>
    <row r="415">
      <c r="A415" s="107"/>
    </row>
    <row r="416">
      <c r="A416" s="107"/>
    </row>
    <row r="417">
      <c r="A417" s="107"/>
    </row>
    <row r="418">
      <c r="A418" s="107"/>
    </row>
    <row r="419">
      <c r="A419" s="107"/>
    </row>
    <row r="420">
      <c r="A420" s="107"/>
    </row>
    <row r="421">
      <c r="A421" s="107"/>
    </row>
    <row r="422">
      <c r="A422" s="107"/>
    </row>
    <row r="423">
      <c r="A423" s="107"/>
    </row>
    <row r="424">
      <c r="A424" s="107"/>
    </row>
    <row r="425">
      <c r="A425" s="107"/>
    </row>
    <row r="426">
      <c r="A426" s="107"/>
    </row>
    <row r="427">
      <c r="A427" s="107"/>
    </row>
    <row r="428">
      <c r="A428" s="107"/>
    </row>
    <row r="429">
      <c r="A429" s="107"/>
    </row>
    <row r="430">
      <c r="A430" s="107"/>
    </row>
    <row r="431">
      <c r="A431" s="107"/>
    </row>
    <row r="432">
      <c r="A432" s="107"/>
    </row>
    <row r="433">
      <c r="A433" s="107"/>
    </row>
    <row r="434">
      <c r="A434" s="107"/>
    </row>
    <row r="435">
      <c r="A435" s="107"/>
    </row>
    <row r="436">
      <c r="A436" s="107"/>
    </row>
    <row r="437">
      <c r="A437" s="107"/>
    </row>
    <row r="438">
      <c r="A438" s="107"/>
    </row>
    <row r="439">
      <c r="A439" s="107"/>
    </row>
    <row r="440">
      <c r="A440" s="107"/>
    </row>
    <row r="441">
      <c r="A441" s="107"/>
    </row>
    <row r="442">
      <c r="A442" s="107"/>
    </row>
    <row r="443">
      <c r="A443" s="107"/>
    </row>
    <row r="444">
      <c r="A444" s="107"/>
    </row>
    <row r="445">
      <c r="A445" s="107"/>
    </row>
    <row r="446">
      <c r="A446" s="107"/>
    </row>
    <row r="447">
      <c r="A447" s="107"/>
    </row>
    <row r="448">
      <c r="A448" s="107"/>
    </row>
    <row r="449">
      <c r="A449" s="107"/>
    </row>
    <row r="450">
      <c r="A450" s="107"/>
    </row>
    <row r="451">
      <c r="A451" s="107"/>
    </row>
    <row r="452">
      <c r="A452" s="107"/>
    </row>
    <row r="453">
      <c r="A453" s="107"/>
    </row>
    <row r="454">
      <c r="A454" s="107"/>
    </row>
    <row r="455">
      <c r="A455" s="107"/>
    </row>
    <row r="456">
      <c r="A456" s="107"/>
    </row>
    <row r="457">
      <c r="A457" s="107"/>
    </row>
    <row r="458">
      <c r="A458" s="107"/>
    </row>
    <row r="459">
      <c r="A459" s="107"/>
    </row>
    <row r="460">
      <c r="A460" s="107"/>
    </row>
    <row r="461">
      <c r="A461" s="107"/>
    </row>
    <row r="462">
      <c r="A462" s="107"/>
    </row>
    <row r="463">
      <c r="A463" s="107"/>
    </row>
    <row r="464">
      <c r="A464" s="107"/>
    </row>
    <row r="465">
      <c r="A465" s="107"/>
    </row>
    <row r="466">
      <c r="A466" s="107"/>
    </row>
    <row r="467">
      <c r="A467" s="107"/>
    </row>
    <row r="468">
      <c r="A468" s="107"/>
    </row>
    <row r="469">
      <c r="A469" s="107"/>
    </row>
    <row r="470">
      <c r="A470" s="107"/>
    </row>
    <row r="471">
      <c r="A471" s="107"/>
    </row>
    <row r="472">
      <c r="A472" s="107"/>
    </row>
    <row r="473">
      <c r="A473" s="107"/>
    </row>
    <row r="474">
      <c r="A474" s="107"/>
    </row>
    <row r="475">
      <c r="A475" s="107"/>
    </row>
    <row r="476">
      <c r="A476" s="107"/>
    </row>
    <row r="477">
      <c r="A477" s="107"/>
    </row>
    <row r="478">
      <c r="A478" s="107"/>
    </row>
    <row r="479">
      <c r="A479" s="107"/>
    </row>
    <row r="480">
      <c r="A480" s="107"/>
    </row>
    <row r="481">
      <c r="A481" s="107"/>
    </row>
    <row r="482">
      <c r="A482" s="107"/>
    </row>
    <row r="483">
      <c r="A483" s="107"/>
    </row>
    <row r="484">
      <c r="A484" s="107"/>
    </row>
    <row r="485">
      <c r="A485" s="107"/>
    </row>
    <row r="486">
      <c r="A486" s="107"/>
    </row>
    <row r="487">
      <c r="A487" s="107"/>
    </row>
    <row r="488">
      <c r="A488" s="107"/>
    </row>
    <row r="489">
      <c r="A489" s="107"/>
    </row>
    <row r="490">
      <c r="A490" s="107"/>
    </row>
    <row r="491">
      <c r="A491" s="107"/>
    </row>
    <row r="492">
      <c r="A492" s="107"/>
    </row>
    <row r="493">
      <c r="A493" s="107"/>
    </row>
    <row r="494">
      <c r="A494" s="107"/>
    </row>
    <row r="495">
      <c r="A495" s="107"/>
    </row>
    <row r="496">
      <c r="A496" s="107"/>
    </row>
    <row r="497">
      <c r="A497" s="107"/>
    </row>
    <row r="498">
      <c r="A498" s="107"/>
    </row>
    <row r="499">
      <c r="A499" s="107"/>
    </row>
    <row r="500">
      <c r="A500" s="107"/>
    </row>
    <row r="501">
      <c r="A501" s="107"/>
    </row>
    <row r="502">
      <c r="A502" s="107"/>
    </row>
    <row r="503">
      <c r="A503" s="107"/>
    </row>
    <row r="504">
      <c r="A504" s="107"/>
    </row>
    <row r="505">
      <c r="A505" s="107"/>
    </row>
    <row r="506">
      <c r="A506" s="107"/>
    </row>
    <row r="507">
      <c r="A507" s="107"/>
    </row>
    <row r="508">
      <c r="A508" s="107"/>
    </row>
    <row r="509">
      <c r="A509" s="107"/>
    </row>
    <row r="510">
      <c r="A510" s="107"/>
    </row>
    <row r="511">
      <c r="A511" s="107"/>
    </row>
    <row r="512">
      <c r="A512" s="107"/>
    </row>
    <row r="513">
      <c r="A513" s="107"/>
    </row>
    <row r="514">
      <c r="A514" s="107"/>
    </row>
    <row r="515">
      <c r="A515" s="107"/>
    </row>
    <row r="516">
      <c r="A516" s="107"/>
    </row>
    <row r="517">
      <c r="A517" s="107"/>
    </row>
    <row r="518">
      <c r="A518" s="107"/>
    </row>
    <row r="519">
      <c r="A519" s="107"/>
    </row>
    <row r="520">
      <c r="A520" s="107"/>
    </row>
    <row r="521">
      <c r="A521" s="107"/>
    </row>
    <row r="522">
      <c r="A522" s="107"/>
    </row>
    <row r="523">
      <c r="A523" s="107"/>
    </row>
    <row r="524">
      <c r="A524" s="107"/>
    </row>
    <row r="525">
      <c r="A525" s="107"/>
    </row>
    <row r="526">
      <c r="A526" s="107"/>
    </row>
    <row r="527">
      <c r="A527" s="107"/>
    </row>
    <row r="528">
      <c r="A528" s="107"/>
    </row>
    <row r="529">
      <c r="A529" s="107"/>
    </row>
    <row r="530">
      <c r="A530" s="107"/>
    </row>
    <row r="531">
      <c r="A531" s="107"/>
    </row>
    <row r="532">
      <c r="A532" s="107"/>
    </row>
    <row r="533">
      <c r="A533" s="107"/>
    </row>
    <row r="534">
      <c r="A534" s="107"/>
    </row>
    <row r="535">
      <c r="A535" s="107"/>
    </row>
    <row r="536">
      <c r="A536" s="107"/>
    </row>
    <row r="537">
      <c r="A537" s="107"/>
    </row>
    <row r="538">
      <c r="A538" s="107"/>
    </row>
    <row r="539">
      <c r="A539" s="107"/>
    </row>
    <row r="540">
      <c r="A540" s="107"/>
    </row>
    <row r="541">
      <c r="A541" s="107"/>
    </row>
    <row r="542">
      <c r="A542" s="107"/>
    </row>
    <row r="543">
      <c r="A543" s="107"/>
    </row>
    <row r="544">
      <c r="A544" s="107"/>
    </row>
    <row r="545">
      <c r="A545" s="107"/>
    </row>
    <row r="546">
      <c r="A546" s="107"/>
    </row>
    <row r="547">
      <c r="A547" s="107"/>
    </row>
    <row r="548">
      <c r="A548" s="107"/>
    </row>
    <row r="549">
      <c r="A549" s="107"/>
    </row>
    <row r="550">
      <c r="A550" s="107"/>
    </row>
    <row r="551">
      <c r="A551" s="107"/>
    </row>
    <row r="552">
      <c r="A552" s="107"/>
    </row>
    <row r="553">
      <c r="A553" s="107"/>
    </row>
    <row r="554">
      <c r="A554" s="107"/>
    </row>
    <row r="555">
      <c r="A555" s="107"/>
    </row>
    <row r="556">
      <c r="A556" s="107"/>
    </row>
    <row r="557">
      <c r="A557" s="107"/>
    </row>
    <row r="558">
      <c r="A558" s="107"/>
    </row>
    <row r="559">
      <c r="A559" s="107"/>
    </row>
    <row r="560">
      <c r="A560" s="107"/>
    </row>
    <row r="561">
      <c r="A561" s="107"/>
    </row>
    <row r="562">
      <c r="A562" s="107"/>
    </row>
    <row r="563">
      <c r="A563" s="107"/>
    </row>
    <row r="564">
      <c r="A564" s="107"/>
    </row>
    <row r="565">
      <c r="A565" s="107"/>
    </row>
    <row r="566">
      <c r="A566" s="107"/>
    </row>
    <row r="567">
      <c r="A567" s="107"/>
    </row>
    <row r="568">
      <c r="A568" s="107"/>
    </row>
    <row r="569">
      <c r="A569" s="107"/>
    </row>
    <row r="570">
      <c r="A570" s="107"/>
    </row>
    <row r="571">
      <c r="A571" s="107"/>
    </row>
    <row r="572">
      <c r="A572" s="107"/>
    </row>
    <row r="573">
      <c r="A573" s="107"/>
    </row>
    <row r="574">
      <c r="A574" s="107"/>
    </row>
    <row r="575">
      <c r="A575" s="107"/>
    </row>
    <row r="576">
      <c r="A576" s="107"/>
    </row>
    <row r="577">
      <c r="A577" s="107"/>
    </row>
    <row r="578">
      <c r="A578" s="107"/>
    </row>
    <row r="579">
      <c r="A579" s="107"/>
    </row>
    <row r="580">
      <c r="A580" s="107"/>
    </row>
    <row r="581">
      <c r="A581" s="107"/>
    </row>
    <row r="582">
      <c r="A582" s="107"/>
    </row>
    <row r="583">
      <c r="A583" s="107"/>
    </row>
    <row r="584">
      <c r="A584" s="107"/>
    </row>
    <row r="585">
      <c r="A585" s="107"/>
    </row>
    <row r="586">
      <c r="A586" s="107"/>
    </row>
    <row r="587">
      <c r="A587" s="107"/>
    </row>
    <row r="588">
      <c r="A588" s="107"/>
    </row>
    <row r="589">
      <c r="A589" s="107"/>
    </row>
    <row r="590">
      <c r="A590" s="107"/>
    </row>
    <row r="591">
      <c r="A591" s="107"/>
    </row>
    <row r="592">
      <c r="A592" s="107"/>
    </row>
    <row r="593">
      <c r="A593" s="107"/>
    </row>
    <row r="594">
      <c r="A594" s="107"/>
    </row>
    <row r="595">
      <c r="A595" s="107"/>
    </row>
    <row r="596">
      <c r="A596" s="107"/>
    </row>
    <row r="597">
      <c r="A597" s="107"/>
    </row>
    <row r="598">
      <c r="A598" s="107"/>
    </row>
    <row r="599">
      <c r="A599" s="107"/>
    </row>
    <row r="600">
      <c r="A600" s="107"/>
    </row>
    <row r="601">
      <c r="A601" s="107"/>
    </row>
    <row r="602">
      <c r="A602" s="107"/>
    </row>
    <row r="603">
      <c r="A603" s="107"/>
    </row>
    <row r="604">
      <c r="A604" s="107"/>
    </row>
    <row r="605">
      <c r="A605" s="107"/>
    </row>
    <row r="606">
      <c r="A606" s="107"/>
    </row>
    <row r="607">
      <c r="A607" s="107"/>
    </row>
    <row r="608">
      <c r="A608" s="107"/>
    </row>
    <row r="609">
      <c r="A609" s="107"/>
    </row>
    <row r="610">
      <c r="A610" s="107"/>
    </row>
    <row r="611">
      <c r="A611" s="107"/>
    </row>
    <row r="612">
      <c r="A612" s="107"/>
    </row>
    <row r="613">
      <c r="A613" s="107"/>
    </row>
    <row r="614">
      <c r="A614" s="107"/>
    </row>
    <row r="615">
      <c r="A615" s="107"/>
    </row>
    <row r="616">
      <c r="A616" s="107"/>
    </row>
    <row r="617">
      <c r="A617" s="107"/>
    </row>
    <row r="618">
      <c r="A618" s="107"/>
    </row>
    <row r="619">
      <c r="A619" s="107"/>
    </row>
    <row r="620">
      <c r="A620" s="107"/>
    </row>
    <row r="621">
      <c r="A621" s="107"/>
    </row>
    <row r="622">
      <c r="A622" s="107"/>
    </row>
    <row r="623">
      <c r="A623" s="107"/>
    </row>
    <row r="624">
      <c r="A624" s="107"/>
    </row>
    <row r="625">
      <c r="A625" s="107"/>
    </row>
    <row r="626">
      <c r="A626" s="107"/>
    </row>
    <row r="627">
      <c r="A627" s="107"/>
    </row>
    <row r="628">
      <c r="A628" s="107"/>
    </row>
    <row r="629">
      <c r="A629" s="107"/>
    </row>
    <row r="630">
      <c r="A630" s="107"/>
    </row>
    <row r="631">
      <c r="A631" s="107"/>
    </row>
    <row r="632">
      <c r="A632" s="107"/>
    </row>
    <row r="633">
      <c r="A633" s="107"/>
    </row>
    <row r="634">
      <c r="A634" s="107"/>
    </row>
    <row r="635">
      <c r="A635" s="107"/>
    </row>
    <row r="636">
      <c r="A636" s="107"/>
    </row>
    <row r="637">
      <c r="A637" s="107"/>
    </row>
    <row r="638">
      <c r="A638" s="107"/>
    </row>
    <row r="639">
      <c r="A639" s="107"/>
    </row>
    <row r="640">
      <c r="A640" s="107"/>
    </row>
    <row r="641">
      <c r="A641" s="107"/>
    </row>
    <row r="642">
      <c r="A642" s="107"/>
    </row>
    <row r="643">
      <c r="A643" s="107"/>
    </row>
    <row r="644">
      <c r="A644" s="107"/>
    </row>
    <row r="645">
      <c r="A645" s="107"/>
    </row>
    <row r="646">
      <c r="A646" s="107"/>
    </row>
    <row r="647">
      <c r="A647" s="107"/>
    </row>
    <row r="648">
      <c r="A648" s="107"/>
    </row>
    <row r="649">
      <c r="A649" s="107"/>
    </row>
    <row r="650">
      <c r="A650" s="107"/>
    </row>
    <row r="651">
      <c r="A651" s="107"/>
    </row>
    <row r="652">
      <c r="A652" s="107"/>
    </row>
    <row r="653">
      <c r="A653" s="107"/>
    </row>
    <row r="654">
      <c r="A654" s="107"/>
    </row>
    <row r="655">
      <c r="A655" s="107"/>
    </row>
    <row r="656">
      <c r="A656" s="107"/>
    </row>
    <row r="657">
      <c r="A657" s="107"/>
    </row>
    <row r="658">
      <c r="A658" s="107"/>
    </row>
    <row r="659">
      <c r="A659" s="107"/>
    </row>
    <row r="660">
      <c r="A660" s="107"/>
    </row>
    <row r="661">
      <c r="A661" s="107"/>
    </row>
    <row r="662">
      <c r="A662" s="107"/>
    </row>
    <row r="663">
      <c r="A663" s="107"/>
    </row>
    <row r="664">
      <c r="A664" s="107"/>
    </row>
    <row r="665">
      <c r="A665" s="107"/>
    </row>
    <row r="666">
      <c r="A666" s="107"/>
    </row>
    <row r="667">
      <c r="A667" s="107"/>
    </row>
    <row r="668">
      <c r="A668" s="107"/>
    </row>
    <row r="669">
      <c r="A669" s="107"/>
    </row>
    <row r="670">
      <c r="A670" s="107"/>
    </row>
    <row r="671">
      <c r="A671" s="107"/>
    </row>
    <row r="672">
      <c r="A672" s="107"/>
    </row>
    <row r="673">
      <c r="A673" s="107"/>
    </row>
    <row r="674">
      <c r="A674" s="107"/>
    </row>
    <row r="675">
      <c r="A675" s="107"/>
    </row>
    <row r="676">
      <c r="A676" s="107"/>
    </row>
    <row r="677">
      <c r="A677" s="107"/>
    </row>
    <row r="678">
      <c r="A678" s="107"/>
    </row>
    <row r="679">
      <c r="A679" s="107"/>
    </row>
    <row r="680">
      <c r="A680" s="107"/>
    </row>
    <row r="681">
      <c r="A681" s="107"/>
    </row>
    <row r="682">
      <c r="A682" s="107"/>
    </row>
    <row r="683">
      <c r="A683" s="107"/>
    </row>
    <row r="684">
      <c r="A684" s="107"/>
    </row>
    <row r="685">
      <c r="A685" s="107"/>
    </row>
    <row r="686">
      <c r="A686" s="107"/>
    </row>
    <row r="687">
      <c r="A687" s="107"/>
    </row>
    <row r="688">
      <c r="A688" s="107"/>
    </row>
    <row r="689">
      <c r="A689" s="107"/>
    </row>
    <row r="690">
      <c r="A690" s="107"/>
    </row>
    <row r="691">
      <c r="A691" s="107"/>
    </row>
    <row r="692">
      <c r="A692" s="107"/>
    </row>
    <row r="693">
      <c r="A693" s="107"/>
    </row>
    <row r="694">
      <c r="A694" s="107"/>
    </row>
    <row r="695">
      <c r="A695" s="107"/>
    </row>
    <row r="696">
      <c r="A696" s="107"/>
    </row>
    <row r="697">
      <c r="A697" s="107"/>
    </row>
    <row r="698">
      <c r="A698" s="107"/>
    </row>
    <row r="699">
      <c r="A699" s="107"/>
    </row>
    <row r="700">
      <c r="A700" s="107"/>
    </row>
    <row r="701">
      <c r="A701" s="107"/>
    </row>
    <row r="702">
      <c r="A702" s="107"/>
    </row>
    <row r="703">
      <c r="A703" s="107"/>
    </row>
    <row r="704">
      <c r="A704" s="107"/>
    </row>
    <row r="705">
      <c r="A705" s="107"/>
    </row>
    <row r="706">
      <c r="A706" s="107"/>
    </row>
    <row r="707">
      <c r="A707" s="107"/>
    </row>
    <row r="708">
      <c r="A708" s="107"/>
    </row>
    <row r="709">
      <c r="A709" s="107"/>
    </row>
    <row r="710">
      <c r="A710" s="107"/>
    </row>
    <row r="711">
      <c r="A711" s="107"/>
    </row>
    <row r="712">
      <c r="A712" s="107"/>
    </row>
    <row r="713">
      <c r="A713" s="107"/>
    </row>
    <row r="714">
      <c r="A714" s="107"/>
    </row>
    <row r="715">
      <c r="A715" s="107"/>
    </row>
    <row r="716">
      <c r="A716" s="107"/>
    </row>
    <row r="717">
      <c r="A717" s="107"/>
    </row>
    <row r="718">
      <c r="A718" s="107"/>
    </row>
    <row r="719">
      <c r="A719" s="107"/>
    </row>
    <row r="720">
      <c r="A720" s="107"/>
    </row>
    <row r="721">
      <c r="A721" s="107"/>
    </row>
    <row r="722">
      <c r="A722" s="107"/>
    </row>
    <row r="723">
      <c r="A723" s="107"/>
    </row>
    <row r="724">
      <c r="A724" s="107"/>
    </row>
    <row r="725">
      <c r="A725" s="107"/>
    </row>
    <row r="726">
      <c r="A726" s="107"/>
    </row>
    <row r="727">
      <c r="A727" s="107"/>
    </row>
    <row r="728">
      <c r="A728" s="107"/>
    </row>
    <row r="729">
      <c r="A729" s="107"/>
    </row>
    <row r="730">
      <c r="A730" s="107"/>
    </row>
    <row r="731">
      <c r="A731" s="107"/>
    </row>
    <row r="732">
      <c r="A732" s="107"/>
    </row>
    <row r="733">
      <c r="A733" s="107"/>
    </row>
    <row r="734">
      <c r="A734" s="107"/>
    </row>
    <row r="735">
      <c r="A735" s="107"/>
    </row>
    <row r="736">
      <c r="A736" s="107"/>
    </row>
    <row r="737">
      <c r="A737" s="107"/>
    </row>
    <row r="738">
      <c r="A738" s="107"/>
    </row>
    <row r="739">
      <c r="A739" s="107"/>
    </row>
    <row r="740">
      <c r="A740" s="107"/>
    </row>
    <row r="741">
      <c r="A741" s="107"/>
    </row>
    <row r="742">
      <c r="A742" s="107"/>
    </row>
    <row r="743">
      <c r="A743" s="107"/>
    </row>
    <row r="744">
      <c r="A744" s="107"/>
    </row>
    <row r="745">
      <c r="A745" s="107"/>
    </row>
    <row r="746">
      <c r="A746" s="107"/>
    </row>
    <row r="747">
      <c r="A747" s="107"/>
    </row>
    <row r="748">
      <c r="A748" s="107"/>
    </row>
    <row r="749">
      <c r="A749" s="107"/>
    </row>
    <row r="750">
      <c r="A750" s="107"/>
    </row>
    <row r="751">
      <c r="A751" s="107"/>
    </row>
    <row r="752">
      <c r="A752" s="107"/>
    </row>
    <row r="753">
      <c r="A753" s="107"/>
    </row>
    <row r="754">
      <c r="A754" s="107"/>
    </row>
    <row r="755">
      <c r="A755" s="107"/>
    </row>
    <row r="756">
      <c r="A756" s="107"/>
    </row>
    <row r="757">
      <c r="A757" s="107"/>
    </row>
    <row r="758">
      <c r="A758" s="107"/>
    </row>
    <row r="759">
      <c r="A759" s="107"/>
    </row>
    <row r="760">
      <c r="A760" s="107"/>
    </row>
    <row r="761">
      <c r="A761" s="107"/>
    </row>
    <row r="762">
      <c r="A762" s="107"/>
    </row>
    <row r="763">
      <c r="A763" s="107"/>
    </row>
    <row r="764">
      <c r="A764" s="107"/>
    </row>
    <row r="765">
      <c r="A765" s="107"/>
    </row>
    <row r="766">
      <c r="A766" s="107"/>
    </row>
    <row r="767">
      <c r="A767" s="107"/>
    </row>
    <row r="768">
      <c r="A768" s="107"/>
    </row>
    <row r="769">
      <c r="A769" s="107"/>
    </row>
    <row r="770">
      <c r="A770" s="107"/>
    </row>
    <row r="771">
      <c r="A771" s="107"/>
    </row>
    <row r="772">
      <c r="A772" s="107"/>
    </row>
    <row r="773">
      <c r="A773" s="107"/>
    </row>
    <row r="774">
      <c r="A774" s="107"/>
    </row>
    <row r="775">
      <c r="A775" s="107"/>
    </row>
    <row r="776">
      <c r="A776" s="107"/>
    </row>
    <row r="777">
      <c r="A777" s="107"/>
    </row>
    <row r="778">
      <c r="A778" s="107"/>
    </row>
    <row r="779">
      <c r="A779" s="107"/>
    </row>
    <row r="780">
      <c r="A780" s="107"/>
    </row>
    <row r="781">
      <c r="A781" s="107"/>
    </row>
    <row r="782">
      <c r="A782" s="107"/>
    </row>
    <row r="783">
      <c r="A783" s="107"/>
    </row>
    <row r="784">
      <c r="A784" s="107"/>
    </row>
    <row r="785">
      <c r="A785" s="107"/>
    </row>
    <row r="786">
      <c r="A786" s="107"/>
    </row>
    <row r="787">
      <c r="A787" s="107"/>
    </row>
    <row r="788">
      <c r="A788" s="107"/>
    </row>
    <row r="789">
      <c r="A789" s="107"/>
    </row>
    <row r="790">
      <c r="A790" s="107"/>
    </row>
    <row r="791">
      <c r="A791" s="107"/>
    </row>
    <row r="792">
      <c r="A792" s="107"/>
    </row>
    <row r="793">
      <c r="A793" s="107"/>
    </row>
    <row r="794">
      <c r="A794" s="107"/>
    </row>
    <row r="795">
      <c r="A795" s="107"/>
    </row>
    <row r="796">
      <c r="A796" s="107"/>
    </row>
    <row r="797">
      <c r="A797" s="107"/>
    </row>
    <row r="798">
      <c r="A798" s="107"/>
    </row>
    <row r="799">
      <c r="A799" s="107"/>
    </row>
    <row r="800">
      <c r="A800" s="107"/>
    </row>
    <row r="801">
      <c r="A801" s="107"/>
    </row>
    <row r="802">
      <c r="A802" s="107"/>
    </row>
    <row r="803">
      <c r="A803" s="107"/>
    </row>
    <row r="804">
      <c r="A804" s="107"/>
    </row>
    <row r="805">
      <c r="A805" s="107"/>
    </row>
    <row r="806">
      <c r="A806" s="107"/>
    </row>
    <row r="807">
      <c r="A807" s="107"/>
    </row>
    <row r="808">
      <c r="A808" s="107"/>
    </row>
    <row r="809">
      <c r="A809" s="107"/>
    </row>
    <row r="810">
      <c r="A810" s="107"/>
    </row>
    <row r="811">
      <c r="A811" s="107"/>
    </row>
    <row r="812">
      <c r="A812" s="107"/>
    </row>
    <row r="813">
      <c r="A813" s="107"/>
    </row>
    <row r="814">
      <c r="A814" s="107"/>
    </row>
    <row r="815">
      <c r="A815" s="107"/>
    </row>
    <row r="816">
      <c r="A816" s="107"/>
    </row>
    <row r="817">
      <c r="A817" s="107"/>
    </row>
    <row r="818">
      <c r="A818" s="107"/>
    </row>
    <row r="819">
      <c r="A819" s="107"/>
    </row>
    <row r="820">
      <c r="A820" s="107"/>
    </row>
    <row r="821">
      <c r="A821" s="107"/>
    </row>
    <row r="822">
      <c r="A822" s="107"/>
    </row>
    <row r="823">
      <c r="A823" s="107"/>
    </row>
    <row r="824">
      <c r="A824" s="107"/>
    </row>
    <row r="825">
      <c r="A825" s="107"/>
    </row>
    <row r="826">
      <c r="A826" s="107"/>
    </row>
    <row r="827">
      <c r="A827" s="107"/>
    </row>
    <row r="828">
      <c r="A828" s="107"/>
    </row>
    <row r="829">
      <c r="A829" s="107"/>
    </row>
    <row r="830">
      <c r="A830" s="107"/>
    </row>
    <row r="831">
      <c r="A831" s="107"/>
    </row>
    <row r="832">
      <c r="A832" s="107"/>
    </row>
    <row r="833">
      <c r="A833" s="107"/>
    </row>
    <row r="834">
      <c r="A834" s="107"/>
    </row>
    <row r="835">
      <c r="A835" s="107"/>
    </row>
    <row r="836">
      <c r="A836" s="107"/>
    </row>
    <row r="837">
      <c r="A837" s="107"/>
    </row>
    <row r="838">
      <c r="A838" s="107"/>
    </row>
    <row r="839">
      <c r="A839" s="107"/>
    </row>
    <row r="840">
      <c r="A840" s="107"/>
    </row>
    <row r="841">
      <c r="A841" s="107"/>
    </row>
    <row r="842">
      <c r="A842" s="107"/>
    </row>
    <row r="843">
      <c r="A843" s="107"/>
    </row>
    <row r="844">
      <c r="A844" s="107"/>
    </row>
    <row r="845">
      <c r="A845" s="107"/>
    </row>
    <row r="846">
      <c r="A846" s="107"/>
    </row>
    <row r="847">
      <c r="A847" s="107"/>
    </row>
    <row r="848">
      <c r="A848" s="107"/>
    </row>
    <row r="849">
      <c r="A849" s="107"/>
    </row>
    <row r="850">
      <c r="A850" s="107"/>
    </row>
    <row r="851">
      <c r="A851" s="107"/>
    </row>
    <row r="852">
      <c r="A852" s="107"/>
    </row>
    <row r="853">
      <c r="A853" s="107"/>
    </row>
    <row r="854">
      <c r="A854" s="107"/>
    </row>
    <row r="855">
      <c r="A855" s="107"/>
    </row>
    <row r="856">
      <c r="A856" s="107"/>
    </row>
    <row r="857">
      <c r="A857" s="107"/>
    </row>
    <row r="858">
      <c r="A858" s="107"/>
    </row>
    <row r="859">
      <c r="A859" s="107"/>
    </row>
    <row r="860">
      <c r="A860" s="107"/>
    </row>
    <row r="861">
      <c r="A861" s="107"/>
    </row>
    <row r="862">
      <c r="A862" s="107"/>
    </row>
    <row r="863">
      <c r="A863" s="107"/>
    </row>
    <row r="864">
      <c r="A864" s="107"/>
    </row>
    <row r="865">
      <c r="A865" s="107"/>
    </row>
    <row r="866">
      <c r="A866" s="107"/>
    </row>
    <row r="867">
      <c r="A867" s="107"/>
    </row>
    <row r="868">
      <c r="A868" s="107"/>
    </row>
    <row r="869">
      <c r="A869" s="107"/>
    </row>
    <row r="870">
      <c r="A870" s="107"/>
    </row>
    <row r="871">
      <c r="A871" s="107"/>
    </row>
    <row r="872">
      <c r="A872" s="107"/>
    </row>
    <row r="873">
      <c r="A873" s="107"/>
    </row>
    <row r="874">
      <c r="A874" s="107"/>
    </row>
    <row r="875">
      <c r="A875" s="107"/>
    </row>
    <row r="876">
      <c r="A876" s="107"/>
    </row>
    <row r="877">
      <c r="A877" s="107"/>
    </row>
    <row r="878">
      <c r="A878" s="107"/>
    </row>
    <row r="879">
      <c r="A879" s="107"/>
    </row>
    <row r="880">
      <c r="A880" s="107"/>
    </row>
    <row r="881">
      <c r="A881" s="107"/>
    </row>
    <row r="882">
      <c r="A882" s="107"/>
    </row>
    <row r="883">
      <c r="A883" s="107"/>
    </row>
    <row r="884">
      <c r="A884" s="107"/>
    </row>
    <row r="885">
      <c r="A885" s="107"/>
    </row>
    <row r="886">
      <c r="A886" s="107"/>
    </row>
    <row r="887">
      <c r="A887" s="107"/>
    </row>
    <row r="888">
      <c r="A888" s="107"/>
    </row>
    <row r="889">
      <c r="A889" s="107"/>
    </row>
    <row r="890">
      <c r="A890" s="107"/>
    </row>
    <row r="891">
      <c r="A891" s="107"/>
    </row>
    <row r="892">
      <c r="A892" s="107"/>
    </row>
    <row r="893">
      <c r="A893" s="107"/>
    </row>
    <row r="894">
      <c r="A894" s="107"/>
    </row>
    <row r="895">
      <c r="A895" s="107"/>
    </row>
    <row r="896">
      <c r="A896" s="107"/>
    </row>
    <row r="897">
      <c r="A897" s="107"/>
    </row>
    <row r="898">
      <c r="A898" s="107"/>
    </row>
    <row r="899">
      <c r="A899" s="107"/>
    </row>
    <row r="900">
      <c r="A900" s="107"/>
    </row>
    <row r="901">
      <c r="A901" s="107"/>
    </row>
    <row r="902">
      <c r="A902" s="107"/>
    </row>
    <row r="903">
      <c r="A903" s="107"/>
    </row>
    <row r="904">
      <c r="A904" s="107"/>
    </row>
    <row r="905">
      <c r="A905" s="107"/>
    </row>
    <row r="906">
      <c r="A906" s="107"/>
    </row>
    <row r="907">
      <c r="A907" s="107"/>
    </row>
    <row r="908">
      <c r="A908" s="107"/>
    </row>
    <row r="909">
      <c r="A909" s="107"/>
    </row>
    <row r="910">
      <c r="A910" s="107"/>
    </row>
    <row r="911">
      <c r="A911" s="107"/>
    </row>
    <row r="912">
      <c r="A912" s="107"/>
    </row>
    <row r="913">
      <c r="A913" s="107"/>
    </row>
    <row r="914">
      <c r="A914" s="107"/>
    </row>
    <row r="915">
      <c r="A915" s="107"/>
    </row>
    <row r="916">
      <c r="A916" s="107"/>
    </row>
    <row r="917">
      <c r="A917" s="107"/>
    </row>
    <row r="918">
      <c r="A918" s="107"/>
    </row>
    <row r="919">
      <c r="A919" s="107"/>
    </row>
    <row r="920">
      <c r="A920" s="107"/>
    </row>
    <row r="921">
      <c r="A921" s="107"/>
    </row>
    <row r="922">
      <c r="A922" s="107"/>
    </row>
    <row r="923">
      <c r="A923" s="107"/>
    </row>
    <row r="924">
      <c r="A924" s="107"/>
    </row>
    <row r="925">
      <c r="A925" s="107"/>
    </row>
    <row r="926">
      <c r="A926" s="107"/>
    </row>
    <row r="927">
      <c r="A927" s="107"/>
    </row>
    <row r="928">
      <c r="A928" s="107"/>
    </row>
    <row r="929">
      <c r="A929" s="107"/>
    </row>
    <row r="930">
      <c r="A930" s="107"/>
    </row>
    <row r="931">
      <c r="A931" s="107"/>
    </row>
    <row r="932">
      <c r="A932" s="107"/>
    </row>
    <row r="933">
      <c r="A933" s="107"/>
    </row>
    <row r="934">
      <c r="A934" s="107"/>
    </row>
    <row r="935">
      <c r="A935" s="107"/>
    </row>
    <row r="936">
      <c r="A936" s="107"/>
    </row>
    <row r="937">
      <c r="A937" s="107"/>
    </row>
    <row r="938">
      <c r="A938" s="107"/>
    </row>
    <row r="939">
      <c r="A939" s="107"/>
    </row>
    <row r="940">
      <c r="A940" s="107"/>
    </row>
    <row r="941">
      <c r="A941" s="107"/>
    </row>
    <row r="942">
      <c r="A942" s="107"/>
    </row>
    <row r="943">
      <c r="A943" s="107"/>
    </row>
    <row r="944">
      <c r="A944" s="107"/>
    </row>
    <row r="945">
      <c r="A945" s="107"/>
    </row>
    <row r="946">
      <c r="A946" s="107"/>
    </row>
    <row r="947">
      <c r="A947" s="107"/>
    </row>
    <row r="948">
      <c r="A948" s="107"/>
    </row>
    <row r="949">
      <c r="A949" s="107"/>
    </row>
    <row r="950">
      <c r="A950" s="107"/>
    </row>
    <row r="951">
      <c r="A951" s="107"/>
    </row>
    <row r="952">
      <c r="A952" s="107"/>
    </row>
    <row r="953">
      <c r="A953" s="107"/>
    </row>
  </sheetData>
  <drawing r:id="rId1"/>
</worksheet>
</file>