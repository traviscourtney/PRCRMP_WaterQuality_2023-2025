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0207_Q7_TKN6" sheetId="1" r:id="rId4"/>
  </sheets>
  <definedNames/>
  <calcPr/>
  <extLst>
    <ext uri="GoogleSheetsCustomDataVersion2">
      <go:sheetsCustomData xmlns:go="http://customooxmlschemas.google.com/" r:id="rId5" roundtripDataChecksum="KUvKZ6yPN0Tp6kYO4FO9E5yPkki4QeVUUxUie/iwXRI="/>
    </ext>
  </extLst>
</workbook>
</file>

<file path=xl/sharedStrings.xml><?xml version="1.0" encoding="utf-8"?>
<sst xmlns="http://schemas.openxmlformats.org/spreadsheetml/2006/main" count="152" uniqueCount="58">
  <si>
    <t>ANAL</t>
  </si>
  <si>
    <t>TKN.ANL</t>
  </si>
  <si>
    <t xml:space="preserve">RUN </t>
  </si>
  <si>
    <t>250207_Q7_TKN6.RUN</t>
  </si>
  <si>
    <t>DATE</t>
  </si>
  <si>
    <t>TKN</t>
  </si>
  <si>
    <t>TIME</t>
  </si>
  <si>
    <t>LOD</t>
  </si>
  <si>
    <t>OPER</t>
  </si>
  <si>
    <t>CLMR</t>
  </si>
  <si>
    <t>COMM</t>
  </si>
  <si>
    <t xml:space="preserve">2nd Batch 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</si>
  <si>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</si>
  <si>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</si>
  <si>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</si>
  <si>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</si>
  <si>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</si>
  <si>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</si>
  <si>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</si>
  <si>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</si>
  <si>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</si>
  <si>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</si>
  <si>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</si>
  <si>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</si>
  <si>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</si>
  <si>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</si>
  <si>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</si>
  <si>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</si>
  <si>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</si>
  <si>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</si>
  <si>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2</t>
  </si>
  <si>
    <t>TKN_mg/L</t>
  </si>
  <si>
    <t>TKN_LOD</t>
  </si>
  <si>
    <t>Primer</t>
  </si>
  <si>
    <t>PRIM</t>
  </si>
  <si>
    <t>Drift</t>
  </si>
  <si>
    <t>DRIF</t>
  </si>
  <si>
    <t>CALB</t>
  </si>
  <si>
    <t>Blank</t>
  </si>
  <si>
    <t>Baseline</t>
  </si>
  <si>
    <t>BASL</t>
  </si>
  <si>
    <t>High</t>
  </si>
  <si>
    <t>HIGH</t>
  </si>
  <si>
    <t>Low</t>
  </si>
  <si>
    <t xml:space="preserve">LOW </t>
  </si>
  <si>
    <t>SAMP</t>
  </si>
  <si>
    <t>Blank Spike</t>
  </si>
  <si>
    <t>SPIK</t>
  </si>
  <si>
    <t>CRM [1.5 mg/L]</t>
  </si>
  <si>
    <t>QUAL</t>
  </si>
  <si>
    <t>348 spiked</t>
  </si>
  <si>
    <t>374 spiked</t>
  </si>
  <si>
    <t>543 spiked</t>
  </si>
  <si>
    <t>205 spiked</t>
  </si>
  <si>
    <t>179 spiked</t>
  </si>
  <si>
    <t>Blank spiked</t>
  </si>
  <si>
    <t>End</t>
  </si>
  <si>
    <t xml:space="preserve">END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</si>
</sst>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00000"/>
    <numFmt numFmtId="165" formatCode="0.000"/>
  </numFmts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1.0"/>
      <color rgb="FF9C5700"/>
      <name val="Arial"/>
    </font>
    <font>
      <sz val="11.0"/>
      <color rgb="FF9C57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3" numFmtId="164" xfId="0" applyAlignment="1" applyBorder="1" applyFill="1" applyFont="1" applyNumberFormat="1">
      <alignment vertical="bottom"/>
    </xf>
    <xf borderId="2" fillId="2" fontId="4" numFmtId="164" xfId="0" applyAlignment="1" applyBorder="1" applyFont="1" applyNumberFormat="1">
      <alignment horizontal="center" vertical="bottom"/>
    </xf>
    <xf borderId="0" fillId="0" fontId="2" numFmtId="19" xfId="0" applyFont="1" applyNumberFormat="1"/>
    <xf borderId="3" fillId="2" fontId="5" numFmtId="164" xfId="0" applyAlignment="1" applyBorder="1" applyFont="1" applyNumberFormat="1">
      <alignment horizontal="center" vertical="bottom"/>
    </xf>
    <xf borderId="4" fillId="2" fontId="5" numFmtId="2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2">
        <v>45695.0</v>
      </c>
      <c r="F3" s="3"/>
      <c r="G3" s="4" t="s">
        <v>5</v>
      </c>
    </row>
    <row r="4" ht="14.25" customHeight="1">
      <c r="A4" s="1" t="s">
        <v>6</v>
      </c>
      <c r="B4" s="5">
        <v>0.5616898148148148</v>
      </c>
      <c r="F4" s="6" t="s">
        <v>7</v>
      </c>
      <c r="G4" s="7">
        <f>STDEV(I78:I87)*2.821</f>
        <v>0.0835257402</v>
      </c>
    </row>
    <row r="5" ht="14.25" customHeight="1">
      <c r="A5" s="1" t="s">
        <v>8</v>
      </c>
      <c r="B5" s="1" t="s">
        <v>9</v>
      </c>
    </row>
    <row r="6" ht="14.25" customHeight="1">
      <c r="A6" s="1" t="s">
        <v>10</v>
      </c>
      <c r="B6" s="1" t="s">
        <v>11</v>
      </c>
    </row>
    <row r="7" ht="14.25" customHeight="1">
      <c r="A7" s="1" t="s">
        <v>12</v>
      </c>
      <c r="B7" s="1">
        <v>1.0</v>
      </c>
      <c r="C7" s="1">
        <v>2.0</v>
      </c>
    </row>
    <row r="8" ht="14.25" customHeight="1">
      <c r="A8" s="1" t="s">
        <v>13</v>
      </c>
      <c r="B8" s="1" t="s">
        <v>5</v>
      </c>
      <c r="C8" s="1" t="s">
        <v>14</v>
      </c>
    </row>
    <row r="9" ht="14.25" customHeight="1">
      <c r="A9" s="1" t="s">
        <v>15</v>
      </c>
      <c r="B9" s="1" t="s">
        <v>16</v>
      </c>
      <c r="C9" s="1" t="s">
        <v>16</v>
      </c>
    </row>
    <row r="10" ht="14.25" customHeight="1">
      <c r="A10" s="1" t="s">
        <v>17</v>
      </c>
      <c r="B10" s="1">
        <v>-1534.0</v>
      </c>
    </row>
    <row r="11" ht="14.25" customHeight="1">
      <c r="A11" s="1" t="s">
        <v>18</v>
      </c>
      <c r="J11" s="1">
        <v>65.0</v>
      </c>
    </row>
    <row r="12" ht="14.25" customHeight="1">
      <c r="A12" s="1" t="s">
        <v>19</v>
      </c>
      <c r="B12" s="1" t="s">
        <v>20</v>
      </c>
    </row>
    <row r="13" ht="14.25" customHeight="1">
      <c r="A13" s="1" t="s">
        <v>21</v>
      </c>
      <c r="B13" s="1">
        <v>0.9979</v>
      </c>
    </row>
    <row r="14" ht="14.25" customHeight="1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8" t="s">
        <v>31</v>
      </c>
      <c r="M14" s="9" t="s">
        <v>32</v>
      </c>
    </row>
    <row r="15" ht="14.25" customHeight="1">
      <c r="A15" s="1" t="s">
        <v>33</v>
      </c>
      <c r="B15" s="1">
        <v>1.0</v>
      </c>
      <c r="C15" s="1">
        <v>921.0</v>
      </c>
      <c r="D15" s="1" t="s">
        <v>34</v>
      </c>
      <c r="E15" s="1">
        <v>0.0</v>
      </c>
      <c r="F15" s="1">
        <v>0.0</v>
      </c>
      <c r="G15" s="1">
        <v>0.0</v>
      </c>
      <c r="H15" s="10">
        <v>45695.56407407407</v>
      </c>
      <c r="I15" s="1">
        <v>2.36</v>
      </c>
      <c r="J15" s="1">
        <v>131.0</v>
      </c>
      <c r="K15" s="1">
        <v>1.0</v>
      </c>
      <c r="L15" s="1">
        <f t="shared" ref="L15:L92" si="1">I15</f>
        <v>2.36</v>
      </c>
      <c r="M15" s="1">
        <f t="shared" ref="M15:M92" si="2">IF(L15&lt;G$4,"&lt;0.08",L15)</f>
        <v>2.36</v>
      </c>
    </row>
    <row r="16" ht="14.25" customHeight="1">
      <c r="A16" s="1" t="s">
        <v>35</v>
      </c>
      <c r="B16" s="1">
        <v>2.0</v>
      </c>
      <c r="C16" s="1">
        <v>921.0</v>
      </c>
      <c r="D16" s="1" t="s">
        <v>36</v>
      </c>
      <c r="E16" s="1">
        <v>0.0</v>
      </c>
      <c r="F16" s="1">
        <v>0.0</v>
      </c>
      <c r="G16" s="1">
        <v>0.0</v>
      </c>
      <c r="H16" s="10">
        <v>45695.565</v>
      </c>
      <c r="I16" s="1">
        <v>2.29</v>
      </c>
      <c r="J16" s="1">
        <v>127.53</v>
      </c>
      <c r="K16" s="1">
        <v>1.0</v>
      </c>
      <c r="L16" s="1">
        <f t="shared" si="1"/>
        <v>2.29</v>
      </c>
      <c r="M16" s="1">
        <f t="shared" si="2"/>
        <v>2.29</v>
      </c>
    </row>
    <row r="17" ht="14.25" customHeight="1">
      <c r="A17" s="1">
        <v>2.22</v>
      </c>
      <c r="B17" s="1">
        <v>3.0</v>
      </c>
      <c r="C17" s="1">
        <v>921.0</v>
      </c>
      <c r="D17" s="1" t="s">
        <v>37</v>
      </c>
      <c r="E17" s="1">
        <v>0.0</v>
      </c>
      <c r="F17" s="1">
        <v>0.0</v>
      </c>
      <c r="G17" s="1">
        <v>0.0</v>
      </c>
      <c r="H17" s="10">
        <v>45695.56592592593</v>
      </c>
      <c r="I17" s="1">
        <v>2.23</v>
      </c>
      <c r="J17" s="1">
        <v>124.92</v>
      </c>
      <c r="K17" s="1">
        <v>1.0</v>
      </c>
      <c r="L17" s="1">
        <f t="shared" si="1"/>
        <v>2.23</v>
      </c>
      <c r="M17" s="1">
        <f t="shared" si="2"/>
        <v>2.23</v>
      </c>
    </row>
    <row r="18" ht="14.25" customHeight="1">
      <c r="A18" s="1">
        <v>1.66</v>
      </c>
      <c r="B18" s="1">
        <v>4.0</v>
      </c>
      <c r="C18" s="1">
        <v>901.0</v>
      </c>
      <c r="D18" s="1" t="s">
        <v>37</v>
      </c>
      <c r="E18" s="1">
        <v>0.0</v>
      </c>
      <c r="F18" s="1">
        <v>0.0</v>
      </c>
      <c r="G18" s="1">
        <v>0.0</v>
      </c>
      <c r="H18" s="10">
        <v>45695.56685185185</v>
      </c>
      <c r="I18" s="1">
        <v>1.68</v>
      </c>
      <c r="J18" s="1">
        <v>98.54</v>
      </c>
      <c r="K18" s="1">
        <v>1.0</v>
      </c>
      <c r="L18" s="1">
        <f t="shared" si="1"/>
        <v>1.68</v>
      </c>
      <c r="M18" s="1">
        <f t="shared" si="2"/>
        <v>1.68</v>
      </c>
    </row>
    <row r="19" ht="14.25" customHeight="1">
      <c r="A19" s="1">
        <v>1.11</v>
      </c>
      <c r="B19" s="1">
        <v>5.0</v>
      </c>
      <c r="C19" s="1">
        <v>902.0</v>
      </c>
      <c r="D19" s="1" t="s">
        <v>37</v>
      </c>
      <c r="E19" s="1">
        <v>0.0</v>
      </c>
      <c r="F19" s="1">
        <v>0.0</v>
      </c>
      <c r="G19" s="1">
        <v>0.0</v>
      </c>
      <c r="H19" s="10">
        <v>45695.567777777775</v>
      </c>
      <c r="I19" s="1">
        <v>1.06</v>
      </c>
      <c r="J19" s="1">
        <v>69.54</v>
      </c>
      <c r="K19" s="1">
        <v>1.0</v>
      </c>
      <c r="L19" s="1">
        <f t="shared" si="1"/>
        <v>1.06</v>
      </c>
      <c r="M19" s="1">
        <f t="shared" si="2"/>
        <v>1.06</v>
      </c>
    </row>
    <row r="20" ht="14.25" customHeight="1">
      <c r="A20" s="1">
        <v>0.55</v>
      </c>
      <c r="B20" s="1">
        <v>6.0</v>
      </c>
      <c r="C20" s="1">
        <v>903.0</v>
      </c>
      <c r="D20" s="1" t="s">
        <v>37</v>
      </c>
      <c r="E20" s="1">
        <v>0.0</v>
      </c>
      <c r="F20" s="1">
        <v>0.0</v>
      </c>
      <c r="G20" s="1">
        <v>0.0</v>
      </c>
      <c r="H20" s="10">
        <v>45695.568703703706</v>
      </c>
      <c r="I20" s="1">
        <v>0.5</v>
      </c>
      <c r="J20" s="1">
        <v>42.97</v>
      </c>
      <c r="K20" s="1">
        <v>1.0</v>
      </c>
      <c r="L20" s="1">
        <f t="shared" si="1"/>
        <v>0.5</v>
      </c>
      <c r="M20" s="1">
        <f t="shared" si="2"/>
        <v>0.5</v>
      </c>
    </row>
    <row r="21" ht="14.25" customHeight="1">
      <c r="A21" s="1">
        <v>0.22</v>
      </c>
      <c r="B21" s="1">
        <v>7.0</v>
      </c>
      <c r="C21" s="1">
        <v>904.0</v>
      </c>
      <c r="D21" s="1" t="s">
        <v>37</v>
      </c>
      <c r="E21" s="1">
        <v>0.0</v>
      </c>
      <c r="F21" s="1">
        <v>0.0</v>
      </c>
      <c r="G21" s="1">
        <v>0.0</v>
      </c>
      <c r="H21" s="10">
        <v>45695.56962962963</v>
      </c>
      <c r="I21" s="1">
        <v>0.32</v>
      </c>
      <c r="J21" s="1">
        <v>34.26</v>
      </c>
      <c r="K21" s="1">
        <v>1.0</v>
      </c>
      <c r="L21" s="1">
        <f t="shared" si="1"/>
        <v>0.32</v>
      </c>
      <c r="M21" s="1">
        <f t="shared" si="2"/>
        <v>0.32</v>
      </c>
    </row>
    <row r="22" ht="14.25" customHeight="1">
      <c r="A22" s="1" t="s">
        <v>38</v>
      </c>
      <c r="B22" s="1">
        <v>8.0</v>
      </c>
      <c r="C22" s="1">
        <v>905.0</v>
      </c>
      <c r="D22" s="1" t="s">
        <v>37</v>
      </c>
      <c r="E22" s="1">
        <v>0.0</v>
      </c>
      <c r="F22" s="1">
        <v>0.0</v>
      </c>
      <c r="G22" s="1">
        <v>0.0</v>
      </c>
      <c r="H22" s="10">
        <v>45695.570555555554</v>
      </c>
      <c r="I22" s="1">
        <v>-0.04</v>
      </c>
      <c r="J22" s="1">
        <v>17.43</v>
      </c>
      <c r="K22" s="1">
        <v>1.0</v>
      </c>
      <c r="L22" s="1">
        <f t="shared" si="1"/>
        <v>-0.04</v>
      </c>
      <c r="M22" s="1" t="str">
        <f t="shared" si="2"/>
        <v>&lt;0.08</v>
      </c>
    </row>
    <row r="23" ht="14.25" customHeight="1">
      <c r="A23" s="1" t="s">
        <v>39</v>
      </c>
      <c r="B23" s="1">
        <v>9.0</v>
      </c>
      <c r="C23" s="1">
        <v>0.0</v>
      </c>
      <c r="D23" s="1" t="s">
        <v>40</v>
      </c>
      <c r="E23" s="1">
        <v>0.0</v>
      </c>
      <c r="F23" s="1">
        <v>0.0</v>
      </c>
      <c r="G23" s="1">
        <v>0.0</v>
      </c>
      <c r="H23" s="10">
        <v>45695.57148148148</v>
      </c>
      <c r="I23" s="1">
        <v>-0.4</v>
      </c>
      <c r="J23" s="1">
        <v>0.0</v>
      </c>
      <c r="K23" s="1">
        <v>1.0</v>
      </c>
      <c r="L23" s="1">
        <f t="shared" si="1"/>
        <v>-0.4</v>
      </c>
      <c r="M23" s="1" t="str">
        <f t="shared" si="2"/>
        <v>&lt;0.08</v>
      </c>
    </row>
    <row r="24" ht="14.25" customHeight="1">
      <c r="A24" s="1" t="s">
        <v>41</v>
      </c>
      <c r="B24" s="1">
        <v>10.0</v>
      </c>
      <c r="C24" s="1">
        <v>921.0</v>
      </c>
      <c r="D24" s="1" t="s">
        <v>42</v>
      </c>
      <c r="E24" s="1">
        <v>0.0</v>
      </c>
      <c r="F24" s="1">
        <v>1.0</v>
      </c>
      <c r="G24" s="1">
        <v>1.0</v>
      </c>
      <c r="H24" s="10">
        <v>45695.57425925926</v>
      </c>
      <c r="I24" s="1">
        <v>2.45</v>
      </c>
      <c r="J24" s="1">
        <v>135.02</v>
      </c>
      <c r="K24" s="1">
        <v>1.0</v>
      </c>
      <c r="L24" s="1">
        <f t="shared" si="1"/>
        <v>2.45</v>
      </c>
      <c r="M24" s="1">
        <f t="shared" si="2"/>
        <v>2.45</v>
      </c>
    </row>
    <row r="25" ht="14.25" customHeight="1">
      <c r="A25" s="1" t="s">
        <v>43</v>
      </c>
      <c r="B25" s="1">
        <v>11.0</v>
      </c>
      <c r="C25" s="1">
        <v>904.0</v>
      </c>
      <c r="D25" s="1" t="s">
        <v>44</v>
      </c>
      <c r="E25" s="1">
        <v>0.0</v>
      </c>
      <c r="F25" s="1">
        <v>1.0</v>
      </c>
      <c r="G25" s="1">
        <v>2.0</v>
      </c>
      <c r="H25" s="10">
        <v>45695.57518518518</v>
      </c>
      <c r="I25" s="1">
        <v>0.48</v>
      </c>
      <c r="J25" s="1">
        <v>41.63</v>
      </c>
      <c r="K25" s="1">
        <v>1.0</v>
      </c>
      <c r="L25" s="1">
        <f t="shared" si="1"/>
        <v>0.48</v>
      </c>
      <c r="M25" s="1">
        <f t="shared" si="2"/>
        <v>0.48</v>
      </c>
    </row>
    <row r="26" ht="14.25" customHeight="1">
      <c r="A26" s="1" t="s">
        <v>43</v>
      </c>
      <c r="B26" s="1">
        <v>12.0</v>
      </c>
      <c r="C26" s="1">
        <v>904.0</v>
      </c>
      <c r="D26" s="1" t="s">
        <v>44</v>
      </c>
      <c r="E26" s="1">
        <v>0.0</v>
      </c>
      <c r="F26" s="1">
        <v>1.0</v>
      </c>
      <c r="G26" s="1">
        <v>3.0</v>
      </c>
      <c r="H26" s="10">
        <v>45695.57611111111</v>
      </c>
      <c r="I26" s="1">
        <v>0.48</v>
      </c>
      <c r="J26" s="1">
        <v>41.85</v>
      </c>
      <c r="K26" s="1">
        <v>1.0</v>
      </c>
      <c r="L26" s="1">
        <f t="shared" si="1"/>
        <v>0.48</v>
      </c>
      <c r="M26" s="1">
        <f t="shared" si="2"/>
        <v>0.48</v>
      </c>
    </row>
    <row r="27" ht="14.25" customHeight="1">
      <c r="A27" s="1" t="s">
        <v>38</v>
      </c>
      <c r="B27" s="1">
        <v>13.0</v>
      </c>
      <c r="C27" s="1">
        <v>905.0</v>
      </c>
      <c r="D27" s="1" t="s">
        <v>45</v>
      </c>
      <c r="E27" s="1">
        <v>0.0</v>
      </c>
      <c r="F27" s="1">
        <v>0.0</v>
      </c>
      <c r="G27" s="1">
        <v>1.0</v>
      </c>
      <c r="H27" s="10">
        <v>45695.57703703704</v>
      </c>
      <c r="I27" s="1">
        <v>0.08</v>
      </c>
      <c r="J27" s="1">
        <v>22.84</v>
      </c>
      <c r="K27" s="1">
        <v>1.0</v>
      </c>
      <c r="L27" s="1">
        <f t="shared" si="1"/>
        <v>0.08</v>
      </c>
      <c r="M27" s="1" t="str">
        <f t="shared" si="2"/>
        <v>&lt;0.08</v>
      </c>
    </row>
    <row r="28" ht="14.25" customHeight="1">
      <c r="A28" s="1" t="s">
        <v>46</v>
      </c>
      <c r="B28" s="1">
        <v>14.0</v>
      </c>
      <c r="C28" s="1">
        <v>906.0</v>
      </c>
      <c r="D28" s="1" t="s">
        <v>47</v>
      </c>
      <c r="E28" s="1">
        <v>0.0</v>
      </c>
      <c r="F28" s="1">
        <v>0.0</v>
      </c>
      <c r="G28" s="1">
        <v>2.0</v>
      </c>
      <c r="H28" s="10">
        <v>45695.57796296296</v>
      </c>
      <c r="I28" s="1">
        <v>1.0</v>
      </c>
      <c r="J28" s="1">
        <v>66.52</v>
      </c>
      <c r="K28" s="1">
        <v>1.0</v>
      </c>
      <c r="L28" s="1">
        <f t="shared" si="1"/>
        <v>1</v>
      </c>
      <c r="M28" s="1">
        <f t="shared" si="2"/>
        <v>1</v>
      </c>
    </row>
    <row r="29" ht="14.25" customHeight="1">
      <c r="A29" s="1" t="s">
        <v>48</v>
      </c>
      <c r="B29" s="1">
        <v>15.0</v>
      </c>
      <c r="C29" s="1">
        <v>907.0</v>
      </c>
      <c r="D29" s="1" t="s">
        <v>49</v>
      </c>
      <c r="E29" s="1">
        <v>0.0</v>
      </c>
      <c r="F29" s="1">
        <v>0.0</v>
      </c>
      <c r="G29" s="1">
        <v>0.0</v>
      </c>
      <c r="H29" s="10">
        <v>45695.578888888886</v>
      </c>
      <c r="I29" s="1">
        <v>1.48</v>
      </c>
      <c r="J29" s="1">
        <v>89.14</v>
      </c>
      <c r="K29" s="1">
        <v>1.0</v>
      </c>
      <c r="L29" s="1">
        <f t="shared" si="1"/>
        <v>1.48</v>
      </c>
      <c r="M29" s="1">
        <f t="shared" si="2"/>
        <v>1.48</v>
      </c>
    </row>
    <row r="30" ht="14.25" customHeight="1">
      <c r="A30" s="1" t="s">
        <v>39</v>
      </c>
      <c r="B30" s="1">
        <v>16.0</v>
      </c>
      <c r="C30" s="1">
        <v>0.0</v>
      </c>
      <c r="D30" s="1" t="s">
        <v>40</v>
      </c>
      <c r="E30" s="1">
        <v>0.0</v>
      </c>
      <c r="F30" s="1">
        <v>0.0</v>
      </c>
      <c r="G30" s="1">
        <v>0.0</v>
      </c>
      <c r="H30" s="10">
        <v>45695.57981481482</v>
      </c>
      <c r="I30" s="1">
        <v>-0.4</v>
      </c>
      <c r="J30" s="1">
        <v>0.0</v>
      </c>
      <c r="K30" s="1">
        <v>1.0</v>
      </c>
      <c r="L30" s="1">
        <f t="shared" si="1"/>
        <v>-0.4</v>
      </c>
      <c r="M30" s="1" t="str">
        <f t="shared" si="2"/>
        <v>&lt;0.08</v>
      </c>
    </row>
    <row r="31" ht="14.25" customHeight="1">
      <c r="A31" s="1">
        <v>608.0</v>
      </c>
      <c r="B31" s="1">
        <v>17.0</v>
      </c>
      <c r="C31" s="1">
        <v>1.0</v>
      </c>
      <c r="D31" s="1" t="s">
        <v>45</v>
      </c>
      <c r="E31" s="1">
        <v>0.0</v>
      </c>
      <c r="F31" s="1">
        <v>0.0</v>
      </c>
      <c r="G31" s="1">
        <v>0.0</v>
      </c>
      <c r="H31" s="10">
        <v>45695.58259259259</v>
      </c>
      <c r="I31" s="1">
        <v>0.35</v>
      </c>
      <c r="J31" s="1">
        <v>35.71</v>
      </c>
      <c r="K31" s="1">
        <v>1.0</v>
      </c>
      <c r="L31" s="1">
        <f t="shared" si="1"/>
        <v>0.35</v>
      </c>
      <c r="M31" s="1">
        <f t="shared" si="2"/>
        <v>0.35</v>
      </c>
    </row>
    <row r="32" ht="14.25" customHeight="1">
      <c r="A32" s="1">
        <v>673.0</v>
      </c>
      <c r="B32" s="1">
        <v>18.0</v>
      </c>
      <c r="C32" s="1">
        <v>2.0</v>
      </c>
      <c r="D32" s="1" t="s">
        <v>45</v>
      </c>
      <c r="E32" s="1">
        <v>0.0</v>
      </c>
      <c r="F32" s="1">
        <v>0.0</v>
      </c>
      <c r="G32" s="1">
        <v>0.0</v>
      </c>
      <c r="H32" s="10">
        <v>45695.58351851852</v>
      </c>
      <c r="I32" s="1">
        <v>0.16</v>
      </c>
      <c r="J32" s="1">
        <v>26.59</v>
      </c>
      <c r="K32" s="1">
        <v>1.0</v>
      </c>
      <c r="L32" s="1">
        <f t="shared" si="1"/>
        <v>0.16</v>
      </c>
      <c r="M32" s="1">
        <f t="shared" si="2"/>
        <v>0.16</v>
      </c>
    </row>
    <row r="33" ht="14.25" customHeight="1">
      <c r="A33" s="1">
        <v>361.0</v>
      </c>
      <c r="B33" s="1">
        <v>19.0</v>
      </c>
      <c r="C33" s="1">
        <v>3.0</v>
      </c>
      <c r="D33" s="1" t="s">
        <v>45</v>
      </c>
      <c r="E33" s="1">
        <v>0.0</v>
      </c>
      <c r="F33" s="1">
        <v>0.0</v>
      </c>
      <c r="G33" s="1">
        <v>0.0</v>
      </c>
      <c r="H33" s="10">
        <v>45695.584444444445</v>
      </c>
      <c r="I33" s="1">
        <v>0.15</v>
      </c>
      <c r="J33" s="1">
        <v>26.26</v>
      </c>
      <c r="K33" s="1">
        <v>1.0</v>
      </c>
      <c r="L33" s="1">
        <f t="shared" si="1"/>
        <v>0.15</v>
      </c>
      <c r="M33" s="1">
        <f t="shared" si="2"/>
        <v>0.15</v>
      </c>
    </row>
    <row r="34" ht="14.25" customHeight="1">
      <c r="A34" s="1">
        <v>660.0</v>
      </c>
      <c r="B34" s="1">
        <v>20.0</v>
      </c>
      <c r="C34" s="1">
        <v>4.0</v>
      </c>
      <c r="D34" s="1" t="s">
        <v>45</v>
      </c>
      <c r="E34" s="1">
        <v>0.0</v>
      </c>
      <c r="F34" s="1">
        <v>0.0</v>
      </c>
      <c r="G34" s="1">
        <v>0.0</v>
      </c>
      <c r="H34" s="10">
        <v>45695.58537037037</v>
      </c>
      <c r="I34" s="1">
        <v>0.28</v>
      </c>
      <c r="J34" s="1">
        <v>32.56</v>
      </c>
      <c r="K34" s="1">
        <v>1.0</v>
      </c>
      <c r="L34" s="1">
        <f t="shared" si="1"/>
        <v>0.28</v>
      </c>
      <c r="M34" s="1">
        <f t="shared" si="2"/>
        <v>0.28</v>
      </c>
    </row>
    <row r="35" ht="14.25" customHeight="1">
      <c r="A35" s="1">
        <v>452.0</v>
      </c>
      <c r="B35" s="1">
        <v>21.0</v>
      </c>
      <c r="C35" s="1">
        <v>5.0</v>
      </c>
      <c r="D35" s="1" t="s">
        <v>45</v>
      </c>
      <c r="E35" s="1">
        <v>0.0</v>
      </c>
      <c r="F35" s="1">
        <v>0.0</v>
      </c>
      <c r="G35" s="1">
        <v>1.0</v>
      </c>
      <c r="H35" s="10">
        <v>45695.58629629629</v>
      </c>
      <c r="I35" s="1">
        <v>-0.17</v>
      </c>
      <c r="J35" s="1">
        <v>10.96</v>
      </c>
      <c r="K35" s="1">
        <v>1.0</v>
      </c>
      <c r="L35" s="1">
        <f t="shared" si="1"/>
        <v>-0.17</v>
      </c>
      <c r="M35" s="1" t="str">
        <f t="shared" si="2"/>
        <v>&lt;0.08</v>
      </c>
    </row>
    <row r="36" ht="14.25" customHeight="1">
      <c r="A36" s="1">
        <v>426.0</v>
      </c>
      <c r="B36" s="1">
        <v>22.0</v>
      </c>
      <c r="C36" s="1">
        <v>6.0</v>
      </c>
      <c r="D36" s="1" t="s">
        <v>45</v>
      </c>
      <c r="E36" s="1">
        <v>0.0</v>
      </c>
      <c r="F36" s="1">
        <v>0.0</v>
      </c>
      <c r="G36" s="1">
        <v>0.0</v>
      </c>
      <c r="H36" s="10">
        <v>45695.587222222224</v>
      </c>
      <c r="I36" s="1">
        <v>-0.17</v>
      </c>
      <c r="J36" s="1">
        <v>10.9</v>
      </c>
      <c r="K36" s="1">
        <v>1.0</v>
      </c>
      <c r="L36" s="1">
        <f t="shared" si="1"/>
        <v>-0.17</v>
      </c>
      <c r="M36" s="1" t="str">
        <f t="shared" si="2"/>
        <v>&lt;0.08</v>
      </c>
    </row>
    <row r="37" ht="14.25" customHeight="1">
      <c r="A37" s="1">
        <v>621.0</v>
      </c>
      <c r="B37" s="1">
        <v>23.0</v>
      </c>
      <c r="C37" s="1">
        <v>7.0</v>
      </c>
      <c r="D37" s="1" t="s">
        <v>45</v>
      </c>
      <c r="E37" s="1">
        <v>0.0</v>
      </c>
      <c r="F37" s="1">
        <v>0.0</v>
      </c>
      <c r="G37" s="1">
        <v>0.0</v>
      </c>
      <c r="H37" s="10">
        <v>45695.58814814815</v>
      </c>
      <c r="I37" s="1">
        <v>0.01</v>
      </c>
      <c r="J37" s="1">
        <v>19.74</v>
      </c>
      <c r="K37" s="1">
        <v>1.0</v>
      </c>
      <c r="L37" s="1">
        <f t="shared" si="1"/>
        <v>0.01</v>
      </c>
      <c r="M37" s="1" t="str">
        <f t="shared" si="2"/>
        <v>&lt;0.08</v>
      </c>
    </row>
    <row r="38" ht="14.25" customHeight="1">
      <c r="A38" s="1">
        <v>647.0</v>
      </c>
      <c r="B38" s="1">
        <v>24.0</v>
      </c>
      <c r="C38" s="1">
        <v>8.0</v>
      </c>
      <c r="D38" s="1" t="s">
        <v>45</v>
      </c>
      <c r="E38" s="1">
        <v>0.0</v>
      </c>
      <c r="F38" s="1">
        <v>0.0</v>
      </c>
      <c r="G38" s="1">
        <v>0.0</v>
      </c>
      <c r="H38" s="10">
        <v>45695.58907407407</v>
      </c>
      <c r="I38" s="1">
        <v>-0.19</v>
      </c>
      <c r="J38" s="1">
        <v>10.14</v>
      </c>
      <c r="K38" s="1">
        <v>1.0</v>
      </c>
      <c r="L38" s="1">
        <f t="shared" si="1"/>
        <v>-0.19</v>
      </c>
      <c r="M38" s="1" t="str">
        <f t="shared" si="2"/>
        <v>&lt;0.08</v>
      </c>
    </row>
    <row r="39" ht="14.25" customHeight="1">
      <c r="A39" s="1">
        <v>348.0</v>
      </c>
      <c r="B39" s="1">
        <v>25.0</v>
      </c>
      <c r="C39" s="1">
        <v>9.0</v>
      </c>
      <c r="D39" s="1" t="s">
        <v>45</v>
      </c>
      <c r="E39" s="1">
        <v>0.0</v>
      </c>
      <c r="F39" s="1">
        <v>0.0</v>
      </c>
      <c r="G39" s="1">
        <v>1.0</v>
      </c>
      <c r="H39" s="10">
        <v>45695.59</v>
      </c>
      <c r="I39" s="1">
        <v>0.02</v>
      </c>
      <c r="J39" s="1">
        <v>20.23</v>
      </c>
      <c r="K39" s="1">
        <v>1.0</v>
      </c>
      <c r="L39" s="1">
        <f t="shared" si="1"/>
        <v>0.02</v>
      </c>
      <c r="M39" s="1" t="str">
        <f t="shared" si="2"/>
        <v>&lt;0.08</v>
      </c>
    </row>
    <row r="40" ht="14.25" customHeight="1">
      <c r="A40" s="1" t="s">
        <v>50</v>
      </c>
      <c r="B40" s="1">
        <v>26.0</v>
      </c>
      <c r="C40" s="1">
        <v>10.0</v>
      </c>
      <c r="D40" s="1" t="s">
        <v>47</v>
      </c>
      <c r="E40" s="1">
        <v>0.0</v>
      </c>
      <c r="F40" s="1">
        <v>0.0</v>
      </c>
      <c r="G40" s="1">
        <v>2.0</v>
      </c>
      <c r="H40" s="10">
        <v>45695.59092592593</v>
      </c>
      <c r="I40" s="1">
        <v>1.11</v>
      </c>
      <c r="J40" s="1">
        <v>71.61</v>
      </c>
      <c r="K40" s="1">
        <v>1.0</v>
      </c>
      <c r="L40" s="1">
        <f t="shared" si="1"/>
        <v>1.11</v>
      </c>
      <c r="M40" s="1">
        <f t="shared" si="2"/>
        <v>1.11</v>
      </c>
    </row>
    <row r="41" ht="14.25" customHeight="1">
      <c r="A41" s="1" t="s">
        <v>48</v>
      </c>
      <c r="B41" s="1">
        <v>27.0</v>
      </c>
      <c r="C41" s="1">
        <v>907.0</v>
      </c>
      <c r="D41" s="1" t="s">
        <v>49</v>
      </c>
      <c r="E41" s="1">
        <v>0.0</v>
      </c>
      <c r="F41" s="1">
        <v>0.0</v>
      </c>
      <c r="G41" s="1">
        <v>0.0</v>
      </c>
      <c r="H41" s="10">
        <v>45695.59185185185</v>
      </c>
      <c r="I41" s="1">
        <v>1.4</v>
      </c>
      <c r="J41" s="1">
        <v>85.55</v>
      </c>
      <c r="K41" s="1">
        <v>1.0</v>
      </c>
      <c r="L41" s="1">
        <f t="shared" si="1"/>
        <v>1.4</v>
      </c>
      <c r="M41" s="1">
        <f t="shared" si="2"/>
        <v>1.4</v>
      </c>
    </row>
    <row r="42" ht="14.25" customHeight="1">
      <c r="A42" s="1" t="s">
        <v>39</v>
      </c>
      <c r="B42" s="1">
        <v>28.0</v>
      </c>
      <c r="C42" s="1">
        <v>0.0</v>
      </c>
      <c r="D42" s="1" t="s">
        <v>40</v>
      </c>
      <c r="E42" s="1">
        <v>0.0</v>
      </c>
      <c r="F42" s="1">
        <v>0.0</v>
      </c>
      <c r="G42" s="1">
        <v>0.0</v>
      </c>
      <c r="H42" s="10">
        <v>45695.592777777776</v>
      </c>
      <c r="I42" s="1">
        <v>-0.4</v>
      </c>
      <c r="J42" s="1">
        <v>0.0</v>
      </c>
      <c r="K42" s="1">
        <v>1.0</v>
      </c>
      <c r="L42" s="1">
        <f t="shared" si="1"/>
        <v>-0.4</v>
      </c>
      <c r="M42" s="1" t="str">
        <f t="shared" si="2"/>
        <v>&lt;0.08</v>
      </c>
    </row>
    <row r="43" ht="14.25" customHeight="1">
      <c r="A43" s="1">
        <v>686.0</v>
      </c>
      <c r="B43" s="1">
        <v>29.0</v>
      </c>
      <c r="C43" s="1">
        <v>11.0</v>
      </c>
      <c r="D43" s="1" t="s">
        <v>45</v>
      </c>
      <c r="E43" s="1">
        <v>0.0</v>
      </c>
      <c r="F43" s="1">
        <v>0.0</v>
      </c>
      <c r="G43" s="1">
        <v>0.0</v>
      </c>
      <c r="H43" s="10">
        <v>45695.595555555556</v>
      </c>
      <c r="I43" s="1">
        <v>-0.23</v>
      </c>
      <c r="J43" s="1">
        <v>8.37</v>
      </c>
      <c r="K43" s="1">
        <v>1.0</v>
      </c>
      <c r="L43" s="1">
        <f t="shared" si="1"/>
        <v>-0.23</v>
      </c>
      <c r="M43" s="1" t="str">
        <f t="shared" si="2"/>
        <v>&lt;0.08</v>
      </c>
    </row>
    <row r="44" ht="14.25" customHeight="1">
      <c r="A44" s="1">
        <v>530.0</v>
      </c>
      <c r="B44" s="1">
        <v>30.0</v>
      </c>
      <c r="C44" s="1">
        <v>12.0</v>
      </c>
      <c r="D44" s="1" t="s">
        <v>45</v>
      </c>
      <c r="E44" s="1">
        <v>0.0</v>
      </c>
      <c r="F44" s="1">
        <v>0.0</v>
      </c>
      <c r="G44" s="1">
        <v>0.0</v>
      </c>
      <c r="H44" s="10">
        <v>45695.59648148148</v>
      </c>
      <c r="I44" s="1">
        <v>0.06</v>
      </c>
      <c r="J44" s="1">
        <v>21.92</v>
      </c>
      <c r="K44" s="1">
        <v>1.0</v>
      </c>
      <c r="L44" s="1">
        <f t="shared" si="1"/>
        <v>0.06</v>
      </c>
      <c r="M44" s="1" t="str">
        <f t="shared" si="2"/>
        <v>&lt;0.08</v>
      </c>
    </row>
    <row r="45" ht="14.25" customHeight="1">
      <c r="A45" s="1">
        <v>491.0</v>
      </c>
      <c r="B45" s="1">
        <v>31.0</v>
      </c>
      <c r="C45" s="1">
        <v>13.0</v>
      </c>
      <c r="D45" s="1" t="s">
        <v>45</v>
      </c>
      <c r="E45" s="1">
        <v>0.0</v>
      </c>
      <c r="F45" s="1">
        <v>0.0</v>
      </c>
      <c r="G45" s="1">
        <v>0.0</v>
      </c>
      <c r="H45" s="10">
        <v>45695.597407407404</v>
      </c>
      <c r="I45" s="1">
        <v>0.12</v>
      </c>
      <c r="J45" s="1">
        <v>24.95</v>
      </c>
      <c r="K45" s="1">
        <v>1.0</v>
      </c>
      <c r="L45" s="1">
        <f t="shared" si="1"/>
        <v>0.12</v>
      </c>
      <c r="M45" s="1">
        <f t="shared" si="2"/>
        <v>0.12</v>
      </c>
    </row>
    <row r="46" ht="14.25" customHeight="1">
      <c r="A46" s="1">
        <v>634.0</v>
      </c>
      <c r="B46" s="1">
        <v>32.0</v>
      </c>
      <c r="C46" s="1">
        <v>14.0</v>
      </c>
      <c r="D46" s="1" t="s">
        <v>45</v>
      </c>
      <c r="E46" s="1">
        <v>0.0</v>
      </c>
      <c r="F46" s="1">
        <v>0.0</v>
      </c>
      <c r="G46" s="1">
        <v>0.0</v>
      </c>
      <c r="H46" s="10">
        <v>45695.598333333335</v>
      </c>
      <c r="I46" s="1">
        <v>0.1</v>
      </c>
      <c r="J46" s="1">
        <v>23.83</v>
      </c>
      <c r="K46" s="1">
        <v>1.0</v>
      </c>
      <c r="L46" s="1">
        <f t="shared" si="1"/>
        <v>0.1</v>
      </c>
      <c r="M46" s="1">
        <f t="shared" si="2"/>
        <v>0.1</v>
      </c>
    </row>
    <row r="47" ht="14.25" customHeight="1">
      <c r="A47" s="1">
        <v>374.0</v>
      </c>
      <c r="B47" s="1">
        <v>33.0</v>
      </c>
      <c r="C47" s="1">
        <v>15.0</v>
      </c>
      <c r="D47" s="1" t="s">
        <v>45</v>
      </c>
      <c r="E47" s="1">
        <v>0.0</v>
      </c>
      <c r="F47" s="1">
        <v>0.0</v>
      </c>
      <c r="G47" s="1">
        <v>0.0</v>
      </c>
      <c r="H47" s="10">
        <v>45695.59925925926</v>
      </c>
      <c r="I47" s="1">
        <v>0.0</v>
      </c>
      <c r="J47" s="1">
        <v>19.1</v>
      </c>
      <c r="K47" s="1">
        <v>1.0</v>
      </c>
      <c r="L47" s="1">
        <f t="shared" si="1"/>
        <v>0</v>
      </c>
      <c r="M47" s="1" t="str">
        <f t="shared" si="2"/>
        <v>&lt;0.08</v>
      </c>
    </row>
    <row r="48" ht="14.25" customHeight="1">
      <c r="A48" s="1" t="s">
        <v>51</v>
      </c>
      <c r="B48" s="1">
        <v>34.0</v>
      </c>
      <c r="C48" s="1">
        <v>16.0</v>
      </c>
      <c r="D48" s="1" t="s">
        <v>47</v>
      </c>
      <c r="E48" s="1">
        <v>0.0</v>
      </c>
      <c r="F48" s="1">
        <v>0.0</v>
      </c>
      <c r="G48" s="1">
        <v>1.0</v>
      </c>
      <c r="H48" s="10">
        <v>45695.60018518518</v>
      </c>
      <c r="I48" s="1">
        <v>-0.16</v>
      </c>
      <c r="J48" s="1">
        <v>11.69</v>
      </c>
      <c r="K48" s="1">
        <v>1.0</v>
      </c>
      <c r="L48" s="1">
        <f t="shared" si="1"/>
        <v>-0.16</v>
      </c>
      <c r="M48" s="1" t="str">
        <f t="shared" si="2"/>
        <v>&lt;0.08</v>
      </c>
    </row>
    <row r="49" ht="14.25" customHeight="1">
      <c r="A49" s="1">
        <v>543.0</v>
      </c>
      <c r="B49" s="1">
        <v>35.0</v>
      </c>
      <c r="C49" s="1">
        <v>17.0</v>
      </c>
      <c r="D49" s="1" t="s">
        <v>45</v>
      </c>
      <c r="E49" s="1">
        <v>0.0</v>
      </c>
      <c r="F49" s="1">
        <v>0.0</v>
      </c>
      <c r="G49" s="1">
        <v>0.0</v>
      </c>
      <c r="H49" s="10">
        <v>45695.601111111115</v>
      </c>
      <c r="I49" s="1">
        <v>-0.09</v>
      </c>
      <c r="J49" s="1">
        <v>15.04</v>
      </c>
      <c r="K49" s="1">
        <v>1.0</v>
      </c>
      <c r="L49" s="1">
        <f t="shared" si="1"/>
        <v>-0.09</v>
      </c>
      <c r="M49" s="1" t="str">
        <f t="shared" si="2"/>
        <v>&lt;0.08</v>
      </c>
    </row>
    <row r="50" ht="14.25" customHeight="1">
      <c r="A50" s="1" t="s">
        <v>52</v>
      </c>
      <c r="B50" s="1">
        <v>36.0</v>
      </c>
      <c r="C50" s="1">
        <v>18.0</v>
      </c>
      <c r="D50" s="1" t="s">
        <v>47</v>
      </c>
      <c r="E50" s="1">
        <v>0.0</v>
      </c>
      <c r="F50" s="1">
        <v>0.0</v>
      </c>
      <c r="G50" s="1">
        <v>1.0</v>
      </c>
      <c r="H50" s="10">
        <v>45695.60203703704</v>
      </c>
      <c r="I50" s="1">
        <v>1.06</v>
      </c>
      <c r="J50" s="1">
        <v>69.47</v>
      </c>
      <c r="K50" s="1">
        <v>1.0</v>
      </c>
      <c r="L50" s="1">
        <f t="shared" si="1"/>
        <v>1.06</v>
      </c>
      <c r="M50" s="1">
        <f t="shared" si="2"/>
        <v>1.06</v>
      </c>
    </row>
    <row r="51" ht="14.25" customHeight="1">
      <c r="A51" s="1" t="s">
        <v>48</v>
      </c>
      <c r="B51" s="1">
        <v>37.0</v>
      </c>
      <c r="C51" s="1">
        <v>907.0</v>
      </c>
      <c r="D51" s="1" t="s">
        <v>49</v>
      </c>
      <c r="E51" s="1">
        <v>0.0</v>
      </c>
      <c r="F51" s="1">
        <v>0.0</v>
      </c>
      <c r="G51" s="1">
        <v>0.0</v>
      </c>
      <c r="H51" s="10">
        <v>45695.60296296296</v>
      </c>
      <c r="I51" s="1">
        <v>1.36</v>
      </c>
      <c r="J51" s="1">
        <v>83.47</v>
      </c>
      <c r="K51" s="1">
        <v>1.0</v>
      </c>
      <c r="L51" s="1">
        <f t="shared" si="1"/>
        <v>1.36</v>
      </c>
      <c r="M51" s="1">
        <f t="shared" si="2"/>
        <v>1.36</v>
      </c>
    </row>
    <row r="52" ht="14.25" customHeight="1">
      <c r="A52" s="1" t="s">
        <v>39</v>
      </c>
      <c r="B52" s="1">
        <v>38.0</v>
      </c>
      <c r="C52" s="1">
        <v>0.0</v>
      </c>
      <c r="D52" s="1" t="s">
        <v>40</v>
      </c>
      <c r="E52" s="1">
        <v>0.0</v>
      </c>
      <c r="F52" s="1">
        <v>0.0</v>
      </c>
      <c r="G52" s="1">
        <v>0.0</v>
      </c>
      <c r="H52" s="10">
        <v>45695.60388888889</v>
      </c>
      <c r="I52" s="1">
        <v>-0.4</v>
      </c>
      <c r="J52" s="1">
        <v>0.0</v>
      </c>
      <c r="K52" s="1">
        <v>1.0</v>
      </c>
      <c r="L52" s="1">
        <f t="shared" si="1"/>
        <v>-0.4</v>
      </c>
      <c r="M52" s="1" t="str">
        <f t="shared" si="2"/>
        <v>&lt;0.08</v>
      </c>
    </row>
    <row r="53" ht="14.25" customHeight="1">
      <c r="A53" s="1">
        <v>36.0</v>
      </c>
      <c r="B53" s="1">
        <v>39.0</v>
      </c>
      <c r="C53" s="1">
        <v>19.0</v>
      </c>
      <c r="D53" s="1" t="s">
        <v>45</v>
      </c>
      <c r="E53" s="1">
        <v>0.0</v>
      </c>
      <c r="F53" s="1">
        <v>0.0</v>
      </c>
      <c r="G53" s="1">
        <v>0.0</v>
      </c>
      <c r="H53" s="10">
        <v>45695.60666666667</v>
      </c>
      <c r="I53" s="1">
        <v>-0.12</v>
      </c>
      <c r="J53" s="1">
        <v>13.51</v>
      </c>
      <c r="K53" s="1">
        <v>1.0</v>
      </c>
      <c r="L53" s="1">
        <f t="shared" si="1"/>
        <v>-0.12</v>
      </c>
      <c r="M53" s="1" t="str">
        <f t="shared" si="2"/>
        <v>&lt;0.08</v>
      </c>
    </row>
    <row r="54" ht="14.25" customHeight="1">
      <c r="A54" s="1">
        <v>10.0</v>
      </c>
      <c r="B54" s="1">
        <v>40.0</v>
      </c>
      <c r="C54" s="1">
        <v>20.0</v>
      </c>
      <c r="D54" s="1" t="s">
        <v>45</v>
      </c>
      <c r="E54" s="1">
        <v>0.0</v>
      </c>
      <c r="F54" s="1">
        <v>0.0</v>
      </c>
      <c r="G54" s="1">
        <v>0.0</v>
      </c>
      <c r="H54" s="10">
        <v>45695.60759259259</v>
      </c>
      <c r="I54" s="1">
        <v>-0.05</v>
      </c>
      <c r="J54" s="1">
        <v>16.75</v>
      </c>
      <c r="K54" s="1">
        <v>1.0</v>
      </c>
      <c r="L54" s="1">
        <f t="shared" si="1"/>
        <v>-0.05</v>
      </c>
      <c r="M54" s="1" t="str">
        <f t="shared" si="2"/>
        <v>&lt;0.08</v>
      </c>
    </row>
    <row r="55" ht="14.25" customHeight="1">
      <c r="A55" s="1">
        <v>192.0</v>
      </c>
      <c r="B55" s="1">
        <v>41.0</v>
      </c>
      <c r="C55" s="1">
        <v>21.0</v>
      </c>
      <c r="D55" s="1" t="s">
        <v>45</v>
      </c>
      <c r="E55" s="1">
        <v>0.0</v>
      </c>
      <c r="F55" s="1">
        <v>0.0</v>
      </c>
      <c r="G55" s="1">
        <v>0.0</v>
      </c>
      <c r="H55" s="10">
        <v>45695.60851851852</v>
      </c>
      <c r="I55" s="1">
        <v>0.08</v>
      </c>
      <c r="J55" s="1">
        <v>23.04</v>
      </c>
      <c r="K55" s="1">
        <v>1.0</v>
      </c>
      <c r="L55" s="1">
        <f t="shared" si="1"/>
        <v>0.08</v>
      </c>
      <c r="M55" s="1" t="str">
        <f t="shared" si="2"/>
        <v>&lt;0.08</v>
      </c>
    </row>
    <row r="56" ht="14.25" customHeight="1">
      <c r="A56" s="1">
        <v>270.0</v>
      </c>
      <c r="B56" s="1">
        <v>42.0</v>
      </c>
      <c r="C56" s="1">
        <v>22.0</v>
      </c>
      <c r="D56" s="1" t="s">
        <v>45</v>
      </c>
      <c r="E56" s="1">
        <v>0.0</v>
      </c>
      <c r="F56" s="1">
        <v>0.0</v>
      </c>
      <c r="G56" s="1">
        <v>0.0</v>
      </c>
      <c r="H56" s="10">
        <v>45695.609444444446</v>
      </c>
      <c r="I56" s="1">
        <v>-0.09</v>
      </c>
      <c r="J56" s="1">
        <v>14.88</v>
      </c>
      <c r="K56" s="1">
        <v>1.0</v>
      </c>
      <c r="L56" s="1">
        <f t="shared" si="1"/>
        <v>-0.09</v>
      </c>
      <c r="M56" s="1" t="str">
        <f t="shared" si="2"/>
        <v>&lt;0.08</v>
      </c>
    </row>
    <row r="57" ht="14.25" customHeight="1">
      <c r="A57" s="1">
        <v>49.0</v>
      </c>
      <c r="B57" s="1">
        <v>43.0</v>
      </c>
      <c r="C57" s="1">
        <v>23.0</v>
      </c>
      <c r="D57" s="1" t="s">
        <v>45</v>
      </c>
      <c r="E57" s="1">
        <v>0.0</v>
      </c>
      <c r="F57" s="1">
        <v>0.0</v>
      </c>
      <c r="G57" s="1">
        <v>0.0</v>
      </c>
      <c r="H57" s="10">
        <v>45695.61037037037</v>
      </c>
      <c r="I57" s="1">
        <v>-0.05</v>
      </c>
      <c r="J57" s="1">
        <v>16.82</v>
      </c>
      <c r="K57" s="1">
        <v>1.0</v>
      </c>
      <c r="L57" s="1">
        <f t="shared" si="1"/>
        <v>-0.05</v>
      </c>
      <c r="M57" s="1" t="str">
        <f t="shared" si="2"/>
        <v>&lt;0.08</v>
      </c>
    </row>
    <row r="58" ht="14.25" customHeight="1">
      <c r="A58" s="1">
        <v>218.0</v>
      </c>
      <c r="B58" s="1">
        <v>44.0</v>
      </c>
      <c r="C58" s="1">
        <v>24.0</v>
      </c>
      <c r="D58" s="1" t="s">
        <v>45</v>
      </c>
      <c r="E58" s="1">
        <v>0.0</v>
      </c>
      <c r="F58" s="1">
        <v>0.0</v>
      </c>
      <c r="G58" s="1">
        <v>0.0</v>
      </c>
      <c r="H58" s="10">
        <v>45695.611296296294</v>
      </c>
      <c r="I58" s="1">
        <v>-0.04</v>
      </c>
      <c r="J58" s="1">
        <v>17.43</v>
      </c>
      <c r="K58" s="1">
        <v>1.0</v>
      </c>
      <c r="L58" s="1">
        <f t="shared" si="1"/>
        <v>-0.04</v>
      </c>
      <c r="M58" s="1" t="str">
        <f t="shared" si="2"/>
        <v>&lt;0.08</v>
      </c>
    </row>
    <row r="59" ht="14.25" customHeight="1">
      <c r="A59" s="1">
        <v>114.0</v>
      </c>
      <c r="B59" s="1">
        <v>45.0</v>
      </c>
      <c r="C59" s="1">
        <v>25.0</v>
      </c>
      <c r="D59" s="1" t="s">
        <v>45</v>
      </c>
      <c r="E59" s="1">
        <v>0.0</v>
      </c>
      <c r="F59" s="1">
        <v>0.0</v>
      </c>
      <c r="G59" s="1">
        <v>0.0</v>
      </c>
      <c r="H59" s="10">
        <v>45695.612222222226</v>
      </c>
      <c r="I59" s="1">
        <v>-0.22</v>
      </c>
      <c r="J59" s="1">
        <v>8.87</v>
      </c>
      <c r="K59" s="1">
        <v>1.0</v>
      </c>
      <c r="L59" s="1">
        <f t="shared" si="1"/>
        <v>-0.22</v>
      </c>
      <c r="M59" s="1" t="str">
        <f t="shared" si="2"/>
        <v>&lt;0.08</v>
      </c>
    </row>
    <row r="60" ht="14.25" customHeight="1">
      <c r="A60" s="1">
        <v>166.0</v>
      </c>
      <c r="B60" s="1">
        <v>46.0</v>
      </c>
      <c r="C60" s="1">
        <v>26.0</v>
      </c>
      <c r="D60" s="1" t="s">
        <v>45</v>
      </c>
      <c r="E60" s="1">
        <v>0.0</v>
      </c>
      <c r="F60" s="1">
        <v>0.0</v>
      </c>
      <c r="G60" s="1">
        <v>0.0</v>
      </c>
      <c r="H60" s="10">
        <v>45695.61314814815</v>
      </c>
      <c r="I60" s="1">
        <v>-0.02</v>
      </c>
      <c r="J60" s="1">
        <v>18.38</v>
      </c>
      <c r="K60" s="1">
        <v>1.0</v>
      </c>
      <c r="L60" s="1">
        <f t="shared" si="1"/>
        <v>-0.02</v>
      </c>
      <c r="M60" s="1" t="str">
        <f t="shared" si="2"/>
        <v>&lt;0.08</v>
      </c>
    </row>
    <row r="61" ht="14.25" customHeight="1">
      <c r="A61" s="1">
        <v>205.0</v>
      </c>
      <c r="B61" s="1">
        <v>47.0</v>
      </c>
      <c r="C61" s="1">
        <v>27.0</v>
      </c>
      <c r="D61" s="1" t="s">
        <v>45</v>
      </c>
      <c r="E61" s="1">
        <v>0.0</v>
      </c>
      <c r="F61" s="1">
        <v>0.0</v>
      </c>
      <c r="G61" s="1">
        <v>0.0</v>
      </c>
      <c r="H61" s="10">
        <v>45695.614074074074</v>
      </c>
      <c r="I61" s="1">
        <v>-0.1</v>
      </c>
      <c r="J61" s="1">
        <v>14.16</v>
      </c>
      <c r="K61" s="1">
        <v>1.0</v>
      </c>
      <c r="L61" s="1">
        <f t="shared" si="1"/>
        <v>-0.1</v>
      </c>
      <c r="M61" s="1" t="str">
        <f t="shared" si="2"/>
        <v>&lt;0.08</v>
      </c>
    </row>
    <row r="62" ht="14.25" customHeight="1">
      <c r="A62" s="1" t="s">
        <v>53</v>
      </c>
      <c r="B62" s="1">
        <v>48.0</v>
      </c>
      <c r="C62" s="1">
        <v>28.0</v>
      </c>
      <c r="D62" s="1" t="s">
        <v>47</v>
      </c>
      <c r="E62" s="1">
        <v>0.0</v>
      </c>
      <c r="F62" s="1">
        <v>0.0</v>
      </c>
      <c r="G62" s="1">
        <v>1.0</v>
      </c>
      <c r="H62" s="10">
        <v>45695.615</v>
      </c>
      <c r="I62" s="1">
        <v>1.03</v>
      </c>
      <c r="J62" s="1">
        <v>67.99</v>
      </c>
      <c r="K62" s="1">
        <v>1.0</v>
      </c>
      <c r="L62" s="1">
        <f t="shared" si="1"/>
        <v>1.03</v>
      </c>
      <c r="M62" s="1">
        <f t="shared" si="2"/>
        <v>1.03</v>
      </c>
    </row>
    <row r="63" ht="14.25" customHeight="1">
      <c r="A63" s="1" t="s">
        <v>48</v>
      </c>
      <c r="B63" s="1">
        <v>49.0</v>
      </c>
      <c r="C63" s="1">
        <v>907.0</v>
      </c>
      <c r="D63" s="1" t="s">
        <v>49</v>
      </c>
      <c r="E63" s="1">
        <v>0.0</v>
      </c>
      <c r="F63" s="1">
        <v>0.0</v>
      </c>
      <c r="G63" s="1">
        <v>0.0</v>
      </c>
      <c r="H63" s="10">
        <v>45695.61592592593</v>
      </c>
      <c r="I63" s="1">
        <v>1.45</v>
      </c>
      <c r="J63" s="1">
        <v>87.77</v>
      </c>
      <c r="K63" s="1">
        <v>1.0</v>
      </c>
      <c r="L63" s="1">
        <f t="shared" si="1"/>
        <v>1.45</v>
      </c>
      <c r="M63" s="1">
        <f t="shared" si="2"/>
        <v>1.45</v>
      </c>
    </row>
    <row r="64" ht="14.25" customHeight="1">
      <c r="A64" s="1" t="s">
        <v>39</v>
      </c>
      <c r="B64" s="1">
        <v>50.0</v>
      </c>
      <c r="C64" s="1">
        <v>0.0</v>
      </c>
      <c r="D64" s="1" t="s">
        <v>40</v>
      </c>
      <c r="E64" s="1">
        <v>0.0</v>
      </c>
      <c r="F64" s="1">
        <v>0.0</v>
      </c>
      <c r="G64" s="1">
        <v>0.0</v>
      </c>
      <c r="H64" s="10">
        <v>45695.61685185185</v>
      </c>
      <c r="I64" s="1">
        <v>-0.4</v>
      </c>
      <c r="J64" s="1">
        <v>0.0</v>
      </c>
      <c r="K64" s="1">
        <v>1.0</v>
      </c>
      <c r="L64" s="1">
        <f t="shared" si="1"/>
        <v>-0.4</v>
      </c>
      <c r="M64" s="1" t="str">
        <f t="shared" si="2"/>
        <v>&lt;0.08</v>
      </c>
    </row>
    <row r="65" ht="14.25" customHeight="1">
      <c r="A65" s="1">
        <v>62.0</v>
      </c>
      <c r="B65" s="1">
        <v>51.0</v>
      </c>
      <c r="C65" s="1">
        <v>29.0</v>
      </c>
      <c r="D65" s="1" t="s">
        <v>45</v>
      </c>
      <c r="E65" s="1">
        <v>0.0</v>
      </c>
      <c r="F65" s="1">
        <v>0.0</v>
      </c>
      <c r="G65" s="1">
        <v>0.0</v>
      </c>
      <c r="H65" s="10">
        <v>45695.61962962963</v>
      </c>
      <c r="I65" s="1">
        <v>-0.17</v>
      </c>
      <c r="J65" s="1">
        <v>10.83</v>
      </c>
      <c r="K65" s="1">
        <v>1.0</v>
      </c>
      <c r="L65" s="1">
        <f t="shared" si="1"/>
        <v>-0.17</v>
      </c>
      <c r="M65" s="1" t="str">
        <f t="shared" si="2"/>
        <v>&lt;0.08</v>
      </c>
    </row>
    <row r="66" ht="14.25" customHeight="1">
      <c r="A66" s="1">
        <v>127.0</v>
      </c>
      <c r="B66" s="1">
        <v>52.0</v>
      </c>
      <c r="C66" s="1">
        <v>30.0</v>
      </c>
      <c r="D66" s="1" t="s">
        <v>45</v>
      </c>
      <c r="E66" s="1">
        <v>0.0</v>
      </c>
      <c r="F66" s="1">
        <v>0.0</v>
      </c>
      <c r="G66" s="1">
        <v>0.0</v>
      </c>
      <c r="H66" s="10">
        <v>45695.62055555556</v>
      </c>
      <c r="I66" s="1">
        <v>-0.06</v>
      </c>
      <c r="J66" s="1">
        <v>16.19</v>
      </c>
      <c r="K66" s="1">
        <v>1.0</v>
      </c>
      <c r="L66" s="1">
        <f t="shared" si="1"/>
        <v>-0.06</v>
      </c>
      <c r="M66" s="1" t="str">
        <f t="shared" si="2"/>
        <v>&lt;0.08</v>
      </c>
    </row>
    <row r="67" ht="14.25" customHeight="1">
      <c r="A67" s="1">
        <v>153.0</v>
      </c>
      <c r="B67" s="1">
        <v>53.0</v>
      </c>
      <c r="C67" s="1">
        <v>31.0</v>
      </c>
      <c r="D67" s="1" t="s">
        <v>45</v>
      </c>
      <c r="E67" s="1">
        <v>0.0</v>
      </c>
      <c r="F67" s="1">
        <v>0.0</v>
      </c>
      <c r="G67" s="1">
        <v>0.0</v>
      </c>
      <c r="H67" s="10">
        <v>45695.62148148148</v>
      </c>
      <c r="I67" s="1">
        <v>0.04</v>
      </c>
      <c r="J67" s="1">
        <v>20.9</v>
      </c>
      <c r="K67" s="1">
        <v>1.0</v>
      </c>
      <c r="L67" s="1">
        <f t="shared" si="1"/>
        <v>0.04</v>
      </c>
      <c r="M67" s="1" t="str">
        <f t="shared" si="2"/>
        <v>&lt;0.08</v>
      </c>
    </row>
    <row r="68" ht="14.25" customHeight="1">
      <c r="A68" s="1">
        <v>23.0</v>
      </c>
      <c r="B68" s="1">
        <v>54.0</v>
      </c>
      <c r="C68" s="1">
        <v>32.0</v>
      </c>
      <c r="D68" s="1" t="s">
        <v>45</v>
      </c>
      <c r="E68" s="1">
        <v>0.0</v>
      </c>
      <c r="F68" s="1">
        <v>0.0</v>
      </c>
      <c r="G68" s="1">
        <v>0.0</v>
      </c>
      <c r="H68" s="10">
        <v>45695.622407407405</v>
      </c>
      <c r="I68" s="1">
        <v>0.32</v>
      </c>
      <c r="J68" s="1">
        <v>34.48</v>
      </c>
      <c r="K68" s="1">
        <v>1.0</v>
      </c>
      <c r="L68" s="1">
        <f t="shared" si="1"/>
        <v>0.32</v>
      </c>
      <c r="M68" s="1">
        <f t="shared" si="2"/>
        <v>0.32</v>
      </c>
    </row>
    <row r="69" ht="14.25" customHeight="1">
      <c r="A69" s="1">
        <v>101.0</v>
      </c>
      <c r="B69" s="1">
        <v>55.0</v>
      </c>
      <c r="C69" s="1">
        <v>33.0</v>
      </c>
      <c r="D69" s="1" t="s">
        <v>45</v>
      </c>
      <c r="E69" s="1">
        <v>0.0</v>
      </c>
      <c r="F69" s="1">
        <v>0.0</v>
      </c>
      <c r="G69" s="1">
        <v>0.0</v>
      </c>
      <c r="H69" s="10">
        <v>45695.62333333334</v>
      </c>
      <c r="I69" s="1">
        <v>-0.03</v>
      </c>
      <c r="J69" s="1">
        <v>17.65</v>
      </c>
      <c r="K69" s="1">
        <v>1.0</v>
      </c>
      <c r="L69" s="1">
        <f t="shared" si="1"/>
        <v>-0.03</v>
      </c>
      <c r="M69" s="1" t="str">
        <f t="shared" si="2"/>
        <v>&lt;0.08</v>
      </c>
    </row>
    <row r="70" ht="14.25" customHeight="1">
      <c r="A70" s="1">
        <v>88.0</v>
      </c>
      <c r="B70" s="1">
        <v>56.0</v>
      </c>
      <c r="C70" s="1">
        <v>34.0</v>
      </c>
      <c r="D70" s="1" t="s">
        <v>45</v>
      </c>
      <c r="E70" s="1">
        <v>0.0</v>
      </c>
      <c r="F70" s="1">
        <v>0.0</v>
      </c>
      <c r="G70" s="1">
        <v>0.0</v>
      </c>
      <c r="H70" s="10">
        <v>45695.62425925926</v>
      </c>
      <c r="I70" s="1">
        <v>-0.22</v>
      </c>
      <c r="J70" s="1">
        <v>8.83</v>
      </c>
      <c r="K70" s="1">
        <v>1.0</v>
      </c>
      <c r="L70" s="1">
        <f t="shared" si="1"/>
        <v>-0.22</v>
      </c>
      <c r="M70" s="1" t="str">
        <f t="shared" si="2"/>
        <v>&lt;0.08</v>
      </c>
    </row>
    <row r="71" ht="14.25" customHeight="1">
      <c r="A71" s="1">
        <v>140.0</v>
      </c>
      <c r="B71" s="1">
        <v>57.0</v>
      </c>
      <c r="C71" s="1">
        <v>35.0</v>
      </c>
      <c r="D71" s="1" t="s">
        <v>45</v>
      </c>
      <c r="E71" s="1">
        <v>0.0</v>
      </c>
      <c r="F71" s="1">
        <v>0.0</v>
      </c>
      <c r="G71" s="1">
        <v>0.0</v>
      </c>
      <c r="H71" s="10">
        <v>45695.625185185185</v>
      </c>
      <c r="I71" s="1">
        <v>0.02</v>
      </c>
      <c r="J71" s="1">
        <v>19.86</v>
      </c>
      <c r="K71" s="1">
        <v>1.0</v>
      </c>
      <c r="L71" s="1">
        <f t="shared" si="1"/>
        <v>0.02</v>
      </c>
      <c r="M71" s="1" t="str">
        <f t="shared" si="2"/>
        <v>&lt;0.08</v>
      </c>
    </row>
    <row r="72" ht="14.25" customHeight="1">
      <c r="A72" s="1">
        <v>75.0</v>
      </c>
      <c r="B72" s="1">
        <v>58.0</v>
      </c>
      <c r="C72" s="1">
        <v>36.0</v>
      </c>
      <c r="D72" s="1" t="s">
        <v>45</v>
      </c>
      <c r="E72" s="1">
        <v>0.0</v>
      </c>
      <c r="F72" s="1">
        <v>0.0</v>
      </c>
      <c r="G72" s="1">
        <v>0.0</v>
      </c>
      <c r="H72" s="10">
        <v>45695.62611111111</v>
      </c>
      <c r="I72" s="1">
        <v>-0.08</v>
      </c>
      <c r="J72" s="1">
        <v>15.51</v>
      </c>
      <c r="K72" s="1">
        <v>1.0</v>
      </c>
      <c r="L72" s="1">
        <f t="shared" si="1"/>
        <v>-0.08</v>
      </c>
      <c r="M72" s="1" t="str">
        <f t="shared" si="2"/>
        <v>&lt;0.08</v>
      </c>
    </row>
    <row r="73" ht="14.25" customHeight="1">
      <c r="A73" s="1">
        <v>257.0</v>
      </c>
      <c r="B73" s="1">
        <v>59.0</v>
      </c>
      <c r="C73" s="1">
        <v>37.0</v>
      </c>
      <c r="D73" s="1" t="s">
        <v>45</v>
      </c>
      <c r="E73" s="1">
        <v>0.0</v>
      </c>
      <c r="F73" s="1">
        <v>0.0</v>
      </c>
      <c r="G73" s="1">
        <v>0.0</v>
      </c>
      <c r="H73" s="10">
        <v>45695.62703703704</v>
      </c>
      <c r="I73" s="1">
        <v>-0.32</v>
      </c>
      <c r="J73" s="1">
        <v>4.05</v>
      </c>
      <c r="K73" s="1">
        <v>1.0</v>
      </c>
      <c r="L73" s="1">
        <f t="shared" si="1"/>
        <v>-0.32</v>
      </c>
      <c r="M73" s="1" t="str">
        <f t="shared" si="2"/>
        <v>&lt;0.08</v>
      </c>
    </row>
    <row r="74" ht="14.25" customHeight="1">
      <c r="A74" s="1">
        <v>179.0</v>
      </c>
      <c r="B74" s="1">
        <v>60.0</v>
      </c>
      <c r="C74" s="1">
        <v>38.0</v>
      </c>
      <c r="D74" s="1" t="s">
        <v>45</v>
      </c>
      <c r="E74" s="1">
        <v>0.0</v>
      </c>
      <c r="F74" s="1">
        <v>0.0</v>
      </c>
      <c r="G74" s="1">
        <v>0.0</v>
      </c>
      <c r="H74" s="10">
        <v>45695.627962962964</v>
      </c>
      <c r="I74" s="1">
        <v>0.01</v>
      </c>
      <c r="J74" s="1">
        <v>19.42</v>
      </c>
      <c r="K74" s="1">
        <v>1.0</v>
      </c>
      <c r="L74" s="1">
        <f t="shared" si="1"/>
        <v>0.01</v>
      </c>
      <c r="M74" s="1" t="str">
        <f t="shared" si="2"/>
        <v>&lt;0.08</v>
      </c>
    </row>
    <row r="75" ht="14.25" customHeight="1">
      <c r="A75" s="1" t="s">
        <v>54</v>
      </c>
      <c r="B75" s="1">
        <v>61.0</v>
      </c>
      <c r="C75" s="1">
        <v>39.0</v>
      </c>
      <c r="D75" s="1" t="s">
        <v>47</v>
      </c>
      <c r="E75" s="1">
        <v>0.0</v>
      </c>
      <c r="F75" s="1">
        <v>0.0</v>
      </c>
      <c r="G75" s="1">
        <v>1.0</v>
      </c>
      <c r="H75" s="10">
        <v>45695.62888888889</v>
      </c>
      <c r="I75" s="1">
        <v>1.02</v>
      </c>
      <c r="J75" s="1">
        <v>67.26</v>
      </c>
      <c r="K75" s="1">
        <v>1.0</v>
      </c>
      <c r="L75" s="1">
        <f t="shared" si="1"/>
        <v>1.02</v>
      </c>
      <c r="M75" s="1">
        <f t="shared" si="2"/>
        <v>1.02</v>
      </c>
    </row>
    <row r="76" ht="14.25" customHeight="1">
      <c r="A76" s="1" t="s">
        <v>48</v>
      </c>
      <c r="B76" s="1">
        <v>62.0</v>
      </c>
      <c r="C76" s="1">
        <v>907.0</v>
      </c>
      <c r="D76" s="1" t="s">
        <v>49</v>
      </c>
      <c r="E76" s="1">
        <v>0.0</v>
      </c>
      <c r="F76" s="1">
        <v>0.0</v>
      </c>
      <c r="G76" s="1">
        <v>0.0</v>
      </c>
      <c r="H76" s="10">
        <v>45695.62981481481</v>
      </c>
      <c r="I76" s="1">
        <v>1.39</v>
      </c>
      <c r="J76" s="1">
        <v>85.01</v>
      </c>
      <c r="K76" s="1">
        <v>1.0</v>
      </c>
      <c r="L76" s="1">
        <f t="shared" si="1"/>
        <v>1.39</v>
      </c>
      <c r="M76" s="1">
        <f t="shared" si="2"/>
        <v>1.39</v>
      </c>
    </row>
    <row r="77" ht="14.25" customHeight="1">
      <c r="A77" s="1" t="s">
        <v>39</v>
      </c>
      <c r="B77" s="1">
        <v>63.0</v>
      </c>
      <c r="C77" s="1">
        <v>0.0</v>
      </c>
      <c r="D77" s="1" t="s">
        <v>40</v>
      </c>
      <c r="E77" s="1">
        <v>0.0</v>
      </c>
      <c r="F77" s="1">
        <v>0.0</v>
      </c>
      <c r="G77" s="1">
        <v>0.0</v>
      </c>
      <c r="H77" s="10">
        <v>45695.630740740744</v>
      </c>
      <c r="I77" s="1">
        <v>-0.4</v>
      </c>
      <c r="J77" s="1">
        <v>0.0</v>
      </c>
      <c r="K77" s="1">
        <v>1.0</v>
      </c>
      <c r="L77" s="1">
        <f t="shared" si="1"/>
        <v>-0.4</v>
      </c>
      <c r="M77" s="1" t="str">
        <f t="shared" si="2"/>
        <v>&lt;0.08</v>
      </c>
    </row>
    <row r="78" ht="14.25" customHeight="1">
      <c r="A78" s="1" t="s">
        <v>38</v>
      </c>
      <c r="B78" s="1">
        <v>64.0</v>
      </c>
      <c r="C78" s="1">
        <v>905.0</v>
      </c>
      <c r="D78" s="1" t="s">
        <v>45</v>
      </c>
      <c r="E78" s="1">
        <v>0.0</v>
      </c>
      <c r="F78" s="1">
        <v>0.0</v>
      </c>
      <c r="G78" s="1">
        <v>0.0</v>
      </c>
      <c r="H78" s="10">
        <v>45695.633518518516</v>
      </c>
      <c r="I78" s="1">
        <v>-0.19</v>
      </c>
      <c r="J78" s="1">
        <v>9.99</v>
      </c>
      <c r="K78" s="1">
        <v>1.0</v>
      </c>
      <c r="L78" s="1">
        <f t="shared" si="1"/>
        <v>-0.19</v>
      </c>
      <c r="M78" s="1" t="str">
        <f t="shared" si="2"/>
        <v>&lt;0.08</v>
      </c>
    </row>
    <row r="79" ht="14.25" customHeight="1">
      <c r="A79" s="1" t="s">
        <v>38</v>
      </c>
      <c r="B79" s="1">
        <v>65.0</v>
      </c>
      <c r="C79" s="1">
        <v>905.0</v>
      </c>
      <c r="D79" s="1" t="s">
        <v>45</v>
      </c>
      <c r="E79" s="1">
        <v>0.0</v>
      </c>
      <c r="F79" s="1">
        <v>0.0</v>
      </c>
      <c r="G79" s="1">
        <v>0.0</v>
      </c>
      <c r="H79" s="10">
        <v>45695.63444444445</v>
      </c>
      <c r="I79" s="1">
        <v>-0.15</v>
      </c>
      <c r="J79" s="1">
        <v>12.08</v>
      </c>
      <c r="K79" s="1">
        <v>1.0</v>
      </c>
      <c r="L79" s="1">
        <f t="shared" si="1"/>
        <v>-0.15</v>
      </c>
      <c r="M79" s="1" t="str">
        <f t="shared" si="2"/>
        <v>&lt;0.08</v>
      </c>
    </row>
    <row r="80" ht="14.25" customHeight="1">
      <c r="A80" s="1" t="s">
        <v>38</v>
      </c>
      <c r="B80" s="1">
        <v>66.0</v>
      </c>
      <c r="C80" s="1">
        <v>905.0</v>
      </c>
      <c r="D80" s="1" t="s">
        <v>45</v>
      </c>
      <c r="E80" s="1">
        <v>0.0</v>
      </c>
      <c r="F80" s="1">
        <v>0.0</v>
      </c>
      <c r="G80" s="1">
        <v>0.0</v>
      </c>
      <c r="H80" s="10">
        <v>45695.63537037037</v>
      </c>
      <c r="I80" s="1">
        <v>-0.13</v>
      </c>
      <c r="J80" s="1">
        <v>12.97</v>
      </c>
      <c r="K80" s="1">
        <v>1.0</v>
      </c>
      <c r="L80" s="1">
        <f t="shared" si="1"/>
        <v>-0.13</v>
      </c>
      <c r="M80" s="1" t="str">
        <f t="shared" si="2"/>
        <v>&lt;0.08</v>
      </c>
    </row>
    <row r="81" ht="14.25" customHeight="1">
      <c r="A81" s="1" t="s">
        <v>38</v>
      </c>
      <c r="B81" s="1">
        <v>67.0</v>
      </c>
      <c r="C81" s="1">
        <v>905.0</v>
      </c>
      <c r="D81" s="1" t="s">
        <v>45</v>
      </c>
      <c r="E81" s="1">
        <v>0.0</v>
      </c>
      <c r="F81" s="1">
        <v>0.0</v>
      </c>
      <c r="G81" s="1">
        <v>0.0</v>
      </c>
      <c r="H81" s="10">
        <v>45695.636296296296</v>
      </c>
      <c r="I81" s="1">
        <v>-0.15</v>
      </c>
      <c r="J81" s="1">
        <v>11.8</v>
      </c>
      <c r="K81" s="1">
        <v>1.0</v>
      </c>
      <c r="L81" s="1">
        <f t="shared" si="1"/>
        <v>-0.15</v>
      </c>
      <c r="M81" s="1" t="str">
        <f t="shared" si="2"/>
        <v>&lt;0.08</v>
      </c>
    </row>
    <row r="82" ht="14.25" customHeight="1">
      <c r="A82" s="1" t="s">
        <v>38</v>
      </c>
      <c r="B82" s="1">
        <v>68.0</v>
      </c>
      <c r="C82" s="1">
        <v>905.0</v>
      </c>
      <c r="D82" s="1" t="s">
        <v>45</v>
      </c>
      <c r="E82" s="1">
        <v>0.0</v>
      </c>
      <c r="F82" s="1">
        <v>0.0</v>
      </c>
      <c r="G82" s="1">
        <v>0.0</v>
      </c>
      <c r="H82" s="10">
        <v>45695.63722222222</v>
      </c>
      <c r="I82" s="1">
        <v>-0.17</v>
      </c>
      <c r="J82" s="1">
        <v>10.93</v>
      </c>
      <c r="K82" s="1">
        <v>1.0</v>
      </c>
      <c r="L82" s="1">
        <f t="shared" si="1"/>
        <v>-0.17</v>
      </c>
      <c r="M82" s="1" t="str">
        <f t="shared" si="2"/>
        <v>&lt;0.08</v>
      </c>
    </row>
    <row r="83" ht="14.25" customHeight="1">
      <c r="A83" s="1" t="s">
        <v>38</v>
      </c>
      <c r="B83" s="1">
        <v>69.0</v>
      </c>
      <c r="C83" s="1">
        <v>905.0</v>
      </c>
      <c r="D83" s="1" t="s">
        <v>45</v>
      </c>
      <c r="E83" s="1">
        <v>0.0</v>
      </c>
      <c r="F83" s="1">
        <v>0.0</v>
      </c>
      <c r="G83" s="1">
        <v>0.0</v>
      </c>
      <c r="H83" s="10">
        <v>45695.63814814815</v>
      </c>
      <c r="I83" s="1">
        <v>-0.19</v>
      </c>
      <c r="J83" s="1">
        <v>9.91</v>
      </c>
      <c r="K83" s="1">
        <v>1.0</v>
      </c>
      <c r="L83" s="1">
        <f t="shared" si="1"/>
        <v>-0.19</v>
      </c>
      <c r="M83" s="1" t="str">
        <f t="shared" si="2"/>
        <v>&lt;0.08</v>
      </c>
    </row>
    <row r="84" ht="14.25" customHeight="1">
      <c r="A84" s="1" t="s">
        <v>38</v>
      </c>
      <c r="B84" s="1">
        <v>70.0</v>
      </c>
      <c r="C84" s="1">
        <v>905.0</v>
      </c>
      <c r="D84" s="1" t="s">
        <v>45</v>
      </c>
      <c r="E84" s="1">
        <v>0.0</v>
      </c>
      <c r="F84" s="1">
        <v>0.0</v>
      </c>
      <c r="G84" s="1">
        <v>0.0</v>
      </c>
      <c r="H84" s="10">
        <v>45695.639074074075</v>
      </c>
      <c r="I84" s="1">
        <v>-0.2</v>
      </c>
      <c r="J84" s="1">
        <v>9.54</v>
      </c>
      <c r="K84" s="1">
        <v>1.0</v>
      </c>
      <c r="L84" s="1">
        <f t="shared" si="1"/>
        <v>-0.2</v>
      </c>
      <c r="M84" s="1" t="str">
        <f t="shared" si="2"/>
        <v>&lt;0.08</v>
      </c>
    </row>
    <row r="85" ht="14.25" customHeight="1">
      <c r="A85" s="1" t="s">
        <v>38</v>
      </c>
      <c r="B85" s="1">
        <v>71.0</v>
      </c>
      <c r="C85" s="1">
        <v>905.0</v>
      </c>
      <c r="D85" s="1" t="s">
        <v>45</v>
      </c>
      <c r="E85" s="1">
        <v>0.0</v>
      </c>
      <c r="F85" s="1">
        <v>0.0</v>
      </c>
      <c r="G85" s="1">
        <v>0.0</v>
      </c>
      <c r="H85" s="10">
        <v>45695.64</v>
      </c>
      <c r="I85" s="1">
        <v>-0.21</v>
      </c>
      <c r="J85" s="1">
        <v>9.2</v>
      </c>
      <c r="K85" s="1">
        <v>1.0</v>
      </c>
      <c r="L85" s="1">
        <f t="shared" si="1"/>
        <v>-0.21</v>
      </c>
      <c r="M85" s="1" t="str">
        <f t="shared" si="2"/>
        <v>&lt;0.08</v>
      </c>
    </row>
    <row r="86" ht="14.25" customHeight="1">
      <c r="A86" s="1" t="s">
        <v>38</v>
      </c>
      <c r="B86" s="1">
        <v>72.0</v>
      </c>
      <c r="C86" s="1">
        <v>905.0</v>
      </c>
      <c r="D86" s="1" t="s">
        <v>45</v>
      </c>
      <c r="E86" s="1">
        <v>0.0</v>
      </c>
      <c r="F86" s="1">
        <v>0.0</v>
      </c>
      <c r="G86" s="1">
        <v>0.0</v>
      </c>
      <c r="H86" s="10">
        <v>45695.64092592592</v>
      </c>
      <c r="I86" s="1">
        <v>-0.2</v>
      </c>
      <c r="J86" s="1">
        <v>9.54</v>
      </c>
      <c r="K86" s="1">
        <v>1.0</v>
      </c>
      <c r="L86" s="1">
        <f t="shared" si="1"/>
        <v>-0.2</v>
      </c>
      <c r="M86" s="1" t="str">
        <f t="shared" si="2"/>
        <v>&lt;0.08</v>
      </c>
    </row>
    <row r="87" ht="14.25" customHeight="1">
      <c r="A87" s="1" t="s">
        <v>38</v>
      </c>
      <c r="B87" s="1">
        <v>73.0</v>
      </c>
      <c r="C87" s="1">
        <v>905.0</v>
      </c>
      <c r="D87" s="1" t="s">
        <v>45</v>
      </c>
      <c r="E87" s="1">
        <v>0.0</v>
      </c>
      <c r="F87" s="1">
        <v>0.0</v>
      </c>
      <c r="G87" s="1">
        <v>0.0</v>
      </c>
      <c r="H87" s="10">
        <v>45695.641851851855</v>
      </c>
      <c r="I87" s="1">
        <v>-0.22</v>
      </c>
      <c r="J87" s="1">
        <v>8.71</v>
      </c>
      <c r="K87" s="1">
        <v>1.0</v>
      </c>
      <c r="L87" s="1">
        <f t="shared" si="1"/>
        <v>-0.22</v>
      </c>
      <c r="M87" s="1" t="str">
        <f t="shared" si="2"/>
        <v>&lt;0.08</v>
      </c>
    </row>
    <row r="88" ht="14.25" customHeight="1">
      <c r="A88" s="1" t="s">
        <v>55</v>
      </c>
      <c r="B88" s="1">
        <v>74.0</v>
      </c>
      <c r="C88" s="1">
        <v>906.0</v>
      </c>
      <c r="D88" s="1" t="s">
        <v>47</v>
      </c>
      <c r="E88" s="1">
        <v>0.0</v>
      </c>
      <c r="F88" s="1">
        <v>0.0</v>
      </c>
      <c r="G88" s="1">
        <v>1.0</v>
      </c>
      <c r="H88" s="10">
        <v>45695.64277777778</v>
      </c>
      <c r="I88" s="1">
        <v>0.83</v>
      </c>
      <c r="J88" s="1">
        <v>58.39</v>
      </c>
      <c r="K88" s="1">
        <v>1.0</v>
      </c>
      <c r="L88" s="1">
        <f t="shared" si="1"/>
        <v>0.83</v>
      </c>
      <c r="M88" s="1">
        <f t="shared" si="2"/>
        <v>0.83</v>
      </c>
    </row>
    <row r="89" ht="14.25" customHeight="1">
      <c r="A89" s="1" t="s">
        <v>48</v>
      </c>
      <c r="B89" s="1">
        <v>75.0</v>
      </c>
      <c r="C89" s="1">
        <v>907.0</v>
      </c>
      <c r="D89" s="1" t="s">
        <v>49</v>
      </c>
      <c r="E89" s="1">
        <v>0.0</v>
      </c>
      <c r="F89" s="1">
        <v>0.0</v>
      </c>
      <c r="G89" s="1">
        <v>0.0</v>
      </c>
      <c r="H89" s="10">
        <v>45695.6437037037</v>
      </c>
      <c r="I89" s="1">
        <v>1.3</v>
      </c>
      <c r="J89" s="1">
        <v>80.64</v>
      </c>
      <c r="K89" s="1">
        <v>1.0</v>
      </c>
      <c r="L89" s="1">
        <f t="shared" si="1"/>
        <v>1.3</v>
      </c>
      <c r="M89" s="1">
        <f t="shared" si="2"/>
        <v>1.3</v>
      </c>
    </row>
    <row r="90" ht="14.25" customHeight="1">
      <c r="A90" s="1" t="s">
        <v>39</v>
      </c>
      <c r="B90" s="1">
        <v>76.0</v>
      </c>
      <c r="C90" s="1">
        <v>0.0</v>
      </c>
      <c r="D90" s="1" t="s">
        <v>40</v>
      </c>
      <c r="E90" s="1">
        <v>0.0</v>
      </c>
      <c r="F90" s="1">
        <v>0.0</v>
      </c>
      <c r="G90" s="1">
        <v>0.0</v>
      </c>
      <c r="H90" s="10">
        <v>45695.64462962963</v>
      </c>
      <c r="I90" s="1">
        <v>-0.4</v>
      </c>
      <c r="J90" s="1">
        <v>0.0</v>
      </c>
      <c r="K90" s="1">
        <v>1.0</v>
      </c>
      <c r="L90" s="1">
        <f t="shared" si="1"/>
        <v>-0.4</v>
      </c>
      <c r="M90" s="1" t="str">
        <f t="shared" si="2"/>
        <v>&lt;0.08</v>
      </c>
    </row>
    <row r="91" ht="14.25" customHeight="1">
      <c r="A91" s="1" t="s">
        <v>35</v>
      </c>
      <c r="B91" s="1">
        <v>77.0</v>
      </c>
      <c r="C91" s="1">
        <v>921.0</v>
      </c>
      <c r="D91" s="1" t="s">
        <v>36</v>
      </c>
      <c r="E91" s="1">
        <v>0.0</v>
      </c>
      <c r="F91" s="1">
        <v>0.0</v>
      </c>
      <c r="G91" s="1">
        <v>0.0</v>
      </c>
      <c r="H91" s="10">
        <v>45695.64740740741</v>
      </c>
      <c r="I91" s="1">
        <v>2.29</v>
      </c>
      <c r="J91" s="1">
        <v>127.53</v>
      </c>
      <c r="K91" s="1">
        <v>1.0</v>
      </c>
      <c r="L91" s="1">
        <f t="shared" si="1"/>
        <v>2.29</v>
      </c>
      <c r="M91" s="1">
        <f t="shared" si="2"/>
        <v>2.29</v>
      </c>
    </row>
    <row r="92" ht="14.25" customHeight="1">
      <c r="A92" s="1" t="s">
        <v>56</v>
      </c>
      <c r="B92" s="1">
        <v>78.0</v>
      </c>
      <c r="C92" s="1">
        <v>0.0</v>
      </c>
      <c r="D92" s="1" t="s">
        <v>57</v>
      </c>
      <c r="E92" s="1">
        <v>0.0</v>
      </c>
      <c r="F92" s="1">
        <v>0.0</v>
      </c>
      <c r="G92" s="1">
        <v>0.0</v>
      </c>
      <c r="H92" s="10">
        <v>45695.64833333333</v>
      </c>
      <c r="I92" s="1">
        <v>-0.4</v>
      </c>
      <c r="J92" s="1">
        <v>0.0</v>
      </c>
      <c r="K92" s="1">
        <v>1.0</v>
      </c>
      <c r="L92" s="1">
        <f t="shared" si="1"/>
        <v>-0.4</v>
      </c>
      <c r="M92" s="1" t="str">
        <f t="shared" si="2"/>
        <v>&lt;0.08</v>
      </c>
    </row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2025-02-13T14:14:26Z</dcterms:created>
  <dc:creator>Carla L Mejias Rivera</dc:creator>
</cp:coreProperties>
</file>