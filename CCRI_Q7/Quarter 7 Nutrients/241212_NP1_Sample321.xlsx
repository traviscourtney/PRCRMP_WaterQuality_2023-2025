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1212_NP1_Sample321" sheetId="1" r:id="rId4"/>
  </sheets>
  <definedNames/>
  <calcPr/>
  <extLst>
    <ext uri="GoogleSheetsCustomDataVersion2">
      <go:sheetsCustomData xmlns:go="http://customooxmlschemas.google.com/" r:id="rId5" roundtripDataChecksum="Hx98seynvoLcZb/i8xTSAyKd/NKt9Fs/mrC6EGgtOKU="/>
    </ext>
  </extLst>
</workbook>
</file>

<file path=xl/sharedStrings.xml><?xml version="1.0" encoding="utf-8"?>
<sst xmlns="http://schemas.openxmlformats.org/spreadsheetml/2006/main" count="57" uniqueCount="49">
  <si>
    <t>ANAL</t>
  </si>
  <si>
    <t>NOx_PO4.ANL</t>
  </si>
  <si>
    <t xml:space="preserve">RUN </t>
  </si>
  <si>
    <t>241212_NP1_Sample321.RUN</t>
  </si>
  <si>
    <t>DATE</t>
  </si>
  <si>
    <t>TIME</t>
  </si>
  <si>
    <t>OPER</t>
  </si>
  <si>
    <t>CLMR</t>
  </si>
  <si>
    <t>COMM</t>
  </si>
  <si>
    <t>Sample appeared "soapy"</t>
  </si>
  <si>
    <t>CHAN</t>
  </si>
  <si>
    <t>METH</t>
  </si>
  <si>
    <t>NOx</t>
  </si>
  <si>
    <t>PO4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</si>
  <si>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</si>
  <si>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</si>
  <si>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</si>
  <si>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</si>
  <si>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</si>
  <si>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</si>
  <si>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</si>
  <si>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</si>
  <si>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</si>
  <si>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</si>
  <si>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</si>
  <si>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</si>
  <si>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</si>
  <si>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</si>
  <si>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</si>
  <si>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</si>
  <si>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</si>
  <si>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</si>
  <si>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</si>
  <si>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</si>
  <si>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</si>
  <si>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</si>
  <si>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</si>
  <si>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</si>
  <si>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</si>
  <si>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</si>
  <si>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SAMP</t>
  </si>
  <si>
    <t>Blank</t>
  </si>
  <si>
    <t>CRM 7/15 [0.15/0.03]</t>
  </si>
  <si>
    <t>QUAL</t>
  </si>
  <si>
    <t>CRM 4/30 [0.15/0.03]</t>
  </si>
  <si>
    <t>Baseline</t>
  </si>
  <si>
    <t>BASL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</si>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</sst>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2">
        <v>45638.0</v>
      </c>
    </row>
    <row r="4" ht="14.25" customHeight="1">
      <c r="A4" s="1" t="s">
        <v>5</v>
      </c>
      <c r="B4" s="3">
        <v>0.6731481481481482</v>
      </c>
    </row>
    <row r="5" ht="14.25" customHeight="1">
      <c r="A5" s="1" t="s">
        <v>6</v>
      </c>
      <c r="B5" s="1" t="s">
        <v>7</v>
      </c>
    </row>
    <row r="6" ht="14.25" customHeight="1">
      <c r="A6" s="1" t="s">
        <v>8</v>
      </c>
      <c r="B6" s="1" t="s">
        <v>9</v>
      </c>
    </row>
    <row r="7" ht="14.25" customHeight="1">
      <c r="A7" s="1" t="s">
        <v>10</v>
      </c>
      <c r="B7" s="1">
        <v>1.0</v>
      </c>
      <c r="C7" s="1">
        <v>3.0</v>
      </c>
      <c r="D7" s="1">
        <v>2.0</v>
      </c>
    </row>
    <row r="8" ht="14.25" customHeight="1">
      <c r="A8" s="1" t="s">
        <v>11</v>
      </c>
      <c r="B8" s="1" t="s">
        <v>12</v>
      </c>
      <c r="C8" s="1" t="s">
        <v>13</v>
      </c>
      <c r="D8" s="1" t="s">
        <v>14</v>
      </c>
    </row>
    <row r="9" ht="14.25" customHeight="1">
      <c r="A9" s="1" t="s">
        <v>15</v>
      </c>
      <c r="B9" s="1" t="s">
        <v>16</v>
      </c>
      <c r="C9" s="1" t="s">
        <v>16</v>
      </c>
      <c r="D9" s="1" t="s">
        <v>16</v>
      </c>
    </row>
    <row r="10" ht="14.25" customHeight="1">
      <c r="A10" s="1" t="s">
        <v>17</v>
      </c>
      <c r="B10" s="1">
        <v>158.0</v>
      </c>
      <c r="C10" s="1">
        <v>4879.0</v>
      </c>
    </row>
    <row r="11" ht="14.25" customHeight="1">
      <c r="A11" s="1" t="s">
        <v>18</v>
      </c>
      <c r="J11" s="1">
        <v>22.0</v>
      </c>
      <c r="K11" s="1">
        <v>101.0</v>
      </c>
    </row>
    <row r="12" ht="14.25" customHeight="1">
      <c r="A12" s="1" t="s">
        <v>19</v>
      </c>
      <c r="B12" s="1" t="s">
        <v>20</v>
      </c>
      <c r="C12" s="1" t="s">
        <v>20</v>
      </c>
    </row>
    <row r="13" ht="14.25" customHeight="1">
      <c r="A13" s="1" t="s">
        <v>21</v>
      </c>
      <c r="B13" s="1">
        <v>0.9999</v>
      </c>
      <c r="C13" s="1">
        <v>0.9999</v>
      </c>
    </row>
    <row r="14" ht="14.25" customHeight="1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4" t="s">
        <v>32</v>
      </c>
      <c r="O14" s="4" t="s">
        <v>33</v>
      </c>
      <c r="P14" s="5" t="s">
        <v>34</v>
      </c>
      <c r="Q14" s="5" t="s">
        <v>35</v>
      </c>
    </row>
    <row r="15" ht="14.25" customHeight="1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6">
        <v>45638.67390046296</v>
      </c>
      <c r="I15" s="1">
        <v>0.196</v>
      </c>
      <c r="J15" s="1">
        <v>364.76</v>
      </c>
      <c r="K15" s="1">
        <v>0.198</v>
      </c>
      <c r="L15" s="1">
        <v>83.28</v>
      </c>
      <c r="M15" s="1">
        <v>1.0</v>
      </c>
      <c r="N15" s="1">
        <f t="shared" ref="N15:N23" si="1">I15</f>
        <v>0.196</v>
      </c>
      <c r="O15" s="1">
        <f t="shared" ref="O15:O23" si="2">K15</f>
        <v>0.198</v>
      </c>
      <c r="P15" s="1">
        <f t="shared" ref="P15:P23" si="3">IF(N15&lt;0.001,"&lt;0.001",N15)</f>
        <v>0.196</v>
      </c>
      <c r="Q15" s="1">
        <f t="shared" ref="Q15:Q23" si="4">IF(O15&lt;0.002,"&lt;0.002",O15)</f>
        <v>0.198</v>
      </c>
    </row>
    <row r="16" ht="14.25" customHeight="1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6">
        <v>45638.67471064815</v>
      </c>
      <c r="I16" s="1">
        <v>0.198</v>
      </c>
      <c r="J16" s="1">
        <v>370.17</v>
      </c>
      <c r="K16" s="1">
        <v>0.199</v>
      </c>
      <c r="L16" s="1">
        <v>83.7</v>
      </c>
      <c r="M16" s="1">
        <v>1.0</v>
      </c>
      <c r="N16" s="1">
        <f t="shared" si="1"/>
        <v>0.198</v>
      </c>
      <c r="O16" s="1">
        <f t="shared" si="2"/>
        <v>0.199</v>
      </c>
      <c r="P16" s="1">
        <f t="shared" si="3"/>
        <v>0.198</v>
      </c>
      <c r="Q16" s="1">
        <f t="shared" si="4"/>
        <v>0.199</v>
      </c>
    </row>
    <row r="17" ht="14.25" customHeight="1">
      <c r="A17" s="1">
        <v>321.0</v>
      </c>
      <c r="B17" s="1">
        <v>3.0</v>
      </c>
      <c r="C17" s="1">
        <v>910.0</v>
      </c>
      <c r="D17" s="1" t="s">
        <v>40</v>
      </c>
      <c r="E17" s="1">
        <v>0.0</v>
      </c>
      <c r="F17" s="1">
        <v>0.0</v>
      </c>
      <c r="G17" s="1">
        <v>0.0</v>
      </c>
      <c r="H17" s="6">
        <v>45638.675520833334</v>
      </c>
      <c r="I17" s="1">
        <v>0.004</v>
      </c>
      <c r="J17" s="1">
        <v>13.3</v>
      </c>
      <c r="K17" s="1">
        <v>0.0</v>
      </c>
      <c r="L17" s="1">
        <v>-4.76</v>
      </c>
      <c r="M17" s="1">
        <v>1.0</v>
      </c>
      <c r="N17" s="1">
        <f t="shared" si="1"/>
        <v>0.004</v>
      </c>
      <c r="O17" s="1">
        <f t="shared" si="2"/>
        <v>0</v>
      </c>
      <c r="P17" s="1">
        <f t="shared" si="3"/>
        <v>0.004</v>
      </c>
      <c r="Q17" s="1" t="str">
        <f t="shared" si="4"/>
        <v>&lt;0.002</v>
      </c>
    </row>
    <row r="18" ht="14.25" customHeight="1">
      <c r="A18" s="1" t="s">
        <v>41</v>
      </c>
      <c r="B18" s="1">
        <v>4.0</v>
      </c>
      <c r="C18" s="1">
        <v>906.0</v>
      </c>
      <c r="D18" s="1" t="s">
        <v>40</v>
      </c>
      <c r="E18" s="1">
        <v>0.0</v>
      </c>
      <c r="F18" s="1">
        <v>0.0</v>
      </c>
      <c r="G18" s="1">
        <v>0.0</v>
      </c>
      <c r="H18" s="6">
        <v>45638.67633101852</v>
      </c>
      <c r="I18" s="1">
        <v>-0.001</v>
      </c>
      <c r="J18" s="1">
        <v>2.78</v>
      </c>
      <c r="K18" s="1">
        <v>0.0</v>
      </c>
      <c r="L18" s="1">
        <v>-4.76</v>
      </c>
      <c r="M18" s="1">
        <v>1.0</v>
      </c>
      <c r="N18" s="1">
        <f t="shared" si="1"/>
        <v>-0.001</v>
      </c>
      <c r="O18" s="1">
        <f t="shared" si="2"/>
        <v>0</v>
      </c>
      <c r="P18" s="1" t="str">
        <f t="shared" si="3"/>
        <v>&lt;0.001</v>
      </c>
      <c r="Q18" s="1" t="str">
        <f t="shared" si="4"/>
        <v>&lt;0.002</v>
      </c>
    </row>
    <row r="19" ht="14.25" customHeight="1">
      <c r="A19" s="1" t="s">
        <v>42</v>
      </c>
      <c r="B19" s="1">
        <v>5.0</v>
      </c>
      <c r="C19" s="1">
        <v>908.0</v>
      </c>
      <c r="D19" s="1" t="s">
        <v>43</v>
      </c>
      <c r="E19" s="1">
        <v>0.0</v>
      </c>
      <c r="F19" s="1">
        <v>0.0</v>
      </c>
      <c r="G19" s="1">
        <v>0.0</v>
      </c>
      <c r="H19" s="6">
        <v>45638.677141203705</v>
      </c>
      <c r="I19" s="1">
        <v>0.148</v>
      </c>
      <c r="J19" s="1">
        <v>277.94</v>
      </c>
      <c r="K19" s="1">
        <v>0.023</v>
      </c>
      <c r="L19" s="1">
        <v>11.79</v>
      </c>
      <c r="M19" s="1">
        <v>1.0</v>
      </c>
      <c r="N19" s="1">
        <f t="shared" si="1"/>
        <v>0.148</v>
      </c>
      <c r="O19" s="1">
        <f t="shared" si="2"/>
        <v>0.023</v>
      </c>
      <c r="P19" s="1">
        <f t="shared" si="3"/>
        <v>0.148</v>
      </c>
      <c r="Q19" s="1">
        <f t="shared" si="4"/>
        <v>0.023</v>
      </c>
    </row>
    <row r="20" ht="14.25" customHeight="1">
      <c r="A20" s="1" t="s">
        <v>44</v>
      </c>
      <c r="B20" s="1">
        <v>6.0</v>
      </c>
      <c r="C20" s="1">
        <v>909.0</v>
      </c>
      <c r="D20" s="1" t="s">
        <v>43</v>
      </c>
      <c r="E20" s="1">
        <v>0.0</v>
      </c>
      <c r="F20" s="1">
        <v>0.0</v>
      </c>
      <c r="G20" s="1">
        <v>0.0</v>
      </c>
      <c r="H20" s="6">
        <v>45638.67795138889</v>
      </c>
      <c r="I20" s="1">
        <v>0.148</v>
      </c>
      <c r="J20" s="1">
        <v>277.9</v>
      </c>
      <c r="K20" s="1">
        <v>0.026</v>
      </c>
      <c r="L20" s="1">
        <v>13.06</v>
      </c>
      <c r="M20" s="1">
        <v>1.0</v>
      </c>
      <c r="N20" s="1">
        <f t="shared" si="1"/>
        <v>0.148</v>
      </c>
      <c r="O20" s="1">
        <f t="shared" si="2"/>
        <v>0.026</v>
      </c>
      <c r="P20" s="1">
        <f t="shared" si="3"/>
        <v>0.148</v>
      </c>
      <c r="Q20" s="1">
        <f t="shared" si="4"/>
        <v>0.026</v>
      </c>
    </row>
    <row r="21" ht="14.25" customHeight="1">
      <c r="A21" s="1" t="s">
        <v>45</v>
      </c>
      <c r="B21" s="1">
        <v>7.0</v>
      </c>
      <c r="C21" s="1">
        <v>0.0</v>
      </c>
      <c r="D21" s="1" t="s">
        <v>46</v>
      </c>
      <c r="E21" s="1">
        <v>0.0</v>
      </c>
      <c r="F21" s="1">
        <v>0.0</v>
      </c>
      <c r="G21" s="1">
        <v>0.0</v>
      </c>
      <c r="H21" s="6">
        <v>45638.678761574076</v>
      </c>
      <c r="I21" s="1">
        <v>-0.003</v>
      </c>
      <c r="J21" s="1">
        <v>0.0</v>
      </c>
      <c r="K21" s="1">
        <v>-0.006</v>
      </c>
      <c r="L21" s="1">
        <v>0.0</v>
      </c>
      <c r="M21" s="1">
        <v>1.0</v>
      </c>
      <c r="N21" s="1">
        <f t="shared" si="1"/>
        <v>-0.003</v>
      </c>
      <c r="O21" s="1">
        <f t="shared" si="2"/>
        <v>-0.006</v>
      </c>
      <c r="P21" s="1" t="str">
        <f t="shared" si="3"/>
        <v>&lt;0.001</v>
      </c>
      <c r="Q21" s="1" t="str">
        <f t="shared" si="4"/>
        <v>&lt;0.002</v>
      </c>
    </row>
    <row r="22" ht="14.25" customHeight="1">
      <c r="A22" s="1" t="s">
        <v>38</v>
      </c>
      <c r="B22" s="1">
        <v>8.0</v>
      </c>
      <c r="C22" s="1">
        <v>921.0</v>
      </c>
      <c r="D22" s="1" t="s">
        <v>39</v>
      </c>
      <c r="E22" s="1">
        <v>0.0</v>
      </c>
      <c r="F22" s="1">
        <v>0.0</v>
      </c>
      <c r="G22" s="1">
        <v>0.0</v>
      </c>
      <c r="H22" s="6">
        <v>45638.68119212963</v>
      </c>
      <c r="I22" s="1">
        <v>0.198</v>
      </c>
      <c r="J22" s="1">
        <v>370.17</v>
      </c>
      <c r="K22" s="1">
        <v>0.199</v>
      </c>
      <c r="L22" s="1">
        <v>83.7</v>
      </c>
      <c r="M22" s="1">
        <v>1.0</v>
      </c>
      <c r="N22" s="1">
        <f t="shared" si="1"/>
        <v>0.198</v>
      </c>
      <c r="O22" s="1">
        <f t="shared" si="2"/>
        <v>0.199</v>
      </c>
      <c r="P22" s="1">
        <f t="shared" si="3"/>
        <v>0.198</v>
      </c>
      <c r="Q22" s="1">
        <f t="shared" si="4"/>
        <v>0.199</v>
      </c>
    </row>
    <row r="23" ht="14.25" customHeight="1">
      <c r="A23" s="1" t="s">
        <v>47</v>
      </c>
      <c r="B23" s="1">
        <v>9.0</v>
      </c>
      <c r="C23" s="1">
        <v>0.0</v>
      </c>
      <c r="D23" s="1" t="s">
        <v>48</v>
      </c>
      <c r="E23" s="1">
        <v>0.0</v>
      </c>
      <c r="F23" s="1">
        <v>0.0</v>
      </c>
      <c r="G23" s="1">
        <v>0.0</v>
      </c>
      <c r="H23" s="6">
        <v>45638.68200231482</v>
      </c>
      <c r="I23" s="1">
        <v>-0.003</v>
      </c>
      <c r="J23" s="1">
        <v>0.0</v>
      </c>
      <c r="K23" s="1">
        <v>-0.006</v>
      </c>
      <c r="L23" s="1">
        <v>0.0</v>
      </c>
      <c r="M23" s="1">
        <v>1.0</v>
      </c>
      <c r="N23" s="1">
        <f t="shared" si="1"/>
        <v>-0.003</v>
      </c>
      <c r="O23" s="1">
        <f t="shared" si="2"/>
        <v>-0.006</v>
      </c>
      <c r="P23" s="1" t="str">
        <f t="shared" si="3"/>
        <v>&lt;0.001</v>
      </c>
      <c r="Q23" s="1" t="str">
        <f t="shared" si="4"/>
        <v>&lt;0.002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2024-12-12T21:20:05Z</dcterms:created>
  <dc:creator>Carla L Mejias Rivera</dc:creator>
</cp:coreProperties>
</file>