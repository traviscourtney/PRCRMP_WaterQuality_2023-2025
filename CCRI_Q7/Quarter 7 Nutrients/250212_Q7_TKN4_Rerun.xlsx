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0212_Q7_TKN4_Rerun" sheetId="1" r:id="rId4"/>
  </sheets>
  <definedNames/>
  <calcPr/>
  <extLst>
    <ext uri="GoogleSheetsCustomDataVersion2">
      <go:sheetsCustomData xmlns:go="http://customooxmlschemas.google.com/" r:id="rId5" roundtripDataChecksum="RHX/qsLc9x0iYM7x6S3Fw6EhJJ8TcSKklRRB5VL76+k="/>
    </ext>
  </extLst>
</workbook>
</file>

<file path=xl/sharedStrings.xml><?xml version="1.0" encoding="utf-8"?>
<sst xmlns="http://schemas.openxmlformats.org/spreadsheetml/2006/main" count="91" uniqueCount="53">
  <si>
    <t>ANAL</t>
  </si>
  <si>
    <t>TKN.ANL</t>
  </si>
  <si>
    <t xml:space="preserve">RUN </t>
  </si>
  <si>
    <t>250212_Q7_TKN4_Rerun.RUN</t>
  </si>
  <si>
    <t>DATE</t>
  </si>
  <si>
    <t>TKN</t>
  </si>
  <si>
    <t>TIME</t>
  </si>
  <si>
    <t>LOD</t>
  </si>
  <si>
    <t>T statistic of 3.365 for 6 blanks instead of 10</t>
  </si>
  <si>
    <t>OPER</t>
  </si>
  <si>
    <t>CLMR</t>
  </si>
  <si>
    <t>COMM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</si>
  <si>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</si>
  <si>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</si>
  <si>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</si>
  <si>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</si>
  <si>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</si>
  <si>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</si>
  <si>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</si>
  <si>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</si>
  <si>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</si>
  <si>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</si>
  <si>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</si>
  <si>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</si>
  <si>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</si>
  <si>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</si>
  <si>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</si>
  <si>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</si>
  <si>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</si>
  <si>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</si>
  <si>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2</t>
  </si>
  <si>
    <t>TKN_mg/L</t>
  </si>
  <si>
    <t>TKN_LOD</t>
  </si>
  <si>
    <t>Primer</t>
  </si>
  <si>
    <t>PRIM</t>
  </si>
  <si>
    <t>Drift</t>
  </si>
  <si>
    <t>DRIF</t>
  </si>
  <si>
    <t>High</t>
  </si>
  <si>
    <t>HIGH</t>
  </si>
  <si>
    <t>Low</t>
  </si>
  <si>
    <t xml:space="preserve">LOW </t>
  </si>
  <si>
    <t>Blank</t>
  </si>
  <si>
    <t>SAMP</t>
  </si>
  <si>
    <t>Blank Spike</t>
  </si>
  <si>
    <t>SPIK</t>
  </si>
  <si>
    <t>CRM [1.5 mg/L]</t>
  </si>
  <si>
    <t>QUAL</t>
  </si>
  <si>
    <t>Baseline</t>
  </si>
  <si>
    <t>BASL</t>
  </si>
  <si>
    <t>465 spiked</t>
  </si>
  <si>
    <t>Blank spiked</t>
  </si>
  <si>
    <t>End</t>
  </si>
  <si>
    <t xml:space="preserve">END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</si>
</sst>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00000"/>
    <numFmt numFmtId="165" formatCode="0.000"/>
  </numFmts>
  <fonts count="6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9C5700"/>
      <name val="Arial"/>
    </font>
    <font>
      <sz val="11.0"/>
      <color rgb="FF9C5700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2" fontId="2" numFmtId="164" xfId="0" applyAlignment="1" applyBorder="1" applyFill="1" applyFont="1" applyNumberFormat="1">
      <alignment vertical="bottom"/>
    </xf>
    <xf borderId="2" fillId="2" fontId="3" numFmtId="164" xfId="0" applyAlignment="1" applyBorder="1" applyFont="1" applyNumberFormat="1">
      <alignment horizontal="center" vertical="bottom"/>
    </xf>
    <xf borderId="0" fillId="0" fontId="2" numFmtId="19" xfId="0" applyFont="1" applyNumberFormat="1"/>
    <xf borderId="3" fillId="2" fontId="4" numFmtId="164" xfId="0" applyAlignment="1" applyBorder="1" applyFont="1" applyNumberFormat="1">
      <alignment horizontal="center" vertical="bottom"/>
    </xf>
    <xf borderId="4" fillId="2" fontId="4" numFmtId="165" xfId="0" applyAlignment="1" applyBorder="1" applyFont="1" applyNumberFormat="1">
      <alignment horizontal="center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vertical="bottom"/>
    </xf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8.63"/>
    <col customWidth="1" min="12" max="12" width="9.75"/>
    <col customWidth="1" min="13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2">
        <v>45700.0</v>
      </c>
      <c r="F3" s="3"/>
      <c r="G3" s="4" t="s">
        <v>5</v>
      </c>
    </row>
    <row r="4" ht="14.25" customHeight="1">
      <c r="A4" s="1" t="s">
        <v>6</v>
      </c>
      <c r="B4" s="5">
        <v>0.6884259259259259</v>
      </c>
      <c r="F4" s="6" t="s">
        <v>7</v>
      </c>
      <c r="G4" s="7">
        <f>STDEV(I37:I42)*3.365</f>
        <v>0.1851259778</v>
      </c>
      <c r="H4" s="8" t="s">
        <v>8</v>
      </c>
    </row>
    <row r="5" ht="14.25" customHeight="1">
      <c r="A5" s="1" t="s">
        <v>9</v>
      </c>
      <c r="B5" s="1" t="s">
        <v>10</v>
      </c>
    </row>
    <row r="6" ht="14.25" customHeight="1">
      <c r="A6" s="1" t="s">
        <v>11</v>
      </c>
    </row>
    <row r="7" ht="14.25" customHeight="1">
      <c r="A7" s="1" t="s">
        <v>12</v>
      </c>
      <c r="B7" s="1">
        <v>1.0</v>
      </c>
      <c r="C7" s="1">
        <v>2.0</v>
      </c>
    </row>
    <row r="8" ht="14.25" customHeight="1">
      <c r="A8" s="1" t="s">
        <v>13</v>
      </c>
      <c r="B8" s="1" t="s">
        <v>5</v>
      </c>
      <c r="C8" s="1" t="s">
        <v>14</v>
      </c>
    </row>
    <row r="9" ht="14.25" customHeight="1">
      <c r="A9" s="1" t="s">
        <v>15</v>
      </c>
      <c r="B9" s="1" t="s">
        <v>16</v>
      </c>
      <c r="C9" s="1" t="s">
        <v>16</v>
      </c>
    </row>
    <row r="10" ht="14.25" customHeight="1">
      <c r="A10" s="1" t="s">
        <v>17</v>
      </c>
      <c r="B10" s="1">
        <v>-2539.0</v>
      </c>
    </row>
    <row r="11" ht="14.25" customHeight="1">
      <c r="A11" s="1" t="s">
        <v>18</v>
      </c>
      <c r="J11" s="1">
        <v>71.0</v>
      </c>
    </row>
    <row r="12" ht="14.25" customHeight="1">
      <c r="A12" s="1" t="s">
        <v>19</v>
      </c>
      <c r="B12" s="1" t="s">
        <v>20</v>
      </c>
    </row>
    <row r="13" ht="14.25" customHeight="1">
      <c r="A13" s="1" t="s">
        <v>21</v>
      </c>
      <c r="B13" s="1">
        <v>0.9979</v>
      </c>
    </row>
    <row r="14" ht="14.25" customHeight="1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H14" s="1" t="s">
        <v>27</v>
      </c>
      <c r="I14" s="1" t="s">
        <v>28</v>
      </c>
      <c r="J14" s="1" t="s">
        <v>29</v>
      </c>
      <c r="K14" s="1" t="s">
        <v>30</v>
      </c>
      <c r="L14" s="9" t="s">
        <v>31</v>
      </c>
      <c r="M14" s="10" t="s">
        <v>32</v>
      </c>
    </row>
    <row r="15" ht="14.25" customHeight="1">
      <c r="A15" s="1" t="s">
        <v>33</v>
      </c>
      <c r="B15" s="1">
        <v>1.0</v>
      </c>
      <c r="C15" s="1">
        <v>921.0</v>
      </c>
      <c r="D15" s="1" t="s">
        <v>34</v>
      </c>
      <c r="E15" s="1">
        <v>0.0</v>
      </c>
      <c r="F15" s="1">
        <v>0.0</v>
      </c>
      <c r="G15" s="1">
        <v>0.0</v>
      </c>
      <c r="H15" s="11">
        <v>45700.68913194445</v>
      </c>
      <c r="I15" s="1">
        <v>2.32</v>
      </c>
      <c r="J15" s="1">
        <v>118.15</v>
      </c>
      <c r="K15" s="1">
        <v>1.0</v>
      </c>
      <c r="L15" s="1">
        <f t="shared" ref="L15:L47" si="1">I15</f>
        <v>2.32</v>
      </c>
      <c r="M15" s="1">
        <f t="shared" ref="M15:M47" si="2">IF(L15&lt;G$4,"&lt;0.19",L15)</f>
        <v>2.32</v>
      </c>
    </row>
    <row r="16" ht="14.25" customHeight="1">
      <c r="A16" s="1" t="s">
        <v>35</v>
      </c>
      <c r="B16" s="1">
        <v>2.0</v>
      </c>
      <c r="C16" s="1">
        <v>921.0</v>
      </c>
      <c r="D16" s="1" t="s">
        <v>36</v>
      </c>
      <c r="E16" s="1">
        <v>0.0</v>
      </c>
      <c r="F16" s="1">
        <v>0.0</v>
      </c>
      <c r="G16" s="1">
        <v>0.0</v>
      </c>
      <c r="H16" s="11">
        <v>45700.69005787037</v>
      </c>
      <c r="I16" s="1">
        <v>2.24</v>
      </c>
      <c r="J16" s="1">
        <v>114.72</v>
      </c>
      <c r="K16" s="1">
        <v>1.0</v>
      </c>
      <c r="L16" s="1">
        <f t="shared" si="1"/>
        <v>2.24</v>
      </c>
      <c r="M16" s="1">
        <f t="shared" si="2"/>
        <v>2.24</v>
      </c>
    </row>
    <row r="17" ht="14.25" customHeight="1">
      <c r="A17" s="1" t="s">
        <v>37</v>
      </c>
      <c r="B17" s="1">
        <v>3.0</v>
      </c>
      <c r="C17" s="1">
        <v>921.0</v>
      </c>
      <c r="D17" s="1" t="s">
        <v>38</v>
      </c>
      <c r="E17" s="1">
        <v>0.0</v>
      </c>
      <c r="F17" s="1">
        <v>1.0</v>
      </c>
      <c r="G17" s="1">
        <v>1.0</v>
      </c>
      <c r="H17" s="11">
        <v>45700.690983796296</v>
      </c>
      <c r="I17" s="1">
        <v>2.23</v>
      </c>
      <c r="J17" s="1">
        <v>114.27</v>
      </c>
      <c r="K17" s="1">
        <v>1.0</v>
      </c>
      <c r="L17" s="1">
        <f t="shared" si="1"/>
        <v>2.23</v>
      </c>
      <c r="M17" s="1">
        <f t="shared" si="2"/>
        <v>2.23</v>
      </c>
    </row>
    <row r="18" ht="14.25" customHeight="1">
      <c r="A18" s="1" t="s">
        <v>39</v>
      </c>
      <c r="B18" s="1">
        <v>4.0</v>
      </c>
      <c r="C18" s="1">
        <v>904.0</v>
      </c>
      <c r="D18" s="1" t="s">
        <v>40</v>
      </c>
      <c r="E18" s="1">
        <v>0.0</v>
      </c>
      <c r="F18" s="1">
        <v>1.0</v>
      </c>
      <c r="G18" s="1">
        <v>2.0</v>
      </c>
      <c r="H18" s="11">
        <v>45700.69190972222</v>
      </c>
      <c r="I18" s="1">
        <v>0.29</v>
      </c>
      <c r="J18" s="1">
        <v>30.19</v>
      </c>
      <c r="K18" s="1">
        <v>1.0</v>
      </c>
      <c r="L18" s="1">
        <f t="shared" si="1"/>
        <v>0.29</v>
      </c>
      <c r="M18" s="1">
        <f t="shared" si="2"/>
        <v>0.29</v>
      </c>
    </row>
    <row r="19" ht="14.25" customHeight="1">
      <c r="A19" s="1" t="s">
        <v>39</v>
      </c>
      <c r="B19" s="1">
        <v>5.0</v>
      </c>
      <c r="C19" s="1">
        <v>904.0</v>
      </c>
      <c r="D19" s="1" t="s">
        <v>40</v>
      </c>
      <c r="E19" s="1">
        <v>0.0</v>
      </c>
      <c r="F19" s="1">
        <v>1.0</v>
      </c>
      <c r="G19" s="1">
        <v>3.0</v>
      </c>
      <c r="H19" s="11">
        <v>45700.69283564815</v>
      </c>
      <c r="I19" s="1">
        <v>0.29</v>
      </c>
      <c r="J19" s="1">
        <v>30.22</v>
      </c>
      <c r="K19" s="1">
        <v>1.0</v>
      </c>
      <c r="L19" s="1">
        <f t="shared" si="1"/>
        <v>0.29</v>
      </c>
      <c r="M19" s="1">
        <f t="shared" si="2"/>
        <v>0.29</v>
      </c>
    </row>
    <row r="20" ht="14.25" customHeight="1">
      <c r="A20" s="1" t="s">
        <v>41</v>
      </c>
      <c r="B20" s="1">
        <v>6.0</v>
      </c>
      <c r="C20" s="1">
        <v>905.0</v>
      </c>
      <c r="D20" s="1" t="s">
        <v>42</v>
      </c>
      <c r="E20" s="1">
        <v>0.0</v>
      </c>
      <c r="F20" s="1">
        <v>0.0</v>
      </c>
      <c r="G20" s="1">
        <v>1.0</v>
      </c>
      <c r="H20" s="11">
        <v>45700.693761574075</v>
      </c>
      <c r="I20" s="1">
        <v>-0.13</v>
      </c>
      <c r="J20" s="1">
        <v>11.72</v>
      </c>
      <c r="K20" s="1">
        <v>1.0</v>
      </c>
      <c r="L20" s="1">
        <f t="shared" si="1"/>
        <v>-0.13</v>
      </c>
      <c r="M20" s="1" t="str">
        <f t="shared" si="2"/>
        <v>&lt;0.19</v>
      </c>
    </row>
    <row r="21" ht="14.25" customHeight="1">
      <c r="A21" s="1" t="s">
        <v>43</v>
      </c>
      <c r="B21" s="1">
        <v>7.0</v>
      </c>
      <c r="C21" s="1">
        <v>906.0</v>
      </c>
      <c r="D21" s="1" t="s">
        <v>44</v>
      </c>
      <c r="E21" s="1">
        <v>0.0</v>
      </c>
      <c r="F21" s="1">
        <v>0.0</v>
      </c>
      <c r="G21" s="1">
        <v>2.0</v>
      </c>
      <c r="H21" s="11">
        <v>45700.6946875</v>
      </c>
      <c r="I21" s="1">
        <v>0.88</v>
      </c>
      <c r="J21" s="1">
        <v>55.65</v>
      </c>
      <c r="K21" s="1">
        <v>1.0</v>
      </c>
      <c r="L21" s="1">
        <f t="shared" si="1"/>
        <v>0.88</v>
      </c>
      <c r="M21" s="1">
        <f t="shared" si="2"/>
        <v>0.88</v>
      </c>
    </row>
    <row r="22" ht="14.25" customHeight="1">
      <c r="A22" s="1" t="s">
        <v>45</v>
      </c>
      <c r="B22" s="1">
        <v>8.0</v>
      </c>
      <c r="C22" s="1">
        <v>907.0</v>
      </c>
      <c r="D22" s="1" t="s">
        <v>46</v>
      </c>
      <c r="E22" s="1">
        <v>0.0</v>
      </c>
      <c r="F22" s="1">
        <v>0.0</v>
      </c>
      <c r="G22" s="1">
        <v>0.0</v>
      </c>
      <c r="H22" s="11">
        <v>45700.69561342592</v>
      </c>
      <c r="I22" s="1">
        <v>1.32</v>
      </c>
      <c r="J22" s="1">
        <v>74.79</v>
      </c>
      <c r="K22" s="1">
        <v>1.0</v>
      </c>
      <c r="L22" s="1">
        <f t="shared" si="1"/>
        <v>1.32</v>
      </c>
      <c r="M22" s="1">
        <f t="shared" si="2"/>
        <v>1.32</v>
      </c>
    </row>
    <row r="23" ht="14.25" customHeight="1">
      <c r="A23" s="1" t="s">
        <v>47</v>
      </c>
      <c r="B23" s="1">
        <v>9.0</v>
      </c>
      <c r="C23" s="1">
        <v>0.0</v>
      </c>
      <c r="D23" s="1" t="s">
        <v>48</v>
      </c>
      <c r="E23" s="1">
        <v>0.0</v>
      </c>
      <c r="F23" s="1">
        <v>0.0</v>
      </c>
      <c r="G23" s="1">
        <v>0.0</v>
      </c>
      <c r="H23" s="11">
        <v>45700.696539351855</v>
      </c>
      <c r="I23" s="1">
        <v>-0.4</v>
      </c>
      <c r="J23" s="1">
        <v>0.0</v>
      </c>
      <c r="K23" s="1">
        <v>1.0</v>
      </c>
      <c r="L23" s="1">
        <f t="shared" si="1"/>
        <v>-0.4</v>
      </c>
      <c r="M23" s="1" t="str">
        <f t="shared" si="2"/>
        <v>&lt;0.19</v>
      </c>
    </row>
    <row r="24" ht="14.25" customHeight="1">
      <c r="A24" s="1">
        <v>283.0</v>
      </c>
      <c r="B24" s="1">
        <v>10.0</v>
      </c>
      <c r="C24" s="1">
        <v>1.0</v>
      </c>
      <c r="D24" s="1" t="s">
        <v>42</v>
      </c>
      <c r="E24" s="1">
        <v>0.0</v>
      </c>
      <c r="F24" s="1">
        <v>0.0</v>
      </c>
      <c r="G24" s="1">
        <v>0.0</v>
      </c>
      <c r="H24" s="11">
        <v>45700.69931712963</v>
      </c>
      <c r="I24" s="1">
        <v>-0.4</v>
      </c>
      <c r="J24" s="1">
        <v>0.0</v>
      </c>
      <c r="K24" s="1">
        <v>1.0</v>
      </c>
      <c r="L24" s="1">
        <f t="shared" si="1"/>
        <v>-0.4</v>
      </c>
      <c r="M24" s="1" t="str">
        <f t="shared" si="2"/>
        <v>&lt;0.19</v>
      </c>
    </row>
    <row r="25" ht="14.25" customHeight="1">
      <c r="A25" s="1">
        <v>400.0</v>
      </c>
      <c r="B25" s="1">
        <v>11.0</v>
      </c>
      <c r="C25" s="1">
        <v>2.0</v>
      </c>
      <c r="D25" s="1" t="s">
        <v>42</v>
      </c>
      <c r="E25" s="1">
        <v>0.0</v>
      </c>
      <c r="F25" s="1">
        <v>0.0</v>
      </c>
      <c r="G25" s="1">
        <v>0.0</v>
      </c>
      <c r="H25" s="11">
        <v>45700.70024305556</v>
      </c>
      <c r="I25" s="1">
        <v>-0.04</v>
      </c>
      <c r="J25" s="1">
        <v>15.79</v>
      </c>
      <c r="K25" s="1">
        <v>1.0</v>
      </c>
      <c r="L25" s="1">
        <f t="shared" si="1"/>
        <v>-0.04</v>
      </c>
      <c r="M25" s="1" t="str">
        <f t="shared" si="2"/>
        <v>&lt;0.19</v>
      </c>
    </row>
    <row r="26" ht="14.25" customHeight="1">
      <c r="A26" s="1">
        <v>387.0</v>
      </c>
      <c r="B26" s="1">
        <v>12.0</v>
      </c>
      <c r="C26" s="1">
        <v>3.0</v>
      </c>
      <c r="D26" s="1" t="s">
        <v>42</v>
      </c>
      <c r="E26" s="1">
        <v>0.0</v>
      </c>
      <c r="F26" s="1">
        <v>0.0</v>
      </c>
      <c r="G26" s="1">
        <v>0.0</v>
      </c>
      <c r="H26" s="11">
        <v>45700.70116898148</v>
      </c>
      <c r="I26" s="1">
        <v>0.08</v>
      </c>
      <c r="J26" s="1">
        <v>21.0</v>
      </c>
      <c r="K26" s="1">
        <v>1.0</v>
      </c>
      <c r="L26" s="1">
        <f t="shared" si="1"/>
        <v>0.08</v>
      </c>
      <c r="M26" s="1" t="str">
        <f t="shared" si="2"/>
        <v>&lt;0.19</v>
      </c>
    </row>
    <row r="27" ht="14.25" customHeight="1">
      <c r="A27" s="1">
        <v>478.0</v>
      </c>
      <c r="B27" s="1">
        <v>13.0</v>
      </c>
      <c r="C27" s="1">
        <v>4.0</v>
      </c>
      <c r="D27" s="1" t="s">
        <v>42</v>
      </c>
      <c r="E27" s="1">
        <v>0.0</v>
      </c>
      <c r="F27" s="1">
        <v>0.0</v>
      </c>
      <c r="G27" s="1">
        <v>0.0</v>
      </c>
      <c r="H27" s="11">
        <v>45700.70209490741</v>
      </c>
      <c r="I27" s="1">
        <v>0.1</v>
      </c>
      <c r="J27" s="1">
        <v>21.78</v>
      </c>
      <c r="K27" s="1">
        <v>1.0</v>
      </c>
      <c r="L27" s="1">
        <f t="shared" si="1"/>
        <v>0.1</v>
      </c>
      <c r="M27" s="1" t="str">
        <f t="shared" si="2"/>
        <v>&lt;0.19</v>
      </c>
    </row>
    <row r="28" ht="14.25" customHeight="1">
      <c r="A28" s="1">
        <v>335.0</v>
      </c>
      <c r="B28" s="1">
        <v>14.0</v>
      </c>
      <c r="C28" s="1">
        <v>5.0</v>
      </c>
      <c r="D28" s="1" t="s">
        <v>42</v>
      </c>
      <c r="E28" s="1">
        <v>0.0</v>
      </c>
      <c r="F28" s="1">
        <v>0.0</v>
      </c>
      <c r="G28" s="1">
        <v>1.0</v>
      </c>
      <c r="H28" s="11">
        <v>45700.70302083333</v>
      </c>
      <c r="I28" s="1">
        <v>0.2</v>
      </c>
      <c r="J28" s="1">
        <v>26.38</v>
      </c>
      <c r="K28" s="1">
        <v>1.0</v>
      </c>
      <c r="L28" s="1">
        <f t="shared" si="1"/>
        <v>0.2</v>
      </c>
      <c r="M28" s="1">
        <f t="shared" si="2"/>
        <v>0.2</v>
      </c>
    </row>
    <row r="29" ht="14.25" customHeight="1">
      <c r="A29" s="1">
        <v>322.0</v>
      </c>
      <c r="B29" s="1">
        <v>15.0</v>
      </c>
      <c r="C29" s="1">
        <v>6.0</v>
      </c>
      <c r="D29" s="1" t="s">
        <v>42</v>
      </c>
      <c r="E29" s="1">
        <v>0.0</v>
      </c>
      <c r="F29" s="1">
        <v>0.0</v>
      </c>
      <c r="G29" s="1">
        <v>0.0</v>
      </c>
      <c r="H29" s="11">
        <v>45700.70394675926</v>
      </c>
      <c r="I29" s="1">
        <v>0.07</v>
      </c>
      <c r="J29" s="1">
        <v>20.66</v>
      </c>
      <c r="K29" s="1">
        <v>1.0</v>
      </c>
      <c r="L29" s="1">
        <f t="shared" si="1"/>
        <v>0.07</v>
      </c>
      <c r="M29" s="1" t="str">
        <f t="shared" si="2"/>
        <v>&lt;0.19</v>
      </c>
    </row>
    <row r="30" ht="14.25" customHeight="1">
      <c r="A30" s="1">
        <v>296.0</v>
      </c>
      <c r="B30" s="1">
        <v>16.0</v>
      </c>
      <c r="C30" s="1">
        <v>7.0</v>
      </c>
      <c r="D30" s="1" t="s">
        <v>42</v>
      </c>
      <c r="E30" s="1">
        <v>0.0</v>
      </c>
      <c r="F30" s="1">
        <v>0.0</v>
      </c>
      <c r="G30" s="1">
        <v>0.0</v>
      </c>
      <c r="H30" s="11">
        <v>45700.704872685186</v>
      </c>
      <c r="I30" s="1">
        <v>0.0</v>
      </c>
      <c r="J30" s="1">
        <v>17.54</v>
      </c>
      <c r="K30" s="1">
        <v>1.0</v>
      </c>
      <c r="L30" s="1">
        <f t="shared" si="1"/>
        <v>0</v>
      </c>
      <c r="M30" s="1" t="str">
        <f t="shared" si="2"/>
        <v>&lt;0.19</v>
      </c>
    </row>
    <row r="31" ht="14.25" customHeight="1">
      <c r="A31" s="1">
        <v>309.0</v>
      </c>
      <c r="B31" s="1">
        <v>17.0</v>
      </c>
      <c r="C31" s="1">
        <v>8.0</v>
      </c>
      <c r="D31" s="1" t="s">
        <v>42</v>
      </c>
      <c r="E31" s="1">
        <v>0.0</v>
      </c>
      <c r="F31" s="1">
        <v>0.0</v>
      </c>
      <c r="G31" s="1">
        <v>0.0</v>
      </c>
      <c r="H31" s="11">
        <v>45700.70579861111</v>
      </c>
      <c r="I31" s="1">
        <v>-0.01</v>
      </c>
      <c r="J31" s="1">
        <v>17.21</v>
      </c>
      <c r="K31" s="1">
        <v>1.0</v>
      </c>
      <c r="L31" s="1">
        <f t="shared" si="1"/>
        <v>-0.01</v>
      </c>
      <c r="M31" s="1" t="str">
        <f t="shared" si="2"/>
        <v>&lt;0.19</v>
      </c>
    </row>
    <row r="32" ht="14.25" customHeight="1">
      <c r="A32" s="1">
        <v>283.0</v>
      </c>
      <c r="B32" s="1">
        <v>18.0</v>
      </c>
      <c r="C32" s="1">
        <v>1.0</v>
      </c>
      <c r="D32" s="1" t="s">
        <v>42</v>
      </c>
      <c r="E32" s="1">
        <v>0.0</v>
      </c>
      <c r="F32" s="1">
        <v>0.0</v>
      </c>
      <c r="G32" s="1">
        <v>0.0</v>
      </c>
      <c r="H32" s="11">
        <v>45700.706724537034</v>
      </c>
      <c r="I32" s="1">
        <v>0.02</v>
      </c>
      <c r="J32" s="1">
        <v>18.39</v>
      </c>
      <c r="K32" s="1">
        <v>1.0</v>
      </c>
      <c r="L32" s="1">
        <f t="shared" si="1"/>
        <v>0.02</v>
      </c>
      <c r="M32" s="1" t="str">
        <f t="shared" si="2"/>
        <v>&lt;0.19</v>
      </c>
    </row>
    <row r="33" ht="14.25" customHeight="1">
      <c r="A33" s="1">
        <v>465.0</v>
      </c>
      <c r="B33" s="1">
        <v>19.0</v>
      </c>
      <c r="C33" s="1">
        <v>9.0</v>
      </c>
      <c r="D33" s="1" t="s">
        <v>42</v>
      </c>
      <c r="E33" s="1">
        <v>0.0</v>
      </c>
      <c r="F33" s="1">
        <v>0.0</v>
      </c>
      <c r="G33" s="1">
        <v>1.0</v>
      </c>
      <c r="H33" s="11">
        <v>45700.707650462966</v>
      </c>
      <c r="I33" s="1">
        <v>-0.06</v>
      </c>
      <c r="J33" s="1">
        <v>14.79</v>
      </c>
      <c r="K33" s="1">
        <v>1.0</v>
      </c>
      <c r="L33" s="1">
        <f t="shared" si="1"/>
        <v>-0.06</v>
      </c>
      <c r="M33" s="1" t="str">
        <f t="shared" si="2"/>
        <v>&lt;0.19</v>
      </c>
    </row>
    <row r="34" ht="14.25" customHeight="1">
      <c r="A34" s="1" t="s">
        <v>49</v>
      </c>
      <c r="B34" s="1">
        <v>20.0</v>
      </c>
      <c r="C34" s="1">
        <v>10.0</v>
      </c>
      <c r="D34" s="1" t="s">
        <v>44</v>
      </c>
      <c r="E34" s="1">
        <v>0.0</v>
      </c>
      <c r="F34" s="1">
        <v>0.0</v>
      </c>
      <c r="G34" s="1">
        <v>2.0</v>
      </c>
      <c r="H34" s="11">
        <v>45700.70857638889</v>
      </c>
      <c r="I34" s="1">
        <v>1.06</v>
      </c>
      <c r="J34" s="1">
        <v>63.45</v>
      </c>
      <c r="K34" s="1">
        <v>1.0</v>
      </c>
      <c r="L34" s="1">
        <f t="shared" si="1"/>
        <v>1.06</v>
      </c>
      <c r="M34" s="1">
        <f t="shared" si="2"/>
        <v>1.06</v>
      </c>
    </row>
    <row r="35" ht="14.25" customHeight="1">
      <c r="A35" s="1" t="s">
        <v>45</v>
      </c>
      <c r="B35" s="1">
        <v>21.0</v>
      </c>
      <c r="C35" s="1">
        <v>907.0</v>
      </c>
      <c r="D35" s="1" t="s">
        <v>46</v>
      </c>
      <c r="E35" s="1">
        <v>0.0</v>
      </c>
      <c r="F35" s="1">
        <v>0.0</v>
      </c>
      <c r="G35" s="1">
        <v>0.0</v>
      </c>
      <c r="H35" s="11">
        <v>45700.709502314814</v>
      </c>
      <c r="I35" s="1">
        <v>1.36</v>
      </c>
      <c r="J35" s="1">
        <v>76.55</v>
      </c>
      <c r="K35" s="1">
        <v>1.0</v>
      </c>
      <c r="L35" s="1">
        <f t="shared" si="1"/>
        <v>1.36</v>
      </c>
      <c r="M35" s="1">
        <f t="shared" si="2"/>
        <v>1.36</v>
      </c>
    </row>
    <row r="36" ht="14.25" customHeight="1">
      <c r="A36" s="1" t="s">
        <v>47</v>
      </c>
      <c r="B36" s="1">
        <v>22.0</v>
      </c>
      <c r="C36" s="1">
        <v>0.0</v>
      </c>
      <c r="D36" s="1" t="s">
        <v>48</v>
      </c>
      <c r="E36" s="1">
        <v>0.0</v>
      </c>
      <c r="F36" s="1">
        <v>0.0</v>
      </c>
      <c r="G36" s="1">
        <v>0.0</v>
      </c>
      <c r="H36" s="11">
        <v>45700.71042824074</v>
      </c>
      <c r="I36" s="1">
        <v>-0.4</v>
      </c>
      <c r="J36" s="1">
        <v>0.0</v>
      </c>
      <c r="K36" s="1">
        <v>1.0</v>
      </c>
      <c r="L36" s="1">
        <f t="shared" si="1"/>
        <v>-0.4</v>
      </c>
      <c r="M36" s="1" t="str">
        <f t="shared" si="2"/>
        <v>&lt;0.19</v>
      </c>
    </row>
    <row r="37" ht="14.25" customHeight="1">
      <c r="A37" s="1" t="s">
        <v>41</v>
      </c>
      <c r="B37" s="1">
        <v>23.0</v>
      </c>
      <c r="C37" s="1">
        <v>905.0</v>
      </c>
      <c r="D37" s="1" t="s">
        <v>42</v>
      </c>
      <c r="E37" s="1">
        <v>0.0</v>
      </c>
      <c r="F37" s="1">
        <v>0.0</v>
      </c>
      <c r="G37" s="1">
        <v>0.0</v>
      </c>
      <c r="H37" s="11">
        <v>45700.71320601852</v>
      </c>
      <c r="I37" s="1">
        <v>-0.14</v>
      </c>
      <c r="J37" s="1">
        <v>11.61</v>
      </c>
      <c r="K37" s="1">
        <v>1.0</v>
      </c>
      <c r="L37" s="1">
        <f t="shared" si="1"/>
        <v>-0.14</v>
      </c>
      <c r="M37" s="1" t="str">
        <f t="shared" si="2"/>
        <v>&lt;0.19</v>
      </c>
    </row>
    <row r="38" ht="14.25" customHeight="1">
      <c r="A38" s="1" t="s">
        <v>41</v>
      </c>
      <c r="B38" s="1">
        <v>24.0</v>
      </c>
      <c r="C38" s="1">
        <v>905.0</v>
      </c>
      <c r="D38" s="1" t="s">
        <v>42</v>
      </c>
      <c r="E38" s="1">
        <v>0.0</v>
      </c>
      <c r="F38" s="1">
        <v>0.0</v>
      </c>
      <c r="G38" s="1">
        <v>0.0</v>
      </c>
      <c r="H38" s="11">
        <v>45700.71413194444</v>
      </c>
      <c r="I38" s="1">
        <v>0.01</v>
      </c>
      <c r="J38" s="1">
        <v>17.84</v>
      </c>
      <c r="K38" s="1">
        <v>1.0</v>
      </c>
      <c r="L38" s="1">
        <f t="shared" si="1"/>
        <v>0.01</v>
      </c>
      <c r="M38" s="1" t="str">
        <f t="shared" si="2"/>
        <v>&lt;0.19</v>
      </c>
    </row>
    <row r="39" ht="14.25" customHeight="1">
      <c r="A39" s="1" t="s">
        <v>41</v>
      </c>
      <c r="B39" s="1">
        <v>25.0</v>
      </c>
      <c r="C39" s="1">
        <v>905.0</v>
      </c>
      <c r="D39" s="1" t="s">
        <v>42</v>
      </c>
      <c r="E39" s="1">
        <v>0.0</v>
      </c>
      <c r="F39" s="1">
        <v>0.0</v>
      </c>
      <c r="G39" s="1">
        <v>0.0</v>
      </c>
      <c r="H39" s="11">
        <v>45700.71505787037</v>
      </c>
      <c r="I39" s="1">
        <v>0.01</v>
      </c>
      <c r="J39" s="1">
        <v>18.09</v>
      </c>
      <c r="K39" s="1">
        <v>1.0</v>
      </c>
      <c r="L39" s="1">
        <f t="shared" si="1"/>
        <v>0.01</v>
      </c>
      <c r="M39" s="1" t="str">
        <f t="shared" si="2"/>
        <v>&lt;0.19</v>
      </c>
    </row>
    <row r="40" ht="14.25" customHeight="1">
      <c r="A40" s="1" t="s">
        <v>41</v>
      </c>
      <c r="B40" s="1">
        <v>26.0</v>
      </c>
      <c r="C40" s="1">
        <v>905.0</v>
      </c>
      <c r="D40" s="1" t="s">
        <v>42</v>
      </c>
      <c r="E40" s="1">
        <v>0.0</v>
      </c>
      <c r="F40" s="1">
        <v>0.0</v>
      </c>
      <c r="G40" s="1">
        <v>0.0</v>
      </c>
      <c r="H40" s="11">
        <v>45700.7159837963</v>
      </c>
      <c r="I40" s="1">
        <v>-0.03</v>
      </c>
      <c r="J40" s="1">
        <v>16.31</v>
      </c>
      <c r="K40" s="1">
        <v>1.0</v>
      </c>
      <c r="L40" s="1">
        <f t="shared" si="1"/>
        <v>-0.03</v>
      </c>
      <c r="M40" s="1" t="str">
        <f t="shared" si="2"/>
        <v>&lt;0.19</v>
      </c>
    </row>
    <row r="41" ht="14.25" customHeight="1">
      <c r="A41" s="1" t="s">
        <v>41</v>
      </c>
      <c r="B41" s="1">
        <v>27.0</v>
      </c>
      <c r="C41" s="1">
        <v>905.0</v>
      </c>
      <c r="D41" s="1" t="s">
        <v>42</v>
      </c>
      <c r="E41" s="1">
        <v>0.0</v>
      </c>
      <c r="F41" s="1">
        <v>0.0</v>
      </c>
      <c r="G41" s="1">
        <v>0.0</v>
      </c>
      <c r="H41" s="11">
        <v>45700.71690972222</v>
      </c>
      <c r="I41" s="1">
        <v>-0.03</v>
      </c>
      <c r="J41" s="1">
        <v>16.33</v>
      </c>
      <c r="K41" s="1">
        <v>1.0</v>
      </c>
      <c r="L41" s="1">
        <f t="shared" si="1"/>
        <v>-0.03</v>
      </c>
      <c r="M41" s="1" t="str">
        <f t="shared" si="2"/>
        <v>&lt;0.19</v>
      </c>
    </row>
    <row r="42" ht="14.25" customHeight="1">
      <c r="A42" s="1" t="s">
        <v>41</v>
      </c>
      <c r="B42" s="1">
        <v>28.0</v>
      </c>
      <c r="C42" s="1">
        <v>905.0</v>
      </c>
      <c r="D42" s="1" t="s">
        <v>42</v>
      </c>
      <c r="E42" s="1">
        <v>0.0</v>
      </c>
      <c r="F42" s="1">
        <v>0.0</v>
      </c>
      <c r="G42" s="1">
        <v>0.0</v>
      </c>
      <c r="H42" s="11">
        <v>45700.717835648145</v>
      </c>
      <c r="I42" s="1">
        <v>-0.04</v>
      </c>
      <c r="J42" s="1">
        <v>15.74</v>
      </c>
      <c r="K42" s="1">
        <v>1.0</v>
      </c>
      <c r="L42" s="1">
        <f t="shared" si="1"/>
        <v>-0.04</v>
      </c>
      <c r="M42" s="1" t="str">
        <f t="shared" si="2"/>
        <v>&lt;0.19</v>
      </c>
    </row>
    <row r="43" ht="14.25" customHeight="1">
      <c r="A43" s="1" t="s">
        <v>50</v>
      </c>
      <c r="B43" s="1">
        <v>29.0</v>
      </c>
      <c r="C43" s="1">
        <v>906.0</v>
      </c>
      <c r="D43" s="1" t="s">
        <v>44</v>
      </c>
      <c r="E43" s="1">
        <v>0.0</v>
      </c>
      <c r="F43" s="1">
        <v>0.0</v>
      </c>
      <c r="G43" s="1">
        <v>1.0</v>
      </c>
      <c r="H43" s="11">
        <v>45700.71876157408</v>
      </c>
      <c r="I43" s="1">
        <v>0.94</v>
      </c>
      <c r="J43" s="1">
        <v>58.1</v>
      </c>
      <c r="K43" s="1">
        <v>1.0</v>
      </c>
      <c r="L43" s="1">
        <f t="shared" si="1"/>
        <v>0.94</v>
      </c>
      <c r="M43" s="1">
        <f t="shared" si="2"/>
        <v>0.94</v>
      </c>
    </row>
    <row r="44" ht="14.25" customHeight="1">
      <c r="A44" s="1" t="s">
        <v>45</v>
      </c>
      <c r="B44" s="1">
        <v>30.0</v>
      </c>
      <c r="C44" s="1">
        <v>907.0</v>
      </c>
      <c r="D44" s="1" t="s">
        <v>46</v>
      </c>
      <c r="E44" s="1">
        <v>0.0</v>
      </c>
      <c r="F44" s="1">
        <v>0.0</v>
      </c>
      <c r="G44" s="1">
        <v>0.0</v>
      </c>
      <c r="H44" s="11">
        <v>45700.7196875</v>
      </c>
      <c r="I44" s="1">
        <v>1.41</v>
      </c>
      <c r="J44" s="1">
        <v>78.59</v>
      </c>
      <c r="K44" s="1">
        <v>1.0</v>
      </c>
      <c r="L44" s="1">
        <f t="shared" si="1"/>
        <v>1.41</v>
      </c>
      <c r="M44" s="1">
        <f t="shared" si="2"/>
        <v>1.41</v>
      </c>
    </row>
    <row r="45" ht="14.25" customHeight="1">
      <c r="A45" s="1" t="s">
        <v>47</v>
      </c>
      <c r="B45" s="1">
        <v>31.0</v>
      </c>
      <c r="C45" s="1">
        <v>0.0</v>
      </c>
      <c r="D45" s="1" t="s">
        <v>48</v>
      </c>
      <c r="E45" s="1">
        <v>0.0</v>
      </c>
      <c r="F45" s="1">
        <v>0.0</v>
      </c>
      <c r="G45" s="1">
        <v>0.0</v>
      </c>
      <c r="H45" s="11">
        <v>45700.720613425925</v>
      </c>
      <c r="I45" s="1">
        <v>-0.4</v>
      </c>
      <c r="J45" s="1">
        <v>0.0</v>
      </c>
      <c r="K45" s="1">
        <v>1.0</v>
      </c>
      <c r="L45" s="1">
        <f t="shared" si="1"/>
        <v>-0.4</v>
      </c>
      <c r="M45" s="1" t="str">
        <f t="shared" si="2"/>
        <v>&lt;0.19</v>
      </c>
    </row>
    <row r="46" ht="14.25" customHeight="1">
      <c r="A46" s="1" t="s">
        <v>35</v>
      </c>
      <c r="B46" s="1">
        <v>32.0</v>
      </c>
      <c r="C46" s="1">
        <v>921.0</v>
      </c>
      <c r="D46" s="1" t="s">
        <v>36</v>
      </c>
      <c r="E46" s="1">
        <v>0.0</v>
      </c>
      <c r="F46" s="1">
        <v>0.0</v>
      </c>
      <c r="G46" s="1">
        <v>0.0</v>
      </c>
      <c r="H46" s="11">
        <v>45700.723391203705</v>
      </c>
      <c r="I46" s="1">
        <v>2.24</v>
      </c>
      <c r="J46" s="1">
        <v>114.72</v>
      </c>
      <c r="K46" s="1">
        <v>1.0</v>
      </c>
      <c r="L46" s="1">
        <f t="shared" si="1"/>
        <v>2.24</v>
      </c>
      <c r="M46" s="1">
        <f t="shared" si="2"/>
        <v>2.24</v>
      </c>
    </row>
    <row r="47" ht="14.25" customHeight="1">
      <c r="A47" s="1" t="s">
        <v>51</v>
      </c>
      <c r="B47" s="1">
        <v>33.0</v>
      </c>
      <c r="C47" s="1">
        <v>0.0</v>
      </c>
      <c r="D47" s="1" t="s">
        <v>52</v>
      </c>
      <c r="E47" s="1">
        <v>0.0</v>
      </c>
      <c r="F47" s="1">
        <v>0.0</v>
      </c>
      <c r="G47" s="1">
        <v>0.0</v>
      </c>
      <c r="H47" s="11">
        <v>45700.72431712963</v>
      </c>
      <c r="I47" s="1">
        <v>-0.4</v>
      </c>
      <c r="J47" s="1">
        <v>0.0</v>
      </c>
      <c r="K47" s="1">
        <v>1.0</v>
      </c>
      <c r="L47" s="1">
        <f t="shared" si="1"/>
        <v>-0.4</v>
      </c>
      <c r="M47" s="1" t="str">
        <f t="shared" si="2"/>
        <v>&lt;0.19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2025-02-13T14:14:14Z</dcterms:created>
  <dc:creator>Carla L Mejias Rivera</dc:creator>
</cp:coreProperties>
</file>