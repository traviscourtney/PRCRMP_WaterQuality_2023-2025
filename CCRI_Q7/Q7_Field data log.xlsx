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ite_Meta" sheetId="2" r:id="rId5"/>
  </sheets>
  <definedNames>
    <definedName hidden="1" localSheetId="0" name="_xlnm._FilterDatabase">'Raw Data'!$A$1:$BA$48</definedName>
  </definedNames>
  <calcPr/>
  <extLst>
    <ext uri="GoogleSheetsCustomDataVersion2">
      <go:sheetsCustomData xmlns:go="http://customooxmlschemas.google.com/" r:id="rId6" roundtripDataChecksum="RLwFbwEMXKksxyTc05EGJmoidC8tpfLfd2INLE7R874="/>
    </ext>
  </extLst>
</workbook>
</file>

<file path=xl/sharedStrings.xml><?xml version="1.0" encoding="utf-8"?>
<sst xmlns="http://schemas.openxmlformats.org/spreadsheetml/2006/main" count="537" uniqueCount="193">
  <si>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</si>
  <si>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</si>
  <si>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</si>
  <si>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</si>
  <si>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</si>
  <si>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</si>
  <si>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</si>
  <si>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</si>
  <si>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</si>
  <si>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</si>
  <si>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</si>
  <si>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</si>
  <si>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</si>
  <si>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</si>
  <si>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</si>
  <si>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</si>
  <si>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</si>
  <si>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</si>
  <si>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</si>
  <si>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</si>
  <si>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</si>
  <si>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</si>
  <si>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</si>
  <si>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</si>
  <si>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</si>
  <si>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</si>
  <si>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</si>
  <si>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</si>
  <si>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</si>
  <si>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</si>
  <si>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</si>
  <si>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</si>
  <si>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</si>
  <si>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</si>
  <si>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</si>
  <si>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</si>
  <si>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</si>
  <si>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</si>
  <si>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</si>
  <si>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</si>
  <si>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</si>
  <si>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</si>
  <si>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</si>
  <si>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</si>
  <si>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</si>
  <si>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</si>
  <si>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</si>
  <si>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</si>
  <si>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</si>
  <si>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</si>
  <si>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</si>
  <si>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</si>
  <si>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Note</t>
  </si>
  <si>
    <t>MLUN05</t>
  </si>
  <si>
    <t>Anibal</t>
  </si>
  <si>
    <t>Manuel O</t>
  </si>
  <si>
    <t>Victoria</t>
  </si>
  <si>
    <t>NA</t>
  </si>
  <si>
    <t>MLUN20</t>
  </si>
  <si>
    <t>MLAN10</t>
  </si>
  <si>
    <t>MLAN05</t>
  </si>
  <si>
    <t>AURO05</t>
  </si>
  <si>
    <t>CORA10</t>
  </si>
  <si>
    <t>EWAL20</t>
  </si>
  <si>
    <t>BOYA20</t>
  </si>
  <si>
    <t>MLUN10</t>
  </si>
  <si>
    <t>DAKI20</t>
  </si>
  <si>
    <t>Julio</t>
  </si>
  <si>
    <t>Johan C</t>
  </si>
  <si>
    <t>LPEN05</t>
  </si>
  <si>
    <t>CROS10</t>
  </si>
  <si>
    <t>DIAB05</t>
  </si>
  <si>
    <t>PALN20</t>
  </si>
  <si>
    <t>CABE05</t>
  </si>
  <si>
    <t>SECO30</t>
  </si>
  <si>
    <t>ESPE10</t>
  </si>
  <si>
    <t>CANJ15</t>
  </si>
  <si>
    <t>PALT10</t>
  </si>
  <si>
    <t>RODR05</t>
  </si>
  <si>
    <t xml:space="preserve">Espinoza </t>
  </si>
  <si>
    <t xml:space="preserve">Victoria </t>
  </si>
  <si>
    <t>GUAN20</t>
  </si>
  <si>
    <t>&gt;20</t>
  </si>
  <si>
    <t>TOUR30</t>
  </si>
  <si>
    <t>TOUR20</t>
  </si>
  <si>
    <t>&gt;11</t>
  </si>
  <si>
    <t>TOUR10</t>
  </si>
  <si>
    <t>&gt;10</t>
  </si>
  <si>
    <t>NEGR10</t>
  </si>
  <si>
    <t>NEGR05</t>
  </si>
  <si>
    <t>&gt;5</t>
  </si>
  <si>
    <t>GALL05</t>
  </si>
  <si>
    <t>RESU10</t>
  </si>
  <si>
    <t>BOTE15</t>
  </si>
  <si>
    <t>Miguel F</t>
  </si>
  <si>
    <t>JJ</t>
  </si>
  <si>
    <t>Aliyah</t>
  </si>
  <si>
    <t>&gt;15</t>
  </si>
  <si>
    <t>BOTE20</t>
  </si>
  <si>
    <t>CANO30</t>
  </si>
  <si>
    <t>&gt;25</t>
  </si>
  <si>
    <t>TRES20</t>
  </si>
  <si>
    <t>&gt;16</t>
  </si>
  <si>
    <t>TRES10</t>
  </si>
  <si>
    <t>&gt;7</t>
  </si>
  <si>
    <t>TRES5</t>
  </si>
  <si>
    <t>&gt;3</t>
  </si>
  <si>
    <t>MEXT20</t>
  </si>
  <si>
    <t>MEXT10</t>
  </si>
  <si>
    <t>CARI10</t>
  </si>
  <si>
    <t>Hector R</t>
  </si>
  <si>
    <t>CARI10-R</t>
  </si>
  <si>
    <t>RATO05</t>
  </si>
  <si>
    <t>RATO05-R</t>
  </si>
  <si>
    <t>CDMV10</t>
  </si>
  <si>
    <t>CDMV10-R</t>
  </si>
  <si>
    <t>DERR20</t>
  </si>
  <si>
    <t>Cayo Aurora 5m</t>
  </si>
  <si>
    <t>Guanica</t>
  </si>
  <si>
    <t>Southwest</t>
  </si>
  <si>
    <t>SW</t>
  </si>
  <si>
    <t>Sampled</t>
  </si>
  <si>
    <t>Puerto Botes 15m</t>
  </si>
  <si>
    <t>Isla Desecheo</t>
  </si>
  <si>
    <t>Mona/Desecheo</t>
  </si>
  <si>
    <t>W</t>
  </si>
  <si>
    <t>Planned</t>
  </si>
  <si>
    <t>Puerto Botes 20m</t>
  </si>
  <si>
    <t>Pending</t>
  </si>
  <si>
    <t>Boya Vieja 20m</t>
  </si>
  <si>
    <t>La Parguera</t>
  </si>
  <si>
    <t>Cabezas de San Juan 5m</t>
  </si>
  <si>
    <t>Fajardo</t>
  </si>
  <si>
    <t>North/Northeast</t>
  </si>
  <si>
    <t>E</t>
  </si>
  <si>
    <t>Canjilones 15m</t>
  </si>
  <si>
    <t>Isla Vieques</t>
  </si>
  <si>
    <t>Vieques/Culebra</t>
  </si>
  <si>
    <t>Puerto Canoas 30m</t>
  </si>
  <si>
    <t>Cayo Caribes 10m</t>
  </si>
  <si>
    <t>Salinas</t>
  </si>
  <si>
    <t>Southeast</t>
  </si>
  <si>
    <t>S</t>
  </si>
  <si>
    <t>West Reef 10m</t>
  </si>
  <si>
    <t>Ponce</t>
  </si>
  <si>
    <t>CDMU10</t>
  </si>
  <si>
    <t>South</t>
  </si>
  <si>
    <t>Cibuco 05m</t>
  </si>
  <si>
    <t>Vega Baja</t>
  </si>
  <si>
    <t>CIBU05</t>
  </si>
  <si>
    <t>N</t>
  </si>
  <si>
    <t>Cayo Coral 10m</t>
  </si>
  <si>
    <t>Carlos Rosario 10m</t>
  </si>
  <si>
    <t>Isla Culebra</t>
  </si>
  <si>
    <t>Dakiti 20m</t>
  </si>
  <si>
    <t>Derrumbadero 20m</t>
  </si>
  <si>
    <t>Cayo Diablo 5m</t>
  </si>
  <si>
    <t>Dominos 5m</t>
  </si>
  <si>
    <t>San Juan</t>
  </si>
  <si>
    <t>DOMI05</t>
  </si>
  <si>
    <t>Esperanza 10m</t>
  </si>
  <si>
    <t>Efras Wall 20m</t>
  </si>
  <si>
    <t>Gallardo 5m</t>
  </si>
  <si>
    <t>Cabo Rojo</t>
  </si>
  <si>
    <t>West</t>
  </si>
  <si>
    <t>Guanajibo 20m</t>
  </si>
  <si>
    <t>Mayaguez</t>
  </si>
  <si>
    <t>Canal Luis Pena 5m</t>
  </si>
  <si>
    <t>Manchas Exteriores 10m</t>
  </si>
  <si>
    <t>Manchas Exteriores 20m</t>
  </si>
  <si>
    <t>Maria Langa 5m</t>
  </si>
  <si>
    <t>Guayanilla</t>
  </si>
  <si>
    <t>Maria Langa 10m</t>
  </si>
  <si>
    <t>Maria Langa 20m</t>
  </si>
  <si>
    <t>MLAN20</t>
  </si>
  <si>
    <t>Media Luna 5m</t>
  </si>
  <si>
    <t>Media Luna 10m</t>
  </si>
  <si>
    <t>El Negro 5m</t>
  </si>
  <si>
    <t>El Negro 10m</t>
  </si>
  <si>
    <t>Palominos 20m</t>
  </si>
  <si>
    <t>Palominitos 10m</t>
  </si>
  <si>
    <t>Cayo Ratones 5m</t>
  </si>
  <si>
    <t>Resuellos 10m</t>
  </si>
  <si>
    <t>Cayo Rodriguez 5m</t>
  </si>
  <si>
    <t>El Seco 30m</t>
  </si>
  <si>
    <t>Tourmaline 10m</t>
  </si>
  <si>
    <t>Tourmaline 20m</t>
  </si>
  <si>
    <t>Tourmaline 30m</t>
  </si>
  <si>
    <t>Tres Palmas 05m</t>
  </si>
  <si>
    <t>Rincon</t>
  </si>
  <si>
    <t>TRES05</t>
  </si>
  <si>
    <t>Tres Palmas 10m</t>
  </si>
  <si>
    <t>Tres Palmas 20m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</si>
</sst>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"/>
    <numFmt numFmtId="165" formatCode="0.0"/>
  </numFmts>
  <fonts count="7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wrapText="1"/>
    </xf>
    <xf borderId="0" fillId="0" fontId="2" numFmtId="1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shrinkToFit="0" wrapText="1"/>
    </xf>
    <xf borderId="0" fillId="0" fontId="1" numFmtId="165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shrinkToFit="0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3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164" xfId="0" applyFont="1" applyNumberFormat="1"/>
    <xf borderId="1" fillId="0" fontId="5" numFmtId="0" xfId="0" applyAlignment="1" applyBorder="1" applyFont="1">
      <alignment horizontal="center"/>
    </xf>
    <xf borderId="1" fillId="4" fontId="6" numFmtId="0" xfId="0" applyAlignment="1" applyBorder="1" applyFill="1" applyFont="1">
      <alignment horizontal="center" shrinkToFit="0" wrapText="1"/>
    </xf>
    <xf borderId="0" fillId="0" fontId="2" numFmtId="14" xfId="0" applyFont="1" applyNumberFormat="1"/>
    <xf borderId="1" fillId="5" fontId="6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2" max="2" width="25.75"/>
    <col customWidth="1" min="13" max="13" width="9.88"/>
    <col customWidth="1" min="20" max="20" width="17.0"/>
    <col customWidth="1" min="21" max="21" width="22.88"/>
    <col customWidth="1" min="22" max="22" width="16.88"/>
    <col customWidth="1" min="23" max="23" width="21.13"/>
    <col customWidth="1" min="29" max="29" width="22.63"/>
    <col customWidth="1" min="32" max="32" width="18.5"/>
    <col customWidth="1" min="39" max="39" width="18.5"/>
    <col customWidth="1" min="40" max="40" width="26.38"/>
    <col customWidth="1" min="41" max="41" width="14.25"/>
    <col customWidth="1" min="53" max="53" width="11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5" t="s">
        <v>52</v>
      </c>
    </row>
    <row r="2" ht="15.75" customHeight="1">
      <c r="A2" s="6">
        <v>7.0</v>
      </c>
      <c r="B2" s="7" t="str">
        <f>LOOKUP($D2,Site_Meta!$C$2:$C$43,Site_Meta!A$2:A$43)</f>
        <v>Media Luna 5m</v>
      </c>
      <c r="C2" s="7" t="str">
        <f>LOOKUP($D2,Site_Meta!$C$2:$C$43,Site_Meta!B$2:B$43)</f>
        <v>La Parguera</v>
      </c>
      <c r="D2" s="3" t="s">
        <v>53</v>
      </c>
      <c r="E2" s="7" t="str">
        <f>LOOKUP($D2,Site_Meta!$C$2:$C$43,Site_Meta!D$2:D$43)</f>
        <v>Southwest</v>
      </c>
      <c r="F2" s="7" t="str">
        <f>LOOKUP($D2,Site_Meta!$C$2:$C$43,Site_Meta!E$2:E$43)</f>
        <v>SW</v>
      </c>
      <c r="G2" s="7">
        <f>LOOKUP($D2,Site_Meta!$C$2:$C$43,Site_Meta!F$2:F$43)</f>
        <v>17.93937</v>
      </c>
      <c r="H2" s="7">
        <f>LOOKUP($D2,Site_Meta!$C$2:$C$43,Site_Meta!G$2:G$43)</f>
        <v>-67.0507</v>
      </c>
      <c r="I2" s="7">
        <f>LOOKUP($D2,Site_Meta!$C$2:$C$43,Site_Meta!H$2:H$43)</f>
        <v>5</v>
      </c>
      <c r="J2" s="3">
        <v>11.0</v>
      </c>
      <c r="K2" s="8">
        <v>14.0</v>
      </c>
      <c r="L2" s="9">
        <v>24.0</v>
      </c>
      <c r="M2" s="10" t="str">
        <f t="shared" ref="M2:M44" si="1">CONCATENATE(J2,"/",K2,"/",L2)</f>
        <v>11/14/24</v>
      </c>
      <c r="N2" s="3" t="s">
        <v>54</v>
      </c>
      <c r="O2" s="3" t="s">
        <v>55</v>
      </c>
      <c r="P2" s="3" t="s">
        <v>56</v>
      </c>
      <c r="Q2" s="11" t="s">
        <v>57</v>
      </c>
      <c r="R2" s="12">
        <v>0.48680555555555555</v>
      </c>
      <c r="S2" s="13">
        <v>0.5027777777777778</v>
      </c>
      <c r="T2" s="3">
        <v>29.58</v>
      </c>
      <c r="U2" s="3">
        <v>0.54</v>
      </c>
      <c r="V2" s="3">
        <v>33.86</v>
      </c>
      <c r="W2" s="3">
        <v>0.48</v>
      </c>
      <c r="X2" s="3">
        <v>6.34</v>
      </c>
      <c r="Y2" s="3">
        <v>0.5</v>
      </c>
      <c r="Z2" s="3">
        <v>8.13</v>
      </c>
      <c r="AA2" s="3">
        <v>0.52</v>
      </c>
      <c r="AB2" s="3">
        <v>29.37</v>
      </c>
      <c r="AC2" s="3">
        <v>3.0</v>
      </c>
      <c r="AD2" s="3">
        <v>33.8</v>
      </c>
      <c r="AE2" s="3">
        <v>3.01</v>
      </c>
      <c r="AF2" s="3">
        <v>6.13</v>
      </c>
      <c r="AG2" s="3">
        <v>3.71</v>
      </c>
      <c r="AH2" s="3">
        <v>8.11</v>
      </c>
      <c r="AI2" s="3">
        <v>3.71</v>
      </c>
      <c r="AJ2" s="8">
        <v>5.0</v>
      </c>
      <c r="AK2" s="8">
        <v>5.0</v>
      </c>
      <c r="AL2" s="8">
        <v>5.0</v>
      </c>
      <c r="AM2" s="8">
        <v>5.0</v>
      </c>
      <c r="AN2" s="8">
        <v>0.5</v>
      </c>
      <c r="AO2" s="3"/>
      <c r="AP2" s="3">
        <v>53.0</v>
      </c>
      <c r="AQ2" s="3">
        <v>54.0</v>
      </c>
      <c r="AR2" s="3">
        <v>55.0</v>
      </c>
      <c r="AS2" s="3">
        <v>56.0</v>
      </c>
      <c r="AT2" s="3">
        <v>57.0</v>
      </c>
      <c r="AU2" s="3">
        <v>58.0</v>
      </c>
      <c r="AV2" s="3">
        <v>59.0</v>
      </c>
      <c r="AW2" s="3">
        <v>60.0</v>
      </c>
      <c r="AX2" s="3">
        <v>61.0</v>
      </c>
      <c r="AY2" s="3">
        <v>62.0</v>
      </c>
      <c r="AZ2" s="3">
        <v>63.0</v>
      </c>
      <c r="BA2" s="14"/>
    </row>
    <row r="3" ht="15.75" customHeight="1">
      <c r="A3" s="6">
        <v>7.0</v>
      </c>
      <c r="B3" s="7" t="str">
        <f>LOOKUP($D3,Site_Meta!$C$2:$C$43,Site_Meta!A$2:A$43)</f>
        <v>Media Luna 10m</v>
      </c>
      <c r="C3" s="7" t="str">
        <f>LOOKUP($D3,Site_Meta!$C$2:$C$43,Site_Meta!B$2:B$43)</f>
        <v>La Parguera</v>
      </c>
      <c r="D3" s="3" t="s">
        <v>58</v>
      </c>
      <c r="E3" s="7" t="str">
        <f>LOOKUP($D3,Site_Meta!$C$2:$C$43,Site_Meta!D$2:D$43)</f>
        <v>Southwest</v>
      </c>
      <c r="F3" s="7" t="str">
        <f>LOOKUP($D3,Site_Meta!$C$2:$C$43,Site_Meta!E$2:E$43)</f>
        <v>SW</v>
      </c>
      <c r="G3" s="7">
        <f>LOOKUP($D3,Site_Meta!$C$2:$C$43,Site_Meta!F$2:F$43)</f>
        <v>17.93472</v>
      </c>
      <c r="H3" s="7">
        <f>LOOKUP($D3,Site_Meta!$C$2:$C$43,Site_Meta!G$2:G$43)</f>
        <v>-67.0485</v>
      </c>
      <c r="I3" s="7">
        <f>LOOKUP($D3,Site_Meta!$C$2:$C$43,Site_Meta!H$2:H$43)</f>
        <v>10</v>
      </c>
      <c r="J3" s="3">
        <v>11.0</v>
      </c>
      <c r="K3" s="3">
        <v>14.0</v>
      </c>
      <c r="L3" s="9">
        <v>24.0</v>
      </c>
      <c r="M3" s="10" t="str">
        <f t="shared" si="1"/>
        <v>11/14/24</v>
      </c>
      <c r="N3" s="3" t="s">
        <v>54</v>
      </c>
      <c r="O3" s="3" t="s">
        <v>55</v>
      </c>
      <c r="P3" s="3" t="s">
        <v>56</v>
      </c>
      <c r="Q3" s="3" t="s">
        <v>57</v>
      </c>
      <c r="R3" s="12">
        <v>0.3076388888888889</v>
      </c>
      <c r="S3" s="12">
        <v>0.33125</v>
      </c>
      <c r="T3" s="3">
        <v>29.07</v>
      </c>
      <c r="U3" s="3">
        <v>0.55</v>
      </c>
      <c r="V3" s="3">
        <v>33.39</v>
      </c>
      <c r="W3" s="3">
        <v>0.56</v>
      </c>
      <c r="X3" s="3">
        <v>6.49</v>
      </c>
      <c r="Y3" s="3">
        <v>0.56</v>
      </c>
      <c r="Z3" s="3">
        <v>8.07</v>
      </c>
      <c r="AA3" s="3">
        <v>0.54</v>
      </c>
      <c r="AB3" s="3">
        <v>29.55</v>
      </c>
      <c r="AC3" s="3">
        <v>9.56</v>
      </c>
      <c r="AD3" s="3">
        <v>34.1</v>
      </c>
      <c r="AE3" s="3">
        <v>9.44</v>
      </c>
      <c r="AF3" s="3">
        <v>6.21</v>
      </c>
      <c r="AG3" s="3">
        <v>9.22</v>
      </c>
      <c r="AH3" s="3">
        <v>8.13</v>
      </c>
      <c r="AI3" s="3">
        <v>9.11</v>
      </c>
      <c r="AJ3" s="3">
        <v>10.0</v>
      </c>
      <c r="AK3" s="3">
        <v>10.0</v>
      </c>
      <c r="AL3" s="3">
        <v>10.0</v>
      </c>
      <c r="AM3" s="3">
        <v>10.0</v>
      </c>
      <c r="AN3" s="3">
        <v>0.5</v>
      </c>
      <c r="AO3" s="3">
        <v>10.0</v>
      </c>
      <c r="AP3" s="3">
        <v>79.0</v>
      </c>
      <c r="AQ3" s="3">
        <v>80.0</v>
      </c>
      <c r="AR3" s="3">
        <v>81.0</v>
      </c>
      <c r="AS3" s="3">
        <v>82.0</v>
      </c>
      <c r="AT3" s="3">
        <v>83.0</v>
      </c>
      <c r="AU3" s="3">
        <v>84.0</v>
      </c>
      <c r="AV3" s="3">
        <v>85.0</v>
      </c>
      <c r="AW3" s="3">
        <v>86.0</v>
      </c>
      <c r="AX3" s="3">
        <v>87.0</v>
      </c>
      <c r="AY3" s="3">
        <v>88.0</v>
      </c>
      <c r="AZ3" s="3">
        <v>89.0</v>
      </c>
      <c r="BA3" s="14"/>
    </row>
    <row r="4" ht="15.75" customHeight="1">
      <c r="A4" s="6">
        <v>7.0</v>
      </c>
      <c r="B4" s="7" t="str">
        <f>LOOKUP($D4,Site_Meta!$C$2:$C$43,Site_Meta!A$2:A$43)</f>
        <v>Maria Langa 10m</v>
      </c>
      <c r="C4" s="7" t="str">
        <f>LOOKUP($D4,Site_Meta!$C$2:$C$43,Site_Meta!B$2:B$43)</f>
        <v>Guayanilla</v>
      </c>
      <c r="D4" s="3" t="s">
        <v>59</v>
      </c>
      <c r="E4" s="7" t="str">
        <f>LOOKUP($D4,Site_Meta!$C$2:$C$43,Site_Meta!D$2:D$43)</f>
        <v>South</v>
      </c>
      <c r="F4" s="7" t="str">
        <f>LOOKUP($D4,Site_Meta!$C$2:$C$43,Site_Meta!E$2:E$43)</f>
        <v>S</v>
      </c>
      <c r="G4" s="7">
        <f>LOOKUP($D4,Site_Meta!$C$2:$C$43,Site_Meta!F$2:F$43)</f>
        <v>17.96093</v>
      </c>
      <c r="H4" s="7">
        <f>LOOKUP($D4,Site_Meta!$C$2:$C$43,Site_Meta!G$2:G$43)</f>
        <v>-66.7529</v>
      </c>
      <c r="I4" s="7">
        <f>LOOKUP($D4,Site_Meta!$C$2:$C$43,Site_Meta!H$2:H$43)</f>
        <v>10</v>
      </c>
      <c r="J4" s="3">
        <v>11.0</v>
      </c>
      <c r="K4" s="3">
        <v>14.0</v>
      </c>
      <c r="L4" s="9">
        <v>24.0</v>
      </c>
      <c r="M4" s="10" t="str">
        <f t="shared" si="1"/>
        <v>11/14/24</v>
      </c>
      <c r="N4" s="3" t="s">
        <v>54</v>
      </c>
      <c r="O4" s="3" t="s">
        <v>55</v>
      </c>
      <c r="P4" s="3" t="s">
        <v>56</v>
      </c>
      <c r="Q4" s="11" t="s">
        <v>57</v>
      </c>
      <c r="R4" s="12">
        <v>0.33819444444444446</v>
      </c>
      <c r="S4" s="12">
        <v>0.3486111111111111</v>
      </c>
      <c r="T4" s="3">
        <v>29.35</v>
      </c>
      <c r="U4" s="3">
        <v>0.47</v>
      </c>
      <c r="V4" s="3">
        <v>33.87</v>
      </c>
      <c r="W4" s="3">
        <v>0.53</v>
      </c>
      <c r="X4" s="3">
        <v>6.33</v>
      </c>
      <c r="Y4" s="3">
        <v>0.51</v>
      </c>
      <c r="Z4" s="3">
        <v>8.13</v>
      </c>
      <c r="AA4" s="3">
        <v>0.51</v>
      </c>
      <c r="AB4" s="3">
        <v>29.56</v>
      </c>
      <c r="AC4" s="3">
        <v>8.51</v>
      </c>
      <c r="AD4" s="3">
        <v>34.1</v>
      </c>
      <c r="AE4" s="3">
        <v>8.63</v>
      </c>
      <c r="AF4" s="3">
        <v>6.16</v>
      </c>
      <c r="AG4" s="3">
        <v>8.56</v>
      </c>
      <c r="AH4" s="3">
        <v>8.13</v>
      </c>
      <c r="AI4" s="3">
        <v>8.68</v>
      </c>
      <c r="AJ4" s="3">
        <v>10.0</v>
      </c>
      <c r="AK4" s="3">
        <v>10.0</v>
      </c>
      <c r="AL4" s="3">
        <v>10.0</v>
      </c>
      <c r="AM4" s="3">
        <v>10.0</v>
      </c>
      <c r="AN4" s="3">
        <v>0.5</v>
      </c>
      <c r="AO4" s="3">
        <v>8.0</v>
      </c>
      <c r="AP4" s="3">
        <v>105.0</v>
      </c>
      <c r="AQ4" s="3">
        <v>106.0</v>
      </c>
      <c r="AR4" s="3">
        <v>107.0</v>
      </c>
      <c r="AS4" s="3">
        <v>108.0</v>
      </c>
      <c r="AT4" s="3">
        <v>109.0</v>
      </c>
      <c r="AU4" s="3">
        <v>110.0</v>
      </c>
      <c r="AV4" s="3">
        <v>111.0</v>
      </c>
      <c r="AW4" s="3">
        <v>112.0</v>
      </c>
      <c r="AX4" s="3">
        <v>113.0</v>
      </c>
      <c r="AY4" s="3">
        <v>114.0</v>
      </c>
      <c r="AZ4" s="3">
        <v>115.0</v>
      </c>
      <c r="BA4" s="14"/>
    </row>
    <row r="5" ht="15.75" customHeight="1">
      <c r="A5" s="6">
        <v>7.0</v>
      </c>
      <c r="B5" s="7" t="str">
        <f>LOOKUP($D5,Site_Meta!$C$2:$C$43,Site_Meta!A$2:A$43)</f>
        <v>Maria Langa 5m</v>
      </c>
      <c r="C5" s="7" t="str">
        <f>LOOKUP($D5,Site_Meta!$C$2:$C$43,Site_Meta!B$2:B$43)</f>
        <v>Guayanilla</v>
      </c>
      <c r="D5" s="3" t="s">
        <v>60</v>
      </c>
      <c r="E5" s="7" t="str">
        <f>LOOKUP($D5,Site_Meta!$C$2:$C$43,Site_Meta!D$2:D$43)</f>
        <v>South</v>
      </c>
      <c r="F5" s="7" t="str">
        <f>LOOKUP($D5,Site_Meta!$C$2:$C$43,Site_Meta!E$2:E$43)</f>
        <v>S</v>
      </c>
      <c r="G5" s="7">
        <f>LOOKUP($D5,Site_Meta!$C$2:$C$43,Site_Meta!F$2:F$43)</f>
        <v>17.96488</v>
      </c>
      <c r="H5" s="7">
        <f>LOOKUP($D5,Site_Meta!$C$2:$C$43,Site_Meta!G$2:G$43)</f>
        <v>-66.7565</v>
      </c>
      <c r="I5" s="7">
        <f>LOOKUP($D5,Site_Meta!$C$2:$C$43,Site_Meta!H$2:H$43)</f>
        <v>5</v>
      </c>
      <c r="J5" s="3">
        <v>11.0</v>
      </c>
      <c r="K5" s="3">
        <v>14.0</v>
      </c>
      <c r="L5" s="9">
        <v>24.0</v>
      </c>
      <c r="M5" s="10" t="str">
        <f t="shared" si="1"/>
        <v>11/14/24</v>
      </c>
      <c r="N5" s="3" t="s">
        <v>54</v>
      </c>
      <c r="O5" s="3" t="s">
        <v>55</v>
      </c>
      <c r="P5" s="9" t="s">
        <v>56</v>
      </c>
      <c r="Q5" s="3" t="s">
        <v>57</v>
      </c>
      <c r="R5" s="12">
        <v>0.35555555555555557</v>
      </c>
      <c r="S5" s="12">
        <v>0.3611111111111111</v>
      </c>
      <c r="T5" s="3">
        <v>29.14</v>
      </c>
      <c r="U5" s="3">
        <v>0.48</v>
      </c>
      <c r="V5" s="3">
        <v>33.54</v>
      </c>
      <c r="W5" s="3">
        <v>0.49</v>
      </c>
      <c r="X5" s="3">
        <v>5.41</v>
      </c>
      <c r="Y5" s="3">
        <v>0.49</v>
      </c>
      <c r="Z5" s="3">
        <v>8.04</v>
      </c>
      <c r="AA5" s="3">
        <v>0.5</v>
      </c>
      <c r="AB5" s="3">
        <v>29.54</v>
      </c>
      <c r="AC5" s="3">
        <v>3.78</v>
      </c>
      <c r="AD5" s="3">
        <v>34.13</v>
      </c>
      <c r="AE5" s="3">
        <v>3.59</v>
      </c>
      <c r="AF5" s="3">
        <v>5.27</v>
      </c>
      <c r="AG5" s="3">
        <v>3.81</v>
      </c>
      <c r="AH5" s="3">
        <v>8.1</v>
      </c>
      <c r="AI5" s="3">
        <v>3.9</v>
      </c>
      <c r="AJ5" s="3">
        <v>10.0</v>
      </c>
      <c r="AK5" s="3">
        <v>10.0</v>
      </c>
      <c r="AL5" s="3">
        <v>10.0</v>
      </c>
      <c r="AM5" s="3">
        <v>10.0</v>
      </c>
      <c r="AN5" s="3">
        <v>0.5</v>
      </c>
      <c r="AO5" s="3">
        <v>3.0</v>
      </c>
      <c r="AP5" s="3">
        <v>92.0</v>
      </c>
      <c r="AQ5" s="3">
        <v>93.0</v>
      </c>
      <c r="AR5" s="3">
        <v>94.0</v>
      </c>
      <c r="AS5" s="3">
        <v>95.0</v>
      </c>
      <c r="AT5" s="3">
        <v>96.0</v>
      </c>
      <c r="AU5" s="3">
        <v>97.0</v>
      </c>
      <c r="AV5" s="3">
        <v>98.0</v>
      </c>
      <c r="AW5" s="3">
        <v>99.0</v>
      </c>
      <c r="AX5" s="3">
        <v>100.0</v>
      </c>
      <c r="AY5" s="3">
        <v>101.0</v>
      </c>
      <c r="AZ5" s="3">
        <v>102.0</v>
      </c>
      <c r="BA5" s="14"/>
    </row>
    <row r="6" ht="15.75" customHeight="1">
      <c r="A6" s="6">
        <v>7.0</v>
      </c>
      <c r="B6" s="7" t="str">
        <f>LOOKUP($D6,Site_Meta!$C$2:$C$43,Site_Meta!A$2:A$43)</f>
        <v>Cayo Aurora 5m</v>
      </c>
      <c r="C6" s="7" t="str">
        <f>LOOKUP($D6,Site_Meta!$C$2:$C$43,Site_Meta!B$2:B$43)</f>
        <v>Guanica</v>
      </c>
      <c r="D6" s="3" t="s">
        <v>61</v>
      </c>
      <c r="E6" s="7" t="str">
        <f>LOOKUP($D6,Site_Meta!$C$2:$C$43,Site_Meta!D$2:D$43)</f>
        <v>Southwest</v>
      </c>
      <c r="F6" s="7" t="str">
        <f>LOOKUP($D6,Site_Meta!$C$2:$C$43,Site_Meta!E$2:E$43)</f>
        <v>SW</v>
      </c>
      <c r="G6" s="7">
        <f>LOOKUP($D6,Site_Meta!$C$2:$C$43,Site_Meta!F$2:F$43)</f>
        <v>17.9369</v>
      </c>
      <c r="H6" s="7">
        <f>LOOKUP($D6,Site_Meta!$C$2:$C$43,Site_Meta!G$2:G$43)</f>
        <v>-66.8738</v>
      </c>
      <c r="I6" s="7">
        <f>LOOKUP($D6,Site_Meta!$C$2:$C$43,Site_Meta!H$2:H$43)</f>
        <v>5</v>
      </c>
      <c r="J6" s="3">
        <v>11.0</v>
      </c>
      <c r="K6" s="3">
        <v>14.0</v>
      </c>
      <c r="L6" s="9">
        <v>24.0</v>
      </c>
      <c r="M6" s="10" t="str">
        <f t="shared" si="1"/>
        <v>11/14/24</v>
      </c>
      <c r="N6" s="3" t="s">
        <v>54</v>
      </c>
      <c r="O6" s="3" t="s">
        <v>55</v>
      </c>
      <c r="P6" s="9" t="s">
        <v>56</v>
      </c>
      <c r="Q6" s="3" t="s">
        <v>57</v>
      </c>
      <c r="R6" s="12">
        <v>0.3819444444444444</v>
      </c>
      <c r="S6" s="12">
        <v>0.3909722222222222</v>
      </c>
      <c r="T6" s="3">
        <v>29.65</v>
      </c>
      <c r="U6" s="3">
        <v>0.56</v>
      </c>
      <c r="V6" s="3">
        <v>33.94</v>
      </c>
      <c r="W6" s="3">
        <v>0.46</v>
      </c>
      <c r="X6" s="3">
        <v>5.41</v>
      </c>
      <c r="Y6" s="3">
        <v>0.5</v>
      </c>
      <c r="Z6" s="3">
        <v>8.1</v>
      </c>
      <c r="AA6" s="3">
        <v>0.49</v>
      </c>
      <c r="AB6" s="3">
        <v>29.63</v>
      </c>
      <c r="AC6" s="3">
        <v>3.49</v>
      </c>
      <c r="AD6" s="3">
        <v>34.05</v>
      </c>
      <c r="AE6" s="3">
        <v>3.47</v>
      </c>
      <c r="AF6" s="3">
        <v>5.33</v>
      </c>
      <c r="AG6" s="3">
        <v>3.49</v>
      </c>
      <c r="AH6" s="3">
        <v>8.1</v>
      </c>
      <c r="AI6" s="3">
        <v>3.44</v>
      </c>
      <c r="AJ6" s="3">
        <v>10.0</v>
      </c>
      <c r="AK6" s="3">
        <v>10.0</v>
      </c>
      <c r="AL6" s="3">
        <v>10.0</v>
      </c>
      <c r="AM6" s="3">
        <v>10.0</v>
      </c>
      <c r="AN6" s="3">
        <v>0.5</v>
      </c>
      <c r="AO6" s="3">
        <v>3.0</v>
      </c>
      <c r="AP6" s="3">
        <v>1.0</v>
      </c>
      <c r="AQ6" s="3">
        <v>2.0</v>
      </c>
      <c r="AR6" s="3">
        <v>3.0</v>
      </c>
      <c r="AS6" s="3">
        <v>4.0</v>
      </c>
      <c r="AT6" s="3">
        <v>5.0</v>
      </c>
      <c r="AU6" s="3">
        <v>6.0</v>
      </c>
      <c r="AV6" s="3">
        <v>7.0</v>
      </c>
      <c r="AW6" s="3">
        <v>8.0</v>
      </c>
      <c r="AX6" s="3">
        <v>9.0</v>
      </c>
      <c r="AY6" s="3">
        <v>10.0</v>
      </c>
      <c r="AZ6" s="3">
        <v>11.0</v>
      </c>
      <c r="BA6" s="6"/>
    </row>
    <row r="7" ht="15.75" customHeight="1">
      <c r="A7" s="6">
        <v>7.0</v>
      </c>
      <c r="B7" s="7" t="str">
        <f>LOOKUP($D7,Site_Meta!$C$2:$C$43,Site_Meta!A$2:A$43)</f>
        <v>Cayo Coral 10m</v>
      </c>
      <c r="C7" s="7" t="str">
        <f>LOOKUP($D7,Site_Meta!$C$2:$C$43,Site_Meta!B$2:B$43)</f>
        <v>Guanica</v>
      </c>
      <c r="D7" s="3" t="s">
        <v>62</v>
      </c>
      <c r="E7" s="7" t="str">
        <f>LOOKUP($D7,Site_Meta!$C$2:$C$43,Site_Meta!D$2:D$43)</f>
        <v>Southwest</v>
      </c>
      <c r="F7" s="7" t="str">
        <f>LOOKUP($D7,Site_Meta!$C$2:$C$43,Site_Meta!E$2:E$43)</f>
        <v>SW</v>
      </c>
      <c r="G7" s="7">
        <f>LOOKUP($D7,Site_Meta!$C$2:$C$43,Site_Meta!F$2:F$43)</f>
        <v>17.9362</v>
      </c>
      <c r="H7" s="7">
        <f>LOOKUP($D7,Site_Meta!$C$2:$C$43,Site_Meta!G$2:G$43)</f>
        <v>-66.8884</v>
      </c>
      <c r="I7" s="7">
        <f>LOOKUP($D7,Site_Meta!$C$2:$C$43,Site_Meta!H$2:H$43)</f>
        <v>10</v>
      </c>
      <c r="J7" s="3">
        <v>11.0</v>
      </c>
      <c r="K7" s="3">
        <v>14.0</v>
      </c>
      <c r="L7" s="9">
        <v>24.0</v>
      </c>
      <c r="M7" s="10" t="str">
        <f t="shared" si="1"/>
        <v>11/14/24</v>
      </c>
      <c r="N7" s="3" t="s">
        <v>54</v>
      </c>
      <c r="O7" s="3" t="s">
        <v>55</v>
      </c>
      <c r="P7" s="9" t="s">
        <v>56</v>
      </c>
      <c r="Q7" s="3" t="s">
        <v>57</v>
      </c>
      <c r="R7" s="12">
        <v>0.39861111111111114</v>
      </c>
      <c r="S7" s="12">
        <v>0.41041666666666665</v>
      </c>
      <c r="T7" s="3">
        <v>29.67</v>
      </c>
      <c r="U7" s="3">
        <v>0.64</v>
      </c>
      <c r="V7" s="3">
        <v>33.78</v>
      </c>
      <c r="W7" s="3">
        <v>0.46</v>
      </c>
      <c r="X7" s="3">
        <v>6.11</v>
      </c>
      <c r="Y7" s="3">
        <v>0.47</v>
      </c>
      <c r="Z7" s="3">
        <v>8.1</v>
      </c>
      <c r="AA7" s="3">
        <v>0.48</v>
      </c>
      <c r="AB7" s="3">
        <v>29.59</v>
      </c>
      <c r="AC7" s="3">
        <v>8.0</v>
      </c>
      <c r="AD7" s="3">
        <v>33.92</v>
      </c>
      <c r="AE7" s="3">
        <v>8.03</v>
      </c>
      <c r="AF7" s="3">
        <v>5.94</v>
      </c>
      <c r="AG7" s="3">
        <v>8.09</v>
      </c>
      <c r="AH7" s="3">
        <v>8.12</v>
      </c>
      <c r="AI7" s="3">
        <v>8.06</v>
      </c>
      <c r="AJ7" s="3">
        <v>10.0</v>
      </c>
      <c r="AK7" s="3">
        <v>10.0</v>
      </c>
      <c r="AL7" s="3">
        <v>10.0</v>
      </c>
      <c r="AM7" s="3">
        <v>10.0</v>
      </c>
      <c r="AN7" s="3">
        <v>0.5</v>
      </c>
      <c r="AO7" s="3">
        <v>8.0</v>
      </c>
      <c r="AP7" s="3">
        <v>14.0</v>
      </c>
      <c r="AQ7" s="3">
        <v>15.0</v>
      </c>
      <c r="AR7" s="3">
        <v>16.0</v>
      </c>
      <c r="AS7" s="3">
        <v>17.0</v>
      </c>
      <c r="AT7" s="3">
        <v>18.0</v>
      </c>
      <c r="AU7" s="3">
        <v>19.0</v>
      </c>
      <c r="AV7" s="3">
        <v>20.0</v>
      </c>
      <c r="AW7" s="3">
        <v>21.0</v>
      </c>
      <c r="AX7" s="3">
        <v>22.0</v>
      </c>
      <c r="AY7" s="3">
        <v>23.0</v>
      </c>
      <c r="AZ7" s="3">
        <v>24.0</v>
      </c>
      <c r="BA7" s="6"/>
    </row>
    <row r="8" ht="15.75" customHeight="1">
      <c r="A8" s="6">
        <v>7.0</v>
      </c>
      <c r="B8" s="7" t="str">
        <f>LOOKUP($D8,Site_Meta!$C$2:$C$43,Site_Meta!A$2:A$43)</f>
        <v>Efras Wall 20m</v>
      </c>
      <c r="C8" s="7" t="str">
        <f>LOOKUP($D8,Site_Meta!$C$2:$C$43,Site_Meta!B$2:B$43)</f>
        <v>La Parguera</v>
      </c>
      <c r="D8" s="3" t="s">
        <v>63</v>
      </c>
      <c r="E8" s="7" t="str">
        <f>LOOKUP($D8,Site_Meta!$C$2:$C$43,Site_Meta!D$2:D$43)</f>
        <v>Southwest</v>
      </c>
      <c r="F8" s="7" t="str">
        <f>LOOKUP($D8,Site_Meta!$C$2:$C$43,Site_Meta!E$2:E$43)</f>
        <v>SW</v>
      </c>
      <c r="G8" s="7">
        <f>LOOKUP($D8,Site_Meta!$C$2:$C$43,Site_Meta!F$2:F$43)</f>
        <v>17.8976</v>
      </c>
      <c r="H8" s="7">
        <f>LOOKUP($D8,Site_Meta!$C$2:$C$43,Site_Meta!G$2:G$43)</f>
        <v>-66.9599</v>
      </c>
      <c r="I8" s="7">
        <f>LOOKUP($D8,Site_Meta!$C$2:$C$43,Site_Meta!H$2:H$43)</f>
        <v>20</v>
      </c>
      <c r="J8" s="3">
        <v>11.0</v>
      </c>
      <c r="K8" s="3">
        <v>14.0</v>
      </c>
      <c r="L8" s="9">
        <v>24.0</v>
      </c>
      <c r="M8" s="10" t="str">
        <f t="shared" si="1"/>
        <v>11/14/24</v>
      </c>
      <c r="N8" s="3" t="s">
        <v>54</v>
      </c>
      <c r="O8" s="3" t="s">
        <v>55</v>
      </c>
      <c r="P8" s="9" t="s">
        <v>56</v>
      </c>
      <c r="Q8" s="3" t="s">
        <v>57</v>
      </c>
      <c r="R8" s="12">
        <v>0.425</v>
      </c>
      <c r="S8" s="12">
        <v>0.4375</v>
      </c>
      <c r="T8" s="3">
        <v>29.53</v>
      </c>
      <c r="U8" s="3">
        <v>0.63</v>
      </c>
      <c r="V8" s="3">
        <v>33.75</v>
      </c>
      <c r="W8" s="3">
        <v>0.62</v>
      </c>
      <c r="X8" s="3">
        <v>6.49</v>
      </c>
      <c r="Y8" s="3">
        <v>0.59</v>
      </c>
      <c r="Z8" s="3">
        <v>8.15</v>
      </c>
      <c r="AA8" s="3">
        <v>0.64</v>
      </c>
      <c r="AB8" s="3">
        <v>29.6</v>
      </c>
      <c r="AC8" s="3">
        <v>18.55</v>
      </c>
      <c r="AD8" s="3">
        <v>34.14</v>
      </c>
      <c r="AE8" s="3">
        <v>18.48</v>
      </c>
      <c r="AF8" s="3">
        <v>5.86</v>
      </c>
      <c r="AG8" s="3">
        <v>18.48</v>
      </c>
      <c r="AH8" s="3">
        <v>8.13</v>
      </c>
      <c r="AI8" s="3">
        <v>18.38</v>
      </c>
      <c r="AJ8" s="3">
        <v>12.0</v>
      </c>
      <c r="AK8" s="3">
        <v>12.0</v>
      </c>
      <c r="AL8" s="3">
        <v>12.0</v>
      </c>
      <c r="AM8" s="3">
        <v>12.0</v>
      </c>
      <c r="AN8" s="3">
        <v>0.5</v>
      </c>
      <c r="AO8" s="3">
        <v>18.0</v>
      </c>
      <c r="AP8" s="3">
        <v>40.0</v>
      </c>
      <c r="AQ8" s="3">
        <v>41.0</v>
      </c>
      <c r="AR8" s="3">
        <v>42.0</v>
      </c>
      <c r="AS8" s="3">
        <v>43.0</v>
      </c>
      <c r="AT8" s="3">
        <v>44.0</v>
      </c>
      <c r="AU8" s="3">
        <v>45.0</v>
      </c>
      <c r="AV8" s="3">
        <v>46.0</v>
      </c>
      <c r="AW8" s="3">
        <v>47.0</v>
      </c>
      <c r="AX8" s="3">
        <v>48.0</v>
      </c>
      <c r="AY8" s="3">
        <v>49.0</v>
      </c>
      <c r="AZ8" s="3">
        <v>50.0</v>
      </c>
      <c r="BA8" s="6"/>
    </row>
    <row r="9" ht="15.75" customHeight="1">
      <c r="A9" s="6">
        <v>7.0</v>
      </c>
      <c r="B9" s="7" t="str">
        <f>LOOKUP($D9,Site_Meta!$C$2:$C$43,Site_Meta!A$2:A$43)</f>
        <v>Boya Vieja 20m</v>
      </c>
      <c r="C9" s="7" t="str">
        <f>LOOKUP($D9,Site_Meta!$C$2:$C$43,Site_Meta!B$2:B$43)</f>
        <v>La Parguera</v>
      </c>
      <c r="D9" s="3" t="s">
        <v>64</v>
      </c>
      <c r="E9" s="7" t="str">
        <f>LOOKUP($D9,Site_Meta!$C$2:$C$43,Site_Meta!D$2:D$43)</f>
        <v>Southwest</v>
      </c>
      <c r="F9" s="7" t="str">
        <f>LOOKUP($D9,Site_Meta!$C$2:$C$43,Site_Meta!E$2:E$43)</f>
        <v>SW</v>
      </c>
      <c r="G9" s="7">
        <f>LOOKUP($D9,Site_Meta!$C$2:$C$43,Site_Meta!F$2:F$43)</f>
        <v>17.88827</v>
      </c>
      <c r="H9" s="7">
        <f>LOOKUP($D9,Site_Meta!$C$2:$C$43,Site_Meta!G$2:G$43)</f>
        <v>-66.9978</v>
      </c>
      <c r="I9" s="7">
        <f>LOOKUP($D9,Site_Meta!$C$2:$C$43,Site_Meta!H$2:H$43)</f>
        <v>20</v>
      </c>
      <c r="J9" s="3">
        <v>11.0</v>
      </c>
      <c r="K9" s="3">
        <v>14.0</v>
      </c>
      <c r="L9" s="9">
        <v>24.0</v>
      </c>
      <c r="M9" s="10" t="str">
        <f t="shared" si="1"/>
        <v>11/14/24</v>
      </c>
      <c r="N9" s="3" t="s">
        <v>54</v>
      </c>
      <c r="O9" s="3" t="s">
        <v>55</v>
      </c>
      <c r="P9" s="9" t="s">
        <v>56</v>
      </c>
      <c r="Q9" s="3" t="s">
        <v>57</v>
      </c>
      <c r="R9" s="12">
        <v>0.4479166666666667</v>
      </c>
      <c r="S9" s="12">
        <v>0.4583333333333333</v>
      </c>
      <c r="T9" s="3">
        <v>29.69</v>
      </c>
      <c r="U9" s="3">
        <v>0.6</v>
      </c>
      <c r="V9" s="3">
        <v>34.04</v>
      </c>
      <c r="W9" s="3">
        <v>0.61</v>
      </c>
      <c r="X9" s="3">
        <v>5.78</v>
      </c>
      <c r="Y9" s="3">
        <v>0.59</v>
      </c>
      <c r="Z9" s="3">
        <v>8.13</v>
      </c>
      <c r="AA9" s="3">
        <v>0.57</v>
      </c>
      <c r="AB9" s="3">
        <v>29.62</v>
      </c>
      <c r="AC9" s="3">
        <v>17.97</v>
      </c>
      <c r="AD9" s="3">
        <v>34.11</v>
      </c>
      <c r="AE9" s="3">
        <v>18.24</v>
      </c>
      <c r="AF9" s="3">
        <v>5.87</v>
      </c>
      <c r="AG9" s="3">
        <v>18.12</v>
      </c>
      <c r="AH9" s="3">
        <v>8.14</v>
      </c>
      <c r="AI9" s="3">
        <v>18.02</v>
      </c>
      <c r="AJ9" s="3">
        <v>20.0</v>
      </c>
      <c r="AK9" s="3">
        <v>20.0</v>
      </c>
      <c r="AL9" s="3">
        <v>20.0</v>
      </c>
      <c r="AM9" s="3">
        <v>20.0</v>
      </c>
      <c r="AN9" s="3">
        <v>0.5</v>
      </c>
      <c r="AO9" s="3">
        <v>18.0</v>
      </c>
      <c r="AP9" s="3">
        <v>66.0</v>
      </c>
      <c r="AQ9" s="3">
        <v>67.0</v>
      </c>
      <c r="AR9" s="8">
        <v>68.0</v>
      </c>
      <c r="AS9" s="8">
        <v>69.0</v>
      </c>
      <c r="AT9" s="8">
        <v>70.0</v>
      </c>
      <c r="AU9" s="8">
        <v>71.0</v>
      </c>
      <c r="AV9" s="8">
        <v>72.0</v>
      </c>
      <c r="AW9" s="8">
        <v>73.0</v>
      </c>
      <c r="AX9" s="8">
        <v>74.0</v>
      </c>
      <c r="AY9" s="8">
        <v>75.0</v>
      </c>
      <c r="AZ9" s="8">
        <v>76.0</v>
      </c>
      <c r="BA9" s="6"/>
    </row>
    <row r="10" ht="15.75" customHeight="1">
      <c r="A10" s="6">
        <v>7.0</v>
      </c>
      <c r="B10" s="7" t="str">
        <f>LOOKUP($D10,Site_Meta!$C$2:$C$43,Site_Meta!A$2:A$43)</f>
        <v>Media Luna 10m</v>
      </c>
      <c r="C10" s="7" t="str">
        <f>LOOKUP($D10,Site_Meta!$C$2:$C$43,Site_Meta!B$2:B$43)</f>
        <v>La Parguera</v>
      </c>
      <c r="D10" s="3" t="s">
        <v>65</v>
      </c>
      <c r="E10" s="7" t="str">
        <f>LOOKUP($D10,Site_Meta!$C$2:$C$43,Site_Meta!D$2:D$43)</f>
        <v>Southwest</v>
      </c>
      <c r="F10" s="7" t="str">
        <f>LOOKUP($D10,Site_Meta!$C$2:$C$43,Site_Meta!E$2:E$43)</f>
        <v>SW</v>
      </c>
      <c r="G10" s="7">
        <f>LOOKUP($D10,Site_Meta!$C$2:$C$43,Site_Meta!F$2:F$43)</f>
        <v>17.93472</v>
      </c>
      <c r="H10" s="7">
        <f>LOOKUP($D10,Site_Meta!$C$2:$C$43,Site_Meta!G$2:G$43)</f>
        <v>-67.0485</v>
      </c>
      <c r="I10" s="7">
        <f>LOOKUP($D10,Site_Meta!$C$2:$C$43,Site_Meta!H$2:H$43)</f>
        <v>10</v>
      </c>
      <c r="J10" s="3">
        <v>11.0</v>
      </c>
      <c r="K10" s="3">
        <v>14.0</v>
      </c>
      <c r="L10" s="9">
        <v>24.0</v>
      </c>
      <c r="M10" s="10" t="str">
        <f t="shared" si="1"/>
        <v>11/14/24</v>
      </c>
      <c r="N10" s="3" t="s">
        <v>54</v>
      </c>
      <c r="O10" s="3" t="s">
        <v>55</v>
      </c>
      <c r="P10" s="9" t="s">
        <v>56</v>
      </c>
      <c r="Q10" s="3" t="s">
        <v>57</v>
      </c>
      <c r="R10" s="12">
        <v>0.4736111111111111</v>
      </c>
      <c r="S10" s="12">
        <v>0.4791666666666667</v>
      </c>
      <c r="T10" s="3">
        <v>29.58</v>
      </c>
      <c r="U10" s="3">
        <v>0.55</v>
      </c>
      <c r="V10" s="3">
        <v>33.93</v>
      </c>
      <c r="W10" s="3">
        <v>0.57</v>
      </c>
      <c r="X10" s="3">
        <v>5.79</v>
      </c>
      <c r="Y10" s="3">
        <v>0.56</v>
      </c>
      <c r="Z10" s="3">
        <v>8.1</v>
      </c>
      <c r="AA10" s="3">
        <v>0.58</v>
      </c>
      <c r="AB10" s="3">
        <v>29.35</v>
      </c>
      <c r="AC10" s="3">
        <v>8.87</v>
      </c>
      <c r="AD10" s="3">
        <v>34.05</v>
      </c>
      <c r="AE10" s="3">
        <v>4.38</v>
      </c>
      <c r="AF10" s="3">
        <v>5.71</v>
      </c>
      <c r="AG10" s="3">
        <v>9.43</v>
      </c>
      <c r="AH10" s="3">
        <v>8.1</v>
      </c>
      <c r="AI10" s="3">
        <v>9.32</v>
      </c>
      <c r="AJ10" s="3">
        <v>10.0</v>
      </c>
      <c r="AK10" s="3">
        <v>10.0</v>
      </c>
      <c r="AL10" s="3">
        <v>10.0</v>
      </c>
      <c r="AM10" s="3">
        <v>10.0</v>
      </c>
      <c r="AN10" s="3">
        <v>0.5</v>
      </c>
      <c r="AO10" s="3">
        <v>18.0</v>
      </c>
      <c r="AP10" s="3">
        <v>27.0</v>
      </c>
      <c r="AQ10" s="3">
        <v>28.0</v>
      </c>
      <c r="AR10" s="3">
        <v>29.0</v>
      </c>
      <c r="AS10" s="3">
        <v>30.0</v>
      </c>
      <c r="AT10" s="3">
        <v>31.0</v>
      </c>
      <c r="AU10" s="3">
        <v>32.0</v>
      </c>
      <c r="AV10" s="3">
        <v>33.0</v>
      </c>
      <c r="AW10" s="3">
        <v>34.0</v>
      </c>
      <c r="AX10" s="3">
        <v>35.0</v>
      </c>
      <c r="AY10" s="3">
        <v>36.0</v>
      </c>
      <c r="AZ10" s="3">
        <v>37.0</v>
      </c>
    </row>
    <row r="11" ht="15.75" customHeight="1">
      <c r="A11" s="6">
        <v>7.0</v>
      </c>
      <c r="B11" s="7" t="str">
        <f>LOOKUP($D11,Site_Meta!$C$2:$C$43,Site_Meta!A$2:A$43)</f>
        <v>Dakiti 20m</v>
      </c>
      <c r="C11" s="7" t="str">
        <f>LOOKUP($D11,Site_Meta!$C$2:$C$43,Site_Meta!B$2:B$43)</f>
        <v>Isla Culebra</v>
      </c>
      <c r="D11" s="3" t="s">
        <v>66</v>
      </c>
      <c r="E11" s="7" t="str">
        <f>LOOKUP($D11,Site_Meta!$C$2:$C$43,Site_Meta!D$2:D$43)</f>
        <v>Vieques/Culebra</v>
      </c>
      <c r="F11" s="7" t="str">
        <f>LOOKUP($D11,Site_Meta!$C$2:$C$43,Site_Meta!E$2:E$43)</f>
        <v>E</v>
      </c>
      <c r="G11" s="7">
        <f>LOOKUP($D11,Site_Meta!$C$2:$C$43,Site_Meta!F$2:F$43)</f>
        <v>18.27587</v>
      </c>
      <c r="H11" s="7">
        <f>LOOKUP($D11,Site_Meta!$C$2:$C$43,Site_Meta!G$2:G$43)</f>
        <v>-65.2773</v>
      </c>
      <c r="I11" s="7">
        <f>LOOKUP($D11,Site_Meta!$C$2:$C$43,Site_Meta!H$2:H$43)</f>
        <v>20</v>
      </c>
      <c r="J11" s="3">
        <v>11.0</v>
      </c>
      <c r="K11" s="3">
        <v>20.0</v>
      </c>
      <c r="L11" s="9">
        <v>24.0</v>
      </c>
      <c r="M11" s="10" t="str">
        <f t="shared" si="1"/>
        <v>11/20/24</v>
      </c>
      <c r="N11" s="3" t="s">
        <v>67</v>
      </c>
      <c r="O11" s="3" t="s">
        <v>55</v>
      </c>
      <c r="P11" s="9" t="s">
        <v>68</v>
      </c>
      <c r="Q11" s="3" t="s">
        <v>57</v>
      </c>
      <c r="R11" s="12">
        <v>0.3034722222222222</v>
      </c>
      <c r="S11" s="12">
        <v>0.3194444444444444</v>
      </c>
      <c r="T11" s="3">
        <v>29.19</v>
      </c>
      <c r="U11" s="3">
        <v>0.62</v>
      </c>
      <c r="V11" s="3">
        <v>35.74</v>
      </c>
      <c r="W11" s="3">
        <v>0.63</v>
      </c>
      <c r="X11" s="3">
        <v>6.01</v>
      </c>
      <c r="Y11" s="3">
        <v>0.59</v>
      </c>
      <c r="Z11" s="3">
        <v>8.07</v>
      </c>
      <c r="AA11" s="3">
        <v>0.58</v>
      </c>
      <c r="AB11" s="3">
        <v>29.19</v>
      </c>
      <c r="AC11" s="3">
        <v>18.09</v>
      </c>
      <c r="AD11" s="3">
        <v>35.76</v>
      </c>
      <c r="AE11" s="3">
        <v>17.6</v>
      </c>
      <c r="AF11" s="3">
        <v>5.82</v>
      </c>
      <c r="AG11" s="3">
        <v>18.21</v>
      </c>
      <c r="AH11" s="3">
        <v>8.1</v>
      </c>
      <c r="AI11" s="3">
        <v>18.14</v>
      </c>
      <c r="AJ11" s="3">
        <v>8.5</v>
      </c>
      <c r="AK11" s="3">
        <v>9.0</v>
      </c>
      <c r="AL11" s="3">
        <v>9.0</v>
      </c>
      <c r="AM11" s="15">
        <f>AVERAGE(AJ11,AK11,AL11)</f>
        <v>8.833333333</v>
      </c>
      <c r="AN11" s="3">
        <v>0.5</v>
      </c>
      <c r="AO11" s="3">
        <v>18.0</v>
      </c>
      <c r="AP11" s="3">
        <v>209.0</v>
      </c>
      <c r="AQ11" s="3">
        <v>210.0</v>
      </c>
      <c r="AR11" s="3">
        <v>211.0</v>
      </c>
      <c r="AS11" s="3">
        <v>212.0</v>
      </c>
      <c r="AT11" s="3">
        <v>213.0</v>
      </c>
      <c r="AU11" s="3">
        <v>214.0</v>
      </c>
      <c r="AV11" s="3">
        <v>215.0</v>
      </c>
      <c r="AW11" s="3">
        <v>216.0</v>
      </c>
      <c r="AX11" s="3">
        <v>217.0</v>
      </c>
      <c r="AY11" s="3">
        <v>218.0</v>
      </c>
      <c r="AZ11" s="3">
        <v>219.0</v>
      </c>
    </row>
    <row r="12" ht="15.75" customHeight="1">
      <c r="A12" s="6">
        <v>7.0</v>
      </c>
      <c r="B12" s="7" t="str">
        <f>LOOKUP($D12,Site_Meta!$C$2:$C$43,Site_Meta!A$2:A$43)</f>
        <v>Canal Luis Pena 5m</v>
      </c>
      <c r="C12" s="7" t="str">
        <f>LOOKUP($D12,Site_Meta!$C$2:$C$43,Site_Meta!B$2:B$43)</f>
        <v>Isla Culebra</v>
      </c>
      <c r="D12" s="3" t="s">
        <v>69</v>
      </c>
      <c r="E12" s="7" t="str">
        <f>LOOKUP($D12,Site_Meta!$C$2:$C$43,Site_Meta!D$2:D$43)</f>
        <v>Vieques/Culebra</v>
      </c>
      <c r="F12" s="7" t="str">
        <f>LOOKUP($D12,Site_Meta!$C$2:$C$43,Site_Meta!E$2:E$43)</f>
        <v>E</v>
      </c>
      <c r="G12" s="7">
        <f>LOOKUP($D12,Site_Meta!$C$2:$C$43,Site_Meta!F$2:F$43)</f>
        <v>18.30493</v>
      </c>
      <c r="H12" s="7">
        <f>LOOKUP($D12,Site_Meta!$C$2:$C$43,Site_Meta!G$2:G$43)</f>
        <v>-65.3277</v>
      </c>
      <c r="I12" s="7">
        <f>LOOKUP($D12,Site_Meta!$C$2:$C$43,Site_Meta!H$2:H$43)</f>
        <v>5</v>
      </c>
      <c r="J12" s="3">
        <v>11.0</v>
      </c>
      <c r="K12" s="3">
        <v>20.0</v>
      </c>
      <c r="L12" s="9">
        <v>24.0</v>
      </c>
      <c r="M12" s="10" t="str">
        <f t="shared" si="1"/>
        <v>11/20/24</v>
      </c>
      <c r="N12" s="3" t="s">
        <v>67</v>
      </c>
      <c r="O12" s="3" t="s">
        <v>55</v>
      </c>
      <c r="P12" s="9" t="s">
        <v>68</v>
      </c>
      <c r="Q12" s="3" t="s">
        <v>57</v>
      </c>
      <c r="R12" s="12">
        <v>0.3402777777777778</v>
      </c>
      <c r="S12" s="12">
        <v>0.35208333333333336</v>
      </c>
      <c r="T12" s="3">
        <v>28.99</v>
      </c>
      <c r="U12" s="3">
        <v>0.61</v>
      </c>
      <c r="V12" s="3">
        <v>35.64</v>
      </c>
      <c r="W12" s="3">
        <v>0.62</v>
      </c>
      <c r="X12" s="3">
        <v>6.33</v>
      </c>
      <c r="Y12" s="3">
        <v>0.63</v>
      </c>
      <c r="Z12" s="3">
        <v>8.11</v>
      </c>
      <c r="AA12" s="3">
        <v>0.63</v>
      </c>
      <c r="AB12" s="3">
        <v>28.97</v>
      </c>
      <c r="AC12" s="3">
        <v>4.27</v>
      </c>
      <c r="AD12" s="3">
        <v>35.66</v>
      </c>
      <c r="AE12" s="3">
        <v>4.22</v>
      </c>
      <c r="AF12" s="3">
        <v>5.99</v>
      </c>
      <c r="AG12" s="3">
        <v>4.31</v>
      </c>
      <c r="AH12" s="3">
        <v>8.11</v>
      </c>
      <c r="AI12" s="3">
        <v>4.32</v>
      </c>
      <c r="AJ12" s="3">
        <v>10.0</v>
      </c>
      <c r="AK12" s="3">
        <v>10.0</v>
      </c>
      <c r="AL12" s="3">
        <v>10.0</v>
      </c>
      <c r="AM12" s="3">
        <v>10.0</v>
      </c>
      <c r="AN12" s="3">
        <v>0.5</v>
      </c>
      <c r="AO12" s="3">
        <v>9.0</v>
      </c>
      <c r="AP12" s="3">
        <v>144.0</v>
      </c>
      <c r="AQ12" s="3">
        <v>145.0</v>
      </c>
      <c r="AR12" s="3">
        <v>146.0</v>
      </c>
      <c r="AS12" s="3">
        <v>147.0</v>
      </c>
      <c r="AT12" s="3">
        <v>148.0</v>
      </c>
      <c r="AU12" s="3">
        <v>149.0</v>
      </c>
      <c r="AV12" s="3">
        <v>150.0</v>
      </c>
      <c r="AW12" s="3">
        <v>151.0</v>
      </c>
      <c r="AX12" s="3">
        <v>152.0</v>
      </c>
      <c r="AY12" s="3">
        <v>153.0</v>
      </c>
      <c r="AZ12" s="3">
        <v>154.0</v>
      </c>
    </row>
    <row r="13" ht="15.75" customHeight="1">
      <c r="A13" s="6">
        <v>7.0</v>
      </c>
      <c r="B13" s="7" t="str">
        <f>LOOKUP($D13,Site_Meta!$C$2:$C$43,Site_Meta!A$2:A$43)</f>
        <v>Carlos Rosario 10m</v>
      </c>
      <c r="C13" s="7" t="str">
        <f>LOOKUP($D13,Site_Meta!$C$2:$C$43,Site_Meta!B$2:B$43)</f>
        <v>Isla Culebra</v>
      </c>
      <c r="D13" s="3" t="s">
        <v>70</v>
      </c>
      <c r="E13" s="7" t="str">
        <f>LOOKUP($D13,Site_Meta!$C$2:$C$43,Site_Meta!D$2:D$43)</f>
        <v>Vieques/Culebra</v>
      </c>
      <c r="F13" s="7" t="str">
        <f>LOOKUP($D13,Site_Meta!$C$2:$C$43,Site_Meta!E$2:E$43)</f>
        <v>E</v>
      </c>
      <c r="G13" s="7">
        <f>LOOKUP($D13,Site_Meta!$C$2:$C$43,Site_Meta!F$2:F$43)</f>
        <v>18.32779</v>
      </c>
      <c r="H13" s="7">
        <f>LOOKUP($D13,Site_Meta!$C$2:$C$43,Site_Meta!G$2:G$43)</f>
        <v>-65.332</v>
      </c>
      <c r="I13" s="7">
        <f>LOOKUP($D13,Site_Meta!$C$2:$C$43,Site_Meta!H$2:H$43)</f>
        <v>10</v>
      </c>
      <c r="J13" s="3">
        <v>11.0</v>
      </c>
      <c r="K13" s="3">
        <v>20.0</v>
      </c>
      <c r="L13" s="9">
        <v>24.0</v>
      </c>
      <c r="M13" s="10" t="str">
        <f t="shared" si="1"/>
        <v>11/20/24</v>
      </c>
      <c r="N13" s="3" t="s">
        <v>67</v>
      </c>
      <c r="O13" s="3" t="s">
        <v>55</v>
      </c>
      <c r="P13" s="9" t="s">
        <v>68</v>
      </c>
      <c r="Q13" s="3" t="s">
        <v>57</v>
      </c>
      <c r="R13" s="12">
        <v>0.36319444444444443</v>
      </c>
      <c r="S13" s="12">
        <v>0.37569444444444444</v>
      </c>
      <c r="T13" s="3">
        <v>29.0</v>
      </c>
      <c r="U13" s="3">
        <v>0.73</v>
      </c>
      <c r="V13" s="3">
        <v>35.58</v>
      </c>
      <c r="W13" s="3">
        <v>0.52</v>
      </c>
      <c r="X13" s="3">
        <v>6.42</v>
      </c>
      <c r="Y13" s="3">
        <v>0.56</v>
      </c>
      <c r="Z13" s="3">
        <v>8.12</v>
      </c>
      <c r="AA13" s="3">
        <v>0.83</v>
      </c>
      <c r="AB13" s="3">
        <v>29.01</v>
      </c>
      <c r="AC13" s="3">
        <v>8.61</v>
      </c>
      <c r="AD13" s="3">
        <v>35.66</v>
      </c>
      <c r="AE13" s="3">
        <v>8.6</v>
      </c>
      <c r="AF13" s="3">
        <v>6.06</v>
      </c>
      <c r="AG13" s="3">
        <v>8.67</v>
      </c>
      <c r="AH13" s="3">
        <v>8.11</v>
      </c>
      <c r="AI13" s="3">
        <v>8.44</v>
      </c>
      <c r="AJ13" s="3">
        <v>9.0</v>
      </c>
      <c r="AK13" s="3">
        <v>8.5</v>
      </c>
      <c r="AL13" s="3">
        <v>8.5</v>
      </c>
      <c r="AM13" s="15">
        <f>AVERAGE(AJ13,AK13,AL13)</f>
        <v>8.666666667</v>
      </c>
      <c r="AN13" s="3">
        <v>0.5</v>
      </c>
      <c r="AO13" s="3">
        <v>9.0</v>
      </c>
      <c r="AP13" s="3">
        <v>248.0</v>
      </c>
      <c r="AQ13" s="3">
        <v>249.0</v>
      </c>
      <c r="AR13" s="3">
        <v>250.0</v>
      </c>
      <c r="AS13" s="3">
        <v>251.0</v>
      </c>
      <c r="AT13" s="3">
        <v>252.0</v>
      </c>
      <c r="AU13" s="3">
        <v>253.0</v>
      </c>
      <c r="AV13" s="3">
        <v>254.0</v>
      </c>
      <c r="AW13" s="3">
        <v>255.0</v>
      </c>
      <c r="AX13" s="3">
        <v>256.0</v>
      </c>
      <c r="AY13" s="3">
        <v>257.0</v>
      </c>
      <c r="AZ13" s="3">
        <v>258.0</v>
      </c>
    </row>
    <row r="14" ht="15.75" customHeight="1">
      <c r="A14" s="6">
        <v>7.0</v>
      </c>
      <c r="B14" s="7" t="str">
        <f>LOOKUP($D14,Site_Meta!$C$2:$C$43,Site_Meta!A$2:A$43)</f>
        <v>Cayo Diablo 5m</v>
      </c>
      <c r="C14" s="7" t="str">
        <f>LOOKUP($D14,Site_Meta!$C$2:$C$43,Site_Meta!B$2:B$43)</f>
        <v>Fajardo</v>
      </c>
      <c r="D14" s="3" t="s">
        <v>71</v>
      </c>
      <c r="E14" s="7" t="str">
        <f>LOOKUP($D14,Site_Meta!$C$2:$C$43,Site_Meta!D$2:D$43)</f>
        <v>North/Northeast</v>
      </c>
      <c r="F14" s="7" t="str">
        <f>LOOKUP($D14,Site_Meta!$C$2:$C$43,Site_Meta!E$2:E$43)</f>
        <v>E</v>
      </c>
      <c r="G14" s="7">
        <f>LOOKUP($D14,Site_Meta!$C$2:$C$43,Site_Meta!F$2:F$43)</f>
        <v>18.36033</v>
      </c>
      <c r="H14" s="7">
        <f>LOOKUP($D14,Site_Meta!$C$2:$C$43,Site_Meta!G$2:G$43)</f>
        <v>-65.5309</v>
      </c>
      <c r="I14" s="7">
        <f>LOOKUP($D14,Site_Meta!$C$2:$C$43,Site_Meta!H$2:H$43)</f>
        <v>5</v>
      </c>
      <c r="J14" s="3">
        <v>11.0</v>
      </c>
      <c r="K14" s="3">
        <v>20.0</v>
      </c>
      <c r="L14" s="9">
        <v>24.0</v>
      </c>
      <c r="M14" s="10" t="str">
        <f t="shared" si="1"/>
        <v>11/20/24</v>
      </c>
      <c r="N14" s="3" t="s">
        <v>67</v>
      </c>
      <c r="O14" s="3" t="s">
        <v>55</v>
      </c>
      <c r="P14" s="9" t="s">
        <v>68</v>
      </c>
      <c r="Q14" s="3" t="s">
        <v>57</v>
      </c>
      <c r="R14" s="12">
        <v>0.4131944444444444</v>
      </c>
      <c r="S14" s="12">
        <v>0.42291666666666666</v>
      </c>
      <c r="T14" s="3">
        <v>28.99</v>
      </c>
      <c r="U14" s="3">
        <v>0.52</v>
      </c>
      <c r="V14" s="3">
        <v>35.28</v>
      </c>
      <c r="W14" s="3">
        <v>0.59</v>
      </c>
      <c r="X14" s="3">
        <v>6.67</v>
      </c>
      <c r="Y14" s="3">
        <v>0.57</v>
      </c>
      <c r="Z14" s="3">
        <v>8.14</v>
      </c>
      <c r="AA14" s="3">
        <v>0.65</v>
      </c>
      <c r="AB14" s="3">
        <v>28.97</v>
      </c>
      <c r="AC14" s="3">
        <v>5.07</v>
      </c>
      <c r="AD14" s="3">
        <v>35.34</v>
      </c>
      <c r="AE14" s="3">
        <v>4.9</v>
      </c>
      <c r="AF14" s="3">
        <v>6.67</v>
      </c>
      <c r="AG14" s="3">
        <v>5.03</v>
      </c>
      <c r="AH14" s="3">
        <v>8.14</v>
      </c>
      <c r="AI14" s="3">
        <v>4.92</v>
      </c>
      <c r="AJ14" s="3">
        <v>5.0</v>
      </c>
      <c r="AK14" s="3">
        <v>5.0</v>
      </c>
      <c r="AL14" s="3">
        <v>5.0</v>
      </c>
      <c r="AM14" s="3">
        <v>5.0</v>
      </c>
      <c r="AN14" s="3">
        <v>0.5</v>
      </c>
      <c r="AO14" s="3">
        <v>5.0</v>
      </c>
      <c r="AP14" s="3">
        <v>196.0</v>
      </c>
      <c r="AQ14" s="3">
        <v>197.0</v>
      </c>
      <c r="AR14" s="3">
        <v>198.0</v>
      </c>
      <c r="AS14" s="3">
        <v>199.0</v>
      </c>
      <c r="AT14" s="3">
        <v>200.0</v>
      </c>
      <c r="AU14" s="3">
        <v>201.0</v>
      </c>
      <c r="AV14" s="3">
        <v>202.0</v>
      </c>
      <c r="AW14" s="3">
        <v>203.0</v>
      </c>
      <c r="AX14" s="3">
        <v>204.0</v>
      </c>
      <c r="AY14" s="3">
        <v>205.0</v>
      </c>
      <c r="AZ14" s="3">
        <v>206.0</v>
      </c>
    </row>
    <row r="15" ht="15.75" customHeight="1">
      <c r="A15" s="6">
        <v>7.0</v>
      </c>
      <c r="B15" s="7" t="str">
        <f>LOOKUP($D15,Site_Meta!$C$2:$C$43,Site_Meta!A$2:A$43)</f>
        <v>Palominos 20m</v>
      </c>
      <c r="C15" s="7" t="str">
        <f>LOOKUP($D15,Site_Meta!$C$2:$C$43,Site_Meta!B$2:B$43)</f>
        <v>Fajardo</v>
      </c>
      <c r="D15" s="3" t="s">
        <v>72</v>
      </c>
      <c r="E15" s="7" t="str">
        <f>LOOKUP($D15,Site_Meta!$C$2:$C$43,Site_Meta!D$2:D$43)</f>
        <v>North/Northeast</v>
      </c>
      <c r="F15" s="7" t="str">
        <f>LOOKUP($D15,Site_Meta!$C$2:$C$43,Site_Meta!E$2:E$43)</f>
        <v>E</v>
      </c>
      <c r="G15" s="7">
        <f>LOOKUP($D15,Site_Meta!$C$2:$C$43,Site_Meta!F$2:F$43)</f>
        <v>18.35466</v>
      </c>
      <c r="H15" s="7">
        <f>LOOKUP($D15,Site_Meta!$C$2:$C$43,Site_Meta!G$2:G$43)</f>
        <v>-65.5671</v>
      </c>
      <c r="I15" s="7">
        <f>LOOKUP($D15,Site_Meta!$C$2:$C$43,Site_Meta!H$2:H$43)</f>
        <v>20</v>
      </c>
      <c r="J15" s="3">
        <v>11.0</v>
      </c>
      <c r="K15" s="3">
        <v>20.0</v>
      </c>
      <c r="L15" s="9">
        <v>24.0</v>
      </c>
      <c r="M15" s="10" t="str">
        <f t="shared" si="1"/>
        <v>11/20/24</v>
      </c>
      <c r="N15" s="3" t="s">
        <v>67</v>
      </c>
      <c r="O15" s="3" t="s">
        <v>55</v>
      </c>
      <c r="P15" s="9" t="s">
        <v>68</v>
      </c>
      <c r="Q15" s="3" t="s">
        <v>57</v>
      </c>
      <c r="R15" s="12">
        <v>0.43680555555555556</v>
      </c>
      <c r="S15" s="12">
        <v>0.44930555555555557</v>
      </c>
      <c r="T15" s="3">
        <v>28.98</v>
      </c>
      <c r="U15" s="3">
        <v>0.49</v>
      </c>
      <c r="V15" s="3">
        <v>35.3</v>
      </c>
      <c r="W15" s="3">
        <v>0.53</v>
      </c>
      <c r="X15" s="3">
        <v>6.35</v>
      </c>
      <c r="Y15" s="3">
        <v>0.51</v>
      </c>
      <c r="Z15" s="3">
        <v>8.14</v>
      </c>
      <c r="AA15" s="3">
        <v>0.53</v>
      </c>
      <c r="AB15" s="3">
        <v>28.88</v>
      </c>
      <c r="AC15" s="3">
        <v>17.33</v>
      </c>
      <c r="AD15" s="3">
        <v>35.31</v>
      </c>
      <c r="AE15" s="3">
        <v>17.48</v>
      </c>
      <c r="AF15" s="3">
        <v>6.05</v>
      </c>
      <c r="AG15" s="3">
        <v>17.17</v>
      </c>
      <c r="AH15" s="3">
        <v>8.13</v>
      </c>
      <c r="AI15" s="3">
        <v>17.58</v>
      </c>
      <c r="AJ15" s="3">
        <v>5.25</v>
      </c>
      <c r="AK15" s="3">
        <v>5.25</v>
      </c>
      <c r="AL15" s="3">
        <v>5.5</v>
      </c>
      <c r="AM15" s="15">
        <f>AVERAGE(AJ15,AK15,AL15)</f>
        <v>5.333333333</v>
      </c>
      <c r="AN15" s="3">
        <v>0.5</v>
      </c>
      <c r="AO15" s="3">
        <v>16.0</v>
      </c>
      <c r="AP15" s="3">
        <v>261.0</v>
      </c>
      <c r="AQ15" s="3">
        <v>262.0</v>
      </c>
      <c r="AR15" s="3">
        <v>263.0</v>
      </c>
      <c r="AS15" s="3">
        <v>264.0</v>
      </c>
      <c r="AT15" s="3">
        <v>265.0</v>
      </c>
      <c r="AU15" s="3">
        <v>266.0</v>
      </c>
      <c r="AV15" s="3">
        <v>267.0</v>
      </c>
      <c r="AW15" s="3">
        <v>268.0</v>
      </c>
      <c r="AX15" s="11">
        <v>269.0</v>
      </c>
      <c r="AY15" s="11">
        <v>270.0</v>
      </c>
      <c r="AZ15" s="11">
        <v>271.0</v>
      </c>
    </row>
    <row r="16" ht="15.75" customHeight="1">
      <c r="A16" s="6">
        <v>7.0</v>
      </c>
      <c r="B16" s="7" t="str">
        <f>LOOKUP($D16,Site_Meta!$C$2:$C$43,Site_Meta!A$2:A$43)</f>
        <v>Cabezas de San Juan 5m</v>
      </c>
      <c r="C16" s="7" t="str">
        <f>LOOKUP($D16,Site_Meta!$C$2:$C$43,Site_Meta!B$2:B$43)</f>
        <v>Fajardo</v>
      </c>
      <c r="D16" s="3" t="s">
        <v>73</v>
      </c>
      <c r="E16" s="7" t="str">
        <f>LOOKUP($D16,Site_Meta!$C$2:$C$43,Site_Meta!D$2:D$43)</f>
        <v>North/Northeast</v>
      </c>
      <c r="F16" s="7" t="str">
        <f>LOOKUP($D16,Site_Meta!$C$2:$C$43,Site_Meta!E$2:E$43)</f>
        <v>E</v>
      </c>
      <c r="G16" s="7">
        <f>LOOKUP($D16,Site_Meta!$C$2:$C$43,Site_Meta!F$2:F$43)</f>
        <v>18.38544</v>
      </c>
      <c r="H16" s="7">
        <f>LOOKUP($D16,Site_Meta!$C$2:$C$43,Site_Meta!G$2:G$43)</f>
        <v>-65.6297</v>
      </c>
      <c r="I16" s="7">
        <f>LOOKUP($D16,Site_Meta!$C$2:$C$43,Site_Meta!H$2:H$43)</f>
        <v>5</v>
      </c>
      <c r="J16" s="3">
        <v>11.0</v>
      </c>
      <c r="K16" s="3">
        <v>20.0</v>
      </c>
      <c r="L16" s="9">
        <v>24.0</v>
      </c>
      <c r="M16" s="10" t="str">
        <f t="shared" si="1"/>
        <v>11/20/24</v>
      </c>
      <c r="N16" s="3" t="s">
        <v>67</v>
      </c>
      <c r="O16" s="3" t="s">
        <v>55</v>
      </c>
      <c r="P16" s="9" t="s">
        <v>68</v>
      </c>
      <c r="Q16" s="3" t="s">
        <v>57</v>
      </c>
      <c r="R16" s="12">
        <v>0.4722222222222222</v>
      </c>
      <c r="S16" s="12">
        <v>0.4826388888888889</v>
      </c>
      <c r="T16" s="3">
        <v>29.12</v>
      </c>
      <c r="U16" s="3">
        <v>0.55</v>
      </c>
      <c r="V16" s="3">
        <v>35.32</v>
      </c>
      <c r="W16" s="3">
        <v>0.46</v>
      </c>
      <c r="X16" s="3">
        <v>6.21</v>
      </c>
      <c r="Y16" s="3">
        <v>0.47</v>
      </c>
      <c r="Z16" s="3">
        <v>8.12</v>
      </c>
      <c r="AA16" s="3">
        <v>0.44</v>
      </c>
      <c r="AB16" s="3">
        <v>28.89</v>
      </c>
      <c r="AC16" s="3">
        <v>4.23</v>
      </c>
      <c r="AD16" s="3">
        <v>35.32</v>
      </c>
      <c r="AE16" s="3">
        <v>4.34</v>
      </c>
      <c r="AF16" s="3">
        <v>6.12</v>
      </c>
      <c r="AG16" s="3">
        <v>4.14</v>
      </c>
      <c r="AH16" s="3">
        <v>8.12</v>
      </c>
      <c r="AI16" s="3">
        <v>4.37</v>
      </c>
      <c r="AJ16" s="3">
        <v>3.25</v>
      </c>
      <c r="AK16" s="3">
        <v>3.25</v>
      </c>
      <c r="AL16" s="3">
        <v>3.25</v>
      </c>
      <c r="AM16" s="3">
        <v>3.25</v>
      </c>
      <c r="AN16" s="3">
        <v>0.5</v>
      </c>
      <c r="AO16" s="3">
        <v>4.0</v>
      </c>
      <c r="AP16" s="3">
        <v>183.0</v>
      </c>
      <c r="AQ16" s="3">
        <v>184.0</v>
      </c>
      <c r="AR16" s="11">
        <v>185.0</v>
      </c>
      <c r="AS16" s="3">
        <v>186.0</v>
      </c>
      <c r="AT16" s="3">
        <v>187.0</v>
      </c>
      <c r="AU16" s="3">
        <v>188.0</v>
      </c>
      <c r="AV16" s="3">
        <v>189.0</v>
      </c>
      <c r="AW16" s="3">
        <v>190.0</v>
      </c>
      <c r="AX16" s="3">
        <v>191.0</v>
      </c>
      <c r="AY16" s="3">
        <v>192.0</v>
      </c>
      <c r="AZ16" s="11">
        <v>193.0</v>
      </c>
    </row>
    <row r="17" ht="15.75" customHeight="1">
      <c r="A17" s="6">
        <v>7.0</v>
      </c>
      <c r="B17" s="7" t="str">
        <f>LOOKUP($D17,Site_Meta!$C$2:$C$43,Site_Meta!A$2:A$43)</f>
        <v>El Seco 30m</v>
      </c>
      <c r="C17" s="7" t="str">
        <f>LOOKUP($D17,Site_Meta!$C$2:$C$43,Site_Meta!B$2:B$43)</f>
        <v>Isla Vieques</v>
      </c>
      <c r="D17" s="3" t="s">
        <v>74</v>
      </c>
      <c r="E17" s="7" t="str">
        <f>LOOKUP($D17,Site_Meta!$C$2:$C$43,Site_Meta!D$2:D$43)</f>
        <v>Vieques/Culebra</v>
      </c>
      <c r="F17" s="7" t="str">
        <f>LOOKUP($D17,Site_Meta!$C$2:$C$43,Site_Meta!E$2:E$43)</f>
        <v>E</v>
      </c>
      <c r="G17" s="7">
        <f>LOOKUP($D17,Site_Meta!$C$2:$C$43,Site_Meta!F$2:F$43)</f>
        <v>18.13869</v>
      </c>
      <c r="H17" s="7">
        <f>LOOKUP($D17,Site_Meta!$C$2:$C$43,Site_Meta!G$2:G$43)</f>
        <v>-65.1971</v>
      </c>
      <c r="I17" s="7">
        <f>LOOKUP($D17,Site_Meta!$C$2:$C$43,Site_Meta!H$2:H$43)</f>
        <v>30</v>
      </c>
      <c r="J17" s="3">
        <v>11.0</v>
      </c>
      <c r="K17" s="3">
        <v>19.0</v>
      </c>
      <c r="L17" s="9">
        <v>24.0</v>
      </c>
      <c r="M17" s="10" t="str">
        <f t="shared" si="1"/>
        <v>11/19/24</v>
      </c>
      <c r="N17" s="3" t="s">
        <v>67</v>
      </c>
      <c r="O17" s="3" t="s">
        <v>55</v>
      </c>
      <c r="P17" s="9" t="s">
        <v>68</v>
      </c>
      <c r="Q17" s="3" t="s">
        <v>57</v>
      </c>
      <c r="R17" s="12">
        <v>0.3888888888888889</v>
      </c>
      <c r="S17" s="12">
        <v>0.40625</v>
      </c>
      <c r="T17" s="3">
        <v>29.06</v>
      </c>
      <c r="U17" s="3">
        <v>0.44</v>
      </c>
      <c r="V17" s="3">
        <v>35.56</v>
      </c>
      <c r="W17" s="3">
        <v>0.5</v>
      </c>
      <c r="X17" s="3">
        <v>6.23</v>
      </c>
      <c r="Y17" s="3">
        <v>0.76</v>
      </c>
      <c r="Z17" s="3">
        <v>8.1</v>
      </c>
      <c r="AA17" s="3">
        <v>0.54</v>
      </c>
      <c r="AB17" s="3">
        <v>29.2</v>
      </c>
      <c r="AC17" s="3">
        <v>25.54</v>
      </c>
      <c r="AD17" s="3">
        <v>35.87</v>
      </c>
      <c r="AE17" s="3">
        <v>25.54</v>
      </c>
      <c r="AF17" s="3">
        <v>5.68</v>
      </c>
      <c r="AG17" s="3">
        <v>27.04</v>
      </c>
      <c r="AH17" s="3">
        <v>8.1</v>
      </c>
      <c r="AI17" s="3">
        <v>27.04</v>
      </c>
      <c r="AJ17" s="3">
        <v>10.5</v>
      </c>
      <c r="AK17" s="3">
        <v>13.0</v>
      </c>
      <c r="AL17" s="3">
        <v>13.0</v>
      </c>
      <c r="AM17" s="15">
        <f>AVERAGE(AJ17,AK17,AL17)</f>
        <v>12.16666667</v>
      </c>
      <c r="AN17" s="3">
        <v>0.5</v>
      </c>
      <c r="AO17" s="3">
        <v>10.0</v>
      </c>
      <c r="AP17" s="3">
        <v>157.0</v>
      </c>
      <c r="AQ17" s="3">
        <v>158.0</v>
      </c>
      <c r="AR17" s="3">
        <v>159.0</v>
      </c>
      <c r="AS17" s="3">
        <v>160.0</v>
      </c>
      <c r="AT17" s="3">
        <v>161.0</v>
      </c>
      <c r="AU17" s="3">
        <v>162.0</v>
      </c>
      <c r="AV17" s="3">
        <v>163.0</v>
      </c>
      <c r="AW17" s="3">
        <v>164.0</v>
      </c>
      <c r="AX17" s="3">
        <v>165.0</v>
      </c>
      <c r="AY17" s="3">
        <v>166.0</v>
      </c>
      <c r="AZ17" s="3">
        <v>167.0</v>
      </c>
    </row>
    <row r="18" ht="15.75" customHeight="1">
      <c r="A18" s="6">
        <v>7.0</v>
      </c>
      <c r="B18" s="7" t="str">
        <f>LOOKUP($D18,Site_Meta!$C$2:$C$43,Site_Meta!A$2:A$43)</f>
        <v>Esperanza 10m</v>
      </c>
      <c r="C18" s="7" t="str">
        <f>LOOKUP($D18,Site_Meta!$C$2:$C$43,Site_Meta!B$2:B$43)</f>
        <v>Isla Vieques</v>
      </c>
      <c r="D18" s="3" t="s">
        <v>75</v>
      </c>
      <c r="E18" s="7" t="str">
        <f>LOOKUP($D18,Site_Meta!$C$2:$C$43,Site_Meta!D$2:D$43)</f>
        <v>Vieques/Culebra</v>
      </c>
      <c r="F18" s="7" t="str">
        <f>LOOKUP($D18,Site_Meta!$C$2:$C$43,Site_Meta!E$2:E$43)</f>
        <v>E</v>
      </c>
      <c r="G18" s="7">
        <f>LOOKUP($D18,Site_Meta!$C$2:$C$43,Site_Meta!F$2:F$43)</f>
        <v>18.08057</v>
      </c>
      <c r="H18" s="7">
        <f>LOOKUP($D18,Site_Meta!$C$2:$C$43,Site_Meta!G$2:G$43)</f>
        <v>-65.4879</v>
      </c>
      <c r="I18" s="7">
        <f>LOOKUP($D18,Site_Meta!$C$2:$C$43,Site_Meta!H$2:H$43)</f>
        <v>10</v>
      </c>
      <c r="J18" s="3">
        <v>11.0</v>
      </c>
      <c r="K18" s="3">
        <v>19.0</v>
      </c>
      <c r="L18" s="9">
        <v>24.0</v>
      </c>
      <c r="M18" s="10" t="str">
        <f t="shared" si="1"/>
        <v>11/19/24</v>
      </c>
      <c r="N18" s="3" t="s">
        <v>67</v>
      </c>
      <c r="O18" s="3" t="s">
        <v>55</v>
      </c>
      <c r="P18" s="9" t="s">
        <v>68</v>
      </c>
      <c r="Q18" s="3" t="s">
        <v>57</v>
      </c>
      <c r="R18" s="12">
        <v>0.45694444444444443</v>
      </c>
      <c r="S18" s="12">
        <v>0.4722222222222222</v>
      </c>
      <c r="T18" s="3">
        <v>29.23</v>
      </c>
      <c r="U18" s="3">
        <v>0.84</v>
      </c>
      <c r="V18" s="3">
        <v>35.56</v>
      </c>
      <c r="W18" s="3">
        <v>0.72</v>
      </c>
      <c r="X18" s="3">
        <v>6.14</v>
      </c>
      <c r="Y18" s="3">
        <v>0.58</v>
      </c>
      <c r="Z18" s="3">
        <v>8.13</v>
      </c>
      <c r="AA18" s="3">
        <v>0.69</v>
      </c>
      <c r="AB18" s="3">
        <v>29.1</v>
      </c>
      <c r="AC18" s="3">
        <v>9.41</v>
      </c>
      <c r="AD18" s="3">
        <v>35.55</v>
      </c>
      <c r="AE18" s="3">
        <v>9.37</v>
      </c>
      <c r="AF18" s="3">
        <v>6.05</v>
      </c>
      <c r="AG18" s="3">
        <v>9.23</v>
      </c>
      <c r="AH18" s="8">
        <v>8.13</v>
      </c>
      <c r="AI18" s="3">
        <v>9.23</v>
      </c>
      <c r="AJ18" s="3">
        <v>10.0</v>
      </c>
      <c r="AK18" s="3">
        <v>10.0</v>
      </c>
      <c r="AL18" s="3">
        <v>10.0</v>
      </c>
      <c r="AM18" s="3">
        <v>10.0</v>
      </c>
      <c r="AN18" s="3">
        <v>0.5</v>
      </c>
      <c r="AO18" s="3">
        <v>9.0</v>
      </c>
      <c r="AP18" s="3">
        <v>170.0</v>
      </c>
      <c r="AQ18" s="3">
        <v>171.0</v>
      </c>
      <c r="AR18" s="3">
        <v>172.0</v>
      </c>
      <c r="AS18" s="3">
        <v>173.0</v>
      </c>
      <c r="AT18" s="3">
        <v>174.0</v>
      </c>
      <c r="AU18" s="3">
        <v>175.0</v>
      </c>
      <c r="AV18" s="3">
        <v>176.0</v>
      </c>
      <c r="AW18" s="3">
        <v>177.0</v>
      </c>
      <c r="AX18" s="11">
        <v>178.0</v>
      </c>
      <c r="AY18" s="11">
        <v>179.0</v>
      </c>
      <c r="AZ18" s="11">
        <v>180.0</v>
      </c>
    </row>
    <row r="19" ht="15.75" customHeight="1">
      <c r="A19" s="6">
        <v>7.0</v>
      </c>
      <c r="B19" s="7" t="str">
        <f>LOOKUP($D19,Site_Meta!$C$2:$C$43,Site_Meta!A$2:A$43)</f>
        <v>Canjilones 15m</v>
      </c>
      <c r="C19" s="7" t="str">
        <f>LOOKUP($D19,Site_Meta!$C$2:$C$43,Site_Meta!B$2:B$43)</f>
        <v>Isla Vieques</v>
      </c>
      <c r="D19" s="3" t="s">
        <v>76</v>
      </c>
      <c r="E19" s="7" t="str">
        <f>LOOKUP($D19,Site_Meta!$C$2:$C$43,Site_Meta!D$2:D$43)</f>
        <v>Vieques/Culebra</v>
      </c>
      <c r="F19" s="7" t="str">
        <f>LOOKUP($D19,Site_Meta!$C$2:$C$43,Site_Meta!E$2:E$43)</f>
        <v>E</v>
      </c>
      <c r="G19" s="7">
        <f>LOOKUP($D19,Site_Meta!$C$2:$C$43,Site_Meta!F$2:F$43)</f>
        <v>18.08964</v>
      </c>
      <c r="H19" s="7">
        <f>LOOKUP($D19,Site_Meta!$C$2:$C$43,Site_Meta!G$2:G$43)</f>
        <v>-65.5901</v>
      </c>
      <c r="I19" s="7">
        <f>LOOKUP($D19,Site_Meta!$C$2:$C$43,Site_Meta!H$2:H$43)</f>
        <v>15</v>
      </c>
      <c r="J19" s="3">
        <v>11.0</v>
      </c>
      <c r="K19" s="3">
        <v>19.0</v>
      </c>
      <c r="L19" s="9">
        <v>24.0</v>
      </c>
      <c r="M19" s="10" t="str">
        <f t="shared" si="1"/>
        <v>11/19/24</v>
      </c>
      <c r="N19" s="3" t="s">
        <v>67</v>
      </c>
      <c r="O19" s="9" t="s">
        <v>55</v>
      </c>
      <c r="P19" s="3" t="s">
        <v>68</v>
      </c>
      <c r="Q19" s="3" t="s">
        <v>57</v>
      </c>
      <c r="R19" s="12">
        <v>0.4930555555555556</v>
      </c>
      <c r="S19" s="12">
        <v>0.5076388888888889</v>
      </c>
      <c r="T19" s="3">
        <v>29.29</v>
      </c>
      <c r="U19" s="3">
        <v>0.81</v>
      </c>
      <c r="V19" s="3">
        <v>35.42</v>
      </c>
      <c r="W19" s="3">
        <v>0.9</v>
      </c>
      <c r="X19" s="3">
        <v>6.15</v>
      </c>
      <c r="Y19" s="3">
        <v>0.89</v>
      </c>
      <c r="Z19" s="3">
        <v>8.14</v>
      </c>
      <c r="AA19" s="3">
        <v>0.71</v>
      </c>
      <c r="AB19" s="3">
        <v>29.24</v>
      </c>
      <c r="AC19" s="3">
        <v>13.49</v>
      </c>
      <c r="AD19" s="3">
        <v>35.55</v>
      </c>
      <c r="AE19" s="3">
        <v>13.52</v>
      </c>
      <c r="AF19" s="3">
        <v>6.16</v>
      </c>
      <c r="AG19" s="3">
        <v>13.5</v>
      </c>
      <c r="AH19" s="3">
        <v>8.14</v>
      </c>
      <c r="AI19" s="3">
        <v>13.22</v>
      </c>
      <c r="AJ19" s="3">
        <v>15.0</v>
      </c>
      <c r="AK19" s="3">
        <v>15.0</v>
      </c>
      <c r="AL19" s="3">
        <v>15.0</v>
      </c>
      <c r="AM19" s="3">
        <v>15.0</v>
      </c>
      <c r="AN19" s="3">
        <v>0.5</v>
      </c>
      <c r="AO19" s="3">
        <v>13.0</v>
      </c>
      <c r="AP19" s="3">
        <v>118.0</v>
      </c>
      <c r="AQ19" s="3">
        <v>119.0</v>
      </c>
      <c r="AR19" s="3">
        <v>120.0</v>
      </c>
      <c r="AS19" s="3">
        <v>121.0</v>
      </c>
      <c r="AT19" s="3">
        <v>122.0</v>
      </c>
      <c r="AU19" s="3">
        <v>123.0</v>
      </c>
      <c r="AV19" s="3">
        <v>124.0</v>
      </c>
      <c r="AW19" s="3">
        <v>125.0</v>
      </c>
      <c r="AX19" s="3">
        <v>126.0</v>
      </c>
      <c r="AY19" s="3">
        <v>127.0</v>
      </c>
      <c r="AZ19" s="3">
        <v>128.0</v>
      </c>
      <c r="BA19" s="3"/>
    </row>
    <row r="20" ht="15.75" customHeight="1">
      <c r="A20" s="6">
        <v>7.0</v>
      </c>
      <c r="B20" s="7" t="str">
        <f>LOOKUP($D20,Site_Meta!$C$2:$C$43,Site_Meta!A$2:A$43)</f>
        <v>Palominitos 10m</v>
      </c>
      <c r="C20" s="7" t="str">
        <f>LOOKUP($D20,Site_Meta!$C$2:$C$43,Site_Meta!B$2:B$43)</f>
        <v>Fajardo</v>
      </c>
      <c r="D20" s="3" t="s">
        <v>77</v>
      </c>
      <c r="E20" s="7" t="str">
        <f>LOOKUP($D20,Site_Meta!$C$2:$C$43,Site_Meta!D$2:D$43)</f>
        <v>North/Northeast</v>
      </c>
      <c r="F20" s="7" t="str">
        <f>LOOKUP($D20,Site_Meta!$C$2:$C$43,Site_Meta!E$2:E$43)</f>
        <v>E</v>
      </c>
      <c r="G20" s="7">
        <f>LOOKUP($D20,Site_Meta!$C$2:$C$43,Site_Meta!F$2:F$43)</f>
        <v>18.33537</v>
      </c>
      <c r="H20" s="7">
        <f>LOOKUP($D20,Site_Meta!$C$2:$C$43,Site_Meta!G$2:G$43)</f>
        <v>-65.5656</v>
      </c>
      <c r="I20" s="7">
        <f>LOOKUP($D20,Site_Meta!$C$2:$C$43,Site_Meta!H$2:H$43)</f>
        <v>10</v>
      </c>
      <c r="J20" s="3">
        <v>11.0</v>
      </c>
      <c r="K20" s="3">
        <v>19.0</v>
      </c>
      <c r="L20" s="9">
        <v>24.0</v>
      </c>
      <c r="M20" s="10" t="str">
        <f t="shared" si="1"/>
        <v>11/19/24</v>
      </c>
      <c r="N20" s="3" t="s">
        <v>67</v>
      </c>
      <c r="O20" s="9" t="s">
        <v>55</v>
      </c>
      <c r="P20" s="3" t="s">
        <v>68</v>
      </c>
      <c r="Q20" s="3" t="s">
        <v>57</v>
      </c>
      <c r="R20" s="13">
        <v>0.5513888888888889</v>
      </c>
      <c r="S20" s="13">
        <v>0.5673611111111111</v>
      </c>
      <c r="T20" s="3">
        <v>29.16</v>
      </c>
      <c r="U20" s="3">
        <v>0.54</v>
      </c>
      <c r="V20" s="3">
        <v>35.26</v>
      </c>
      <c r="W20" s="3">
        <v>0.52</v>
      </c>
      <c r="X20" s="3">
        <v>6.35</v>
      </c>
      <c r="Y20" s="3">
        <v>0.5</v>
      </c>
      <c r="Z20" s="3">
        <v>8.15</v>
      </c>
      <c r="AA20" s="3">
        <v>0.56</v>
      </c>
      <c r="AB20" s="3">
        <v>29.04</v>
      </c>
      <c r="AC20" s="3">
        <v>8.78</v>
      </c>
      <c r="AD20" s="3">
        <v>35.39</v>
      </c>
      <c r="AE20" s="3">
        <v>8.92</v>
      </c>
      <c r="AF20" s="3">
        <v>6.45</v>
      </c>
      <c r="AG20" s="3">
        <v>7.81</v>
      </c>
      <c r="AH20" s="3">
        <v>8.15</v>
      </c>
      <c r="AI20" s="3">
        <v>7.84</v>
      </c>
      <c r="AJ20" s="3">
        <v>5.25</v>
      </c>
      <c r="AK20" s="3">
        <v>5.25</v>
      </c>
      <c r="AL20" s="3">
        <v>5.25</v>
      </c>
      <c r="AM20" s="3">
        <v>5.25</v>
      </c>
      <c r="AN20" s="3">
        <v>0.5</v>
      </c>
      <c r="AO20" s="3">
        <v>8.0</v>
      </c>
      <c r="AP20" s="3">
        <v>131.0</v>
      </c>
      <c r="AQ20" s="3">
        <v>132.0</v>
      </c>
      <c r="AR20" s="3">
        <v>133.0</v>
      </c>
      <c r="AS20" s="3">
        <v>134.0</v>
      </c>
      <c r="AT20" s="3">
        <v>135.0</v>
      </c>
      <c r="AU20" s="3">
        <v>136.0</v>
      </c>
      <c r="AV20" s="3">
        <v>137.0</v>
      </c>
      <c r="AW20" s="3">
        <v>138.0</v>
      </c>
      <c r="AX20" s="3">
        <v>139.0</v>
      </c>
      <c r="AY20" s="3">
        <v>140.0</v>
      </c>
      <c r="AZ20" s="3">
        <v>141.0</v>
      </c>
    </row>
    <row r="21" ht="15.75" customHeight="1">
      <c r="A21" s="6">
        <v>7.0</v>
      </c>
      <c r="B21" s="7" t="str">
        <f>LOOKUP($D21,Site_Meta!$C$2:$C$43,Site_Meta!A$2:A$43)</f>
        <v>Cayo Rodriguez 5m</v>
      </c>
      <c r="C21" s="7" t="str">
        <f>LOOKUP($D21,Site_Meta!$C$2:$C$43,Site_Meta!B$2:B$43)</f>
        <v>Mayaguez</v>
      </c>
      <c r="D21" s="3" t="s">
        <v>78</v>
      </c>
      <c r="E21" s="7" t="str">
        <f>LOOKUP($D21,Site_Meta!$C$2:$C$43,Site_Meta!D$2:D$43)</f>
        <v>West</v>
      </c>
      <c r="F21" s="7" t="str">
        <f>LOOKUP($D21,Site_Meta!$C$2:$C$43,Site_Meta!E$2:E$43)</f>
        <v>W</v>
      </c>
      <c r="G21" s="7">
        <f>LOOKUP($D21,Site_Meta!$C$2:$C$43,Site_Meta!F$2:F$43)</f>
        <v>18.1893</v>
      </c>
      <c r="H21" s="7">
        <f>LOOKUP($D21,Site_Meta!$C$2:$C$43,Site_Meta!G$2:G$43)</f>
        <v>-67.1919</v>
      </c>
      <c r="I21" s="7">
        <f>LOOKUP($D21,Site_Meta!$C$2:$C$43,Site_Meta!H$2:H$43)</f>
        <v>5</v>
      </c>
      <c r="J21" s="3">
        <v>12.0</v>
      </c>
      <c r="K21" s="3">
        <v>3.0</v>
      </c>
      <c r="L21" s="9">
        <v>24.0</v>
      </c>
      <c r="M21" s="10" t="str">
        <f t="shared" si="1"/>
        <v>12/3/24</v>
      </c>
      <c r="N21" s="3" t="s">
        <v>79</v>
      </c>
      <c r="O21" s="9" t="s">
        <v>55</v>
      </c>
      <c r="P21" s="3" t="s">
        <v>80</v>
      </c>
      <c r="Q21" s="3" t="s">
        <v>57</v>
      </c>
      <c r="R21" s="12">
        <v>0.375</v>
      </c>
      <c r="S21" s="12">
        <v>0.38055555555555554</v>
      </c>
      <c r="T21" s="3">
        <v>29.19</v>
      </c>
      <c r="U21" s="3">
        <v>0.65</v>
      </c>
      <c r="V21" s="3">
        <v>34.76</v>
      </c>
      <c r="W21" s="3">
        <v>0.61</v>
      </c>
      <c r="X21" s="3">
        <v>6.08</v>
      </c>
      <c r="Y21" s="3">
        <v>0.61</v>
      </c>
      <c r="Z21" s="3">
        <v>8.09</v>
      </c>
      <c r="AA21" s="3">
        <v>0.62</v>
      </c>
      <c r="AB21" s="3">
        <v>29.33</v>
      </c>
      <c r="AC21" s="3">
        <v>4.7</v>
      </c>
      <c r="AD21" s="3">
        <v>34.87</v>
      </c>
      <c r="AE21" s="3">
        <v>4.73</v>
      </c>
      <c r="AF21" s="3">
        <v>6.06</v>
      </c>
      <c r="AG21" s="3">
        <v>4.95</v>
      </c>
      <c r="AH21" s="3">
        <v>8.11</v>
      </c>
      <c r="AI21" s="3">
        <v>5.59</v>
      </c>
      <c r="AJ21" s="3">
        <v>5.0</v>
      </c>
      <c r="AK21" s="3">
        <v>5.0</v>
      </c>
      <c r="AL21" s="3">
        <v>6.0</v>
      </c>
      <c r="AM21" s="15">
        <f>AVERAGE(AJ21:AL21)</f>
        <v>5.333333333</v>
      </c>
      <c r="AN21" s="3">
        <v>0.5</v>
      </c>
      <c r="AO21" s="3">
        <v>5.0</v>
      </c>
      <c r="AP21" s="3">
        <v>326.0</v>
      </c>
      <c r="AQ21" s="3">
        <v>327.0</v>
      </c>
      <c r="AR21" s="3">
        <v>328.0</v>
      </c>
      <c r="AS21" s="3">
        <v>329.0</v>
      </c>
      <c r="AT21" s="3">
        <v>330.0</v>
      </c>
      <c r="AU21" s="3">
        <v>331.0</v>
      </c>
      <c r="AV21" s="3">
        <v>332.0</v>
      </c>
      <c r="AW21" s="3">
        <v>333.0</v>
      </c>
      <c r="AX21" s="3">
        <v>334.0</v>
      </c>
      <c r="AY21" s="3">
        <v>335.0</v>
      </c>
      <c r="AZ21" s="3">
        <v>336.0</v>
      </c>
    </row>
    <row r="22" ht="15.75" customHeight="1">
      <c r="A22" s="6">
        <v>7.0</v>
      </c>
      <c r="B22" s="7" t="str">
        <f>LOOKUP($D22,Site_Meta!$C$2:$C$43,Site_Meta!A$2:A$43)</f>
        <v>Guanajibo 20m</v>
      </c>
      <c r="C22" s="7" t="str">
        <f>LOOKUP($D22,Site_Meta!$C$2:$C$43,Site_Meta!B$2:B$43)</f>
        <v>Mayaguez</v>
      </c>
      <c r="D22" s="3" t="s">
        <v>81</v>
      </c>
      <c r="E22" s="7" t="str">
        <f>LOOKUP($D22,Site_Meta!$C$2:$C$43,Site_Meta!D$2:D$43)</f>
        <v>West</v>
      </c>
      <c r="F22" s="7" t="str">
        <f>LOOKUP($D22,Site_Meta!$C$2:$C$43,Site_Meta!E$2:E$43)</f>
        <v>W</v>
      </c>
      <c r="G22" s="7">
        <f>LOOKUP($D22,Site_Meta!$C$2:$C$43,Site_Meta!F$2:F$43)</f>
        <v>18.17202</v>
      </c>
      <c r="H22" s="7">
        <f>LOOKUP($D22,Site_Meta!$C$2:$C$43,Site_Meta!G$2:G$43)</f>
        <v>-67.253</v>
      </c>
      <c r="I22" s="7">
        <f>LOOKUP($D22,Site_Meta!$C$2:$C$43,Site_Meta!H$2:H$43)</f>
        <v>20</v>
      </c>
      <c r="J22" s="3">
        <v>12.0</v>
      </c>
      <c r="K22" s="3">
        <v>3.0</v>
      </c>
      <c r="L22" s="9">
        <v>24.0</v>
      </c>
      <c r="M22" s="10" t="str">
        <f t="shared" si="1"/>
        <v>12/3/24</v>
      </c>
      <c r="N22" s="3" t="s">
        <v>79</v>
      </c>
      <c r="O22" s="9" t="s">
        <v>55</v>
      </c>
      <c r="P22" s="3" t="s">
        <v>80</v>
      </c>
      <c r="Q22" s="3" t="s">
        <v>57</v>
      </c>
      <c r="R22" s="12">
        <v>0.4048611111111111</v>
      </c>
      <c r="S22" s="12">
        <v>0.4166666666666667</v>
      </c>
      <c r="T22" s="3">
        <v>29.45</v>
      </c>
      <c r="U22" s="3">
        <v>0.59</v>
      </c>
      <c r="V22" s="3">
        <v>35.03</v>
      </c>
      <c r="W22" s="3">
        <v>0.62</v>
      </c>
      <c r="X22" s="3">
        <v>6.52</v>
      </c>
      <c r="Y22" s="3">
        <v>0.65</v>
      </c>
      <c r="Z22" s="3">
        <v>8.17</v>
      </c>
      <c r="AA22" s="3">
        <v>0.64</v>
      </c>
      <c r="AB22" s="3">
        <v>29.36</v>
      </c>
      <c r="AC22" s="11">
        <v>9.85</v>
      </c>
      <c r="AD22" s="3">
        <v>35.21</v>
      </c>
      <c r="AE22" s="3">
        <v>9.89</v>
      </c>
      <c r="AF22" s="3">
        <v>6.01</v>
      </c>
      <c r="AG22" s="3">
        <v>9.96</v>
      </c>
      <c r="AH22" s="3">
        <v>8.15</v>
      </c>
      <c r="AI22" s="3">
        <v>9.96</v>
      </c>
      <c r="AJ22" s="3" t="s">
        <v>82</v>
      </c>
      <c r="AK22" s="3" t="s">
        <v>82</v>
      </c>
      <c r="AL22" s="3" t="s">
        <v>82</v>
      </c>
      <c r="AM22" s="3" t="s">
        <v>82</v>
      </c>
      <c r="AN22" s="3">
        <v>0.5</v>
      </c>
      <c r="AO22" s="3">
        <v>14.0</v>
      </c>
      <c r="AP22" s="3">
        <v>469.0</v>
      </c>
      <c r="AQ22" s="3">
        <v>470.0</v>
      </c>
      <c r="AR22" s="3">
        <v>471.0</v>
      </c>
      <c r="AS22" s="3">
        <v>472.0</v>
      </c>
      <c r="AT22" s="3">
        <v>473.0</v>
      </c>
      <c r="AU22" s="3">
        <v>474.0</v>
      </c>
      <c r="AV22" s="3">
        <v>475.0</v>
      </c>
      <c r="AW22" s="3">
        <v>476.0</v>
      </c>
      <c r="AX22" s="3">
        <v>477.0</v>
      </c>
      <c r="AY22" s="3">
        <v>478.0</v>
      </c>
      <c r="AZ22" s="3">
        <v>479.0</v>
      </c>
    </row>
    <row r="23" ht="15.75" customHeight="1">
      <c r="A23" s="6">
        <v>7.0</v>
      </c>
      <c r="B23" s="7" t="str">
        <f>LOOKUP($D23,Site_Meta!$C$2:$C$43,Site_Meta!A$2:A$43)</f>
        <v>Tourmaline 30m</v>
      </c>
      <c r="C23" s="7" t="str">
        <f>LOOKUP($D23,Site_Meta!$C$2:$C$43,Site_Meta!B$2:B$43)</f>
        <v>Cabo Rojo</v>
      </c>
      <c r="D23" s="3" t="s">
        <v>83</v>
      </c>
      <c r="E23" s="7" t="str">
        <f>LOOKUP($D23,Site_Meta!$C$2:$C$43,Site_Meta!D$2:D$43)</f>
        <v>West</v>
      </c>
      <c r="F23" s="7" t="str">
        <f>LOOKUP($D23,Site_Meta!$C$2:$C$43,Site_Meta!E$2:E$43)</f>
        <v>W</v>
      </c>
      <c r="G23" s="7">
        <f>LOOKUP($D23,Site_Meta!$C$2:$C$43,Site_Meta!F$2:F$43)</f>
        <v>18.16637</v>
      </c>
      <c r="H23" s="7">
        <f>LOOKUP($D23,Site_Meta!$C$2:$C$43,Site_Meta!G$2:G$43)</f>
        <v>-67.2763</v>
      </c>
      <c r="I23" s="7">
        <f>LOOKUP($D23,Site_Meta!$C$2:$C$43,Site_Meta!H$2:H$43)</f>
        <v>30</v>
      </c>
      <c r="J23" s="3">
        <v>12.0</v>
      </c>
      <c r="K23" s="3">
        <v>3.0</v>
      </c>
      <c r="L23" s="9">
        <v>24.0</v>
      </c>
      <c r="M23" s="10" t="str">
        <f t="shared" si="1"/>
        <v>12/3/24</v>
      </c>
      <c r="N23" s="3" t="s">
        <v>79</v>
      </c>
      <c r="O23" s="9" t="s">
        <v>55</v>
      </c>
      <c r="P23" s="3" t="s">
        <v>80</v>
      </c>
      <c r="Q23" s="3" t="s">
        <v>57</v>
      </c>
      <c r="R23" s="12">
        <v>0.43125</v>
      </c>
      <c r="S23" s="12">
        <v>0.44722222222222224</v>
      </c>
      <c r="T23" s="3">
        <v>29.48</v>
      </c>
      <c r="U23" s="3">
        <v>0.53</v>
      </c>
      <c r="V23" s="3">
        <v>35.05</v>
      </c>
      <c r="W23" s="3">
        <v>0.73</v>
      </c>
      <c r="X23" s="3">
        <v>6.35</v>
      </c>
      <c r="Y23" s="3">
        <v>0.71</v>
      </c>
      <c r="Z23" s="3">
        <v>8.16</v>
      </c>
      <c r="AA23" s="3">
        <v>0.68</v>
      </c>
      <c r="AB23" s="3">
        <v>29.37</v>
      </c>
      <c r="AC23" s="3">
        <v>24.03</v>
      </c>
      <c r="AD23" s="3">
        <v>35.31</v>
      </c>
      <c r="AE23" s="3">
        <v>24.09</v>
      </c>
      <c r="AF23" s="3">
        <v>6.22</v>
      </c>
      <c r="AG23" s="3">
        <v>24.08</v>
      </c>
      <c r="AH23" s="3">
        <v>8.16</v>
      </c>
      <c r="AI23" s="3">
        <v>24.08</v>
      </c>
      <c r="AJ23" s="3">
        <v>22.0</v>
      </c>
      <c r="AK23" s="3">
        <v>23.5</v>
      </c>
      <c r="AL23" s="3">
        <v>23.0</v>
      </c>
      <c r="AM23" s="15">
        <f>AVERAGE(AJ23:AL23)</f>
        <v>22.83333333</v>
      </c>
      <c r="AN23" s="3">
        <v>0.5</v>
      </c>
      <c r="AO23" s="3">
        <v>25.0</v>
      </c>
      <c r="AP23" s="3">
        <v>378.0</v>
      </c>
      <c r="AQ23" s="3">
        <v>379.0</v>
      </c>
      <c r="AR23" s="3">
        <v>380.0</v>
      </c>
      <c r="AS23" s="3">
        <v>381.0</v>
      </c>
      <c r="AT23" s="3">
        <v>382.0</v>
      </c>
      <c r="AU23" s="3">
        <v>383.0</v>
      </c>
      <c r="AV23" s="3">
        <v>384.0</v>
      </c>
      <c r="AW23" s="3">
        <v>385.0</v>
      </c>
      <c r="AX23" s="3">
        <v>386.0</v>
      </c>
      <c r="AY23" s="3">
        <v>387.0</v>
      </c>
      <c r="AZ23" s="11">
        <v>388.0</v>
      </c>
    </row>
    <row r="24" ht="15.75" customHeight="1">
      <c r="A24" s="6">
        <v>7.0</v>
      </c>
      <c r="B24" s="7" t="str">
        <f>LOOKUP($D24,Site_Meta!$C$2:$C$43,Site_Meta!A$2:A$43)</f>
        <v>Tourmaline 20m</v>
      </c>
      <c r="C24" s="7" t="str">
        <f>LOOKUP($D24,Site_Meta!$C$2:$C$43,Site_Meta!B$2:B$43)</f>
        <v>Cabo Rojo</v>
      </c>
      <c r="D24" s="8" t="s">
        <v>84</v>
      </c>
      <c r="E24" s="7" t="str">
        <f>LOOKUP($D24,Site_Meta!$C$2:$C$43,Site_Meta!D$2:D$43)</f>
        <v>West</v>
      </c>
      <c r="F24" s="7" t="str">
        <f>LOOKUP($D24,Site_Meta!$C$2:$C$43,Site_Meta!E$2:E$43)</f>
        <v>W</v>
      </c>
      <c r="G24" s="7">
        <f>LOOKUP($D24,Site_Meta!$C$2:$C$43,Site_Meta!F$2:F$43)</f>
        <v>18.16517</v>
      </c>
      <c r="H24" s="7">
        <f>LOOKUP($D24,Site_Meta!$C$2:$C$43,Site_Meta!G$2:G$43)</f>
        <v>-67.2752</v>
      </c>
      <c r="I24" s="7">
        <f>LOOKUP($D24,Site_Meta!$C$2:$C$43,Site_Meta!H$2:H$43)</f>
        <v>20</v>
      </c>
      <c r="J24" s="3">
        <v>12.0</v>
      </c>
      <c r="K24" s="3">
        <v>3.0</v>
      </c>
      <c r="L24" s="9">
        <v>24.0</v>
      </c>
      <c r="M24" s="10" t="str">
        <f t="shared" si="1"/>
        <v>12/3/24</v>
      </c>
      <c r="N24" s="3" t="s">
        <v>79</v>
      </c>
      <c r="O24" s="9" t="s">
        <v>55</v>
      </c>
      <c r="P24" s="3" t="s">
        <v>80</v>
      </c>
      <c r="Q24" s="3" t="s">
        <v>57</v>
      </c>
      <c r="R24" s="12">
        <v>0.4527777777777778</v>
      </c>
      <c r="S24" s="12">
        <v>0.4625</v>
      </c>
      <c r="T24" s="3">
        <v>29.53</v>
      </c>
      <c r="U24" s="3">
        <v>0.66</v>
      </c>
      <c r="V24" s="3">
        <v>35.14</v>
      </c>
      <c r="W24" s="3">
        <v>0.7</v>
      </c>
      <c r="X24" s="3">
        <v>6.31</v>
      </c>
      <c r="Y24" s="3">
        <v>0.66</v>
      </c>
      <c r="Z24" s="3">
        <v>8.16</v>
      </c>
      <c r="AA24" s="3">
        <v>0.67</v>
      </c>
      <c r="AB24" s="3">
        <v>29.4</v>
      </c>
      <c r="AC24" s="3">
        <v>8.72</v>
      </c>
      <c r="AD24" s="3">
        <v>35.16</v>
      </c>
      <c r="AE24" s="3">
        <v>8.92</v>
      </c>
      <c r="AF24" s="3">
        <v>6.29</v>
      </c>
      <c r="AG24" s="3">
        <v>8.92</v>
      </c>
      <c r="AH24" s="3">
        <v>8.16</v>
      </c>
      <c r="AI24" s="3">
        <v>9.6</v>
      </c>
      <c r="AJ24" s="3" t="s">
        <v>82</v>
      </c>
      <c r="AK24" s="3" t="s">
        <v>85</v>
      </c>
      <c r="AL24" s="3" t="s">
        <v>85</v>
      </c>
      <c r="AM24" s="3" t="s">
        <v>82</v>
      </c>
      <c r="AN24" s="3">
        <v>0.5</v>
      </c>
      <c r="AO24" s="3">
        <v>11.0</v>
      </c>
      <c r="AP24" s="3">
        <v>287.0</v>
      </c>
      <c r="AQ24" s="3">
        <v>288.0</v>
      </c>
      <c r="AR24" s="3">
        <v>289.0</v>
      </c>
      <c r="AS24" s="3">
        <v>290.0</v>
      </c>
      <c r="AT24" s="3">
        <v>291.0</v>
      </c>
      <c r="AU24" s="3">
        <v>292.0</v>
      </c>
      <c r="AV24" s="3">
        <v>293.0</v>
      </c>
      <c r="AW24" s="3">
        <v>294.0</v>
      </c>
      <c r="AX24" s="3">
        <v>295.0</v>
      </c>
      <c r="AY24" s="3">
        <v>296.0</v>
      </c>
      <c r="AZ24" s="3">
        <v>297.0</v>
      </c>
    </row>
    <row r="25" ht="15.75" customHeight="1">
      <c r="A25" s="6">
        <v>7.0</v>
      </c>
      <c r="B25" s="7" t="str">
        <f>LOOKUP($D25,Site_Meta!$C$2:$C$43,Site_Meta!A$2:A$43)</f>
        <v>Tourmaline 10m</v>
      </c>
      <c r="C25" s="7" t="str">
        <f>LOOKUP($D25,Site_Meta!$C$2:$C$43,Site_Meta!B$2:B$43)</f>
        <v>Cabo Rojo</v>
      </c>
      <c r="D25" s="3" t="s">
        <v>86</v>
      </c>
      <c r="E25" s="7" t="str">
        <f>LOOKUP($D25,Site_Meta!$C$2:$C$43,Site_Meta!D$2:D$43)</f>
        <v>West</v>
      </c>
      <c r="F25" s="7" t="str">
        <f>LOOKUP($D25,Site_Meta!$C$2:$C$43,Site_Meta!E$2:E$43)</f>
        <v>W</v>
      </c>
      <c r="G25" s="7">
        <f>LOOKUP($D25,Site_Meta!$C$2:$C$43,Site_Meta!F$2:F$43)</f>
        <v>18.16304</v>
      </c>
      <c r="H25" s="7">
        <f>LOOKUP($D25,Site_Meta!$C$2:$C$43,Site_Meta!G$2:G$43)</f>
        <v>-67.2737</v>
      </c>
      <c r="I25" s="7">
        <f>LOOKUP($D25,Site_Meta!$C$2:$C$43,Site_Meta!H$2:H$43)</f>
        <v>10</v>
      </c>
      <c r="J25" s="3">
        <v>12.0</v>
      </c>
      <c r="K25" s="3">
        <v>3.0</v>
      </c>
      <c r="L25" s="9">
        <v>24.0</v>
      </c>
      <c r="M25" s="10" t="str">
        <f t="shared" si="1"/>
        <v>12/3/24</v>
      </c>
      <c r="N25" s="3" t="s">
        <v>79</v>
      </c>
      <c r="O25" s="9" t="s">
        <v>55</v>
      </c>
      <c r="P25" s="3" t="s">
        <v>80</v>
      </c>
      <c r="Q25" s="3" t="s">
        <v>57</v>
      </c>
      <c r="R25" s="12">
        <v>0.46944444444444444</v>
      </c>
      <c r="S25" s="12">
        <v>0.4777777777777778</v>
      </c>
      <c r="T25" s="3">
        <v>29.46</v>
      </c>
      <c r="U25" s="3">
        <v>0.66</v>
      </c>
      <c r="V25" s="3">
        <v>35.07</v>
      </c>
      <c r="W25" s="3">
        <v>0.65</v>
      </c>
      <c r="X25" s="3">
        <v>6.31</v>
      </c>
      <c r="Y25" s="3">
        <v>0.65</v>
      </c>
      <c r="Z25" s="3">
        <v>8.16</v>
      </c>
      <c r="AA25" s="3">
        <v>0.64</v>
      </c>
      <c r="AB25" s="3">
        <v>29.39</v>
      </c>
      <c r="AC25" s="3">
        <v>7.88</v>
      </c>
      <c r="AD25" s="3">
        <v>35.24</v>
      </c>
      <c r="AE25" s="3">
        <v>7.87</v>
      </c>
      <c r="AF25" s="3">
        <v>6.28</v>
      </c>
      <c r="AG25" s="3">
        <v>7.79</v>
      </c>
      <c r="AH25" s="3">
        <v>8.16</v>
      </c>
      <c r="AI25" s="3">
        <v>7.59</v>
      </c>
      <c r="AJ25" s="3" t="s">
        <v>87</v>
      </c>
      <c r="AK25" s="3" t="s">
        <v>87</v>
      </c>
      <c r="AL25" s="3" t="s">
        <v>87</v>
      </c>
      <c r="AM25" s="3" t="s">
        <v>87</v>
      </c>
      <c r="AN25" s="3">
        <v>0.5</v>
      </c>
      <c r="AO25" s="3">
        <v>8.0</v>
      </c>
      <c r="AP25" s="3">
        <v>313.0</v>
      </c>
      <c r="AQ25" s="3">
        <v>314.0</v>
      </c>
      <c r="AR25" s="3">
        <v>315.0</v>
      </c>
      <c r="AS25" s="3">
        <v>316.0</v>
      </c>
      <c r="AT25" s="3">
        <v>317.0</v>
      </c>
      <c r="AU25" s="3">
        <v>318.0</v>
      </c>
      <c r="AV25" s="3">
        <v>319.0</v>
      </c>
      <c r="AW25" s="3">
        <v>320.0</v>
      </c>
      <c r="AX25" s="3">
        <v>321.0</v>
      </c>
      <c r="AY25" s="3">
        <v>322.0</v>
      </c>
      <c r="AZ25" s="3">
        <v>323.0</v>
      </c>
    </row>
    <row r="26" ht="15.75" customHeight="1">
      <c r="A26" s="6">
        <v>7.0</v>
      </c>
      <c r="B26" s="7" t="str">
        <f>LOOKUP($D26,Site_Meta!$C$2:$C$43,Site_Meta!A$2:A$43)</f>
        <v>El Negro 10m</v>
      </c>
      <c r="C26" s="7" t="str">
        <f>LOOKUP($D26,Site_Meta!$C$2:$C$43,Site_Meta!B$2:B$43)</f>
        <v>Cabo Rojo</v>
      </c>
      <c r="D26" s="3" t="s">
        <v>88</v>
      </c>
      <c r="E26" s="7" t="str">
        <f>LOOKUP($D26,Site_Meta!$C$2:$C$43,Site_Meta!D$2:D$43)</f>
        <v>West</v>
      </c>
      <c r="F26" s="7" t="str">
        <f>LOOKUP($D26,Site_Meta!$C$2:$C$43,Site_Meta!E$2:E$43)</f>
        <v>W</v>
      </c>
      <c r="G26" s="7">
        <f>LOOKUP($D26,Site_Meta!$C$2:$C$43,Site_Meta!F$2:F$43)</f>
        <v>18.14653</v>
      </c>
      <c r="H26" s="7">
        <f>LOOKUP($D26,Site_Meta!$C$2:$C$43,Site_Meta!G$2:G$43)</f>
        <v>-67.248</v>
      </c>
      <c r="I26" s="7">
        <f>LOOKUP($D26,Site_Meta!$C$2:$C$43,Site_Meta!H$2:H$43)</f>
        <v>10</v>
      </c>
      <c r="J26" s="3">
        <v>12.0</v>
      </c>
      <c r="K26" s="3">
        <v>3.0</v>
      </c>
      <c r="L26" s="9">
        <v>24.0</v>
      </c>
      <c r="M26" s="10" t="str">
        <f t="shared" si="1"/>
        <v>12/3/24</v>
      </c>
      <c r="N26" s="3" t="s">
        <v>79</v>
      </c>
      <c r="O26" s="9" t="s">
        <v>55</v>
      </c>
      <c r="P26" s="3" t="s">
        <v>80</v>
      </c>
      <c r="Q26" s="3" t="s">
        <v>57</v>
      </c>
      <c r="R26" s="16">
        <v>0.4965277777777778</v>
      </c>
      <c r="S26" s="16">
        <v>0.5104166666666666</v>
      </c>
      <c r="T26" s="3">
        <v>29.56</v>
      </c>
      <c r="U26" s="3">
        <v>0.78</v>
      </c>
      <c r="V26" s="3">
        <v>35.02</v>
      </c>
      <c r="W26" s="3">
        <v>0.77</v>
      </c>
      <c r="X26" s="3">
        <v>6.11</v>
      </c>
      <c r="Y26" s="3">
        <v>0.77</v>
      </c>
      <c r="Z26" s="3">
        <v>8.15</v>
      </c>
      <c r="AA26" s="3">
        <v>0.77</v>
      </c>
      <c r="AB26" s="3">
        <v>29.5</v>
      </c>
      <c r="AC26" s="3">
        <v>7.74</v>
      </c>
      <c r="AD26" s="3">
        <v>35.1</v>
      </c>
      <c r="AE26" s="3">
        <v>7.74</v>
      </c>
      <c r="AF26" s="3">
        <v>6.2</v>
      </c>
      <c r="AG26" s="3">
        <v>7.74</v>
      </c>
      <c r="AH26" s="3">
        <v>8.16</v>
      </c>
      <c r="AI26" s="3">
        <v>8.08</v>
      </c>
      <c r="AJ26" s="3" t="s">
        <v>87</v>
      </c>
      <c r="AK26" s="3" t="s">
        <v>87</v>
      </c>
      <c r="AL26" s="3" t="s">
        <v>87</v>
      </c>
      <c r="AM26" s="3" t="s">
        <v>87</v>
      </c>
      <c r="AN26" s="3">
        <v>0.5</v>
      </c>
      <c r="AO26" s="3">
        <v>8.0</v>
      </c>
      <c r="AP26" s="3">
        <v>300.0</v>
      </c>
      <c r="AQ26" s="3">
        <v>301.0</v>
      </c>
      <c r="AR26" s="3">
        <v>302.0</v>
      </c>
      <c r="AS26" s="3">
        <v>303.0</v>
      </c>
      <c r="AT26" s="3">
        <v>304.0</v>
      </c>
      <c r="AU26" s="3">
        <v>305.0</v>
      </c>
      <c r="AV26" s="3">
        <v>306.0</v>
      </c>
      <c r="AW26" s="3">
        <v>307.0</v>
      </c>
      <c r="AX26" s="3">
        <v>308.0</v>
      </c>
      <c r="AY26" s="3">
        <v>309.0</v>
      </c>
      <c r="AZ26" s="3">
        <v>310.0</v>
      </c>
    </row>
    <row r="27" ht="15.75" customHeight="1">
      <c r="A27" s="6">
        <v>7.0</v>
      </c>
      <c r="B27" s="7" t="str">
        <f>LOOKUP($D27,Site_Meta!$C$2:$C$43,Site_Meta!A$2:A$43)</f>
        <v>El Negro 5m</v>
      </c>
      <c r="C27" s="7" t="str">
        <f>LOOKUP($D27,Site_Meta!$C$2:$C$43,Site_Meta!B$2:B$43)</f>
        <v>Cabo Rojo</v>
      </c>
      <c r="D27" s="3" t="s">
        <v>89</v>
      </c>
      <c r="E27" s="7" t="str">
        <f>LOOKUP($D27,Site_Meta!$C$2:$C$43,Site_Meta!D$2:D$43)</f>
        <v>West</v>
      </c>
      <c r="F27" s="7" t="str">
        <f>LOOKUP($D27,Site_Meta!$C$2:$C$43,Site_Meta!E$2:E$43)</f>
        <v>W</v>
      </c>
      <c r="G27" s="7">
        <f>LOOKUP($D27,Site_Meta!$C$2:$C$43,Site_Meta!F$2:F$43)</f>
        <v>18.14658</v>
      </c>
      <c r="H27" s="7">
        <f>LOOKUP($D27,Site_Meta!$C$2:$C$43,Site_Meta!G$2:G$43)</f>
        <v>-67.2476</v>
      </c>
      <c r="I27" s="7">
        <f>LOOKUP($D27,Site_Meta!$C$2:$C$43,Site_Meta!H$2:H$43)</f>
        <v>5</v>
      </c>
      <c r="J27" s="3">
        <v>12.0</v>
      </c>
      <c r="K27" s="3">
        <v>3.0</v>
      </c>
      <c r="L27" s="9">
        <v>24.0</v>
      </c>
      <c r="M27" s="10" t="str">
        <f t="shared" si="1"/>
        <v>12/3/24</v>
      </c>
      <c r="N27" s="3" t="s">
        <v>79</v>
      </c>
      <c r="O27" s="9" t="s">
        <v>55</v>
      </c>
      <c r="P27" s="3" t="s">
        <v>80</v>
      </c>
      <c r="Q27" s="3" t="s">
        <v>57</v>
      </c>
      <c r="R27" s="12">
        <v>0.5180555555555556</v>
      </c>
      <c r="S27" s="12">
        <v>0.5298611111111111</v>
      </c>
      <c r="T27" s="3">
        <v>29.57</v>
      </c>
      <c r="U27" s="3">
        <v>0.57</v>
      </c>
      <c r="V27" s="3">
        <v>35.08</v>
      </c>
      <c r="W27" s="3">
        <v>0.62</v>
      </c>
      <c r="X27" s="3">
        <v>6.16</v>
      </c>
      <c r="Y27" s="3">
        <v>0.62</v>
      </c>
      <c r="Z27" s="3">
        <v>8.16</v>
      </c>
      <c r="AA27" s="3">
        <v>0.68</v>
      </c>
      <c r="AB27" s="3">
        <v>29.51</v>
      </c>
      <c r="AC27" s="3">
        <v>4.41</v>
      </c>
      <c r="AD27" s="3">
        <v>35.13</v>
      </c>
      <c r="AE27" s="3">
        <v>4.41</v>
      </c>
      <c r="AF27" s="3">
        <v>6.29</v>
      </c>
      <c r="AG27" s="3">
        <v>4.39</v>
      </c>
      <c r="AH27" s="3">
        <v>8.16</v>
      </c>
      <c r="AI27" s="3">
        <v>4.39</v>
      </c>
      <c r="AJ27" s="3" t="s">
        <v>90</v>
      </c>
      <c r="AK27" s="3" t="s">
        <v>90</v>
      </c>
      <c r="AL27" s="3" t="s">
        <v>90</v>
      </c>
      <c r="AM27" s="3" t="s">
        <v>90</v>
      </c>
      <c r="AN27" s="3">
        <v>0.5</v>
      </c>
      <c r="AO27" s="3">
        <v>3.0</v>
      </c>
      <c r="AP27" s="3">
        <v>274.0</v>
      </c>
      <c r="AQ27" s="3">
        <v>274.0</v>
      </c>
      <c r="AR27" s="3">
        <v>276.0</v>
      </c>
      <c r="AS27" s="3">
        <v>277.0</v>
      </c>
      <c r="AT27" s="3">
        <v>278.0</v>
      </c>
      <c r="AU27" s="3">
        <v>279.0</v>
      </c>
      <c r="AV27" s="3">
        <v>280.0</v>
      </c>
      <c r="AW27" s="3">
        <v>281.0</v>
      </c>
      <c r="AX27" s="3">
        <v>282.0</v>
      </c>
      <c r="AY27" s="3">
        <v>283.0</v>
      </c>
      <c r="AZ27" s="3">
        <v>284.0</v>
      </c>
    </row>
    <row r="28" ht="15.75" customHeight="1">
      <c r="A28" s="6">
        <v>7.0</v>
      </c>
      <c r="B28" s="7" t="str">
        <f>LOOKUP($D28,Site_Meta!$C$2:$C$43,Site_Meta!A$2:A$43)</f>
        <v>Gallardo 5m</v>
      </c>
      <c r="C28" s="7" t="str">
        <f>LOOKUP($D28,Site_Meta!$C$2:$C$43,Site_Meta!B$2:B$43)</f>
        <v>Cabo Rojo</v>
      </c>
      <c r="D28" s="3" t="s">
        <v>91</v>
      </c>
      <c r="E28" s="7" t="str">
        <f>LOOKUP($D28,Site_Meta!$C$2:$C$43,Site_Meta!D$2:D$43)</f>
        <v>West</v>
      </c>
      <c r="F28" s="7" t="str">
        <f>LOOKUP($D28,Site_Meta!$C$2:$C$43,Site_Meta!E$2:E$43)</f>
        <v>W</v>
      </c>
      <c r="G28" s="7">
        <f>LOOKUP($D28,Site_Meta!$C$2:$C$43,Site_Meta!F$2:F$43)</f>
        <v>18.0017</v>
      </c>
      <c r="H28" s="7">
        <f>LOOKUP($D28,Site_Meta!$C$2:$C$43,Site_Meta!G$2:G$43)</f>
        <v>-67.3299</v>
      </c>
      <c r="I28" s="7">
        <f>LOOKUP($D28,Site_Meta!$C$2:$C$43,Site_Meta!H$2:H$43)</f>
        <v>5</v>
      </c>
      <c r="J28" s="3">
        <v>12.0</v>
      </c>
      <c r="K28" s="3">
        <v>3.0</v>
      </c>
      <c r="L28" s="9">
        <v>24.0</v>
      </c>
      <c r="M28" s="10" t="str">
        <f t="shared" si="1"/>
        <v>12/3/24</v>
      </c>
      <c r="N28" s="3" t="s">
        <v>79</v>
      </c>
      <c r="O28" s="9" t="s">
        <v>55</v>
      </c>
      <c r="P28" s="3" t="s">
        <v>80</v>
      </c>
      <c r="Q28" s="3" t="s">
        <v>57</v>
      </c>
      <c r="R28" s="12">
        <v>0.5611111111111111</v>
      </c>
      <c r="S28" s="12">
        <v>0.5715277777777777</v>
      </c>
      <c r="T28" s="3">
        <v>28.91</v>
      </c>
      <c r="U28" s="3">
        <v>0.72</v>
      </c>
      <c r="V28" s="3">
        <v>34.56</v>
      </c>
      <c r="W28" s="8">
        <v>0.82</v>
      </c>
      <c r="X28" s="3">
        <v>6.16</v>
      </c>
      <c r="Y28" s="3">
        <v>0.74</v>
      </c>
      <c r="Z28" s="3">
        <v>8.12</v>
      </c>
      <c r="AA28" s="3">
        <v>0.69</v>
      </c>
      <c r="AB28" s="3">
        <v>28.92</v>
      </c>
      <c r="AC28" s="3">
        <v>2.66</v>
      </c>
      <c r="AD28" s="3">
        <v>34.57</v>
      </c>
      <c r="AE28" s="3">
        <v>2.78</v>
      </c>
      <c r="AF28" s="3">
        <v>6.08</v>
      </c>
      <c r="AG28" s="3">
        <v>2.76</v>
      </c>
      <c r="AH28" s="3">
        <v>8.11</v>
      </c>
      <c r="AI28" s="3">
        <v>2.84</v>
      </c>
      <c r="AJ28" s="3" t="s">
        <v>90</v>
      </c>
      <c r="AK28" s="3" t="s">
        <v>90</v>
      </c>
      <c r="AL28" s="3" t="s">
        <v>90</v>
      </c>
      <c r="AM28" s="3" t="s">
        <v>90</v>
      </c>
      <c r="AN28" s="3">
        <v>0.5</v>
      </c>
      <c r="AO28" s="3">
        <v>3.0</v>
      </c>
      <c r="AP28" s="3">
        <v>456.0</v>
      </c>
      <c r="AQ28" s="3">
        <v>457.0</v>
      </c>
      <c r="AR28" s="3">
        <v>458.0</v>
      </c>
      <c r="AS28" s="3">
        <v>459.0</v>
      </c>
      <c r="AT28" s="3">
        <v>460.0</v>
      </c>
      <c r="AU28" s="3">
        <v>461.0</v>
      </c>
      <c r="AV28" s="3">
        <v>462.0</v>
      </c>
      <c r="AW28" s="3">
        <v>463.0</v>
      </c>
      <c r="AX28" s="3">
        <v>464.0</v>
      </c>
      <c r="AY28" s="3">
        <v>465.0</v>
      </c>
      <c r="AZ28" s="3">
        <v>466.0</v>
      </c>
    </row>
    <row r="29" ht="15.75" customHeight="1">
      <c r="A29" s="6">
        <v>7.0</v>
      </c>
      <c r="B29" s="7" t="str">
        <f>LOOKUP($D29,Site_Meta!$C$2:$C$43,Site_Meta!A$2:A$43)</f>
        <v>Resuellos 10m</v>
      </c>
      <c r="C29" s="7" t="str">
        <f>LOOKUP($D29,Site_Meta!$C$2:$C$43,Site_Meta!B$2:B$43)</f>
        <v>Cabo Rojo</v>
      </c>
      <c r="D29" s="3" t="s">
        <v>92</v>
      </c>
      <c r="E29" s="7" t="str">
        <f>LOOKUP($D29,Site_Meta!$C$2:$C$43,Site_Meta!D$2:D$43)</f>
        <v>West</v>
      </c>
      <c r="F29" s="7" t="str">
        <f>LOOKUP($D29,Site_Meta!$C$2:$C$43,Site_Meta!E$2:E$43)</f>
        <v>W</v>
      </c>
      <c r="G29" s="7">
        <f>LOOKUP($D29,Site_Meta!$C$2:$C$43,Site_Meta!F$2:F$43)</f>
        <v>17.99116</v>
      </c>
      <c r="H29" s="7">
        <f>LOOKUP($D29,Site_Meta!$C$2:$C$43,Site_Meta!G$2:G$43)</f>
        <v>-67.2332</v>
      </c>
      <c r="I29" s="7">
        <f>LOOKUP($D29,Site_Meta!$C$2:$C$43,Site_Meta!H$2:H$43)</f>
        <v>10</v>
      </c>
      <c r="J29" s="3">
        <v>12.0</v>
      </c>
      <c r="K29" s="3">
        <v>3.0</v>
      </c>
      <c r="L29" s="9">
        <v>24.0</v>
      </c>
      <c r="M29" s="10" t="str">
        <f t="shared" si="1"/>
        <v>12/3/24</v>
      </c>
      <c r="N29" s="3" t="s">
        <v>79</v>
      </c>
      <c r="O29" s="9" t="s">
        <v>55</v>
      </c>
      <c r="P29" s="3" t="s">
        <v>80</v>
      </c>
      <c r="Q29" s="3" t="s">
        <v>57</v>
      </c>
      <c r="R29" s="12">
        <v>0.6090277777777777</v>
      </c>
      <c r="S29" s="12">
        <v>0.6243055555555556</v>
      </c>
      <c r="T29" s="3">
        <v>28.95</v>
      </c>
      <c r="U29" s="3">
        <v>0.4</v>
      </c>
      <c r="V29" s="3">
        <v>34.64</v>
      </c>
      <c r="W29" s="3">
        <v>0.45</v>
      </c>
      <c r="X29" s="3">
        <v>6.44</v>
      </c>
      <c r="Y29" s="3">
        <v>0.44</v>
      </c>
      <c r="Z29" s="3">
        <v>8.12</v>
      </c>
      <c r="AA29" s="3">
        <v>0.39</v>
      </c>
      <c r="AB29" s="3">
        <v>28.97</v>
      </c>
      <c r="AC29" s="3">
        <v>7.09</v>
      </c>
      <c r="AD29" s="3">
        <v>34.73</v>
      </c>
      <c r="AE29" s="3">
        <v>7.48</v>
      </c>
      <c r="AF29" s="3">
        <v>6.41</v>
      </c>
      <c r="AG29" s="3">
        <v>7.11</v>
      </c>
      <c r="AH29" s="3">
        <v>8.11</v>
      </c>
      <c r="AI29" s="3">
        <v>7.11</v>
      </c>
      <c r="AJ29" s="3">
        <v>3.0</v>
      </c>
      <c r="AK29" s="3">
        <v>3.0</v>
      </c>
      <c r="AL29" s="3">
        <v>4.0</v>
      </c>
      <c r="AM29" s="15">
        <f>AVERAGE(AJ29,AK29,AL29)</f>
        <v>3.333333333</v>
      </c>
      <c r="AN29" s="3">
        <v>0.5</v>
      </c>
      <c r="AO29" s="3">
        <v>4.0</v>
      </c>
      <c r="AP29" s="3">
        <v>391.0</v>
      </c>
      <c r="AQ29" s="3">
        <v>392.0</v>
      </c>
      <c r="AR29" s="3">
        <v>393.0</v>
      </c>
      <c r="AS29" s="3">
        <v>394.0</v>
      </c>
      <c r="AT29" s="3">
        <v>395.0</v>
      </c>
      <c r="AU29" s="3">
        <v>396.0</v>
      </c>
      <c r="AV29" s="3">
        <v>397.0</v>
      </c>
      <c r="AW29" s="3">
        <v>398.0</v>
      </c>
      <c r="AX29" s="3">
        <v>399.0</v>
      </c>
      <c r="AY29" s="3">
        <v>400.0</v>
      </c>
      <c r="AZ29" s="3">
        <v>401.0</v>
      </c>
    </row>
    <row r="30" ht="15.75" customHeight="1">
      <c r="A30" s="6">
        <v>7.0</v>
      </c>
      <c r="B30" s="7" t="str">
        <f>LOOKUP($D30,Site_Meta!$C$2:$C$43,Site_Meta!A$2:A$43)</f>
        <v>Puerto Botes 15m</v>
      </c>
      <c r="C30" s="7" t="str">
        <f>LOOKUP($D30,Site_Meta!$C$2:$C$43,Site_Meta!B$2:B$43)</f>
        <v>Isla Desecheo</v>
      </c>
      <c r="D30" s="3" t="s">
        <v>93</v>
      </c>
      <c r="E30" s="7" t="str">
        <f>LOOKUP($D30,Site_Meta!$C$2:$C$43,Site_Meta!D$2:D$43)</f>
        <v>Mona/Desecheo</v>
      </c>
      <c r="F30" s="7" t="str">
        <f>LOOKUP($D30,Site_Meta!$C$2:$C$43,Site_Meta!E$2:E$43)</f>
        <v>W</v>
      </c>
      <c r="G30" s="7">
        <f>LOOKUP($D30,Site_Meta!$C$2:$C$43,Site_Meta!F$2:F$43)</f>
        <v>18.382</v>
      </c>
      <c r="H30" s="7">
        <f>LOOKUP($D30,Site_Meta!$C$2:$C$43,Site_Meta!G$2:G$43)</f>
        <v>-67.4883</v>
      </c>
      <c r="I30" s="7">
        <f>LOOKUP($D30,Site_Meta!$C$2:$C$43,Site_Meta!H$2:H$43)</f>
        <v>15</v>
      </c>
      <c r="J30" s="3">
        <v>1.0</v>
      </c>
      <c r="K30" s="3">
        <v>9.0</v>
      </c>
      <c r="L30" s="9">
        <v>25.0</v>
      </c>
      <c r="M30" s="10" t="str">
        <f t="shared" si="1"/>
        <v>1/9/25</v>
      </c>
      <c r="N30" s="3" t="s">
        <v>94</v>
      </c>
      <c r="O30" s="3" t="s">
        <v>95</v>
      </c>
      <c r="P30" s="3" t="s">
        <v>80</v>
      </c>
      <c r="Q30" s="3" t="s">
        <v>96</v>
      </c>
      <c r="R30" s="12">
        <v>0.3451388888888889</v>
      </c>
      <c r="S30" s="12">
        <v>0.36736111111111114</v>
      </c>
      <c r="T30" s="3">
        <v>28.03</v>
      </c>
      <c r="U30" s="3">
        <v>0.69</v>
      </c>
      <c r="V30" s="3">
        <v>35.42</v>
      </c>
      <c r="W30" s="3">
        <v>0.71</v>
      </c>
      <c r="X30" s="3">
        <v>6.49</v>
      </c>
      <c r="Y30" s="3">
        <v>0.76</v>
      </c>
      <c r="Z30" s="3">
        <v>8.1</v>
      </c>
      <c r="AA30" s="3">
        <v>0.79</v>
      </c>
      <c r="AB30" s="3">
        <v>28.07</v>
      </c>
      <c r="AC30" s="3">
        <v>15.03</v>
      </c>
      <c r="AD30" s="3">
        <v>35.68</v>
      </c>
      <c r="AE30" s="3">
        <v>44.72</v>
      </c>
      <c r="AF30" s="3">
        <v>6.16</v>
      </c>
      <c r="AG30" s="3">
        <v>14.88</v>
      </c>
      <c r="AH30" s="3">
        <v>8.13</v>
      </c>
      <c r="AI30" s="3">
        <v>14.96</v>
      </c>
      <c r="AJ30" s="3" t="s">
        <v>97</v>
      </c>
      <c r="AK30" s="3" t="s">
        <v>97</v>
      </c>
      <c r="AL30" s="3" t="s">
        <v>97</v>
      </c>
      <c r="AM30" s="3" t="s">
        <v>97</v>
      </c>
      <c r="AN30" s="3">
        <v>0.5</v>
      </c>
      <c r="AO30" s="3">
        <v>13.0</v>
      </c>
      <c r="AP30" s="3">
        <v>352.0</v>
      </c>
      <c r="AQ30" s="3">
        <v>353.0</v>
      </c>
      <c r="AR30" s="3">
        <v>354.0</v>
      </c>
      <c r="AS30" s="3">
        <v>355.0</v>
      </c>
      <c r="AT30" s="3">
        <v>356.0</v>
      </c>
      <c r="AU30" s="3">
        <v>357.0</v>
      </c>
      <c r="AV30" s="3">
        <v>358.0</v>
      </c>
      <c r="AW30" s="3">
        <v>359.0</v>
      </c>
      <c r="AX30" s="3">
        <v>360.0</v>
      </c>
      <c r="AY30" s="3">
        <v>361.0</v>
      </c>
      <c r="AZ30" s="3">
        <v>362.0</v>
      </c>
    </row>
    <row r="31" ht="15.75" customHeight="1">
      <c r="A31" s="6">
        <v>7.0</v>
      </c>
      <c r="B31" s="7" t="str">
        <f>LOOKUP($D31,Site_Meta!$C$2:$C$43,Site_Meta!A$2:A$43)</f>
        <v>Puerto Botes 20m</v>
      </c>
      <c r="C31" s="7" t="str">
        <f>LOOKUP($D31,Site_Meta!$C$2:$C$43,Site_Meta!B$2:B$43)</f>
        <v>Isla Desecheo</v>
      </c>
      <c r="D31" s="3" t="s">
        <v>98</v>
      </c>
      <c r="E31" s="7" t="str">
        <f>LOOKUP($D31,Site_Meta!$C$2:$C$43,Site_Meta!D$2:D$43)</f>
        <v>Mona/Desecheo</v>
      </c>
      <c r="F31" s="7" t="str">
        <f>LOOKUP($D31,Site_Meta!$C$2:$C$43,Site_Meta!E$2:E$43)</f>
        <v>W</v>
      </c>
      <c r="G31" s="7">
        <f>LOOKUP($D31,Site_Meta!$C$2:$C$43,Site_Meta!F$2:F$43)</f>
        <v>18.38158</v>
      </c>
      <c r="H31" s="7">
        <f>LOOKUP($D31,Site_Meta!$C$2:$C$43,Site_Meta!G$2:G$43)</f>
        <v>-67.4886</v>
      </c>
      <c r="I31" s="7">
        <f>LOOKUP($D31,Site_Meta!$C$2:$C$43,Site_Meta!H$2:H$43)</f>
        <v>20</v>
      </c>
      <c r="J31" s="3">
        <v>1.0</v>
      </c>
      <c r="K31" s="3">
        <v>9.0</v>
      </c>
      <c r="L31" s="9">
        <v>25.0</v>
      </c>
      <c r="M31" s="10" t="str">
        <f t="shared" si="1"/>
        <v>1/9/25</v>
      </c>
      <c r="N31" s="3" t="s">
        <v>94</v>
      </c>
      <c r="O31" s="3" t="s">
        <v>95</v>
      </c>
      <c r="P31" s="3" t="s">
        <v>80</v>
      </c>
      <c r="Q31" s="3" t="s">
        <v>96</v>
      </c>
      <c r="R31" s="12">
        <v>0.375</v>
      </c>
      <c r="S31" s="12">
        <v>0.3888888888888889</v>
      </c>
      <c r="T31" s="3">
        <v>28.03</v>
      </c>
      <c r="U31" s="3">
        <v>0.59</v>
      </c>
      <c r="V31" s="3">
        <v>35.52</v>
      </c>
      <c r="W31" s="3">
        <v>0.51</v>
      </c>
      <c r="X31" s="3">
        <v>6.53</v>
      </c>
      <c r="Y31" s="3">
        <v>0.59</v>
      </c>
      <c r="Z31" s="3">
        <v>8.15</v>
      </c>
      <c r="AA31" s="3">
        <v>0.62</v>
      </c>
      <c r="AB31" s="3">
        <v>28.09</v>
      </c>
      <c r="AC31" s="3">
        <v>15.32</v>
      </c>
      <c r="AD31" s="3">
        <v>35.68</v>
      </c>
      <c r="AE31" s="3">
        <v>15.33</v>
      </c>
      <c r="AF31" s="3">
        <v>6.4</v>
      </c>
      <c r="AG31" s="3">
        <v>15.22</v>
      </c>
      <c r="AH31" s="3">
        <v>8.16</v>
      </c>
      <c r="AI31" s="3">
        <v>15.14</v>
      </c>
      <c r="AJ31" s="3" t="s">
        <v>97</v>
      </c>
      <c r="AK31" s="3" t="s">
        <v>97</v>
      </c>
      <c r="AL31" s="3" t="s">
        <v>97</v>
      </c>
      <c r="AM31" s="3" t="s">
        <v>97</v>
      </c>
      <c r="AN31" s="3">
        <v>0.5</v>
      </c>
      <c r="AO31" s="3">
        <v>18.0</v>
      </c>
      <c r="AP31" s="3">
        <v>534.0</v>
      </c>
      <c r="AQ31" s="3">
        <v>535.0</v>
      </c>
      <c r="AR31" s="3">
        <v>536.0</v>
      </c>
      <c r="AS31" s="3">
        <v>537.0</v>
      </c>
      <c r="AT31" s="3">
        <v>538.0</v>
      </c>
      <c r="AU31" s="3">
        <v>539.0</v>
      </c>
      <c r="AV31" s="3">
        <v>540.0</v>
      </c>
      <c r="AW31" s="3">
        <v>541.0</v>
      </c>
      <c r="AX31" s="3">
        <v>542.0</v>
      </c>
      <c r="AY31" s="3">
        <v>543.0</v>
      </c>
      <c r="AZ31" s="3">
        <v>544.0</v>
      </c>
    </row>
    <row r="32" ht="15.75" customHeight="1">
      <c r="A32" s="6">
        <v>7.0</v>
      </c>
      <c r="B32" s="7" t="str">
        <f>LOOKUP($D32,Site_Meta!$C$2:$C$43,Site_Meta!A$2:A$43)</f>
        <v>Puerto Canoas 30m</v>
      </c>
      <c r="C32" s="7" t="str">
        <f>LOOKUP($D32,Site_Meta!$C$2:$C$43,Site_Meta!B$2:B$43)</f>
        <v>Isla Desecheo</v>
      </c>
      <c r="D32" s="3" t="s">
        <v>99</v>
      </c>
      <c r="E32" s="7" t="str">
        <f>LOOKUP($D32,Site_Meta!$C$2:$C$43,Site_Meta!D$2:D$43)</f>
        <v>Mona/Desecheo</v>
      </c>
      <c r="F32" s="7" t="str">
        <f>LOOKUP($D32,Site_Meta!$C$2:$C$43,Site_Meta!E$2:E$43)</f>
        <v>W</v>
      </c>
      <c r="G32" s="7">
        <f>LOOKUP($D32,Site_Meta!$C$2:$C$43,Site_Meta!F$2:F$43)</f>
        <v>18.37747</v>
      </c>
      <c r="H32" s="7">
        <f>LOOKUP($D32,Site_Meta!$C$2:$C$43,Site_Meta!G$2:G$43)</f>
        <v>-67.484</v>
      </c>
      <c r="I32" s="7">
        <f>LOOKUP($D32,Site_Meta!$C$2:$C$43,Site_Meta!H$2:H$43)</f>
        <v>30</v>
      </c>
      <c r="J32" s="3">
        <v>1.0</v>
      </c>
      <c r="K32" s="3">
        <v>9.0</v>
      </c>
      <c r="L32" s="9">
        <v>25.0</v>
      </c>
      <c r="M32" s="10" t="str">
        <f t="shared" si="1"/>
        <v>1/9/25</v>
      </c>
      <c r="N32" s="3" t="s">
        <v>94</v>
      </c>
      <c r="O32" s="3" t="s">
        <v>95</v>
      </c>
      <c r="P32" s="3" t="s">
        <v>80</v>
      </c>
      <c r="Q32" s="3" t="s">
        <v>96</v>
      </c>
      <c r="R32" s="12">
        <v>0.39166666666666666</v>
      </c>
      <c r="S32" s="12">
        <v>0.4041666666666667</v>
      </c>
      <c r="T32" s="3">
        <v>28.07</v>
      </c>
      <c r="U32" s="3">
        <v>0.64</v>
      </c>
      <c r="V32" s="3">
        <v>35.68</v>
      </c>
      <c r="W32" s="3">
        <v>0.58</v>
      </c>
      <c r="X32" s="3">
        <v>6.43</v>
      </c>
      <c r="Y32" s="3">
        <v>0.66</v>
      </c>
      <c r="Z32" s="3">
        <v>8.16</v>
      </c>
      <c r="AA32" s="3">
        <v>0.66</v>
      </c>
      <c r="AB32" s="3">
        <v>28.09</v>
      </c>
      <c r="AC32" s="3">
        <v>26.56</v>
      </c>
      <c r="AD32" s="3">
        <v>35.6</v>
      </c>
      <c r="AE32" s="3">
        <v>25.5</v>
      </c>
      <c r="AF32" s="3">
        <v>6.37</v>
      </c>
      <c r="AG32" s="3">
        <v>26.99</v>
      </c>
      <c r="AH32" s="3">
        <v>8.16</v>
      </c>
      <c r="AI32" s="3">
        <v>26.99</v>
      </c>
      <c r="AJ32" s="3" t="s">
        <v>100</v>
      </c>
      <c r="AK32" s="3" t="s">
        <v>100</v>
      </c>
      <c r="AL32" s="3" t="s">
        <v>100</v>
      </c>
      <c r="AM32" s="3" t="s">
        <v>100</v>
      </c>
      <c r="AN32" s="3">
        <v>0.5</v>
      </c>
      <c r="AO32" s="3">
        <v>28.0</v>
      </c>
      <c r="AP32" s="3">
        <v>443.0</v>
      </c>
      <c r="AQ32" s="3">
        <v>444.0</v>
      </c>
      <c r="AR32" s="3">
        <v>445.0</v>
      </c>
      <c r="AS32" s="3">
        <v>446.0</v>
      </c>
      <c r="AT32" s="3">
        <v>447.0</v>
      </c>
      <c r="AU32" s="3">
        <v>448.0</v>
      </c>
      <c r="AV32" s="3">
        <v>449.0</v>
      </c>
      <c r="AW32" s="3">
        <v>450.0</v>
      </c>
      <c r="AX32" s="3">
        <v>451.0</v>
      </c>
      <c r="AY32" s="3">
        <v>452.0</v>
      </c>
      <c r="AZ32" s="3">
        <v>453.0</v>
      </c>
    </row>
    <row r="33" ht="15.75" customHeight="1">
      <c r="A33" s="6">
        <v>7.0</v>
      </c>
      <c r="B33" s="7" t="str">
        <f>LOOKUP($D33,Site_Meta!$C$2:$C$43,Site_Meta!A$2:A$43)</f>
        <v>Tres Palmas 20m</v>
      </c>
      <c r="C33" s="7" t="str">
        <f>LOOKUP($D33,Site_Meta!$C$2:$C$43,Site_Meta!B$2:B$43)</f>
        <v>Rincon</v>
      </c>
      <c r="D33" s="3" t="s">
        <v>101</v>
      </c>
      <c r="E33" s="7" t="str">
        <f>LOOKUP($D33,Site_Meta!$C$2:$C$43,Site_Meta!D$2:D$43)</f>
        <v>West</v>
      </c>
      <c r="F33" s="7" t="str">
        <f>LOOKUP($D33,Site_Meta!$C$2:$C$43,Site_Meta!E$2:E$43)</f>
        <v>W</v>
      </c>
      <c r="G33" s="7">
        <f>LOOKUP($D33,Site_Meta!$C$2:$C$43,Site_Meta!F$2:F$43)</f>
        <v>18.34652</v>
      </c>
      <c r="H33" s="7">
        <f>LOOKUP($D33,Site_Meta!$C$2:$C$43,Site_Meta!G$2:G$43)</f>
        <v>-67.2712</v>
      </c>
      <c r="I33" s="7">
        <f>LOOKUP($D33,Site_Meta!$C$2:$C$43,Site_Meta!H$2:H$43)</f>
        <v>20</v>
      </c>
      <c r="J33" s="3">
        <v>1.0</v>
      </c>
      <c r="K33" s="3">
        <v>9.0</v>
      </c>
      <c r="L33" s="9">
        <v>25.0</v>
      </c>
      <c r="M33" s="10" t="str">
        <f t="shared" si="1"/>
        <v>1/9/25</v>
      </c>
      <c r="N33" s="3" t="s">
        <v>94</v>
      </c>
      <c r="O33" s="3" t="s">
        <v>95</v>
      </c>
      <c r="P33" s="3" t="s">
        <v>80</v>
      </c>
      <c r="Q33" s="3" t="s">
        <v>96</v>
      </c>
      <c r="R33" s="12">
        <v>0.42986111111111114</v>
      </c>
      <c r="S33" s="12">
        <v>0.4465277777777778</v>
      </c>
      <c r="T33" s="3">
        <v>27.99</v>
      </c>
      <c r="U33" s="3">
        <v>0.59</v>
      </c>
      <c r="V33" s="3">
        <v>35.66</v>
      </c>
      <c r="W33" s="3">
        <v>0.55</v>
      </c>
      <c r="X33" s="3">
        <v>6.56</v>
      </c>
      <c r="Y33" s="3">
        <v>0.53</v>
      </c>
      <c r="Z33" s="3">
        <v>8.17</v>
      </c>
      <c r="AA33" s="3">
        <v>0.56</v>
      </c>
      <c r="AB33" s="3">
        <v>27.94</v>
      </c>
      <c r="AC33" s="3">
        <v>17.48</v>
      </c>
      <c r="AD33" s="3">
        <v>35.66</v>
      </c>
      <c r="AE33" s="3">
        <v>17.42</v>
      </c>
      <c r="AF33" s="3">
        <v>6.16</v>
      </c>
      <c r="AG33" s="3">
        <v>17.32</v>
      </c>
      <c r="AH33" s="3">
        <v>8.15</v>
      </c>
      <c r="AI33" s="3">
        <v>17.38</v>
      </c>
      <c r="AJ33" s="3" t="s">
        <v>102</v>
      </c>
      <c r="AK33" s="3" t="s">
        <v>102</v>
      </c>
      <c r="AL33" s="3" t="s">
        <v>102</v>
      </c>
      <c r="AM33" s="3" t="s">
        <v>102</v>
      </c>
      <c r="AN33" s="3">
        <v>0.5</v>
      </c>
      <c r="AO33" s="3">
        <v>18.0</v>
      </c>
      <c r="AP33" s="3">
        <v>521.0</v>
      </c>
      <c r="AQ33" s="3">
        <v>522.0</v>
      </c>
      <c r="AR33" s="3">
        <v>523.0</v>
      </c>
      <c r="AS33" s="3">
        <v>524.0</v>
      </c>
      <c r="AT33" s="3">
        <v>525.0</v>
      </c>
      <c r="AU33" s="3">
        <v>526.0</v>
      </c>
      <c r="AV33" s="3">
        <v>527.0</v>
      </c>
      <c r="AW33" s="3">
        <v>528.0</v>
      </c>
      <c r="AX33" s="3">
        <v>529.0</v>
      </c>
      <c r="AY33" s="3">
        <v>530.0</v>
      </c>
      <c r="AZ33" s="3">
        <v>531.0</v>
      </c>
    </row>
    <row r="34" ht="15.75" customHeight="1">
      <c r="A34" s="6">
        <v>7.0</v>
      </c>
      <c r="B34" s="7" t="str">
        <f>LOOKUP($D34,Site_Meta!$C$2:$C$43,Site_Meta!A$2:A$43)</f>
        <v>Tres Palmas 10m</v>
      </c>
      <c r="C34" s="7" t="str">
        <f>LOOKUP($D34,Site_Meta!$C$2:$C$43,Site_Meta!B$2:B$43)</f>
        <v>Rincon</v>
      </c>
      <c r="D34" s="3" t="s">
        <v>103</v>
      </c>
      <c r="E34" s="7" t="str">
        <f>LOOKUP($D34,Site_Meta!$C$2:$C$43,Site_Meta!D$2:D$43)</f>
        <v>West</v>
      </c>
      <c r="F34" s="7" t="str">
        <f>LOOKUP($D34,Site_Meta!$C$2:$C$43,Site_Meta!E$2:E$43)</f>
        <v>W</v>
      </c>
      <c r="G34" s="7">
        <f>LOOKUP($D34,Site_Meta!$C$2:$C$43,Site_Meta!F$2:F$43)</f>
        <v>18.34732</v>
      </c>
      <c r="H34" s="7">
        <f>LOOKUP($D34,Site_Meta!$C$2:$C$43,Site_Meta!G$2:G$43)</f>
        <v>-67.27</v>
      </c>
      <c r="I34" s="7">
        <f>LOOKUP($D34,Site_Meta!$C$2:$C$43,Site_Meta!H$2:H$43)</f>
        <v>10</v>
      </c>
      <c r="J34" s="3">
        <v>1.0</v>
      </c>
      <c r="K34" s="3">
        <v>9.0</v>
      </c>
      <c r="L34" s="9">
        <v>25.0</v>
      </c>
      <c r="M34" s="10" t="str">
        <f t="shared" si="1"/>
        <v>1/9/25</v>
      </c>
      <c r="N34" s="3" t="s">
        <v>94</v>
      </c>
      <c r="O34" s="3" t="s">
        <v>95</v>
      </c>
      <c r="P34" s="3" t="s">
        <v>80</v>
      </c>
      <c r="Q34" s="3" t="s">
        <v>96</v>
      </c>
      <c r="R34" s="12">
        <v>0.44722222222222224</v>
      </c>
      <c r="S34" s="12">
        <v>0.4597222222222222</v>
      </c>
      <c r="T34" s="3">
        <v>28.0</v>
      </c>
      <c r="U34" s="3">
        <v>0.54</v>
      </c>
      <c r="V34" s="3">
        <v>35.7</v>
      </c>
      <c r="W34" s="3">
        <v>0.55</v>
      </c>
      <c r="X34" s="3">
        <v>6.48</v>
      </c>
      <c r="Y34" s="3">
        <v>0.5</v>
      </c>
      <c r="Z34" s="3">
        <v>8.16</v>
      </c>
      <c r="AA34" s="3">
        <v>0.55</v>
      </c>
      <c r="AB34" s="3">
        <v>27.95</v>
      </c>
      <c r="AC34" s="3">
        <v>7.13</v>
      </c>
      <c r="AD34" s="3">
        <v>35.71</v>
      </c>
      <c r="AE34" s="3">
        <v>7.0</v>
      </c>
      <c r="AF34" s="3">
        <v>6.3</v>
      </c>
      <c r="AG34" s="3">
        <v>6.91</v>
      </c>
      <c r="AH34" s="3">
        <v>8.16</v>
      </c>
      <c r="AI34" s="3">
        <v>7.05</v>
      </c>
      <c r="AJ34" s="3" t="s">
        <v>104</v>
      </c>
      <c r="AK34" s="3" t="s">
        <v>104</v>
      </c>
      <c r="AL34" s="3" t="s">
        <v>104</v>
      </c>
      <c r="AM34" s="3" t="s">
        <v>104</v>
      </c>
      <c r="AN34" s="3">
        <v>0.5</v>
      </c>
      <c r="AO34" s="3">
        <v>5.0</v>
      </c>
      <c r="AP34" s="3">
        <v>365.0</v>
      </c>
      <c r="AQ34" s="3">
        <v>366.0</v>
      </c>
      <c r="AR34" s="3">
        <v>367.0</v>
      </c>
      <c r="AS34" s="3">
        <v>368.0</v>
      </c>
      <c r="AT34" s="3">
        <v>369.0</v>
      </c>
      <c r="AU34" s="3">
        <v>370.0</v>
      </c>
      <c r="AV34" s="3">
        <v>371.0</v>
      </c>
      <c r="AW34" s="3">
        <v>372.0</v>
      </c>
      <c r="AX34" s="3">
        <v>373.0</v>
      </c>
      <c r="AY34" s="3">
        <v>374.0</v>
      </c>
      <c r="AZ34" s="3">
        <v>375.0</v>
      </c>
    </row>
    <row r="35" ht="15.75" customHeight="1">
      <c r="A35" s="6">
        <v>7.0</v>
      </c>
      <c r="B35" s="7" t="str">
        <f>LOOKUP($D35,Site_Meta!$C$2:$C$43,Site_Meta!A$2:A$43)</f>
        <v>Tres Palmas 20m</v>
      </c>
      <c r="C35" s="7" t="str">
        <f>LOOKUP($D35,Site_Meta!$C$2:$C$43,Site_Meta!B$2:B$43)</f>
        <v>Rincon</v>
      </c>
      <c r="D35" s="3" t="s">
        <v>105</v>
      </c>
      <c r="E35" s="7" t="str">
        <f>LOOKUP($D35,Site_Meta!$C$2:$C$43,Site_Meta!D$2:D$43)</f>
        <v>West</v>
      </c>
      <c r="F35" s="7" t="str">
        <f>LOOKUP($D35,Site_Meta!$C$2:$C$43,Site_Meta!E$2:E$43)</f>
        <v>W</v>
      </c>
      <c r="G35" s="7">
        <f>LOOKUP($D35,Site_Meta!$C$2:$C$43,Site_Meta!F$2:F$43)</f>
        <v>18.34652</v>
      </c>
      <c r="H35" s="7">
        <f>LOOKUP($D35,Site_Meta!$C$2:$C$43,Site_Meta!G$2:G$43)</f>
        <v>-67.2712</v>
      </c>
      <c r="I35" s="7">
        <f>LOOKUP($D35,Site_Meta!$C$2:$C$43,Site_Meta!H$2:H$43)</f>
        <v>20</v>
      </c>
      <c r="J35" s="3">
        <v>1.0</v>
      </c>
      <c r="K35" s="3">
        <v>9.0</v>
      </c>
      <c r="L35" s="9">
        <v>25.0</v>
      </c>
      <c r="M35" s="10" t="str">
        <f t="shared" si="1"/>
        <v>1/9/25</v>
      </c>
      <c r="N35" s="3" t="s">
        <v>94</v>
      </c>
      <c r="O35" s="3" t="s">
        <v>95</v>
      </c>
      <c r="P35" s="3" t="s">
        <v>80</v>
      </c>
      <c r="Q35" s="3" t="s">
        <v>96</v>
      </c>
      <c r="R35" s="12">
        <v>0.4597222222222222</v>
      </c>
      <c r="S35" s="12">
        <v>0.4708333333333333</v>
      </c>
      <c r="T35" s="3">
        <v>27.94</v>
      </c>
      <c r="U35" s="3">
        <v>0.74</v>
      </c>
      <c r="V35" s="3">
        <v>35.7</v>
      </c>
      <c r="W35" s="3">
        <v>0.67</v>
      </c>
      <c r="X35" s="3">
        <v>6.6</v>
      </c>
      <c r="Y35" s="3">
        <v>0.46</v>
      </c>
      <c r="Z35" s="3">
        <v>8.13</v>
      </c>
      <c r="AA35" s="3">
        <v>0.47</v>
      </c>
      <c r="AB35" s="3">
        <v>27.94</v>
      </c>
      <c r="AC35" s="3">
        <v>3.26</v>
      </c>
      <c r="AD35" s="3">
        <v>35.75</v>
      </c>
      <c r="AE35" s="3">
        <v>3.13</v>
      </c>
      <c r="AF35" s="3">
        <v>6.6</v>
      </c>
      <c r="AG35" s="3">
        <v>3.12</v>
      </c>
      <c r="AH35" s="3">
        <v>8.13</v>
      </c>
      <c r="AI35" s="3">
        <v>3.06</v>
      </c>
      <c r="AJ35" s="3" t="s">
        <v>106</v>
      </c>
      <c r="AK35" s="3" t="s">
        <v>106</v>
      </c>
      <c r="AL35" s="3" t="s">
        <v>106</v>
      </c>
      <c r="AM35" s="3" t="s">
        <v>106</v>
      </c>
      <c r="AN35" s="3">
        <v>0.5</v>
      </c>
      <c r="AO35" s="3">
        <v>18.0</v>
      </c>
      <c r="AP35" s="3">
        <v>417.0</v>
      </c>
      <c r="AQ35" s="3">
        <v>418.0</v>
      </c>
      <c r="AR35" s="3">
        <v>419.0</v>
      </c>
      <c r="AS35" s="3">
        <v>420.0</v>
      </c>
      <c r="AT35" s="3">
        <v>421.0</v>
      </c>
      <c r="AU35" s="3">
        <v>422.0</v>
      </c>
      <c r="AV35" s="3">
        <v>423.0</v>
      </c>
      <c r="AW35" s="3">
        <v>424.0</v>
      </c>
      <c r="AX35" s="3">
        <v>425.0</v>
      </c>
      <c r="AY35" s="3">
        <v>426.0</v>
      </c>
      <c r="AZ35" s="3">
        <v>427.0</v>
      </c>
    </row>
    <row r="36" ht="15.75" customHeight="1">
      <c r="A36" s="6">
        <v>7.0</v>
      </c>
      <c r="B36" s="7" t="str">
        <f>LOOKUP($D36,Site_Meta!$C$2:$C$43,Site_Meta!A$2:A$43)</f>
        <v>Manchas Exteriores 20m</v>
      </c>
      <c r="C36" s="7" t="str">
        <f>LOOKUP($D36,Site_Meta!$C$2:$C$43,Site_Meta!B$2:B$43)</f>
        <v>Mayaguez</v>
      </c>
      <c r="D36" s="3" t="s">
        <v>107</v>
      </c>
      <c r="E36" s="7" t="str">
        <f>LOOKUP($D36,Site_Meta!$C$2:$C$43,Site_Meta!D$2:D$43)</f>
        <v>West</v>
      </c>
      <c r="F36" s="7" t="str">
        <f>LOOKUP($D36,Site_Meta!$C$2:$C$43,Site_Meta!E$2:E$43)</f>
        <v>W</v>
      </c>
      <c r="G36" s="7">
        <f>LOOKUP($D36,Site_Meta!$C$2:$C$43,Site_Meta!F$2:F$43)</f>
        <v>18.2335</v>
      </c>
      <c r="H36" s="7">
        <f>LOOKUP($D36,Site_Meta!$C$2:$C$43,Site_Meta!G$2:G$43)</f>
        <v>-67.2009</v>
      </c>
      <c r="I36" s="7">
        <f>LOOKUP($D36,Site_Meta!$C$2:$C$43,Site_Meta!H$2:H$43)</f>
        <v>20</v>
      </c>
      <c r="J36" s="3">
        <v>1.0</v>
      </c>
      <c r="K36" s="3">
        <v>9.0</v>
      </c>
      <c r="L36" s="9">
        <v>25.0</v>
      </c>
      <c r="M36" s="10" t="str">
        <f t="shared" si="1"/>
        <v>1/9/25</v>
      </c>
      <c r="N36" s="3" t="s">
        <v>94</v>
      </c>
      <c r="O36" s="3" t="s">
        <v>95</v>
      </c>
      <c r="P36" s="3" t="s">
        <v>80</v>
      </c>
      <c r="Q36" s="3" t="s">
        <v>96</v>
      </c>
      <c r="R36" s="12">
        <v>0.48819444444444443</v>
      </c>
      <c r="S36" s="12">
        <v>0.5</v>
      </c>
      <c r="T36" s="3">
        <v>28.07</v>
      </c>
      <c r="U36" s="3">
        <v>0.62</v>
      </c>
      <c r="V36" s="3">
        <v>35.61</v>
      </c>
      <c r="W36" s="3">
        <v>0.6</v>
      </c>
      <c r="X36" s="3">
        <v>6.29</v>
      </c>
      <c r="Y36" s="3">
        <v>0.61</v>
      </c>
      <c r="Z36" s="3">
        <v>8.16</v>
      </c>
      <c r="AA36" s="3">
        <v>0.6</v>
      </c>
      <c r="AB36" s="3">
        <v>27.88</v>
      </c>
      <c r="AC36" s="3">
        <v>14.29</v>
      </c>
      <c r="AD36" s="3">
        <v>35.64</v>
      </c>
      <c r="AE36" s="3">
        <v>14.08</v>
      </c>
      <c r="AF36" s="3">
        <v>6.2</v>
      </c>
      <c r="AG36" s="3">
        <v>13.66</v>
      </c>
      <c r="AH36" s="3">
        <v>8.15</v>
      </c>
      <c r="AI36" s="3">
        <v>13.76</v>
      </c>
      <c r="AJ36" s="3">
        <v>8.5</v>
      </c>
      <c r="AK36" s="3">
        <v>7.0</v>
      </c>
      <c r="AL36" s="3">
        <v>7.0</v>
      </c>
      <c r="AM36" s="3">
        <f t="shared" ref="AM36:AM39" si="2">AVERAGE(AJ36,AK36,AL36)</f>
        <v>7.5</v>
      </c>
      <c r="AN36" s="3">
        <v>0.5</v>
      </c>
      <c r="AO36" s="3">
        <v>18.0</v>
      </c>
      <c r="AP36" s="3">
        <v>482.0</v>
      </c>
      <c r="AQ36" s="3">
        <v>483.0</v>
      </c>
      <c r="AR36" s="3">
        <v>484.0</v>
      </c>
      <c r="AS36" s="3">
        <v>485.0</v>
      </c>
      <c r="AT36" s="3">
        <v>486.0</v>
      </c>
      <c r="AU36" s="3">
        <v>487.0</v>
      </c>
      <c r="AV36" s="3">
        <v>488.0</v>
      </c>
      <c r="AW36" s="3">
        <v>489.0</v>
      </c>
      <c r="AX36" s="3">
        <v>490.0</v>
      </c>
      <c r="AY36" s="3">
        <v>491.0</v>
      </c>
      <c r="AZ36" s="3">
        <v>492.0</v>
      </c>
    </row>
    <row r="37" ht="15.75" customHeight="1">
      <c r="A37" s="6">
        <v>7.0</v>
      </c>
      <c r="B37" s="7" t="str">
        <f>LOOKUP($D37,Site_Meta!$C$2:$C$43,Site_Meta!A$2:A$43)</f>
        <v>Manchas Exteriores 10m</v>
      </c>
      <c r="C37" s="7" t="str">
        <f>LOOKUP($D37,Site_Meta!$C$2:$C$43,Site_Meta!B$2:B$43)</f>
        <v>Mayaguez</v>
      </c>
      <c r="D37" s="3" t="s">
        <v>108</v>
      </c>
      <c r="E37" s="7" t="str">
        <f>LOOKUP($D37,Site_Meta!$C$2:$C$43,Site_Meta!D$2:D$43)</f>
        <v>West</v>
      </c>
      <c r="F37" s="7" t="str">
        <f>LOOKUP($D37,Site_Meta!$C$2:$C$43,Site_Meta!E$2:E$43)</f>
        <v>W</v>
      </c>
      <c r="G37" s="7">
        <f>LOOKUP($D37,Site_Meta!$C$2:$C$43,Site_Meta!F$2:F$43)</f>
        <v>18.23353</v>
      </c>
      <c r="H37" s="7">
        <f>LOOKUP($D37,Site_Meta!$C$2:$C$43,Site_Meta!G$2:G$43)</f>
        <v>-67.2006</v>
      </c>
      <c r="I37" s="7">
        <f>LOOKUP($D37,Site_Meta!$C$2:$C$43,Site_Meta!H$2:H$43)</f>
        <v>10</v>
      </c>
      <c r="J37" s="3">
        <v>1.0</v>
      </c>
      <c r="K37" s="3">
        <v>9.0</v>
      </c>
      <c r="L37" s="9">
        <v>25.0</v>
      </c>
      <c r="M37" s="10" t="str">
        <f t="shared" si="1"/>
        <v>1/9/25</v>
      </c>
      <c r="N37" s="3" t="s">
        <v>94</v>
      </c>
      <c r="O37" s="3" t="s">
        <v>95</v>
      </c>
      <c r="P37" s="3" t="s">
        <v>80</v>
      </c>
      <c r="Q37" s="3" t="s">
        <v>96</v>
      </c>
      <c r="R37" s="12">
        <v>0.5020833333333333</v>
      </c>
      <c r="S37" s="12">
        <v>0.5173611111111112</v>
      </c>
      <c r="T37" s="3">
        <v>28.05</v>
      </c>
      <c r="U37" s="3">
        <v>0.52</v>
      </c>
      <c r="V37" s="3">
        <v>35.69</v>
      </c>
      <c r="W37" s="3">
        <v>0.53</v>
      </c>
      <c r="X37" s="3">
        <v>6.23</v>
      </c>
      <c r="Y37" s="3">
        <v>0.57</v>
      </c>
      <c r="Z37" s="3">
        <v>8.15</v>
      </c>
      <c r="AA37" s="3">
        <v>0.55</v>
      </c>
      <c r="AB37" s="3">
        <v>27.9</v>
      </c>
      <c r="AC37" s="3">
        <v>7.12</v>
      </c>
      <c r="AD37" s="3">
        <v>35.66</v>
      </c>
      <c r="AE37" s="3">
        <v>7.14</v>
      </c>
      <c r="AF37" s="3">
        <v>6.07</v>
      </c>
      <c r="AG37" s="3">
        <v>7.11</v>
      </c>
      <c r="AH37" s="3">
        <v>8.15</v>
      </c>
      <c r="AI37" s="3">
        <v>7.14</v>
      </c>
      <c r="AJ37" s="3">
        <v>7.0</v>
      </c>
      <c r="AK37" s="3">
        <v>6.6</v>
      </c>
      <c r="AL37" s="3">
        <v>6.0</v>
      </c>
      <c r="AM37" s="15">
        <f t="shared" si="2"/>
        <v>6.533333333</v>
      </c>
      <c r="AN37" s="3">
        <v>0.5</v>
      </c>
      <c r="AO37" s="3">
        <v>8.0</v>
      </c>
      <c r="AP37" s="3">
        <v>339.0</v>
      </c>
      <c r="AQ37" s="3">
        <v>340.0</v>
      </c>
      <c r="AR37" s="3">
        <v>341.0</v>
      </c>
      <c r="AS37" s="3">
        <v>342.0</v>
      </c>
      <c r="AT37" s="3">
        <v>343.0</v>
      </c>
      <c r="AU37" s="3">
        <v>344.0</v>
      </c>
      <c r="AV37" s="3">
        <v>345.0</v>
      </c>
      <c r="AW37" s="3">
        <v>346.0</v>
      </c>
      <c r="AX37" s="3">
        <v>347.0</v>
      </c>
      <c r="AY37" s="3">
        <v>348.0</v>
      </c>
      <c r="AZ37" s="3">
        <v>349.0</v>
      </c>
    </row>
    <row r="38" ht="15.75" customHeight="1">
      <c r="A38" s="6">
        <v>7.0</v>
      </c>
      <c r="B38" s="7" t="str">
        <f>LOOKUP($D38,Site_Meta!$C$2:$C$43,Site_Meta!A$2:A$43)</f>
        <v>Cayo Caribes 10m</v>
      </c>
      <c r="C38" s="7" t="str">
        <f>LOOKUP($D38,Site_Meta!$C$2:$C$43,Site_Meta!B$2:B$43)</f>
        <v>Salinas</v>
      </c>
      <c r="D38" s="3" t="s">
        <v>109</v>
      </c>
      <c r="E38" s="7" t="str">
        <f>LOOKUP($D38,Site_Meta!$C$2:$C$43,Site_Meta!D$2:D$43)</f>
        <v>Southeast</v>
      </c>
      <c r="F38" s="7" t="str">
        <f>LOOKUP($D38,Site_Meta!$C$2:$C$43,Site_Meta!E$2:E$43)</f>
        <v>S</v>
      </c>
      <c r="G38" s="7">
        <f>LOOKUP($D38,Site_Meta!$C$2:$C$43,Site_Meta!F$2:F$43)</f>
        <v>17.91533</v>
      </c>
      <c r="H38" s="7">
        <f>LOOKUP($D38,Site_Meta!$C$2:$C$43,Site_Meta!G$2:G$43)</f>
        <v>-66.2141</v>
      </c>
      <c r="I38" s="7">
        <f>LOOKUP($D38,Site_Meta!$C$2:$C$43,Site_Meta!H$2:H$43)</f>
        <v>10</v>
      </c>
      <c r="J38" s="3">
        <v>1.0</v>
      </c>
      <c r="K38" s="3">
        <v>16.0</v>
      </c>
      <c r="L38" s="9">
        <v>25.0</v>
      </c>
      <c r="M38" s="10" t="str">
        <f t="shared" si="1"/>
        <v>1/16/25</v>
      </c>
      <c r="N38" s="3" t="s">
        <v>110</v>
      </c>
      <c r="O38" s="3" t="s">
        <v>55</v>
      </c>
      <c r="P38" s="3" t="s">
        <v>56</v>
      </c>
      <c r="Q38" s="3" t="s">
        <v>96</v>
      </c>
      <c r="R38" s="12">
        <v>0.34305555555555556</v>
      </c>
      <c r="S38" s="12">
        <v>0.35555555555555557</v>
      </c>
      <c r="T38" s="3">
        <v>27.06</v>
      </c>
      <c r="U38" s="3">
        <v>0.53</v>
      </c>
      <c r="V38" s="3">
        <v>35.43</v>
      </c>
      <c r="W38" s="3">
        <v>0.59</v>
      </c>
      <c r="X38" s="3">
        <v>6.16</v>
      </c>
      <c r="Y38" s="3">
        <v>0.53</v>
      </c>
      <c r="Z38" s="3">
        <v>8.04</v>
      </c>
      <c r="AA38" s="3">
        <v>0.53</v>
      </c>
      <c r="AB38" s="3">
        <v>26.98</v>
      </c>
      <c r="AC38" s="3">
        <v>8.01</v>
      </c>
      <c r="AD38" s="3">
        <v>35.35</v>
      </c>
      <c r="AE38" s="3">
        <v>7.97</v>
      </c>
      <c r="AF38" s="3">
        <v>5.8</v>
      </c>
      <c r="AG38" s="3">
        <v>8.11</v>
      </c>
      <c r="AH38" s="3">
        <v>8.07</v>
      </c>
      <c r="AI38" s="3">
        <v>7.89</v>
      </c>
      <c r="AJ38" s="3">
        <v>6.0</v>
      </c>
      <c r="AK38" s="3">
        <v>6.2</v>
      </c>
      <c r="AL38" s="3">
        <v>6.0</v>
      </c>
      <c r="AM38" s="15">
        <f t="shared" si="2"/>
        <v>6.066666667</v>
      </c>
      <c r="AN38" s="3">
        <v>0.5</v>
      </c>
      <c r="AO38" s="3">
        <v>8.0</v>
      </c>
      <c r="AP38" s="3">
        <v>664.0</v>
      </c>
      <c r="AQ38" s="3">
        <v>665.0</v>
      </c>
      <c r="AR38" s="3">
        <v>666.0</v>
      </c>
      <c r="AS38" s="3">
        <v>667.0</v>
      </c>
      <c r="AT38" s="3">
        <v>668.0</v>
      </c>
      <c r="AU38" s="3">
        <v>669.0</v>
      </c>
      <c r="AV38" s="3">
        <v>670.0</v>
      </c>
      <c r="AW38" s="3">
        <v>671.0</v>
      </c>
      <c r="AX38" s="3">
        <v>672.0</v>
      </c>
      <c r="AY38" s="3">
        <v>673.0</v>
      </c>
      <c r="AZ38" s="3">
        <v>674.0</v>
      </c>
    </row>
    <row r="39" ht="15.75" customHeight="1">
      <c r="A39" s="6">
        <v>7.0</v>
      </c>
      <c r="B39" s="7" t="str">
        <f>LOOKUP($D39,Site_Meta!$C$2:$C$43,Site_Meta!A$2:A$43)</f>
        <v>Cayo Caribes 10m</v>
      </c>
      <c r="C39" s="7" t="str">
        <f>LOOKUP($D39,Site_Meta!$C$2:$C$43,Site_Meta!B$2:B$43)</f>
        <v>Salinas</v>
      </c>
      <c r="D39" s="3" t="s">
        <v>111</v>
      </c>
      <c r="E39" s="7" t="str">
        <f>LOOKUP($D39,Site_Meta!$C$2:$C$43,Site_Meta!D$2:D$43)</f>
        <v>Southeast</v>
      </c>
      <c r="F39" s="7" t="str">
        <f>LOOKUP($D39,Site_Meta!$C$2:$C$43,Site_Meta!E$2:E$43)</f>
        <v>S</v>
      </c>
      <c r="G39" s="7">
        <f>LOOKUP($D39,Site_Meta!$C$2:$C$43,Site_Meta!F$2:F$43)</f>
        <v>17.91533</v>
      </c>
      <c r="H39" s="7">
        <f>LOOKUP($D39,Site_Meta!$C$2:$C$43,Site_Meta!G$2:G$43)</f>
        <v>-66.2141</v>
      </c>
      <c r="I39" s="7">
        <f>LOOKUP($D39,Site_Meta!$C$2:$C$43,Site_Meta!H$2:H$43)</f>
        <v>10</v>
      </c>
      <c r="J39" s="3">
        <v>1.0</v>
      </c>
      <c r="K39" s="3">
        <v>16.0</v>
      </c>
      <c r="L39" s="9">
        <v>25.0</v>
      </c>
      <c r="M39" s="10" t="str">
        <f t="shared" si="1"/>
        <v>1/16/25</v>
      </c>
      <c r="N39" s="3" t="s">
        <v>110</v>
      </c>
      <c r="O39" s="3" t="s">
        <v>55</v>
      </c>
      <c r="P39" s="3" t="s">
        <v>56</v>
      </c>
      <c r="Q39" s="3" t="s">
        <v>96</v>
      </c>
      <c r="R39" s="12">
        <v>0.35694444444444445</v>
      </c>
      <c r="S39" s="12">
        <v>0.36527777777777776</v>
      </c>
      <c r="T39" s="3">
        <v>26.96</v>
      </c>
      <c r="U39" s="3">
        <v>0.51</v>
      </c>
      <c r="V39" s="3">
        <v>35.42</v>
      </c>
      <c r="W39" s="3">
        <v>0.54</v>
      </c>
      <c r="X39" s="3">
        <v>6.19</v>
      </c>
      <c r="Y39" s="3">
        <v>0.6</v>
      </c>
      <c r="Z39" s="3">
        <v>8.08</v>
      </c>
      <c r="AA39" s="3">
        <v>0.6</v>
      </c>
      <c r="AB39" s="17">
        <v>27.03</v>
      </c>
      <c r="AC39" s="3">
        <v>8.44</v>
      </c>
      <c r="AD39" s="3">
        <v>35.48</v>
      </c>
      <c r="AE39" s="3">
        <v>8.2</v>
      </c>
      <c r="AF39" s="3">
        <v>6.06</v>
      </c>
      <c r="AG39" s="3">
        <v>8.37</v>
      </c>
      <c r="AH39" s="3">
        <v>8.12</v>
      </c>
      <c r="AI39" s="3">
        <v>8.35</v>
      </c>
      <c r="AJ39" s="3">
        <v>7.0</v>
      </c>
      <c r="AK39" s="3">
        <v>7.4</v>
      </c>
      <c r="AL39" s="3">
        <v>7.2</v>
      </c>
      <c r="AM39" s="3">
        <f t="shared" si="2"/>
        <v>7.2</v>
      </c>
      <c r="AN39" s="3">
        <v>0.5</v>
      </c>
      <c r="AO39" s="3">
        <v>8.0</v>
      </c>
      <c r="AP39" s="3">
        <v>599.0</v>
      </c>
      <c r="AQ39" s="3">
        <v>600.0</v>
      </c>
      <c r="AR39" s="3">
        <v>601.0</v>
      </c>
      <c r="AS39" s="3">
        <v>602.0</v>
      </c>
      <c r="AT39" s="3">
        <v>603.0</v>
      </c>
      <c r="AU39" s="3">
        <v>604.0</v>
      </c>
      <c r="AV39" s="3">
        <v>605.0</v>
      </c>
      <c r="AW39" s="3">
        <v>606.0</v>
      </c>
      <c r="AX39" s="3">
        <v>607.0</v>
      </c>
      <c r="AY39" s="3">
        <v>608.0</v>
      </c>
      <c r="AZ39" s="3">
        <v>609.0</v>
      </c>
    </row>
    <row r="40" ht="15.75" customHeight="1">
      <c r="A40" s="6">
        <v>7.0</v>
      </c>
      <c r="B40" s="7" t="str">
        <f>LOOKUP($D40,Site_Meta!$C$2:$C$43,Site_Meta!A$2:A$43)</f>
        <v>Cayo Ratones 5m</v>
      </c>
      <c r="C40" s="7" t="str">
        <f>LOOKUP($D40,Site_Meta!$C$2:$C$43,Site_Meta!B$2:B$43)</f>
        <v>Salinas</v>
      </c>
      <c r="D40" s="3" t="s">
        <v>112</v>
      </c>
      <c r="E40" s="7" t="str">
        <f>LOOKUP($D40,Site_Meta!$C$2:$C$43,Site_Meta!D$2:D$43)</f>
        <v>Southeast</v>
      </c>
      <c r="F40" s="7" t="str">
        <f>LOOKUP($D40,Site_Meta!$C$2:$C$43,Site_Meta!E$2:E$43)</f>
        <v>S</v>
      </c>
      <c r="G40" s="7">
        <f>LOOKUP($D40,Site_Meta!$C$2:$C$43,Site_Meta!F$2:F$43)</f>
        <v>17.9346</v>
      </c>
      <c r="H40" s="7">
        <f>LOOKUP($D40,Site_Meta!$C$2:$C$43,Site_Meta!G$2:G$43)</f>
        <v>-66.3025</v>
      </c>
      <c r="I40" s="7">
        <f>LOOKUP($D40,Site_Meta!$C$2:$C$43,Site_Meta!H$2:H$43)</f>
        <v>5</v>
      </c>
      <c r="J40" s="3">
        <v>1.0</v>
      </c>
      <c r="K40" s="3">
        <v>16.0</v>
      </c>
      <c r="L40" s="9">
        <v>25.0</v>
      </c>
      <c r="M40" s="10" t="str">
        <f t="shared" si="1"/>
        <v>1/16/25</v>
      </c>
      <c r="N40" s="3" t="s">
        <v>110</v>
      </c>
      <c r="O40" s="3" t="s">
        <v>55</v>
      </c>
      <c r="P40" s="3" t="s">
        <v>56</v>
      </c>
      <c r="Q40" s="3" t="s">
        <v>96</v>
      </c>
      <c r="R40" s="12">
        <v>0.3861111111111111</v>
      </c>
      <c r="S40" s="12">
        <v>0.3902777777777778</v>
      </c>
      <c r="T40" s="3">
        <v>27.15</v>
      </c>
      <c r="U40" s="3">
        <v>0.57</v>
      </c>
      <c r="V40" s="3">
        <v>35.45</v>
      </c>
      <c r="W40" s="3">
        <v>0.49</v>
      </c>
      <c r="X40" s="3">
        <v>6.43</v>
      </c>
      <c r="Y40" s="3">
        <v>0.52</v>
      </c>
      <c r="Z40" s="3">
        <v>8.12</v>
      </c>
      <c r="AA40" s="3">
        <v>0.5</v>
      </c>
      <c r="AB40" s="3">
        <v>27.16</v>
      </c>
      <c r="AC40" s="3">
        <v>3.01</v>
      </c>
      <c r="AD40" s="3">
        <v>35.47</v>
      </c>
      <c r="AE40" s="3">
        <v>2.95</v>
      </c>
      <c r="AF40" s="3">
        <v>6.29</v>
      </c>
      <c r="AG40" s="3">
        <v>2.93</v>
      </c>
      <c r="AH40" s="3">
        <v>8.12</v>
      </c>
      <c r="AI40" s="3">
        <v>3.0</v>
      </c>
      <c r="AJ40" s="3">
        <v>3.0</v>
      </c>
      <c r="AK40" s="3">
        <v>3.0</v>
      </c>
      <c r="AL40" s="3">
        <v>3.0</v>
      </c>
      <c r="AM40" s="3">
        <v>3.0</v>
      </c>
      <c r="AN40" s="3">
        <v>0.5</v>
      </c>
      <c r="AO40" s="3">
        <v>3.0</v>
      </c>
      <c r="AP40" s="3">
        <v>613.0</v>
      </c>
      <c r="AQ40" s="3">
        <v>612.0</v>
      </c>
      <c r="AR40" s="3">
        <v>615.0</v>
      </c>
      <c r="AS40" s="3">
        <v>614.0</v>
      </c>
      <c r="AT40" s="3">
        <v>616.0</v>
      </c>
      <c r="AU40" s="3">
        <v>617.0</v>
      </c>
      <c r="AV40" s="3">
        <v>618.0</v>
      </c>
      <c r="AW40" s="3">
        <v>619.0</v>
      </c>
      <c r="AX40" s="3">
        <v>620.0</v>
      </c>
      <c r="AY40" s="3">
        <v>621.0</v>
      </c>
      <c r="AZ40" s="3">
        <v>622.0</v>
      </c>
    </row>
    <row r="41" ht="15.75" customHeight="1">
      <c r="A41" s="6">
        <v>7.0</v>
      </c>
      <c r="B41" s="7" t="str">
        <f>LOOKUP($D41,Site_Meta!$C$2:$C$43,Site_Meta!A$2:A$43)</f>
        <v>Cayo Ratones 5m</v>
      </c>
      <c r="C41" s="7" t="str">
        <f>LOOKUP($D41,Site_Meta!$C$2:$C$43,Site_Meta!B$2:B$43)</f>
        <v>Salinas</v>
      </c>
      <c r="D41" s="3" t="s">
        <v>113</v>
      </c>
      <c r="E41" s="7" t="str">
        <f>LOOKUP($D41,Site_Meta!$C$2:$C$43,Site_Meta!D$2:D$43)</f>
        <v>Southeast</v>
      </c>
      <c r="F41" s="7" t="str">
        <f>LOOKUP($D41,Site_Meta!$C$2:$C$43,Site_Meta!E$2:E$43)</f>
        <v>S</v>
      </c>
      <c r="G41" s="7">
        <f>LOOKUP($D41,Site_Meta!$C$2:$C$43,Site_Meta!F$2:F$43)</f>
        <v>17.9346</v>
      </c>
      <c r="H41" s="7">
        <f>LOOKUP($D41,Site_Meta!$C$2:$C$43,Site_Meta!G$2:G$43)</f>
        <v>-66.3025</v>
      </c>
      <c r="I41" s="7">
        <f>LOOKUP($D41,Site_Meta!$C$2:$C$43,Site_Meta!H$2:H$43)</f>
        <v>5</v>
      </c>
      <c r="J41" s="3">
        <v>1.0</v>
      </c>
      <c r="K41" s="3">
        <v>16.0</v>
      </c>
      <c r="L41" s="9">
        <v>25.0</v>
      </c>
      <c r="M41" s="10" t="str">
        <f t="shared" si="1"/>
        <v>1/16/25</v>
      </c>
      <c r="N41" s="3" t="s">
        <v>110</v>
      </c>
      <c r="O41" s="3" t="s">
        <v>55</v>
      </c>
      <c r="P41" s="3" t="s">
        <v>56</v>
      </c>
      <c r="Q41" s="3" t="s">
        <v>96</v>
      </c>
      <c r="R41" s="12">
        <v>0.39166666666666666</v>
      </c>
      <c r="S41" s="12">
        <v>0.4027777777777778</v>
      </c>
      <c r="T41" s="3">
        <v>27.09</v>
      </c>
      <c r="U41" s="3">
        <v>0.53</v>
      </c>
      <c r="V41" s="3">
        <v>35.38</v>
      </c>
      <c r="W41" s="3">
        <v>0.58</v>
      </c>
      <c r="X41" s="3">
        <v>6.46</v>
      </c>
      <c r="Y41" s="3">
        <v>0.64</v>
      </c>
      <c r="Z41" s="3">
        <v>8.11</v>
      </c>
      <c r="AA41" s="3">
        <v>0.62</v>
      </c>
      <c r="AB41" s="3">
        <v>27.12</v>
      </c>
      <c r="AC41" s="3">
        <v>3.11</v>
      </c>
      <c r="AD41" s="3">
        <v>35.41</v>
      </c>
      <c r="AE41" s="3">
        <v>3.04</v>
      </c>
      <c r="AF41" s="3">
        <v>6.22</v>
      </c>
      <c r="AG41" s="3">
        <v>3.05</v>
      </c>
      <c r="AH41" s="3">
        <v>8.11</v>
      </c>
      <c r="AI41" s="3">
        <v>3.05</v>
      </c>
      <c r="AJ41" s="3">
        <v>3.0</v>
      </c>
      <c r="AK41" s="3">
        <v>3.0</v>
      </c>
      <c r="AL41" s="3">
        <v>3.0</v>
      </c>
      <c r="AM41" s="3">
        <v>3.0</v>
      </c>
      <c r="AN41" s="3">
        <v>0.5</v>
      </c>
      <c r="AO41" s="3">
        <v>3.0</v>
      </c>
      <c r="AP41" s="3">
        <v>651.0</v>
      </c>
      <c r="AQ41" s="3">
        <v>652.0</v>
      </c>
      <c r="AR41" s="11">
        <v>653.0</v>
      </c>
      <c r="AS41" s="3">
        <v>654.0</v>
      </c>
      <c r="AT41" s="3">
        <v>655.0</v>
      </c>
      <c r="AU41" s="3">
        <v>656.0</v>
      </c>
      <c r="AV41" s="3">
        <v>657.0</v>
      </c>
      <c r="AW41" s="3">
        <v>658.0</v>
      </c>
      <c r="AX41" s="3">
        <v>659.0</v>
      </c>
      <c r="AY41" s="3">
        <v>660.0</v>
      </c>
      <c r="AZ41" s="3">
        <v>661.0</v>
      </c>
    </row>
    <row r="42" ht="15.75" customHeight="1">
      <c r="A42" s="6">
        <v>7.0</v>
      </c>
      <c r="B42" s="7" t="str">
        <f>LOOKUP($D42,Site_Meta!$C$2:$C$43,Site_Meta!A$2:A$43)</f>
        <v>West Reef 10m</v>
      </c>
      <c r="C42" s="7" t="str">
        <f>LOOKUP($D42,Site_Meta!$C$2:$C$43,Site_Meta!B$2:B$43)</f>
        <v>Ponce</v>
      </c>
      <c r="D42" s="3" t="s">
        <v>114</v>
      </c>
      <c r="E42" s="7" t="str">
        <f>LOOKUP($D42,Site_Meta!$C$2:$C$43,Site_Meta!D$2:D$43)</f>
        <v>South</v>
      </c>
      <c r="F42" s="7" t="str">
        <f>LOOKUP($D42,Site_Meta!$C$2:$C$43,Site_Meta!E$2:E$43)</f>
        <v>S</v>
      </c>
      <c r="G42" s="7">
        <f>LOOKUP($D42,Site_Meta!$C$2:$C$43,Site_Meta!F$2:F$43)</f>
        <v>17.89502</v>
      </c>
      <c r="H42" s="7">
        <f>LOOKUP($D42,Site_Meta!$C$2:$C$43,Site_Meta!G$2:G$43)</f>
        <v>-66.5284</v>
      </c>
      <c r="I42" s="7">
        <f>LOOKUP($D42,Site_Meta!$C$2:$C$43,Site_Meta!H$2:H$43)</f>
        <v>10</v>
      </c>
      <c r="J42" s="3">
        <v>1.0</v>
      </c>
      <c r="K42" s="3">
        <v>16.0</v>
      </c>
      <c r="L42" s="9">
        <v>25.0</v>
      </c>
      <c r="M42" s="10" t="str">
        <f t="shared" si="1"/>
        <v>1/16/25</v>
      </c>
      <c r="N42" s="3" t="s">
        <v>110</v>
      </c>
      <c r="O42" s="3" t="s">
        <v>55</v>
      </c>
      <c r="P42" s="3" t="s">
        <v>56</v>
      </c>
      <c r="Q42" s="3" t="s">
        <v>96</v>
      </c>
      <c r="R42" s="12">
        <v>0.43333333333333335</v>
      </c>
      <c r="S42" s="12">
        <v>0.44305555555555554</v>
      </c>
      <c r="T42" s="3">
        <v>27.7</v>
      </c>
      <c r="U42" s="3">
        <v>0.55</v>
      </c>
      <c r="V42" s="3">
        <v>35.54</v>
      </c>
      <c r="W42" s="3">
        <v>0.52</v>
      </c>
      <c r="X42" s="3">
        <v>6.35</v>
      </c>
      <c r="Y42" s="3">
        <v>0.48</v>
      </c>
      <c r="Z42" s="3">
        <v>8.17</v>
      </c>
      <c r="AA42" s="3">
        <v>0.46</v>
      </c>
      <c r="AB42" s="3">
        <v>27.7</v>
      </c>
      <c r="AC42" s="3">
        <v>6.65</v>
      </c>
      <c r="AD42" s="3">
        <v>35.56</v>
      </c>
      <c r="AE42" s="3">
        <v>6.71</v>
      </c>
      <c r="AF42" s="3">
        <v>6.38</v>
      </c>
      <c r="AG42" s="3">
        <v>6.83</v>
      </c>
      <c r="AH42" s="3">
        <v>8.17</v>
      </c>
      <c r="AI42" s="3">
        <v>6.74</v>
      </c>
      <c r="AJ42" s="3">
        <v>6.0</v>
      </c>
      <c r="AK42" s="3">
        <v>6.5</v>
      </c>
      <c r="AL42" s="3">
        <v>8.0</v>
      </c>
      <c r="AM42" s="15">
        <f>AVERAGE(AJ42,AK42,AL42)</f>
        <v>6.833333333</v>
      </c>
      <c r="AN42" s="3">
        <v>0.5</v>
      </c>
      <c r="AO42" s="3">
        <v>8.0</v>
      </c>
      <c r="AP42" s="3">
        <v>638.0</v>
      </c>
      <c r="AQ42" s="3">
        <v>639.0</v>
      </c>
      <c r="AR42" s="3">
        <v>640.0</v>
      </c>
      <c r="AS42" s="3">
        <v>641.0</v>
      </c>
      <c r="AT42" s="3">
        <v>642.0</v>
      </c>
      <c r="AU42" s="3">
        <v>643.0</v>
      </c>
      <c r="AV42" s="3">
        <v>644.0</v>
      </c>
      <c r="AW42" s="3">
        <v>645.0</v>
      </c>
      <c r="AX42" s="3">
        <v>646.0</v>
      </c>
      <c r="AY42" s="3">
        <v>647.0</v>
      </c>
      <c r="AZ42" s="3">
        <v>648.0</v>
      </c>
    </row>
    <row r="43" ht="15.75" customHeight="1">
      <c r="A43" s="6">
        <v>7.0</v>
      </c>
      <c r="B43" s="7" t="str">
        <f>LOOKUP($D43,Site_Meta!$C$2:$C$43,Site_Meta!A$2:A$43)</f>
        <v>West Reef 10m</v>
      </c>
      <c r="C43" s="7" t="str">
        <f>LOOKUP($D43,Site_Meta!$C$2:$C$43,Site_Meta!B$2:B$43)</f>
        <v>Ponce</v>
      </c>
      <c r="D43" s="3" t="s">
        <v>115</v>
      </c>
      <c r="E43" s="7" t="str">
        <f>LOOKUP($D43,Site_Meta!$C$2:$C$43,Site_Meta!D$2:D$43)</f>
        <v>South</v>
      </c>
      <c r="F43" s="7" t="str">
        <f>LOOKUP($D43,Site_Meta!$C$2:$C$43,Site_Meta!E$2:E$43)</f>
        <v>S</v>
      </c>
      <c r="G43" s="7">
        <f>LOOKUP($D43,Site_Meta!$C$2:$C$43,Site_Meta!F$2:F$43)</f>
        <v>17.89502</v>
      </c>
      <c r="H43" s="7">
        <f>LOOKUP($D43,Site_Meta!$C$2:$C$43,Site_Meta!G$2:G$43)</f>
        <v>-66.5284</v>
      </c>
      <c r="I43" s="7">
        <f>LOOKUP($D43,Site_Meta!$C$2:$C$43,Site_Meta!H$2:H$43)</f>
        <v>10</v>
      </c>
      <c r="J43" s="3">
        <v>1.0</v>
      </c>
      <c r="K43" s="3">
        <v>16.0</v>
      </c>
      <c r="L43" s="9">
        <v>25.0</v>
      </c>
      <c r="M43" s="10" t="str">
        <f t="shared" si="1"/>
        <v>1/16/25</v>
      </c>
      <c r="N43" s="3" t="s">
        <v>110</v>
      </c>
      <c r="O43" s="3" t="s">
        <v>55</v>
      </c>
      <c r="P43" s="3" t="s">
        <v>56</v>
      </c>
      <c r="Q43" s="3" t="s">
        <v>96</v>
      </c>
      <c r="R43" s="12">
        <v>0.4444444444444444</v>
      </c>
      <c r="S43" s="12">
        <v>0.4583333333333333</v>
      </c>
      <c r="T43" s="3">
        <v>27.7</v>
      </c>
      <c r="U43" s="3">
        <v>0.66</v>
      </c>
      <c r="V43" s="3">
        <v>35.6</v>
      </c>
      <c r="W43" s="3">
        <v>0.54</v>
      </c>
      <c r="X43" s="3">
        <v>6.48</v>
      </c>
      <c r="Y43" s="3">
        <v>0.57</v>
      </c>
      <c r="Z43" s="3">
        <v>8.16</v>
      </c>
      <c r="AA43" s="3">
        <v>0.65</v>
      </c>
      <c r="AB43" s="3">
        <v>27.71</v>
      </c>
      <c r="AC43" s="3">
        <v>6.17</v>
      </c>
      <c r="AD43" s="3">
        <v>35.6</v>
      </c>
      <c r="AE43" s="3">
        <v>6.14</v>
      </c>
      <c r="AF43" s="3">
        <v>6.43</v>
      </c>
      <c r="AG43" s="3">
        <v>6.18</v>
      </c>
      <c r="AH43" s="3">
        <v>8.17</v>
      </c>
      <c r="AI43" s="3">
        <v>6.14</v>
      </c>
      <c r="AJ43" s="3">
        <v>6.0</v>
      </c>
      <c r="AK43" s="3">
        <v>6.5</v>
      </c>
      <c r="AL43" s="3">
        <v>8.0</v>
      </c>
      <c r="AM43" s="3">
        <v>6.8</v>
      </c>
      <c r="AN43" s="3">
        <v>0.5</v>
      </c>
      <c r="AO43" s="3">
        <v>8.0</v>
      </c>
      <c r="AP43" s="3">
        <v>625.0</v>
      </c>
      <c r="AQ43" s="3">
        <v>626.0</v>
      </c>
      <c r="AR43" s="3">
        <v>627.0</v>
      </c>
      <c r="AS43" s="3">
        <v>628.0</v>
      </c>
      <c r="AT43" s="3">
        <v>629.0</v>
      </c>
      <c r="AU43" s="3">
        <v>630.0</v>
      </c>
      <c r="AV43" s="3">
        <v>631.0</v>
      </c>
      <c r="AW43" s="3">
        <v>632.0</v>
      </c>
      <c r="AX43" s="3">
        <v>633.0</v>
      </c>
      <c r="AY43" s="3">
        <v>634.0</v>
      </c>
      <c r="AZ43" s="3">
        <v>635.0</v>
      </c>
    </row>
    <row r="44" ht="15.75" customHeight="1">
      <c r="A44" s="6">
        <v>7.0</v>
      </c>
      <c r="B44" s="7" t="str">
        <f>LOOKUP($D44,Site_Meta!$C$2:$C$43,Site_Meta!A$2:A$43)</f>
        <v>Derrumbadero 20m</v>
      </c>
      <c r="C44" s="7" t="str">
        <f>LOOKUP($D44,Site_Meta!$C$2:$C$43,Site_Meta!B$2:B$43)</f>
        <v>Ponce</v>
      </c>
      <c r="D44" s="3" t="s">
        <v>116</v>
      </c>
      <c r="E44" s="7" t="str">
        <f>LOOKUP($D44,Site_Meta!$C$2:$C$43,Site_Meta!D$2:D$43)</f>
        <v>South</v>
      </c>
      <c r="F44" s="7" t="str">
        <f>LOOKUP($D44,Site_Meta!$C$2:$C$43,Site_Meta!E$2:E$43)</f>
        <v>S</v>
      </c>
      <c r="G44" s="7">
        <f>LOOKUP($D44,Site_Meta!$C$2:$C$43,Site_Meta!F$2:F$43)</f>
        <v>17.904</v>
      </c>
      <c r="H44" s="7">
        <f>LOOKUP($D44,Site_Meta!$C$2:$C$43,Site_Meta!G$2:G$43)</f>
        <v>-66.6086</v>
      </c>
      <c r="I44" s="7">
        <f>LOOKUP($D44,Site_Meta!$C$2:$C$43,Site_Meta!H$2:H$43)</f>
        <v>20</v>
      </c>
      <c r="J44" s="3">
        <v>1.0</v>
      </c>
      <c r="K44" s="3">
        <v>16.0</v>
      </c>
      <c r="L44" s="9">
        <v>25.0</v>
      </c>
      <c r="M44" s="10" t="str">
        <f t="shared" si="1"/>
        <v>1/16/25</v>
      </c>
      <c r="N44" s="3" t="s">
        <v>110</v>
      </c>
      <c r="O44" s="3" t="s">
        <v>55</v>
      </c>
      <c r="P44" s="3" t="s">
        <v>56</v>
      </c>
      <c r="Q44" s="3" t="s">
        <v>96</v>
      </c>
      <c r="R44" s="12">
        <v>0.46875</v>
      </c>
      <c r="S44" s="12">
        <v>0.4777777777777778</v>
      </c>
      <c r="T44" s="3">
        <v>28.09</v>
      </c>
      <c r="U44" s="3">
        <v>0.65</v>
      </c>
      <c r="V44" s="3">
        <v>35.68</v>
      </c>
      <c r="W44" s="3">
        <v>0.57</v>
      </c>
      <c r="X44" s="3">
        <v>6.5</v>
      </c>
      <c r="Y44" s="3">
        <v>0.56</v>
      </c>
      <c r="Z44" s="3">
        <v>8.17</v>
      </c>
      <c r="AA44" s="3">
        <v>0.67</v>
      </c>
      <c r="AB44" s="3">
        <v>27.99</v>
      </c>
      <c r="AC44" s="3">
        <v>18.69</v>
      </c>
      <c r="AD44" s="3">
        <v>35.7</v>
      </c>
      <c r="AE44" s="3">
        <v>18.38</v>
      </c>
      <c r="AF44" s="3">
        <v>6.37</v>
      </c>
      <c r="AG44" s="3">
        <v>18.66</v>
      </c>
      <c r="AH44" s="3">
        <v>8.16</v>
      </c>
      <c r="AI44" s="3">
        <v>18.6</v>
      </c>
      <c r="AJ44" s="3">
        <v>17.0</v>
      </c>
      <c r="AK44" s="3">
        <v>19.0</v>
      </c>
      <c r="AL44" s="3">
        <v>18.0</v>
      </c>
      <c r="AM44" s="3">
        <f>AVERAGE(AJ44,AK44,AL44)</f>
        <v>18</v>
      </c>
      <c r="AN44" s="3">
        <v>0.5</v>
      </c>
      <c r="AO44" s="3">
        <v>18.0</v>
      </c>
      <c r="AP44" s="3">
        <v>677.0</v>
      </c>
      <c r="AQ44" s="3">
        <v>678.0</v>
      </c>
      <c r="AR44" s="3">
        <v>679.0</v>
      </c>
      <c r="AS44" s="3">
        <v>680.0</v>
      </c>
      <c r="AT44" s="3">
        <v>681.0</v>
      </c>
      <c r="AU44" s="3">
        <v>682.0</v>
      </c>
      <c r="AV44" s="3">
        <v>683.0</v>
      </c>
      <c r="AW44" s="3">
        <v>684.0</v>
      </c>
      <c r="AX44" s="3">
        <v>685.0</v>
      </c>
      <c r="AY44" s="3">
        <v>686.0</v>
      </c>
      <c r="AZ44" s="3">
        <v>687.0</v>
      </c>
    </row>
    <row r="45" ht="15.75" customHeight="1">
      <c r="A45" s="6"/>
      <c r="B45" s="7"/>
      <c r="C45" s="7"/>
      <c r="D45" s="3"/>
      <c r="E45" s="7"/>
      <c r="F45" s="7"/>
      <c r="G45" s="7"/>
      <c r="H45" s="7"/>
      <c r="I45" s="7"/>
      <c r="J45" s="3"/>
      <c r="K45" s="3"/>
      <c r="L45" s="9"/>
      <c r="M45" s="10"/>
      <c r="N45" s="3"/>
      <c r="O45" s="3"/>
      <c r="P45" s="3"/>
      <c r="Q45" s="3"/>
      <c r="R45" s="12"/>
      <c r="S45" s="12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ht="15.75" customHeight="1">
      <c r="A46" s="6"/>
      <c r="B46" s="7"/>
      <c r="C46" s="7"/>
      <c r="D46" s="3"/>
      <c r="E46" s="7"/>
      <c r="F46" s="7"/>
      <c r="G46" s="7"/>
      <c r="H46" s="7"/>
      <c r="I46" s="7"/>
      <c r="J46" s="3"/>
      <c r="K46" s="3"/>
      <c r="L46" s="9"/>
      <c r="M46" s="10"/>
      <c r="N46" s="3"/>
      <c r="O46" s="3"/>
      <c r="P46" s="3"/>
      <c r="Q46" s="3"/>
      <c r="R46" s="12"/>
      <c r="S46" s="1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ht="15.75" customHeight="1">
      <c r="A47" s="6"/>
      <c r="B47" s="7"/>
      <c r="C47" s="7"/>
      <c r="D47" s="3"/>
      <c r="E47" s="7"/>
      <c r="F47" s="7"/>
      <c r="G47" s="7"/>
      <c r="H47" s="7"/>
      <c r="I47" s="7"/>
      <c r="J47" s="3"/>
      <c r="K47" s="3"/>
      <c r="L47" s="9"/>
      <c r="M47" s="10"/>
      <c r="N47" s="3"/>
      <c r="O47" s="3"/>
      <c r="P47" s="3"/>
      <c r="Q47" s="3"/>
      <c r="R47" s="12"/>
      <c r="S47" s="1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ht="15.75" customHeight="1">
      <c r="A48" s="6"/>
      <c r="B48" s="7"/>
      <c r="C48" s="7"/>
      <c r="D48" s="3"/>
      <c r="E48" s="7"/>
      <c r="F48" s="7"/>
      <c r="G48" s="7"/>
      <c r="H48" s="7"/>
      <c r="I48" s="7"/>
      <c r="J48" s="3"/>
      <c r="K48" s="3"/>
      <c r="L48" s="9"/>
      <c r="M48" s="10"/>
      <c r="N48" s="3"/>
      <c r="O48" s="3"/>
      <c r="P48" s="3"/>
      <c r="Q48" s="3"/>
      <c r="R48" s="12"/>
      <c r="S48" s="12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ht="15.75" customHeight="1">
      <c r="D49" s="3"/>
      <c r="J49" s="3"/>
      <c r="K49" s="3"/>
      <c r="M49" s="10"/>
      <c r="Q49" s="11"/>
      <c r="R49" s="18"/>
      <c r="S49" s="18"/>
      <c r="U49" s="19"/>
      <c r="AC49" s="20"/>
      <c r="AN49" s="21"/>
      <c r="AY49" s="22"/>
      <c r="AZ49" s="22"/>
    </row>
    <row r="50" ht="15.75" customHeight="1">
      <c r="D50" s="3"/>
      <c r="J50" s="3"/>
      <c r="K50" s="3"/>
      <c r="M50" s="10"/>
      <c r="Q50" s="11"/>
      <c r="R50" s="18"/>
      <c r="S50" s="18"/>
      <c r="U50" s="19"/>
      <c r="AC50" s="20"/>
      <c r="AY50" s="22"/>
      <c r="AZ50" s="22"/>
    </row>
    <row r="51" ht="15.75" customHeight="1">
      <c r="D51" s="3"/>
      <c r="J51" s="3"/>
      <c r="K51" s="3"/>
      <c r="M51" s="10"/>
      <c r="Q51" s="11"/>
      <c r="R51" s="18"/>
      <c r="S51" s="18"/>
      <c r="U51" s="19"/>
      <c r="AC51" s="20"/>
      <c r="AY51" s="22"/>
      <c r="AZ51" s="22"/>
    </row>
    <row r="52" ht="15.75" customHeight="1">
      <c r="D52" s="3"/>
      <c r="J52" s="3"/>
      <c r="K52" s="3"/>
      <c r="M52" s="10"/>
      <c r="Q52" s="11"/>
      <c r="R52" s="18"/>
      <c r="S52" s="18"/>
      <c r="U52" s="19"/>
      <c r="AC52" s="20"/>
      <c r="AY52" s="22"/>
      <c r="AZ52" s="22"/>
    </row>
    <row r="53" ht="15.75" customHeight="1">
      <c r="D53" s="3"/>
      <c r="J53" s="3"/>
      <c r="K53" s="3"/>
      <c r="M53" s="10"/>
      <c r="Q53" s="11"/>
      <c r="R53" s="18"/>
      <c r="S53" s="18"/>
      <c r="U53" s="19"/>
      <c r="AC53" s="20"/>
      <c r="AY53" s="22"/>
      <c r="AZ53" s="22"/>
    </row>
    <row r="54" ht="15.75" customHeight="1">
      <c r="D54" s="3"/>
      <c r="J54" s="3"/>
      <c r="K54" s="3"/>
      <c r="M54" s="10"/>
      <c r="Q54" s="11"/>
      <c r="R54" s="18"/>
      <c r="S54" s="18"/>
      <c r="U54" s="19"/>
      <c r="AC54" s="20"/>
      <c r="AY54" s="22"/>
      <c r="AZ54" s="22"/>
    </row>
    <row r="55" ht="15.75" customHeight="1">
      <c r="D55" s="3"/>
      <c r="J55" s="3"/>
      <c r="K55" s="3"/>
      <c r="M55" s="10"/>
      <c r="Q55" s="11"/>
      <c r="R55" s="18"/>
      <c r="S55" s="18"/>
      <c r="U55" s="19"/>
      <c r="AC55" s="20"/>
      <c r="AY55" s="22"/>
      <c r="AZ55" s="22"/>
    </row>
    <row r="56" ht="15.75" customHeight="1">
      <c r="D56" s="3"/>
      <c r="J56" s="3"/>
      <c r="K56" s="3"/>
      <c r="M56" s="10"/>
      <c r="Q56" s="11"/>
      <c r="R56" s="18"/>
      <c r="S56" s="18"/>
      <c r="U56" s="19"/>
      <c r="AC56" s="20"/>
      <c r="AY56" s="22"/>
      <c r="AZ56" s="22"/>
    </row>
    <row r="57" ht="15.75" customHeight="1">
      <c r="D57" s="3"/>
      <c r="J57" s="3"/>
      <c r="K57" s="3"/>
      <c r="M57" s="10"/>
      <c r="Q57" s="11"/>
      <c r="R57" s="18"/>
      <c r="S57" s="18"/>
      <c r="U57" s="19"/>
      <c r="AC57" s="20"/>
      <c r="AY57" s="22"/>
      <c r="AZ57" s="22"/>
    </row>
    <row r="58" ht="15.75" customHeight="1">
      <c r="D58" s="3"/>
      <c r="J58" s="3"/>
      <c r="K58" s="3"/>
      <c r="M58" s="10"/>
      <c r="Q58" s="11"/>
      <c r="R58" s="18"/>
      <c r="S58" s="18"/>
      <c r="U58" s="19"/>
      <c r="AC58" s="20"/>
      <c r="AY58" s="22"/>
      <c r="AZ58" s="22"/>
    </row>
    <row r="59" ht="15.75" customHeight="1">
      <c r="D59" s="3"/>
      <c r="J59" s="3"/>
      <c r="K59" s="3"/>
      <c r="M59" s="10"/>
      <c r="Q59" s="11"/>
      <c r="R59" s="18"/>
      <c r="S59" s="18"/>
      <c r="U59" s="19"/>
      <c r="AC59" s="20"/>
      <c r="AY59" s="22"/>
      <c r="AZ59" s="22"/>
    </row>
    <row r="60" ht="15.75" customHeight="1">
      <c r="D60" s="3"/>
      <c r="J60" s="3"/>
      <c r="K60" s="3"/>
      <c r="M60" s="10"/>
      <c r="Q60" s="11"/>
      <c r="R60" s="18"/>
      <c r="S60" s="18"/>
      <c r="U60" s="19"/>
      <c r="AC60" s="20"/>
      <c r="AY60" s="22"/>
      <c r="AZ60" s="22"/>
    </row>
    <row r="61" ht="15.75" customHeight="1">
      <c r="D61" s="3"/>
      <c r="J61" s="3"/>
      <c r="K61" s="3"/>
      <c r="M61" s="10"/>
      <c r="Q61" s="11"/>
      <c r="R61" s="18"/>
      <c r="S61" s="18"/>
      <c r="U61" s="19"/>
      <c r="AC61" s="20"/>
      <c r="AY61" s="22"/>
      <c r="AZ61" s="22"/>
    </row>
    <row r="62" ht="15.75" customHeight="1">
      <c r="D62" s="3"/>
      <c r="J62" s="3"/>
      <c r="K62" s="3"/>
      <c r="M62" s="10"/>
      <c r="Q62" s="11"/>
      <c r="R62" s="18"/>
      <c r="S62" s="18"/>
      <c r="U62" s="19"/>
      <c r="AC62" s="20"/>
      <c r="AY62" s="22"/>
      <c r="AZ62" s="22"/>
    </row>
    <row r="63" ht="15.75" customHeight="1">
      <c r="D63" s="3"/>
      <c r="J63" s="3"/>
      <c r="K63" s="3"/>
      <c r="M63" s="10"/>
      <c r="Q63" s="11"/>
      <c r="R63" s="18"/>
      <c r="S63" s="18"/>
      <c r="U63" s="19"/>
      <c r="AC63" s="20"/>
      <c r="AY63" s="22"/>
      <c r="AZ63" s="22"/>
    </row>
    <row r="64" ht="15.75" customHeight="1">
      <c r="D64" s="3"/>
      <c r="J64" s="3"/>
      <c r="K64" s="3"/>
      <c r="M64" s="10"/>
      <c r="Q64" s="11"/>
      <c r="R64" s="18"/>
      <c r="S64" s="18"/>
      <c r="U64" s="19"/>
      <c r="AC64" s="20"/>
      <c r="AY64" s="22"/>
      <c r="AZ64" s="22"/>
    </row>
    <row r="65" ht="15.75" customHeight="1">
      <c r="D65" s="3"/>
      <c r="J65" s="3"/>
      <c r="K65" s="3"/>
      <c r="M65" s="10"/>
      <c r="Q65" s="11"/>
      <c r="R65" s="18"/>
      <c r="S65" s="18"/>
      <c r="U65" s="19"/>
      <c r="AC65" s="20"/>
      <c r="AY65" s="22"/>
      <c r="AZ65" s="22"/>
    </row>
    <row r="66" ht="15.75" customHeight="1">
      <c r="D66" s="3"/>
      <c r="J66" s="3"/>
      <c r="K66" s="3"/>
      <c r="M66" s="10"/>
      <c r="Q66" s="11"/>
      <c r="R66" s="18"/>
      <c r="S66" s="18"/>
      <c r="U66" s="19"/>
      <c r="AC66" s="20"/>
      <c r="AY66" s="22"/>
      <c r="AZ66" s="22"/>
    </row>
    <row r="67" ht="15.75" customHeight="1">
      <c r="D67" s="3"/>
      <c r="J67" s="3"/>
      <c r="K67" s="3"/>
      <c r="M67" s="10"/>
      <c r="Q67" s="11"/>
      <c r="R67" s="18"/>
      <c r="S67" s="18"/>
      <c r="U67" s="19"/>
      <c r="AC67" s="20"/>
      <c r="AY67" s="22"/>
      <c r="AZ67" s="22"/>
    </row>
    <row r="68" ht="15.75" customHeight="1">
      <c r="D68" s="3"/>
      <c r="J68" s="3"/>
      <c r="K68" s="3"/>
      <c r="M68" s="10"/>
      <c r="Q68" s="11"/>
      <c r="R68" s="18"/>
      <c r="S68" s="18"/>
      <c r="U68" s="19"/>
      <c r="AC68" s="20"/>
      <c r="AY68" s="22"/>
      <c r="AZ68" s="22"/>
    </row>
    <row r="69" ht="15.75" customHeight="1">
      <c r="D69" s="3"/>
      <c r="J69" s="3"/>
      <c r="K69" s="3"/>
      <c r="M69" s="10"/>
      <c r="Q69" s="11"/>
      <c r="R69" s="18"/>
      <c r="S69" s="18"/>
      <c r="U69" s="19"/>
      <c r="AC69" s="20"/>
      <c r="AY69" s="22"/>
      <c r="AZ69" s="22"/>
    </row>
    <row r="70" ht="15.75" customHeight="1">
      <c r="D70" s="3"/>
      <c r="J70" s="3"/>
      <c r="K70" s="3"/>
      <c r="M70" s="10"/>
      <c r="Q70" s="11"/>
      <c r="R70" s="18"/>
      <c r="S70" s="18"/>
      <c r="U70" s="19"/>
      <c r="AC70" s="20"/>
      <c r="AY70" s="22"/>
      <c r="AZ70" s="22"/>
    </row>
    <row r="71" ht="15.75" customHeight="1">
      <c r="D71" s="3"/>
      <c r="J71" s="3"/>
      <c r="K71" s="3"/>
      <c r="M71" s="10"/>
      <c r="Q71" s="11"/>
      <c r="R71" s="18"/>
      <c r="S71" s="18"/>
      <c r="U71" s="19"/>
      <c r="AC71" s="20"/>
      <c r="AY71" s="22"/>
      <c r="AZ71" s="22"/>
    </row>
    <row r="72" ht="15.75" customHeight="1">
      <c r="D72" s="3"/>
      <c r="J72" s="3"/>
      <c r="K72" s="3"/>
      <c r="M72" s="10"/>
      <c r="Q72" s="11"/>
      <c r="R72" s="18"/>
      <c r="S72" s="18"/>
      <c r="U72" s="19"/>
      <c r="AC72" s="20"/>
      <c r="AY72" s="22"/>
      <c r="AZ72" s="22"/>
    </row>
    <row r="73" ht="15.75" customHeight="1">
      <c r="D73" s="3"/>
      <c r="J73" s="3"/>
      <c r="K73" s="3"/>
      <c r="M73" s="10"/>
      <c r="Q73" s="11"/>
      <c r="R73" s="18"/>
      <c r="S73" s="18"/>
      <c r="U73" s="19"/>
      <c r="AC73" s="20"/>
      <c r="AY73" s="22"/>
      <c r="AZ73" s="22"/>
    </row>
    <row r="74" ht="15.75" customHeight="1">
      <c r="D74" s="3"/>
      <c r="J74" s="3"/>
      <c r="K74" s="3"/>
      <c r="M74" s="10"/>
      <c r="Q74" s="11"/>
      <c r="R74" s="18"/>
      <c r="S74" s="18"/>
      <c r="U74" s="19"/>
      <c r="AC74" s="20"/>
      <c r="AY74" s="22"/>
      <c r="AZ74" s="22"/>
    </row>
    <row r="75" ht="15.75" customHeight="1">
      <c r="D75" s="3"/>
      <c r="J75" s="3"/>
      <c r="K75" s="3"/>
      <c r="M75" s="10"/>
      <c r="Q75" s="11"/>
      <c r="R75" s="18"/>
      <c r="S75" s="18"/>
      <c r="U75" s="19"/>
      <c r="AC75" s="20"/>
      <c r="AY75" s="22"/>
      <c r="AZ75" s="22"/>
    </row>
    <row r="76" ht="15.75" customHeight="1">
      <c r="D76" s="3"/>
      <c r="J76" s="3"/>
      <c r="K76" s="3"/>
      <c r="M76" s="10"/>
      <c r="Q76" s="11"/>
      <c r="R76" s="18"/>
      <c r="S76" s="18"/>
      <c r="U76" s="19"/>
      <c r="AC76" s="20"/>
      <c r="AY76" s="22"/>
      <c r="AZ76" s="22"/>
    </row>
    <row r="77" ht="15.75" customHeight="1">
      <c r="D77" s="3"/>
      <c r="J77" s="3"/>
      <c r="K77" s="3"/>
      <c r="M77" s="10"/>
      <c r="Q77" s="11"/>
      <c r="R77" s="18"/>
      <c r="S77" s="18"/>
      <c r="U77" s="19"/>
      <c r="AC77" s="20"/>
      <c r="AY77" s="22"/>
      <c r="AZ77" s="22"/>
    </row>
    <row r="78" ht="15.75" customHeight="1">
      <c r="D78" s="3"/>
      <c r="J78" s="3"/>
      <c r="K78" s="3"/>
      <c r="M78" s="10"/>
      <c r="Q78" s="11"/>
      <c r="R78" s="18"/>
      <c r="S78" s="18"/>
      <c r="U78" s="19"/>
      <c r="AC78" s="20"/>
      <c r="AY78" s="22"/>
      <c r="AZ78" s="22"/>
    </row>
    <row r="79" ht="15.75" customHeight="1">
      <c r="D79" s="3"/>
      <c r="J79" s="3"/>
      <c r="K79" s="3"/>
      <c r="M79" s="10"/>
      <c r="Q79" s="11"/>
      <c r="R79" s="18"/>
      <c r="S79" s="18"/>
      <c r="U79" s="19"/>
      <c r="AC79" s="20"/>
      <c r="AY79" s="22"/>
      <c r="AZ79" s="22"/>
    </row>
    <row r="80" ht="15.75" customHeight="1">
      <c r="D80" s="3"/>
      <c r="J80" s="3"/>
      <c r="K80" s="3"/>
      <c r="M80" s="10"/>
      <c r="Q80" s="11"/>
      <c r="R80" s="18"/>
      <c r="S80" s="18"/>
      <c r="U80" s="19"/>
      <c r="AC80" s="20"/>
      <c r="AY80" s="22"/>
      <c r="AZ80" s="22"/>
    </row>
    <row r="81" ht="15.75" customHeight="1">
      <c r="D81" s="3"/>
      <c r="J81" s="3"/>
      <c r="K81" s="3"/>
      <c r="M81" s="10"/>
      <c r="Q81" s="11"/>
      <c r="R81" s="18"/>
      <c r="S81" s="18"/>
      <c r="U81" s="19"/>
      <c r="AC81" s="20"/>
      <c r="AY81" s="22"/>
      <c r="AZ81" s="22"/>
    </row>
    <row r="82" ht="15.75" customHeight="1">
      <c r="D82" s="3"/>
      <c r="J82" s="3"/>
      <c r="K82" s="3"/>
      <c r="M82" s="10"/>
      <c r="Q82" s="11"/>
      <c r="R82" s="18"/>
      <c r="S82" s="18"/>
      <c r="U82" s="19"/>
      <c r="AC82" s="20"/>
      <c r="AY82" s="22"/>
      <c r="AZ82" s="22"/>
    </row>
    <row r="83" ht="15.75" customHeight="1">
      <c r="D83" s="3"/>
      <c r="J83" s="3"/>
      <c r="K83" s="3"/>
      <c r="M83" s="10"/>
      <c r="Q83" s="11"/>
      <c r="R83" s="18"/>
      <c r="S83" s="18"/>
      <c r="U83" s="19"/>
      <c r="AC83" s="20"/>
      <c r="AY83" s="22"/>
      <c r="AZ83" s="22"/>
    </row>
    <row r="84" ht="15.75" customHeight="1">
      <c r="D84" s="3"/>
      <c r="J84" s="3"/>
      <c r="K84" s="3"/>
      <c r="M84" s="10"/>
      <c r="Q84" s="11"/>
      <c r="R84" s="18"/>
      <c r="S84" s="18"/>
      <c r="U84" s="19"/>
      <c r="AC84" s="20"/>
      <c r="AY84" s="22"/>
      <c r="AZ84" s="22"/>
    </row>
    <row r="85" ht="15.75" customHeight="1">
      <c r="D85" s="3"/>
      <c r="J85" s="3"/>
      <c r="K85" s="3"/>
      <c r="M85" s="10"/>
      <c r="Q85" s="11"/>
      <c r="R85" s="18"/>
      <c r="S85" s="18"/>
      <c r="U85" s="19"/>
      <c r="AC85" s="20"/>
      <c r="AY85" s="22"/>
      <c r="AZ85" s="22"/>
    </row>
    <row r="86" ht="15.75" customHeight="1">
      <c r="D86" s="3"/>
      <c r="J86" s="3"/>
      <c r="K86" s="3"/>
      <c r="M86" s="10"/>
      <c r="Q86" s="11"/>
      <c r="R86" s="18"/>
      <c r="S86" s="18"/>
      <c r="U86" s="19"/>
      <c r="AC86" s="20"/>
      <c r="AY86" s="22"/>
      <c r="AZ86" s="22"/>
    </row>
    <row r="87" ht="15.75" customHeight="1">
      <c r="D87" s="3"/>
      <c r="J87" s="3"/>
      <c r="K87" s="3"/>
      <c r="M87" s="10"/>
      <c r="Q87" s="11"/>
      <c r="R87" s="18"/>
      <c r="S87" s="18"/>
      <c r="U87" s="19"/>
      <c r="AC87" s="20"/>
      <c r="AY87" s="22"/>
      <c r="AZ87" s="22"/>
    </row>
    <row r="88" ht="15.75" customHeight="1">
      <c r="D88" s="3"/>
      <c r="J88" s="3"/>
      <c r="K88" s="3"/>
      <c r="M88" s="10"/>
      <c r="Q88" s="11"/>
      <c r="R88" s="18"/>
      <c r="S88" s="18"/>
      <c r="U88" s="19"/>
      <c r="AC88" s="20"/>
      <c r="AY88" s="22"/>
      <c r="AZ88" s="22"/>
    </row>
    <row r="89" ht="15.75" customHeight="1">
      <c r="D89" s="3"/>
      <c r="J89" s="3"/>
      <c r="K89" s="3"/>
      <c r="M89" s="10"/>
      <c r="Q89" s="11"/>
      <c r="R89" s="18"/>
      <c r="S89" s="18"/>
      <c r="U89" s="19"/>
      <c r="AC89" s="20"/>
      <c r="AY89" s="22"/>
      <c r="AZ89" s="22"/>
    </row>
    <row r="90" ht="15.75" customHeight="1">
      <c r="D90" s="3"/>
      <c r="J90" s="3"/>
      <c r="K90" s="3"/>
      <c r="M90" s="10"/>
      <c r="Q90" s="11"/>
      <c r="R90" s="18"/>
      <c r="S90" s="18"/>
      <c r="U90" s="19"/>
      <c r="AC90" s="20"/>
      <c r="AY90" s="22"/>
      <c r="AZ90" s="22"/>
    </row>
    <row r="91" ht="15.75" customHeight="1">
      <c r="D91" s="3"/>
      <c r="J91" s="3"/>
      <c r="K91" s="3"/>
      <c r="M91" s="10"/>
      <c r="Q91" s="11"/>
      <c r="R91" s="18"/>
      <c r="S91" s="18"/>
      <c r="U91" s="19"/>
      <c r="AC91" s="20"/>
      <c r="AY91" s="22"/>
      <c r="AZ91" s="22"/>
    </row>
    <row r="92" ht="15.75" customHeight="1">
      <c r="D92" s="3"/>
      <c r="J92" s="3"/>
      <c r="K92" s="3"/>
      <c r="M92" s="10"/>
      <c r="Q92" s="11"/>
      <c r="R92" s="18"/>
      <c r="S92" s="18"/>
      <c r="U92" s="19"/>
      <c r="AC92" s="20"/>
      <c r="AY92" s="22"/>
      <c r="AZ92" s="22"/>
    </row>
    <row r="93" ht="15.75" customHeight="1">
      <c r="D93" s="3"/>
      <c r="J93" s="3"/>
      <c r="K93" s="3"/>
      <c r="M93" s="10"/>
      <c r="Q93" s="11"/>
      <c r="R93" s="18"/>
      <c r="S93" s="18"/>
      <c r="U93" s="19"/>
      <c r="AC93" s="20"/>
      <c r="AY93" s="22"/>
      <c r="AZ93" s="22"/>
    </row>
    <row r="94" ht="15.75" customHeight="1">
      <c r="D94" s="3"/>
      <c r="J94" s="3"/>
      <c r="K94" s="3"/>
      <c r="M94" s="10"/>
      <c r="Q94" s="11"/>
      <c r="R94" s="18"/>
      <c r="S94" s="18"/>
      <c r="U94" s="19"/>
      <c r="AC94" s="20"/>
      <c r="AY94" s="22"/>
      <c r="AZ94" s="22"/>
    </row>
    <row r="95" ht="15.75" customHeight="1">
      <c r="D95" s="3"/>
      <c r="J95" s="3"/>
      <c r="K95" s="3"/>
      <c r="M95" s="10"/>
      <c r="Q95" s="11"/>
      <c r="R95" s="18"/>
      <c r="S95" s="18"/>
      <c r="U95" s="19"/>
      <c r="AC95" s="20"/>
      <c r="AY95" s="22"/>
      <c r="AZ95" s="22"/>
    </row>
    <row r="96" ht="15.75" customHeight="1">
      <c r="D96" s="3"/>
      <c r="J96" s="3"/>
      <c r="K96" s="3"/>
      <c r="M96" s="10"/>
      <c r="Q96" s="11"/>
      <c r="R96" s="18"/>
      <c r="S96" s="18"/>
      <c r="U96" s="19"/>
      <c r="AC96" s="20"/>
      <c r="AY96" s="22"/>
      <c r="AZ96" s="22"/>
    </row>
    <row r="97" ht="15.75" customHeight="1">
      <c r="D97" s="3"/>
      <c r="J97" s="3"/>
      <c r="K97" s="3"/>
      <c r="M97" s="10"/>
      <c r="Q97" s="11"/>
      <c r="R97" s="18"/>
      <c r="S97" s="18"/>
      <c r="U97" s="19"/>
      <c r="AC97" s="20"/>
      <c r="AY97" s="22"/>
      <c r="AZ97" s="22"/>
    </row>
    <row r="98" ht="15.75" customHeight="1">
      <c r="D98" s="3"/>
      <c r="J98" s="3"/>
      <c r="K98" s="3"/>
      <c r="M98" s="10"/>
      <c r="Q98" s="11"/>
      <c r="R98" s="18"/>
      <c r="S98" s="18"/>
      <c r="U98" s="19"/>
      <c r="AC98" s="20"/>
      <c r="AY98" s="22"/>
      <c r="AZ98" s="22"/>
    </row>
    <row r="99" ht="15.75" customHeight="1">
      <c r="D99" s="3"/>
      <c r="J99" s="3"/>
      <c r="K99" s="3"/>
      <c r="M99" s="10"/>
      <c r="Q99" s="11"/>
      <c r="R99" s="18"/>
      <c r="S99" s="18"/>
      <c r="U99" s="19"/>
      <c r="AC99" s="20"/>
      <c r="AY99" s="22"/>
      <c r="AZ99" s="22"/>
    </row>
    <row r="100" ht="15.75" customHeight="1">
      <c r="D100" s="3"/>
      <c r="J100" s="3"/>
      <c r="K100" s="3"/>
      <c r="M100" s="10"/>
      <c r="Q100" s="11"/>
      <c r="R100" s="18"/>
      <c r="S100" s="18"/>
      <c r="U100" s="19"/>
      <c r="AC100" s="20"/>
      <c r="AY100" s="22"/>
      <c r="AZ100" s="22"/>
    </row>
    <row r="101" ht="15.75" customHeight="1">
      <c r="D101" s="3"/>
      <c r="J101" s="3"/>
      <c r="K101" s="3"/>
      <c r="M101" s="10"/>
      <c r="Q101" s="11"/>
      <c r="R101" s="18"/>
      <c r="S101" s="18"/>
      <c r="U101" s="19"/>
      <c r="AC101" s="20"/>
      <c r="AY101" s="22"/>
      <c r="AZ101" s="22"/>
    </row>
    <row r="102" ht="15.75" customHeight="1">
      <c r="D102" s="3"/>
      <c r="J102" s="3"/>
      <c r="K102" s="3"/>
      <c r="M102" s="10"/>
      <c r="Q102" s="11"/>
      <c r="R102" s="18"/>
      <c r="S102" s="18"/>
      <c r="U102" s="19"/>
      <c r="AC102" s="20"/>
      <c r="AY102" s="22"/>
      <c r="AZ102" s="22"/>
    </row>
    <row r="103" ht="15.75" customHeight="1">
      <c r="D103" s="3"/>
      <c r="J103" s="3"/>
      <c r="K103" s="3"/>
      <c r="M103" s="10"/>
      <c r="Q103" s="11"/>
      <c r="R103" s="18"/>
      <c r="S103" s="18"/>
      <c r="U103" s="19"/>
      <c r="AC103" s="20"/>
      <c r="AY103" s="22"/>
      <c r="AZ103" s="22"/>
    </row>
    <row r="104" ht="15.75" customHeight="1">
      <c r="D104" s="3"/>
      <c r="J104" s="3"/>
      <c r="K104" s="3"/>
      <c r="M104" s="10"/>
      <c r="Q104" s="11"/>
      <c r="R104" s="18"/>
      <c r="S104" s="18"/>
      <c r="U104" s="19"/>
      <c r="AC104" s="20"/>
      <c r="AY104" s="22"/>
      <c r="AZ104" s="22"/>
    </row>
    <row r="105" ht="15.75" customHeight="1">
      <c r="D105" s="3"/>
      <c r="J105" s="3"/>
      <c r="K105" s="3"/>
      <c r="M105" s="10"/>
      <c r="Q105" s="11"/>
      <c r="R105" s="18"/>
      <c r="S105" s="18"/>
      <c r="U105" s="19"/>
      <c r="AC105" s="20"/>
      <c r="AY105" s="22"/>
      <c r="AZ105" s="22"/>
    </row>
    <row r="106" ht="15.75" customHeight="1">
      <c r="D106" s="3"/>
      <c r="J106" s="3"/>
      <c r="K106" s="3"/>
      <c r="M106" s="10"/>
      <c r="Q106" s="11"/>
      <c r="R106" s="18"/>
      <c r="S106" s="18"/>
      <c r="U106" s="19"/>
      <c r="AC106" s="20"/>
      <c r="AY106" s="22"/>
      <c r="AZ106" s="22"/>
    </row>
    <row r="107" ht="15.75" customHeight="1">
      <c r="D107" s="3"/>
      <c r="J107" s="3"/>
      <c r="K107" s="3"/>
      <c r="M107" s="10"/>
      <c r="Q107" s="11"/>
      <c r="R107" s="18"/>
      <c r="S107" s="18"/>
      <c r="U107" s="19"/>
      <c r="AC107" s="20"/>
      <c r="AY107" s="22"/>
      <c r="AZ107" s="22"/>
    </row>
    <row r="108" ht="15.75" customHeight="1">
      <c r="D108" s="3"/>
      <c r="J108" s="3"/>
      <c r="K108" s="3"/>
      <c r="M108" s="10"/>
      <c r="Q108" s="11"/>
      <c r="R108" s="18"/>
      <c r="S108" s="18"/>
      <c r="U108" s="19"/>
      <c r="AC108" s="20"/>
      <c r="AY108" s="22"/>
      <c r="AZ108" s="22"/>
    </row>
    <row r="109" ht="15.75" customHeight="1">
      <c r="D109" s="3"/>
      <c r="J109" s="3"/>
      <c r="K109" s="3"/>
      <c r="M109" s="10"/>
      <c r="Q109" s="11"/>
      <c r="R109" s="18"/>
      <c r="S109" s="18"/>
      <c r="U109" s="19"/>
      <c r="AC109" s="20"/>
      <c r="AY109" s="22"/>
      <c r="AZ109" s="22"/>
    </row>
    <row r="110" ht="15.75" customHeight="1">
      <c r="D110" s="3"/>
      <c r="J110" s="3"/>
      <c r="K110" s="3"/>
      <c r="M110" s="10"/>
      <c r="Q110" s="11"/>
      <c r="R110" s="18"/>
      <c r="S110" s="18"/>
      <c r="U110" s="19"/>
      <c r="AC110" s="20"/>
      <c r="AY110" s="22"/>
      <c r="AZ110" s="22"/>
    </row>
    <row r="111" ht="15.75" customHeight="1">
      <c r="D111" s="3"/>
      <c r="J111" s="3"/>
      <c r="K111" s="3"/>
      <c r="M111" s="10"/>
      <c r="Q111" s="11"/>
      <c r="R111" s="18"/>
      <c r="S111" s="18"/>
      <c r="U111" s="19"/>
      <c r="AC111" s="20"/>
      <c r="AY111" s="22"/>
      <c r="AZ111" s="22"/>
    </row>
    <row r="112" ht="15.75" customHeight="1">
      <c r="D112" s="3"/>
      <c r="J112" s="3"/>
      <c r="K112" s="3"/>
      <c r="M112" s="10"/>
      <c r="Q112" s="11"/>
      <c r="R112" s="18"/>
      <c r="S112" s="18"/>
      <c r="U112" s="19"/>
      <c r="AC112" s="20"/>
      <c r="AY112" s="22"/>
      <c r="AZ112" s="22"/>
    </row>
    <row r="113" ht="15.75" customHeight="1">
      <c r="D113" s="3"/>
      <c r="J113" s="3"/>
      <c r="K113" s="3"/>
      <c r="M113" s="10"/>
      <c r="Q113" s="11"/>
      <c r="R113" s="18"/>
      <c r="S113" s="18"/>
      <c r="U113" s="19"/>
      <c r="AC113" s="20"/>
      <c r="AY113" s="22"/>
      <c r="AZ113" s="22"/>
    </row>
    <row r="114" ht="15.75" customHeight="1">
      <c r="D114" s="3"/>
      <c r="J114" s="3"/>
      <c r="K114" s="3"/>
      <c r="M114" s="10"/>
      <c r="Q114" s="11"/>
      <c r="R114" s="18"/>
      <c r="S114" s="18"/>
      <c r="U114" s="19"/>
      <c r="AC114" s="20"/>
      <c r="AY114" s="22"/>
      <c r="AZ114" s="22"/>
    </row>
    <row r="115" ht="15.75" customHeight="1">
      <c r="D115" s="3"/>
      <c r="J115" s="3"/>
      <c r="K115" s="3"/>
      <c r="M115" s="10"/>
      <c r="Q115" s="11"/>
      <c r="R115" s="18"/>
      <c r="S115" s="18"/>
      <c r="U115" s="19"/>
      <c r="AC115" s="20"/>
      <c r="AY115" s="22"/>
      <c r="AZ115" s="22"/>
    </row>
    <row r="116" ht="15.75" customHeight="1">
      <c r="D116" s="3"/>
      <c r="J116" s="3"/>
      <c r="K116" s="3"/>
      <c r="M116" s="10"/>
      <c r="Q116" s="11"/>
      <c r="R116" s="18"/>
      <c r="S116" s="18"/>
      <c r="U116" s="19"/>
      <c r="AC116" s="20"/>
      <c r="AY116" s="22"/>
      <c r="AZ116" s="22"/>
    </row>
    <row r="117" ht="15.75" customHeight="1">
      <c r="D117" s="3"/>
      <c r="J117" s="3"/>
      <c r="K117" s="3"/>
      <c r="M117" s="10"/>
      <c r="Q117" s="11"/>
      <c r="R117" s="18"/>
      <c r="S117" s="18"/>
      <c r="U117" s="19"/>
      <c r="AC117" s="20"/>
      <c r="AY117" s="22"/>
      <c r="AZ117" s="22"/>
    </row>
    <row r="118" ht="15.75" customHeight="1">
      <c r="D118" s="3"/>
      <c r="J118" s="3"/>
      <c r="K118" s="3"/>
      <c r="M118" s="10"/>
      <c r="Q118" s="11"/>
      <c r="R118" s="18"/>
      <c r="S118" s="18"/>
      <c r="U118" s="19"/>
      <c r="AC118" s="20"/>
      <c r="AY118" s="22"/>
      <c r="AZ118" s="22"/>
    </row>
    <row r="119" ht="15.75" customHeight="1">
      <c r="D119" s="3"/>
      <c r="J119" s="3"/>
      <c r="K119" s="3"/>
      <c r="M119" s="10"/>
      <c r="Q119" s="11"/>
      <c r="R119" s="18"/>
      <c r="S119" s="18"/>
      <c r="U119" s="19"/>
      <c r="AC119" s="20"/>
      <c r="AY119" s="22"/>
      <c r="AZ119" s="22"/>
    </row>
    <row r="120" ht="15.75" customHeight="1">
      <c r="D120" s="3"/>
      <c r="J120" s="3"/>
      <c r="K120" s="3"/>
      <c r="M120" s="10"/>
      <c r="Q120" s="11"/>
      <c r="R120" s="18"/>
      <c r="S120" s="18"/>
      <c r="U120" s="19"/>
      <c r="AC120" s="20"/>
      <c r="AY120" s="22"/>
      <c r="AZ120" s="22"/>
    </row>
    <row r="121" ht="15.75" customHeight="1">
      <c r="D121" s="3"/>
      <c r="J121" s="3"/>
      <c r="K121" s="3"/>
      <c r="M121" s="10"/>
      <c r="Q121" s="11"/>
      <c r="R121" s="18"/>
      <c r="S121" s="18"/>
      <c r="U121" s="19"/>
      <c r="AC121" s="20"/>
      <c r="AY121" s="22"/>
      <c r="AZ121" s="22"/>
    </row>
    <row r="122" ht="15.75" customHeight="1">
      <c r="D122" s="3"/>
      <c r="J122" s="3"/>
      <c r="K122" s="3"/>
      <c r="M122" s="10"/>
      <c r="Q122" s="11"/>
      <c r="R122" s="18"/>
      <c r="S122" s="18"/>
      <c r="U122" s="19"/>
      <c r="AC122" s="20"/>
      <c r="AY122" s="22"/>
      <c r="AZ122" s="22"/>
    </row>
    <row r="123" ht="15.75" customHeight="1">
      <c r="D123" s="3"/>
      <c r="J123" s="3"/>
      <c r="K123" s="3"/>
      <c r="M123" s="10"/>
      <c r="Q123" s="11"/>
      <c r="R123" s="18"/>
      <c r="S123" s="18"/>
      <c r="U123" s="19"/>
      <c r="AC123" s="20"/>
      <c r="AY123" s="22"/>
      <c r="AZ123" s="22"/>
    </row>
    <row r="124" ht="15.75" customHeight="1">
      <c r="D124" s="3"/>
      <c r="J124" s="3"/>
      <c r="K124" s="3"/>
      <c r="M124" s="10"/>
      <c r="Q124" s="11"/>
      <c r="R124" s="18"/>
      <c r="S124" s="18"/>
      <c r="U124" s="19"/>
      <c r="AC124" s="20"/>
      <c r="AY124" s="22"/>
      <c r="AZ124" s="22"/>
    </row>
    <row r="125" ht="15.75" customHeight="1">
      <c r="D125" s="3"/>
      <c r="J125" s="3"/>
      <c r="K125" s="3"/>
      <c r="M125" s="10"/>
      <c r="Q125" s="11"/>
      <c r="R125" s="18"/>
      <c r="S125" s="18"/>
      <c r="U125" s="19"/>
      <c r="AC125" s="20"/>
      <c r="AY125" s="22"/>
      <c r="AZ125" s="22"/>
    </row>
    <row r="126" ht="15.75" customHeight="1">
      <c r="D126" s="3"/>
      <c r="J126" s="3"/>
      <c r="K126" s="3"/>
      <c r="M126" s="10"/>
      <c r="Q126" s="11"/>
      <c r="R126" s="18"/>
      <c r="S126" s="18"/>
      <c r="U126" s="19"/>
      <c r="AC126" s="20"/>
      <c r="AY126" s="22"/>
      <c r="AZ126" s="22"/>
    </row>
    <row r="127" ht="15.75" customHeight="1">
      <c r="D127" s="3"/>
      <c r="J127" s="3"/>
      <c r="K127" s="3"/>
      <c r="M127" s="10"/>
      <c r="Q127" s="11"/>
      <c r="R127" s="18"/>
      <c r="S127" s="18"/>
      <c r="U127" s="19"/>
      <c r="AC127" s="20"/>
      <c r="AY127" s="22"/>
      <c r="AZ127" s="22"/>
    </row>
    <row r="128" ht="15.75" customHeight="1">
      <c r="D128" s="3"/>
      <c r="J128" s="3"/>
      <c r="K128" s="3"/>
      <c r="M128" s="10"/>
      <c r="Q128" s="11"/>
      <c r="R128" s="18"/>
      <c r="S128" s="18"/>
      <c r="U128" s="19"/>
      <c r="AC128" s="20"/>
      <c r="AY128" s="22"/>
      <c r="AZ128" s="22"/>
    </row>
    <row r="129" ht="15.75" customHeight="1">
      <c r="D129" s="3"/>
      <c r="J129" s="3"/>
      <c r="K129" s="3"/>
      <c r="M129" s="10"/>
      <c r="Q129" s="11"/>
      <c r="R129" s="18"/>
      <c r="S129" s="18"/>
      <c r="U129" s="19"/>
      <c r="AC129" s="20"/>
      <c r="AY129" s="22"/>
      <c r="AZ129" s="22"/>
    </row>
    <row r="130" ht="15.75" customHeight="1">
      <c r="D130" s="3"/>
      <c r="J130" s="3"/>
      <c r="K130" s="3"/>
      <c r="M130" s="10"/>
      <c r="Q130" s="11"/>
      <c r="R130" s="18"/>
      <c r="S130" s="18"/>
      <c r="U130" s="19"/>
      <c r="AC130" s="20"/>
      <c r="AY130" s="22"/>
      <c r="AZ130" s="22"/>
    </row>
    <row r="131" ht="15.75" customHeight="1">
      <c r="D131" s="3"/>
      <c r="J131" s="3"/>
      <c r="K131" s="3"/>
      <c r="M131" s="10"/>
      <c r="Q131" s="11"/>
      <c r="R131" s="18"/>
      <c r="S131" s="18"/>
      <c r="U131" s="19"/>
      <c r="AC131" s="20"/>
      <c r="AY131" s="22"/>
      <c r="AZ131" s="22"/>
    </row>
    <row r="132" ht="15.75" customHeight="1">
      <c r="D132" s="3"/>
      <c r="J132" s="3"/>
      <c r="K132" s="3"/>
      <c r="M132" s="10"/>
      <c r="Q132" s="11"/>
      <c r="R132" s="18"/>
      <c r="S132" s="18"/>
      <c r="U132" s="19"/>
      <c r="AC132" s="20"/>
      <c r="AY132" s="22"/>
      <c r="AZ132" s="22"/>
    </row>
    <row r="133" ht="15.75" customHeight="1">
      <c r="D133" s="3"/>
      <c r="J133" s="3"/>
      <c r="K133" s="3"/>
      <c r="M133" s="10"/>
      <c r="Q133" s="11"/>
      <c r="R133" s="18"/>
      <c r="S133" s="18"/>
      <c r="U133" s="19"/>
      <c r="AC133" s="20"/>
      <c r="AY133" s="22"/>
      <c r="AZ133" s="22"/>
    </row>
    <row r="134" ht="15.75" customHeight="1">
      <c r="D134" s="3"/>
      <c r="J134" s="3"/>
      <c r="K134" s="3"/>
      <c r="M134" s="10"/>
      <c r="Q134" s="11"/>
      <c r="R134" s="18"/>
      <c r="S134" s="18"/>
      <c r="U134" s="19"/>
      <c r="AC134" s="20"/>
      <c r="AY134" s="22"/>
      <c r="AZ134" s="22"/>
    </row>
    <row r="135" ht="15.75" customHeight="1">
      <c r="D135" s="3"/>
      <c r="J135" s="3"/>
      <c r="K135" s="3"/>
      <c r="M135" s="10"/>
      <c r="Q135" s="11"/>
      <c r="R135" s="18"/>
      <c r="S135" s="18"/>
      <c r="U135" s="19"/>
      <c r="AC135" s="20"/>
      <c r="AY135" s="22"/>
      <c r="AZ135" s="22"/>
    </row>
    <row r="136" ht="15.75" customHeight="1">
      <c r="D136" s="3"/>
      <c r="J136" s="3"/>
      <c r="K136" s="3"/>
      <c r="M136" s="10"/>
      <c r="Q136" s="11"/>
      <c r="R136" s="18"/>
      <c r="S136" s="18"/>
      <c r="U136" s="19"/>
      <c r="AC136" s="20"/>
      <c r="AY136" s="22"/>
      <c r="AZ136" s="22"/>
    </row>
    <row r="137" ht="15.75" customHeight="1">
      <c r="D137" s="3"/>
      <c r="J137" s="3"/>
      <c r="K137" s="3"/>
      <c r="M137" s="10"/>
      <c r="Q137" s="11"/>
      <c r="R137" s="18"/>
      <c r="S137" s="18"/>
      <c r="U137" s="19"/>
      <c r="AC137" s="20"/>
      <c r="AY137" s="22"/>
      <c r="AZ137" s="22"/>
    </row>
    <row r="138" ht="15.75" customHeight="1">
      <c r="D138" s="3"/>
      <c r="J138" s="3"/>
      <c r="K138" s="3"/>
      <c r="M138" s="10"/>
      <c r="Q138" s="11"/>
      <c r="R138" s="18"/>
      <c r="S138" s="18"/>
      <c r="U138" s="19"/>
      <c r="AC138" s="20"/>
      <c r="AY138" s="22"/>
      <c r="AZ138" s="22"/>
    </row>
    <row r="139" ht="15.75" customHeight="1">
      <c r="D139" s="3"/>
      <c r="J139" s="3"/>
      <c r="K139" s="3"/>
      <c r="M139" s="10"/>
      <c r="Q139" s="11"/>
      <c r="R139" s="18"/>
      <c r="S139" s="18"/>
      <c r="U139" s="19"/>
      <c r="AC139" s="20"/>
      <c r="AY139" s="22"/>
      <c r="AZ139" s="22"/>
    </row>
    <row r="140" ht="15.75" customHeight="1">
      <c r="D140" s="3"/>
      <c r="J140" s="3"/>
      <c r="K140" s="3"/>
      <c r="M140" s="10"/>
      <c r="Q140" s="11"/>
      <c r="R140" s="18"/>
      <c r="S140" s="18"/>
      <c r="U140" s="19"/>
      <c r="AC140" s="20"/>
      <c r="AY140" s="22"/>
      <c r="AZ140" s="22"/>
    </row>
    <row r="141" ht="15.75" customHeight="1">
      <c r="D141" s="3"/>
      <c r="J141" s="3"/>
      <c r="K141" s="3"/>
      <c r="M141" s="10"/>
      <c r="Q141" s="11"/>
      <c r="R141" s="18"/>
      <c r="S141" s="18"/>
      <c r="U141" s="19"/>
      <c r="AC141" s="20"/>
      <c r="AY141" s="22"/>
      <c r="AZ141" s="22"/>
    </row>
    <row r="142" ht="15.75" customHeight="1">
      <c r="D142" s="3"/>
      <c r="J142" s="3"/>
      <c r="K142" s="3"/>
      <c r="M142" s="10"/>
      <c r="Q142" s="11"/>
      <c r="R142" s="18"/>
      <c r="S142" s="18"/>
      <c r="U142" s="19"/>
      <c r="AC142" s="20"/>
      <c r="AY142" s="22"/>
      <c r="AZ142" s="22"/>
    </row>
    <row r="143" ht="15.75" customHeight="1">
      <c r="D143" s="3"/>
      <c r="J143" s="3"/>
      <c r="K143" s="3"/>
      <c r="M143" s="10"/>
      <c r="Q143" s="11"/>
      <c r="R143" s="18"/>
      <c r="S143" s="18"/>
      <c r="U143" s="19"/>
      <c r="AC143" s="20"/>
      <c r="AY143" s="22"/>
      <c r="AZ143" s="22"/>
    </row>
    <row r="144" ht="15.75" customHeight="1">
      <c r="D144" s="3"/>
      <c r="J144" s="3"/>
      <c r="K144" s="3"/>
      <c r="M144" s="10"/>
      <c r="Q144" s="11"/>
      <c r="R144" s="18"/>
      <c r="S144" s="18"/>
      <c r="U144" s="19"/>
      <c r="AC144" s="20"/>
      <c r="AY144" s="22"/>
      <c r="AZ144" s="22"/>
    </row>
    <row r="145" ht="15.75" customHeight="1">
      <c r="D145" s="3"/>
      <c r="J145" s="3"/>
      <c r="K145" s="3"/>
      <c r="M145" s="10"/>
      <c r="Q145" s="11"/>
      <c r="R145" s="18"/>
      <c r="S145" s="18"/>
      <c r="U145" s="19"/>
      <c r="AC145" s="20"/>
      <c r="AY145" s="22"/>
      <c r="AZ145" s="22"/>
    </row>
    <row r="146" ht="15.75" customHeight="1">
      <c r="D146" s="3"/>
      <c r="J146" s="3"/>
      <c r="K146" s="3"/>
      <c r="M146" s="10"/>
      <c r="Q146" s="11"/>
      <c r="R146" s="18"/>
      <c r="S146" s="18"/>
      <c r="U146" s="19"/>
      <c r="AC146" s="20"/>
      <c r="AY146" s="22"/>
      <c r="AZ146" s="22"/>
    </row>
    <row r="147" ht="15.75" customHeight="1">
      <c r="D147" s="3"/>
      <c r="J147" s="3"/>
      <c r="K147" s="3"/>
      <c r="M147" s="10"/>
      <c r="Q147" s="11"/>
      <c r="R147" s="18"/>
      <c r="S147" s="18"/>
      <c r="U147" s="19"/>
      <c r="AC147" s="20"/>
      <c r="AY147" s="22"/>
      <c r="AZ147" s="22"/>
    </row>
    <row r="148" ht="15.75" customHeight="1">
      <c r="D148" s="3"/>
      <c r="J148" s="3"/>
      <c r="K148" s="3"/>
      <c r="M148" s="10"/>
      <c r="Q148" s="11"/>
      <c r="R148" s="18"/>
      <c r="S148" s="18"/>
      <c r="U148" s="19"/>
      <c r="AC148" s="20"/>
      <c r="AY148" s="22"/>
      <c r="AZ148" s="22"/>
    </row>
    <row r="149" ht="15.75" customHeight="1">
      <c r="D149" s="3"/>
      <c r="J149" s="3"/>
      <c r="K149" s="3"/>
      <c r="M149" s="10"/>
      <c r="Q149" s="11"/>
      <c r="R149" s="18"/>
      <c r="S149" s="18"/>
      <c r="U149" s="19"/>
      <c r="AC149" s="20"/>
      <c r="AY149" s="22"/>
      <c r="AZ149" s="22"/>
    </row>
    <row r="150" ht="15.75" customHeight="1">
      <c r="D150" s="3"/>
      <c r="J150" s="3"/>
      <c r="K150" s="3"/>
      <c r="M150" s="10"/>
      <c r="Q150" s="11"/>
      <c r="R150" s="18"/>
      <c r="S150" s="18"/>
      <c r="U150" s="19"/>
      <c r="AC150" s="20"/>
      <c r="AY150" s="22"/>
      <c r="AZ150" s="22"/>
    </row>
    <row r="151" ht="15.75" customHeight="1">
      <c r="D151" s="3"/>
      <c r="J151" s="3"/>
      <c r="K151" s="3"/>
      <c r="M151" s="10"/>
      <c r="Q151" s="11"/>
      <c r="R151" s="18"/>
      <c r="S151" s="18"/>
      <c r="U151" s="19"/>
      <c r="AC151" s="20"/>
      <c r="AY151" s="22"/>
      <c r="AZ151" s="22"/>
    </row>
    <row r="152" ht="15.75" customHeight="1">
      <c r="D152" s="3"/>
      <c r="J152" s="3"/>
      <c r="K152" s="3"/>
      <c r="M152" s="10"/>
      <c r="Q152" s="11"/>
      <c r="R152" s="18"/>
      <c r="S152" s="18"/>
      <c r="U152" s="19"/>
      <c r="AC152" s="20"/>
      <c r="AY152" s="22"/>
      <c r="AZ152" s="22"/>
    </row>
    <row r="153" ht="15.75" customHeight="1">
      <c r="D153" s="3"/>
      <c r="J153" s="3"/>
      <c r="K153" s="3"/>
      <c r="M153" s="10"/>
      <c r="Q153" s="11"/>
      <c r="R153" s="18"/>
      <c r="S153" s="18"/>
      <c r="U153" s="19"/>
      <c r="AC153" s="20"/>
      <c r="AY153" s="22"/>
      <c r="AZ153" s="22"/>
    </row>
    <row r="154" ht="15.75" customHeight="1">
      <c r="D154" s="3"/>
      <c r="J154" s="3"/>
      <c r="K154" s="3"/>
      <c r="M154" s="10"/>
      <c r="Q154" s="11"/>
      <c r="R154" s="18"/>
      <c r="S154" s="18"/>
      <c r="U154" s="19"/>
      <c r="AC154" s="20"/>
      <c r="AY154" s="22"/>
      <c r="AZ154" s="22"/>
    </row>
    <row r="155" ht="15.75" customHeight="1">
      <c r="D155" s="3"/>
      <c r="J155" s="3"/>
      <c r="K155" s="3"/>
      <c r="M155" s="10"/>
      <c r="Q155" s="11"/>
      <c r="R155" s="18"/>
      <c r="S155" s="18"/>
      <c r="U155" s="19"/>
      <c r="AC155" s="20"/>
      <c r="AY155" s="22"/>
      <c r="AZ155" s="22"/>
    </row>
    <row r="156" ht="15.75" customHeight="1">
      <c r="D156" s="3"/>
      <c r="J156" s="3"/>
      <c r="K156" s="3"/>
      <c r="M156" s="10"/>
      <c r="Q156" s="11"/>
      <c r="R156" s="18"/>
      <c r="S156" s="18"/>
      <c r="U156" s="19"/>
      <c r="AC156" s="20"/>
      <c r="AY156" s="22"/>
      <c r="AZ156" s="22"/>
    </row>
    <row r="157" ht="15.75" customHeight="1">
      <c r="D157" s="3"/>
      <c r="J157" s="3"/>
      <c r="K157" s="3"/>
      <c r="M157" s="10"/>
      <c r="Q157" s="11"/>
      <c r="R157" s="18"/>
      <c r="S157" s="18"/>
      <c r="U157" s="19"/>
      <c r="AC157" s="20"/>
      <c r="AY157" s="22"/>
      <c r="AZ157" s="22"/>
    </row>
    <row r="158" ht="15.75" customHeight="1">
      <c r="D158" s="3"/>
      <c r="J158" s="3"/>
      <c r="K158" s="3"/>
      <c r="M158" s="10"/>
      <c r="Q158" s="11"/>
      <c r="R158" s="18"/>
      <c r="S158" s="18"/>
      <c r="U158" s="19"/>
      <c r="AC158" s="20"/>
      <c r="AY158" s="22"/>
      <c r="AZ158" s="22"/>
    </row>
    <row r="159" ht="15.75" customHeight="1">
      <c r="D159" s="3"/>
      <c r="J159" s="3"/>
      <c r="K159" s="3"/>
      <c r="M159" s="10"/>
      <c r="Q159" s="11"/>
      <c r="R159" s="18"/>
      <c r="S159" s="18"/>
      <c r="U159" s="19"/>
      <c r="AC159" s="20"/>
      <c r="AY159" s="22"/>
      <c r="AZ159" s="22"/>
    </row>
    <row r="160" ht="15.75" customHeight="1">
      <c r="D160" s="3"/>
      <c r="J160" s="3"/>
      <c r="K160" s="3"/>
      <c r="M160" s="10"/>
      <c r="Q160" s="11"/>
      <c r="R160" s="18"/>
      <c r="S160" s="18"/>
      <c r="U160" s="19"/>
      <c r="AC160" s="20"/>
      <c r="AY160" s="22"/>
      <c r="AZ160" s="22"/>
    </row>
    <row r="161" ht="15.75" customHeight="1">
      <c r="D161" s="3"/>
      <c r="J161" s="3"/>
      <c r="K161" s="3"/>
      <c r="M161" s="10"/>
      <c r="Q161" s="11"/>
      <c r="R161" s="18"/>
      <c r="S161" s="18"/>
      <c r="U161" s="19"/>
      <c r="AC161" s="20"/>
      <c r="AY161" s="22"/>
      <c r="AZ161" s="22"/>
    </row>
    <row r="162" ht="15.75" customHeight="1">
      <c r="D162" s="3"/>
      <c r="J162" s="3"/>
      <c r="K162" s="3"/>
      <c r="M162" s="10"/>
      <c r="Q162" s="11"/>
      <c r="R162" s="18"/>
      <c r="S162" s="18"/>
      <c r="U162" s="19"/>
      <c r="AC162" s="20"/>
      <c r="AY162" s="22"/>
      <c r="AZ162" s="22"/>
    </row>
    <row r="163" ht="15.75" customHeight="1">
      <c r="D163" s="3"/>
      <c r="J163" s="3"/>
      <c r="K163" s="3"/>
      <c r="M163" s="10"/>
      <c r="Q163" s="11"/>
      <c r="R163" s="18"/>
      <c r="S163" s="18"/>
      <c r="U163" s="19"/>
      <c r="AC163" s="20"/>
      <c r="AY163" s="22"/>
      <c r="AZ163" s="22"/>
    </row>
    <row r="164" ht="15.75" customHeight="1">
      <c r="D164" s="3"/>
      <c r="J164" s="3"/>
      <c r="K164" s="3"/>
      <c r="M164" s="10"/>
      <c r="Q164" s="11"/>
      <c r="R164" s="18"/>
      <c r="S164" s="18"/>
      <c r="U164" s="19"/>
      <c r="AC164" s="20"/>
      <c r="AY164" s="22"/>
      <c r="AZ164" s="22"/>
    </row>
    <row r="165" ht="15.75" customHeight="1">
      <c r="D165" s="3"/>
      <c r="J165" s="3"/>
      <c r="K165" s="3"/>
      <c r="M165" s="10"/>
      <c r="Q165" s="11"/>
      <c r="R165" s="18"/>
      <c r="S165" s="18"/>
      <c r="U165" s="19"/>
      <c r="AC165" s="20"/>
      <c r="AY165" s="22"/>
      <c r="AZ165" s="22"/>
    </row>
    <row r="166" ht="15.75" customHeight="1">
      <c r="D166" s="3"/>
      <c r="J166" s="3"/>
      <c r="K166" s="3"/>
      <c r="M166" s="10"/>
      <c r="Q166" s="11"/>
      <c r="R166" s="18"/>
      <c r="S166" s="18"/>
      <c r="U166" s="19"/>
      <c r="AC166" s="20"/>
      <c r="AY166" s="22"/>
      <c r="AZ166" s="22"/>
    </row>
    <row r="167" ht="15.75" customHeight="1">
      <c r="D167" s="3"/>
      <c r="J167" s="3"/>
      <c r="K167" s="3"/>
      <c r="M167" s="10"/>
      <c r="Q167" s="11"/>
      <c r="R167" s="18"/>
      <c r="S167" s="18"/>
      <c r="U167" s="19"/>
      <c r="AC167" s="20"/>
      <c r="AY167" s="22"/>
      <c r="AZ167" s="22"/>
    </row>
    <row r="168" ht="15.75" customHeight="1">
      <c r="D168" s="3"/>
      <c r="J168" s="3"/>
      <c r="K168" s="3"/>
      <c r="M168" s="10"/>
      <c r="Q168" s="11"/>
      <c r="R168" s="18"/>
      <c r="S168" s="18"/>
      <c r="U168" s="19"/>
      <c r="AC168" s="20"/>
      <c r="AY168" s="22"/>
      <c r="AZ168" s="22"/>
    </row>
    <row r="169" ht="15.75" customHeight="1">
      <c r="D169" s="3"/>
      <c r="J169" s="3"/>
      <c r="K169" s="3"/>
      <c r="M169" s="10"/>
      <c r="Q169" s="11"/>
      <c r="R169" s="18"/>
      <c r="S169" s="18"/>
      <c r="U169" s="19"/>
      <c r="AC169" s="20"/>
      <c r="AY169" s="22"/>
      <c r="AZ169" s="22"/>
    </row>
    <row r="170" ht="15.75" customHeight="1">
      <c r="D170" s="3"/>
      <c r="J170" s="3"/>
      <c r="K170" s="3"/>
      <c r="M170" s="10"/>
      <c r="Q170" s="11"/>
      <c r="R170" s="18"/>
      <c r="S170" s="18"/>
      <c r="U170" s="19"/>
      <c r="AC170" s="20"/>
      <c r="AY170" s="22"/>
      <c r="AZ170" s="22"/>
    </row>
    <row r="171" ht="15.75" customHeight="1">
      <c r="D171" s="3"/>
      <c r="J171" s="3"/>
      <c r="K171" s="3"/>
      <c r="M171" s="10"/>
      <c r="Q171" s="11"/>
      <c r="R171" s="18"/>
      <c r="S171" s="18"/>
      <c r="U171" s="19"/>
      <c r="AC171" s="20"/>
      <c r="AY171" s="22"/>
      <c r="AZ171" s="22"/>
    </row>
    <row r="172" ht="15.75" customHeight="1">
      <c r="D172" s="3"/>
      <c r="J172" s="3"/>
      <c r="K172" s="3"/>
      <c r="M172" s="10"/>
      <c r="Q172" s="11"/>
      <c r="R172" s="18"/>
      <c r="S172" s="18"/>
      <c r="U172" s="19"/>
      <c r="AC172" s="20"/>
      <c r="AY172" s="22"/>
      <c r="AZ172" s="22"/>
    </row>
    <row r="173" ht="15.75" customHeight="1">
      <c r="D173" s="3"/>
      <c r="J173" s="3"/>
      <c r="K173" s="3"/>
      <c r="M173" s="10"/>
      <c r="Q173" s="11"/>
      <c r="R173" s="18"/>
      <c r="S173" s="18"/>
      <c r="U173" s="19"/>
      <c r="AC173" s="20"/>
      <c r="AY173" s="22"/>
      <c r="AZ173" s="22"/>
    </row>
    <row r="174" ht="15.75" customHeight="1">
      <c r="D174" s="3"/>
      <c r="J174" s="3"/>
      <c r="K174" s="3"/>
      <c r="M174" s="10"/>
      <c r="Q174" s="11"/>
      <c r="R174" s="18"/>
      <c r="S174" s="18"/>
      <c r="U174" s="19"/>
      <c r="AC174" s="20"/>
      <c r="AY174" s="22"/>
      <c r="AZ174" s="22"/>
    </row>
    <row r="175" ht="15.75" customHeight="1">
      <c r="D175" s="3"/>
      <c r="J175" s="3"/>
      <c r="K175" s="3"/>
      <c r="M175" s="10"/>
      <c r="Q175" s="11"/>
      <c r="R175" s="18"/>
      <c r="S175" s="18"/>
      <c r="U175" s="19"/>
      <c r="AC175" s="20"/>
      <c r="AY175" s="22"/>
      <c r="AZ175" s="22"/>
    </row>
    <row r="176" ht="15.75" customHeight="1">
      <c r="D176" s="3"/>
      <c r="J176" s="3"/>
      <c r="K176" s="3"/>
      <c r="M176" s="10"/>
      <c r="Q176" s="11"/>
      <c r="R176" s="18"/>
      <c r="S176" s="18"/>
      <c r="U176" s="19"/>
      <c r="AC176" s="20"/>
      <c r="AY176" s="22"/>
      <c r="AZ176" s="22"/>
    </row>
    <row r="177" ht="15.75" customHeight="1">
      <c r="D177" s="3"/>
      <c r="J177" s="3"/>
      <c r="K177" s="3"/>
      <c r="M177" s="10"/>
      <c r="Q177" s="11"/>
      <c r="R177" s="18"/>
      <c r="S177" s="18"/>
      <c r="U177" s="19"/>
      <c r="AC177" s="20"/>
      <c r="AY177" s="22"/>
      <c r="AZ177" s="22"/>
    </row>
    <row r="178" ht="15.75" customHeight="1">
      <c r="D178" s="3"/>
      <c r="J178" s="3"/>
      <c r="K178" s="3"/>
      <c r="M178" s="10"/>
      <c r="Q178" s="11"/>
      <c r="R178" s="18"/>
      <c r="S178" s="18"/>
      <c r="U178" s="19"/>
      <c r="AC178" s="20"/>
      <c r="AY178" s="22"/>
      <c r="AZ178" s="22"/>
    </row>
    <row r="179" ht="15.75" customHeight="1">
      <c r="D179" s="3"/>
      <c r="J179" s="3"/>
      <c r="K179" s="3"/>
      <c r="M179" s="10"/>
      <c r="Q179" s="11"/>
      <c r="R179" s="18"/>
      <c r="S179" s="18"/>
      <c r="U179" s="19"/>
      <c r="AC179" s="20"/>
      <c r="AY179" s="22"/>
      <c r="AZ179" s="22"/>
    </row>
    <row r="180" ht="15.75" customHeight="1">
      <c r="D180" s="3"/>
      <c r="J180" s="3"/>
      <c r="K180" s="3"/>
      <c r="M180" s="10"/>
      <c r="Q180" s="11"/>
      <c r="R180" s="18"/>
      <c r="S180" s="18"/>
      <c r="U180" s="19"/>
      <c r="AC180" s="20"/>
      <c r="AY180" s="22"/>
      <c r="AZ180" s="22"/>
    </row>
    <row r="181" ht="15.75" customHeight="1">
      <c r="D181" s="3"/>
      <c r="J181" s="3"/>
      <c r="K181" s="3"/>
      <c r="M181" s="10"/>
      <c r="Q181" s="11"/>
      <c r="R181" s="18"/>
      <c r="S181" s="18"/>
      <c r="U181" s="19"/>
      <c r="AC181" s="20"/>
      <c r="AY181" s="22"/>
      <c r="AZ181" s="22"/>
    </row>
    <row r="182" ht="15.75" customHeight="1">
      <c r="D182" s="3"/>
      <c r="J182" s="3"/>
      <c r="K182" s="3"/>
      <c r="M182" s="10"/>
      <c r="Q182" s="11"/>
      <c r="R182" s="18"/>
      <c r="S182" s="18"/>
      <c r="U182" s="19"/>
      <c r="AC182" s="20"/>
      <c r="AY182" s="22"/>
      <c r="AZ182" s="22"/>
    </row>
    <row r="183" ht="15.75" customHeight="1">
      <c r="D183" s="3"/>
      <c r="J183" s="3"/>
      <c r="K183" s="3"/>
      <c r="M183" s="10"/>
      <c r="Q183" s="11"/>
      <c r="R183" s="18"/>
      <c r="S183" s="18"/>
      <c r="U183" s="19"/>
      <c r="AC183" s="20"/>
      <c r="AY183" s="22"/>
      <c r="AZ183" s="22"/>
    </row>
    <row r="184" ht="15.75" customHeight="1">
      <c r="D184" s="3"/>
      <c r="J184" s="3"/>
      <c r="K184" s="3"/>
      <c r="M184" s="10"/>
      <c r="Q184" s="11"/>
      <c r="R184" s="18"/>
      <c r="S184" s="18"/>
      <c r="U184" s="19"/>
      <c r="AC184" s="20"/>
      <c r="AY184" s="22"/>
      <c r="AZ184" s="22"/>
    </row>
    <row r="185" ht="15.75" customHeight="1">
      <c r="D185" s="3"/>
      <c r="J185" s="3"/>
      <c r="K185" s="3"/>
      <c r="M185" s="10"/>
      <c r="Q185" s="11"/>
      <c r="R185" s="18"/>
      <c r="S185" s="18"/>
      <c r="U185" s="19"/>
      <c r="AC185" s="20"/>
      <c r="AY185" s="22"/>
      <c r="AZ185" s="22"/>
    </row>
    <row r="186" ht="15.75" customHeight="1">
      <c r="D186" s="3"/>
      <c r="J186" s="3"/>
      <c r="K186" s="3"/>
      <c r="M186" s="10"/>
      <c r="Q186" s="11"/>
      <c r="R186" s="18"/>
      <c r="S186" s="18"/>
      <c r="U186" s="19"/>
      <c r="AC186" s="20"/>
      <c r="AY186" s="22"/>
      <c r="AZ186" s="22"/>
    </row>
    <row r="187" ht="15.75" customHeight="1">
      <c r="D187" s="3"/>
      <c r="J187" s="3"/>
      <c r="K187" s="3"/>
      <c r="M187" s="10"/>
      <c r="Q187" s="11"/>
      <c r="R187" s="18"/>
      <c r="S187" s="18"/>
      <c r="U187" s="19"/>
      <c r="AC187" s="20"/>
      <c r="AY187" s="22"/>
      <c r="AZ187" s="22"/>
    </row>
    <row r="188" ht="15.75" customHeight="1">
      <c r="D188" s="3"/>
      <c r="J188" s="3"/>
      <c r="K188" s="3"/>
      <c r="M188" s="10"/>
      <c r="Q188" s="11"/>
      <c r="R188" s="18"/>
      <c r="S188" s="18"/>
      <c r="U188" s="19"/>
      <c r="AC188" s="20"/>
      <c r="AY188" s="22"/>
      <c r="AZ188" s="22"/>
    </row>
    <row r="189" ht="15.75" customHeight="1">
      <c r="D189" s="3"/>
      <c r="J189" s="3"/>
      <c r="K189" s="3"/>
      <c r="M189" s="10"/>
      <c r="Q189" s="11"/>
      <c r="R189" s="18"/>
      <c r="S189" s="18"/>
      <c r="U189" s="19"/>
      <c r="AC189" s="20"/>
      <c r="AY189" s="22"/>
      <c r="AZ189" s="22"/>
    </row>
    <row r="190" ht="15.75" customHeight="1">
      <c r="D190" s="3"/>
      <c r="J190" s="3"/>
      <c r="K190" s="3"/>
      <c r="M190" s="10"/>
      <c r="Q190" s="11"/>
      <c r="R190" s="18"/>
      <c r="S190" s="18"/>
      <c r="U190" s="19"/>
      <c r="AC190" s="20"/>
      <c r="AY190" s="22"/>
      <c r="AZ190" s="22"/>
    </row>
    <row r="191" ht="15.75" customHeight="1">
      <c r="D191" s="3"/>
      <c r="J191" s="3"/>
      <c r="K191" s="3"/>
      <c r="M191" s="10"/>
      <c r="Q191" s="11"/>
      <c r="R191" s="18"/>
      <c r="S191" s="18"/>
      <c r="U191" s="19"/>
      <c r="AC191" s="20"/>
      <c r="AY191" s="22"/>
      <c r="AZ191" s="22"/>
    </row>
    <row r="192" ht="15.75" customHeight="1">
      <c r="D192" s="3"/>
      <c r="J192" s="3"/>
      <c r="K192" s="3"/>
      <c r="M192" s="10"/>
      <c r="Q192" s="11"/>
      <c r="R192" s="18"/>
      <c r="S192" s="18"/>
      <c r="U192" s="19"/>
      <c r="AC192" s="20"/>
      <c r="AY192" s="22"/>
      <c r="AZ192" s="22"/>
    </row>
    <row r="193" ht="15.75" customHeight="1">
      <c r="D193" s="3"/>
      <c r="J193" s="3"/>
      <c r="K193" s="3"/>
      <c r="M193" s="10"/>
      <c r="Q193" s="11"/>
      <c r="R193" s="18"/>
      <c r="S193" s="18"/>
      <c r="U193" s="19"/>
      <c r="AC193" s="20"/>
      <c r="AY193" s="22"/>
      <c r="AZ193" s="22"/>
    </row>
    <row r="194" ht="15.75" customHeight="1">
      <c r="D194" s="3"/>
      <c r="J194" s="3"/>
      <c r="K194" s="3"/>
      <c r="M194" s="10"/>
      <c r="Q194" s="11"/>
      <c r="R194" s="18"/>
      <c r="S194" s="18"/>
      <c r="U194" s="19"/>
      <c r="AC194" s="20"/>
      <c r="AY194" s="22"/>
      <c r="AZ194" s="22"/>
    </row>
    <row r="195" ht="15.75" customHeight="1">
      <c r="D195" s="3"/>
      <c r="J195" s="3"/>
      <c r="K195" s="3"/>
      <c r="M195" s="10"/>
      <c r="Q195" s="11"/>
      <c r="R195" s="18"/>
      <c r="S195" s="18"/>
      <c r="U195" s="19"/>
      <c r="AC195" s="20"/>
      <c r="AY195" s="22"/>
      <c r="AZ195" s="22"/>
    </row>
    <row r="196" ht="15.75" customHeight="1">
      <c r="D196" s="3"/>
      <c r="J196" s="3"/>
      <c r="K196" s="3"/>
      <c r="M196" s="10"/>
      <c r="Q196" s="11"/>
      <c r="R196" s="18"/>
      <c r="S196" s="18"/>
      <c r="U196" s="19"/>
      <c r="AC196" s="20"/>
      <c r="AY196" s="22"/>
      <c r="AZ196" s="22"/>
    </row>
    <row r="197" ht="15.75" customHeight="1">
      <c r="D197" s="3"/>
      <c r="J197" s="3"/>
      <c r="K197" s="3"/>
      <c r="M197" s="10"/>
      <c r="Q197" s="11"/>
      <c r="R197" s="18"/>
      <c r="S197" s="18"/>
      <c r="U197" s="19"/>
      <c r="AC197" s="20"/>
      <c r="AY197" s="22"/>
      <c r="AZ197" s="22"/>
    </row>
    <row r="198" ht="15.75" customHeight="1">
      <c r="D198" s="3"/>
      <c r="J198" s="3"/>
      <c r="K198" s="3"/>
      <c r="M198" s="10"/>
      <c r="Q198" s="11"/>
      <c r="R198" s="18"/>
      <c r="S198" s="18"/>
      <c r="U198" s="19"/>
      <c r="AC198" s="20"/>
      <c r="AY198" s="22"/>
      <c r="AZ198" s="22"/>
    </row>
    <row r="199" ht="15.75" customHeight="1">
      <c r="D199" s="3"/>
      <c r="J199" s="3"/>
      <c r="K199" s="3"/>
      <c r="M199" s="10"/>
      <c r="Q199" s="11"/>
      <c r="R199" s="18"/>
      <c r="S199" s="18"/>
      <c r="U199" s="19"/>
      <c r="AC199" s="20"/>
      <c r="AY199" s="22"/>
      <c r="AZ199" s="22"/>
    </row>
    <row r="200" ht="15.75" customHeight="1">
      <c r="D200" s="3"/>
      <c r="J200" s="3"/>
      <c r="K200" s="3"/>
      <c r="M200" s="10"/>
      <c r="Q200" s="11"/>
      <c r="R200" s="18"/>
      <c r="S200" s="18"/>
      <c r="U200" s="19"/>
      <c r="AC200" s="20"/>
      <c r="AY200" s="22"/>
      <c r="AZ200" s="22"/>
    </row>
    <row r="201" ht="15.75" customHeight="1">
      <c r="D201" s="3"/>
      <c r="J201" s="3"/>
      <c r="K201" s="3"/>
      <c r="M201" s="10"/>
      <c r="Q201" s="11"/>
      <c r="R201" s="18"/>
      <c r="S201" s="18"/>
      <c r="U201" s="19"/>
      <c r="AC201" s="20"/>
      <c r="AY201" s="22"/>
      <c r="AZ201" s="22"/>
    </row>
    <row r="202" ht="15.75" customHeight="1">
      <c r="D202" s="3"/>
      <c r="J202" s="3"/>
      <c r="K202" s="3"/>
      <c r="M202" s="10"/>
      <c r="Q202" s="11"/>
      <c r="R202" s="18"/>
      <c r="S202" s="18"/>
      <c r="U202" s="19"/>
      <c r="AC202" s="20"/>
      <c r="AY202" s="22"/>
      <c r="AZ202" s="22"/>
    </row>
    <row r="203" ht="15.75" customHeight="1">
      <c r="D203" s="3"/>
      <c r="J203" s="3"/>
      <c r="K203" s="3"/>
      <c r="M203" s="10"/>
      <c r="Q203" s="11"/>
      <c r="R203" s="18"/>
      <c r="S203" s="18"/>
      <c r="U203" s="19"/>
      <c r="AC203" s="20"/>
      <c r="AY203" s="22"/>
      <c r="AZ203" s="22"/>
    </row>
    <row r="204" ht="15.75" customHeight="1">
      <c r="D204" s="3"/>
      <c r="J204" s="3"/>
      <c r="K204" s="3"/>
      <c r="M204" s="10"/>
      <c r="Q204" s="11"/>
      <c r="R204" s="18"/>
      <c r="S204" s="18"/>
      <c r="U204" s="19"/>
      <c r="AC204" s="20"/>
      <c r="AY204" s="22"/>
      <c r="AZ204" s="22"/>
    </row>
    <row r="205" ht="15.75" customHeight="1">
      <c r="D205" s="3"/>
      <c r="J205" s="3"/>
      <c r="K205" s="3"/>
      <c r="M205" s="10"/>
      <c r="Q205" s="11"/>
      <c r="R205" s="18"/>
      <c r="S205" s="18"/>
      <c r="U205" s="19"/>
      <c r="AC205" s="20"/>
      <c r="AY205" s="22"/>
      <c r="AZ205" s="22"/>
    </row>
    <row r="206" ht="15.75" customHeight="1">
      <c r="D206" s="3"/>
      <c r="J206" s="3"/>
      <c r="K206" s="3"/>
      <c r="M206" s="10"/>
      <c r="Q206" s="11"/>
      <c r="R206" s="18"/>
      <c r="S206" s="18"/>
      <c r="U206" s="19"/>
      <c r="AC206" s="20"/>
      <c r="AY206" s="22"/>
      <c r="AZ206" s="22"/>
    </row>
    <row r="207" ht="15.75" customHeight="1">
      <c r="D207" s="3"/>
      <c r="J207" s="3"/>
      <c r="K207" s="3"/>
      <c r="M207" s="10"/>
      <c r="Q207" s="11"/>
      <c r="R207" s="18"/>
      <c r="S207" s="18"/>
      <c r="U207" s="19"/>
      <c r="AC207" s="20"/>
      <c r="AY207" s="22"/>
      <c r="AZ207" s="22"/>
    </row>
    <row r="208" ht="15.75" customHeight="1">
      <c r="D208" s="3"/>
      <c r="J208" s="3"/>
      <c r="K208" s="3"/>
      <c r="M208" s="10"/>
      <c r="Q208" s="11"/>
      <c r="R208" s="18"/>
      <c r="S208" s="18"/>
      <c r="U208" s="19"/>
      <c r="AC208" s="20"/>
      <c r="AY208" s="22"/>
      <c r="AZ208" s="22"/>
    </row>
    <row r="209" ht="15.75" customHeight="1">
      <c r="D209" s="3"/>
      <c r="J209" s="3"/>
      <c r="K209" s="3"/>
      <c r="M209" s="10"/>
      <c r="Q209" s="11"/>
      <c r="R209" s="18"/>
      <c r="S209" s="18"/>
      <c r="U209" s="19"/>
      <c r="AC209" s="20"/>
      <c r="AY209" s="22"/>
      <c r="AZ209" s="22"/>
    </row>
    <row r="210" ht="15.75" customHeight="1">
      <c r="D210" s="3"/>
      <c r="J210" s="3"/>
      <c r="K210" s="3"/>
      <c r="M210" s="10"/>
      <c r="Q210" s="11"/>
      <c r="R210" s="18"/>
      <c r="S210" s="18"/>
      <c r="U210" s="19"/>
      <c r="AC210" s="20"/>
      <c r="AY210" s="22"/>
      <c r="AZ210" s="22"/>
    </row>
    <row r="211" ht="15.75" customHeight="1">
      <c r="D211" s="3"/>
      <c r="J211" s="3"/>
      <c r="K211" s="3"/>
      <c r="M211" s="10"/>
      <c r="Q211" s="11"/>
      <c r="R211" s="18"/>
      <c r="S211" s="18"/>
      <c r="U211" s="19"/>
      <c r="AC211" s="20"/>
      <c r="AY211" s="22"/>
      <c r="AZ211" s="22"/>
    </row>
    <row r="212" ht="15.75" customHeight="1">
      <c r="D212" s="3"/>
      <c r="J212" s="3"/>
      <c r="K212" s="3"/>
      <c r="M212" s="10"/>
      <c r="Q212" s="11"/>
      <c r="R212" s="18"/>
      <c r="S212" s="18"/>
      <c r="U212" s="19"/>
      <c r="AC212" s="20"/>
      <c r="AY212" s="22"/>
      <c r="AZ212" s="22"/>
    </row>
    <row r="213" ht="15.75" customHeight="1">
      <c r="D213" s="3"/>
      <c r="J213" s="3"/>
      <c r="K213" s="3"/>
      <c r="M213" s="10"/>
      <c r="Q213" s="11"/>
      <c r="R213" s="18"/>
      <c r="S213" s="18"/>
      <c r="U213" s="19"/>
      <c r="AC213" s="20"/>
      <c r="AY213" s="22"/>
      <c r="AZ213" s="22"/>
    </row>
    <row r="214" ht="15.75" customHeight="1">
      <c r="D214" s="3"/>
      <c r="J214" s="3"/>
      <c r="K214" s="3"/>
      <c r="M214" s="10"/>
      <c r="Q214" s="11"/>
      <c r="R214" s="18"/>
      <c r="S214" s="18"/>
      <c r="U214" s="19"/>
      <c r="AC214" s="20"/>
      <c r="AY214" s="22"/>
      <c r="AZ214" s="22"/>
    </row>
    <row r="215" ht="15.75" customHeight="1">
      <c r="D215" s="3"/>
      <c r="J215" s="3"/>
      <c r="K215" s="3"/>
      <c r="M215" s="10"/>
      <c r="Q215" s="11"/>
      <c r="R215" s="18"/>
      <c r="S215" s="18"/>
      <c r="U215" s="19"/>
      <c r="AC215" s="20"/>
      <c r="AY215" s="22"/>
      <c r="AZ215" s="22"/>
    </row>
    <row r="216" ht="15.75" customHeight="1">
      <c r="D216" s="3"/>
      <c r="J216" s="3"/>
      <c r="K216" s="3"/>
      <c r="M216" s="10"/>
      <c r="Q216" s="11"/>
      <c r="R216" s="18"/>
      <c r="S216" s="18"/>
      <c r="U216" s="19"/>
      <c r="AC216" s="20"/>
      <c r="AY216" s="22"/>
      <c r="AZ216" s="22"/>
    </row>
    <row r="217" ht="15.75" customHeight="1">
      <c r="D217" s="3"/>
      <c r="J217" s="3"/>
      <c r="K217" s="3"/>
      <c r="M217" s="10"/>
      <c r="Q217" s="11"/>
      <c r="R217" s="18"/>
      <c r="S217" s="18"/>
      <c r="U217" s="19"/>
      <c r="AC217" s="20"/>
      <c r="AY217" s="22"/>
      <c r="AZ217" s="22"/>
    </row>
    <row r="218" ht="15.75" customHeight="1">
      <c r="D218" s="3"/>
      <c r="J218" s="3"/>
      <c r="K218" s="3"/>
      <c r="M218" s="10"/>
      <c r="Q218" s="11"/>
      <c r="R218" s="18"/>
      <c r="S218" s="18"/>
      <c r="U218" s="19"/>
      <c r="AC218" s="20"/>
      <c r="AY218" s="22"/>
      <c r="AZ218" s="22"/>
    </row>
    <row r="219" ht="15.75" customHeight="1">
      <c r="D219" s="3"/>
      <c r="J219" s="3"/>
      <c r="K219" s="3"/>
      <c r="M219" s="10"/>
      <c r="Q219" s="11"/>
      <c r="R219" s="18"/>
      <c r="S219" s="18"/>
      <c r="U219" s="19"/>
      <c r="AC219" s="20"/>
      <c r="AY219" s="22"/>
      <c r="AZ219" s="22"/>
    </row>
    <row r="220" ht="15.75" customHeight="1">
      <c r="D220" s="3"/>
      <c r="J220" s="3"/>
      <c r="K220" s="3"/>
      <c r="M220" s="10"/>
      <c r="Q220" s="11"/>
      <c r="R220" s="18"/>
      <c r="S220" s="18"/>
      <c r="U220" s="19"/>
      <c r="AC220" s="20"/>
      <c r="AY220" s="22"/>
      <c r="AZ220" s="22"/>
    </row>
    <row r="221" ht="15.75" customHeight="1">
      <c r="D221" s="3"/>
      <c r="J221" s="3"/>
      <c r="K221" s="3"/>
      <c r="M221" s="10"/>
      <c r="Q221" s="11"/>
      <c r="R221" s="18"/>
      <c r="S221" s="18"/>
      <c r="U221" s="19"/>
      <c r="AC221" s="20"/>
      <c r="AY221" s="22"/>
      <c r="AZ221" s="22"/>
    </row>
    <row r="222" ht="15.75" customHeight="1">
      <c r="D222" s="3"/>
      <c r="J222" s="3"/>
      <c r="K222" s="3"/>
      <c r="M222" s="10"/>
      <c r="Q222" s="11"/>
      <c r="R222" s="18"/>
      <c r="S222" s="18"/>
      <c r="U222" s="19"/>
      <c r="AC222" s="20"/>
      <c r="AY222" s="22"/>
      <c r="AZ222" s="22"/>
    </row>
    <row r="223" ht="15.75" customHeight="1">
      <c r="D223" s="3"/>
      <c r="J223" s="3"/>
      <c r="K223" s="3"/>
      <c r="M223" s="10"/>
      <c r="Q223" s="11"/>
      <c r="R223" s="18"/>
      <c r="S223" s="18"/>
      <c r="U223" s="19"/>
      <c r="AC223" s="20"/>
      <c r="AY223" s="22"/>
      <c r="AZ223" s="22"/>
    </row>
    <row r="224" ht="15.75" customHeight="1">
      <c r="D224" s="3"/>
      <c r="J224" s="3"/>
      <c r="K224" s="3"/>
      <c r="M224" s="10"/>
      <c r="Q224" s="11"/>
      <c r="R224" s="18"/>
      <c r="S224" s="18"/>
      <c r="U224" s="19"/>
      <c r="AC224" s="20"/>
      <c r="AY224" s="22"/>
      <c r="AZ224" s="22"/>
    </row>
    <row r="225" ht="15.75" customHeight="1">
      <c r="D225" s="3"/>
      <c r="J225" s="3"/>
      <c r="K225" s="3"/>
      <c r="M225" s="10"/>
      <c r="Q225" s="11"/>
      <c r="R225" s="18"/>
      <c r="S225" s="18"/>
      <c r="U225" s="19"/>
      <c r="AC225" s="20"/>
      <c r="AY225" s="22"/>
      <c r="AZ225" s="22"/>
    </row>
    <row r="226" ht="15.75" customHeight="1">
      <c r="D226" s="3"/>
      <c r="J226" s="3"/>
      <c r="K226" s="3"/>
      <c r="M226" s="10"/>
      <c r="Q226" s="11"/>
      <c r="R226" s="18"/>
      <c r="S226" s="18"/>
      <c r="U226" s="19"/>
      <c r="AC226" s="20"/>
      <c r="AY226" s="22"/>
      <c r="AZ226" s="22"/>
    </row>
    <row r="227" ht="15.75" customHeight="1">
      <c r="D227" s="3"/>
      <c r="J227" s="3"/>
      <c r="K227" s="3"/>
      <c r="M227" s="10"/>
      <c r="Q227" s="11"/>
      <c r="R227" s="18"/>
      <c r="S227" s="18"/>
      <c r="U227" s="19"/>
      <c r="AC227" s="20"/>
      <c r="AY227" s="22"/>
      <c r="AZ227" s="22"/>
    </row>
    <row r="228" ht="15.75" customHeight="1">
      <c r="D228" s="3"/>
      <c r="J228" s="3"/>
      <c r="K228" s="3"/>
      <c r="M228" s="10"/>
      <c r="Q228" s="11"/>
      <c r="R228" s="18"/>
      <c r="S228" s="18"/>
      <c r="U228" s="19"/>
      <c r="AC228" s="20"/>
      <c r="AY228" s="22"/>
      <c r="AZ228" s="22"/>
    </row>
    <row r="229" ht="15.75" customHeight="1">
      <c r="D229" s="3"/>
      <c r="J229" s="3"/>
      <c r="K229" s="3"/>
      <c r="M229" s="10"/>
      <c r="Q229" s="11"/>
      <c r="R229" s="18"/>
      <c r="S229" s="18"/>
      <c r="U229" s="19"/>
      <c r="AC229" s="20"/>
      <c r="AY229" s="22"/>
      <c r="AZ229" s="22"/>
    </row>
    <row r="230" ht="15.75" customHeight="1">
      <c r="D230" s="3"/>
      <c r="J230" s="3"/>
      <c r="K230" s="3"/>
      <c r="M230" s="10"/>
      <c r="Q230" s="11"/>
      <c r="R230" s="18"/>
      <c r="S230" s="18"/>
      <c r="U230" s="19"/>
      <c r="AC230" s="20"/>
      <c r="AY230" s="22"/>
      <c r="AZ230" s="22"/>
    </row>
    <row r="231" ht="15.75" customHeight="1">
      <c r="D231" s="3"/>
      <c r="J231" s="3"/>
      <c r="K231" s="3"/>
      <c r="M231" s="10"/>
      <c r="Q231" s="11"/>
      <c r="R231" s="18"/>
      <c r="S231" s="18"/>
      <c r="U231" s="19"/>
      <c r="AC231" s="20"/>
      <c r="AY231" s="22"/>
      <c r="AZ231" s="22"/>
    </row>
    <row r="232" ht="15.75" customHeight="1">
      <c r="D232" s="3"/>
      <c r="J232" s="3"/>
      <c r="K232" s="3"/>
      <c r="M232" s="10"/>
      <c r="Q232" s="11"/>
      <c r="R232" s="18"/>
      <c r="S232" s="18"/>
      <c r="U232" s="19"/>
      <c r="AC232" s="20"/>
      <c r="AY232" s="22"/>
      <c r="AZ232" s="22"/>
    </row>
    <row r="233" ht="15.75" customHeight="1">
      <c r="D233" s="3"/>
      <c r="J233" s="3"/>
      <c r="K233" s="3"/>
      <c r="M233" s="10"/>
      <c r="Q233" s="11"/>
      <c r="R233" s="18"/>
      <c r="S233" s="18"/>
      <c r="U233" s="19"/>
      <c r="AC233" s="20"/>
      <c r="AY233" s="22"/>
      <c r="AZ233" s="22"/>
    </row>
    <row r="234" ht="15.75" customHeight="1">
      <c r="D234" s="3"/>
      <c r="J234" s="3"/>
      <c r="K234" s="3"/>
      <c r="M234" s="10"/>
      <c r="Q234" s="11"/>
      <c r="R234" s="18"/>
      <c r="S234" s="18"/>
      <c r="U234" s="19"/>
      <c r="AC234" s="20"/>
      <c r="AY234" s="22"/>
      <c r="AZ234" s="22"/>
    </row>
    <row r="235" ht="15.75" customHeight="1">
      <c r="D235" s="3"/>
      <c r="J235" s="3"/>
      <c r="K235" s="3"/>
      <c r="M235" s="10"/>
      <c r="Q235" s="11"/>
      <c r="R235" s="18"/>
      <c r="S235" s="18"/>
      <c r="U235" s="19"/>
      <c r="AC235" s="20"/>
      <c r="AY235" s="22"/>
      <c r="AZ235" s="22"/>
    </row>
    <row r="236" ht="15.75" customHeight="1">
      <c r="D236" s="3"/>
      <c r="J236" s="3"/>
      <c r="K236" s="3"/>
      <c r="M236" s="10"/>
      <c r="Q236" s="11"/>
      <c r="R236" s="18"/>
      <c r="S236" s="18"/>
      <c r="U236" s="19"/>
      <c r="AC236" s="20"/>
      <c r="AY236" s="22"/>
      <c r="AZ236" s="22"/>
    </row>
    <row r="237" ht="15.75" customHeight="1">
      <c r="D237" s="3"/>
      <c r="J237" s="3"/>
      <c r="K237" s="3"/>
      <c r="M237" s="10"/>
      <c r="Q237" s="11"/>
      <c r="R237" s="18"/>
      <c r="S237" s="18"/>
      <c r="U237" s="19"/>
      <c r="AC237" s="20"/>
      <c r="AY237" s="22"/>
      <c r="AZ237" s="22"/>
    </row>
    <row r="238" ht="15.75" customHeight="1">
      <c r="D238" s="3"/>
      <c r="J238" s="3"/>
      <c r="K238" s="3"/>
      <c r="M238" s="10"/>
      <c r="Q238" s="11"/>
      <c r="R238" s="18"/>
      <c r="S238" s="18"/>
      <c r="U238" s="19"/>
      <c r="AC238" s="20"/>
      <c r="AY238" s="22"/>
      <c r="AZ238" s="22"/>
    </row>
    <row r="239" ht="15.75" customHeight="1">
      <c r="D239" s="3"/>
      <c r="J239" s="3"/>
      <c r="K239" s="3"/>
      <c r="M239" s="10"/>
      <c r="Q239" s="11"/>
      <c r="R239" s="18"/>
      <c r="S239" s="18"/>
      <c r="U239" s="19"/>
      <c r="AC239" s="20"/>
      <c r="AY239" s="22"/>
      <c r="AZ239" s="22"/>
    </row>
    <row r="240" ht="15.75" customHeight="1">
      <c r="D240" s="3"/>
      <c r="J240" s="3"/>
      <c r="K240" s="3"/>
      <c r="M240" s="10"/>
      <c r="Q240" s="11"/>
      <c r="R240" s="18"/>
      <c r="S240" s="18"/>
      <c r="U240" s="19"/>
      <c r="AC240" s="20"/>
      <c r="AY240" s="22"/>
      <c r="AZ240" s="22"/>
    </row>
    <row r="241" ht="15.75" customHeight="1">
      <c r="D241" s="3"/>
      <c r="J241" s="3"/>
      <c r="K241" s="3"/>
      <c r="M241" s="10"/>
      <c r="Q241" s="11"/>
      <c r="R241" s="18"/>
      <c r="S241" s="18"/>
      <c r="U241" s="19"/>
      <c r="AC241" s="20"/>
      <c r="AY241" s="22"/>
      <c r="AZ241" s="22"/>
    </row>
    <row r="242" ht="15.75" customHeight="1">
      <c r="D242" s="3"/>
      <c r="J242" s="3"/>
      <c r="K242" s="3"/>
      <c r="M242" s="10"/>
      <c r="Q242" s="11"/>
      <c r="R242" s="18"/>
      <c r="S242" s="18"/>
      <c r="U242" s="19"/>
      <c r="AC242" s="20"/>
      <c r="AY242" s="22"/>
      <c r="AZ242" s="22"/>
    </row>
    <row r="243" ht="15.75" customHeight="1">
      <c r="D243" s="3"/>
      <c r="J243" s="3"/>
      <c r="K243" s="3"/>
      <c r="M243" s="10"/>
      <c r="Q243" s="11"/>
      <c r="R243" s="18"/>
      <c r="S243" s="18"/>
      <c r="U243" s="19"/>
      <c r="AC243" s="20"/>
      <c r="AY243" s="22"/>
      <c r="AZ243" s="22"/>
    </row>
    <row r="244" ht="15.75" customHeight="1">
      <c r="D244" s="3"/>
      <c r="J244" s="3"/>
      <c r="K244" s="3"/>
      <c r="M244" s="10"/>
      <c r="Q244" s="11"/>
      <c r="R244" s="18"/>
      <c r="S244" s="18"/>
      <c r="U244" s="19"/>
      <c r="AC244" s="20"/>
      <c r="AY244" s="22"/>
      <c r="AZ244" s="22"/>
    </row>
    <row r="245" ht="15.75" customHeight="1">
      <c r="D245" s="3"/>
      <c r="J245" s="3"/>
      <c r="K245" s="3"/>
      <c r="M245" s="10"/>
      <c r="Q245" s="11"/>
      <c r="R245" s="18"/>
      <c r="S245" s="18"/>
      <c r="U245" s="19"/>
      <c r="AC245" s="20"/>
      <c r="AY245" s="22"/>
      <c r="AZ245" s="22"/>
    </row>
    <row r="246" ht="15.75" customHeight="1">
      <c r="D246" s="3"/>
      <c r="J246" s="3"/>
      <c r="K246" s="3"/>
      <c r="M246" s="10"/>
      <c r="Q246" s="11"/>
      <c r="R246" s="18"/>
      <c r="S246" s="18"/>
      <c r="U246" s="19"/>
      <c r="AC246" s="20"/>
      <c r="AY246" s="22"/>
      <c r="AZ246" s="22"/>
    </row>
    <row r="247" ht="15.75" customHeight="1">
      <c r="D247" s="3"/>
      <c r="J247" s="3"/>
      <c r="K247" s="3"/>
      <c r="M247" s="10"/>
      <c r="Q247" s="11"/>
      <c r="R247" s="18"/>
      <c r="S247" s="18"/>
      <c r="U247" s="19"/>
      <c r="AC247" s="20"/>
      <c r="AY247" s="22"/>
      <c r="AZ247" s="22"/>
    </row>
    <row r="248" ht="15.75" customHeight="1">
      <c r="D248" s="3"/>
      <c r="J248" s="3"/>
      <c r="K248" s="3"/>
      <c r="M248" s="10"/>
      <c r="Q248" s="11"/>
      <c r="R248" s="18"/>
      <c r="S248" s="18"/>
      <c r="U248" s="19"/>
      <c r="AC248" s="20"/>
      <c r="AY248" s="22"/>
      <c r="AZ248" s="22"/>
    </row>
    <row r="249" ht="15.75" customHeight="1">
      <c r="D249" s="3"/>
      <c r="J249" s="3"/>
      <c r="K249" s="3"/>
      <c r="M249" s="10"/>
      <c r="Q249" s="11"/>
      <c r="R249" s="18"/>
      <c r="S249" s="18"/>
      <c r="U249" s="19"/>
      <c r="AC249" s="20"/>
      <c r="AY249" s="22"/>
      <c r="AZ249" s="22"/>
    </row>
    <row r="250" ht="15.75" customHeight="1">
      <c r="D250" s="3"/>
      <c r="J250" s="3"/>
      <c r="K250" s="3"/>
      <c r="M250" s="10"/>
      <c r="Q250" s="11"/>
      <c r="R250" s="18"/>
      <c r="S250" s="18"/>
      <c r="U250" s="19"/>
      <c r="AC250" s="20"/>
      <c r="AY250" s="22"/>
      <c r="AZ250" s="22"/>
    </row>
    <row r="251" ht="15.75" customHeight="1">
      <c r="D251" s="3"/>
      <c r="J251" s="3"/>
      <c r="K251" s="3"/>
      <c r="M251" s="10"/>
      <c r="Q251" s="11"/>
      <c r="R251" s="18"/>
      <c r="S251" s="18"/>
      <c r="U251" s="19"/>
      <c r="AC251" s="20"/>
      <c r="AY251" s="22"/>
      <c r="AZ251" s="22"/>
    </row>
    <row r="252" ht="15.75" customHeight="1">
      <c r="D252" s="3"/>
      <c r="J252" s="3"/>
      <c r="K252" s="3"/>
      <c r="M252" s="10"/>
      <c r="Q252" s="11"/>
      <c r="R252" s="18"/>
      <c r="S252" s="18"/>
      <c r="U252" s="19"/>
      <c r="AC252" s="20"/>
      <c r="AY252" s="22"/>
      <c r="AZ252" s="22"/>
    </row>
    <row r="253" ht="15.75" customHeight="1">
      <c r="D253" s="3"/>
      <c r="J253" s="3"/>
      <c r="K253" s="3"/>
      <c r="M253" s="10"/>
      <c r="Q253" s="11"/>
      <c r="R253" s="18"/>
      <c r="S253" s="18"/>
      <c r="U253" s="19"/>
      <c r="AC253" s="20"/>
      <c r="AY253" s="22"/>
      <c r="AZ253" s="22"/>
    </row>
    <row r="254" ht="15.75" customHeight="1">
      <c r="D254" s="3"/>
      <c r="J254" s="3"/>
      <c r="K254" s="3"/>
      <c r="M254" s="10"/>
      <c r="Q254" s="11"/>
      <c r="R254" s="18"/>
      <c r="S254" s="18"/>
      <c r="U254" s="19"/>
      <c r="AC254" s="20"/>
      <c r="AY254" s="22"/>
      <c r="AZ254" s="22"/>
    </row>
    <row r="255" ht="15.75" customHeight="1">
      <c r="D255" s="3"/>
      <c r="J255" s="3"/>
      <c r="K255" s="3"/>
      <c r="M255" s="10"/>
      <c r="Q255" s="11"/>
      <c r="R255" s="18"/>
      <c r="S255" s="18"/>
      <c r="U255" s="19"/>
      <c r="AC255" s="20"/>
      <c r="AY255" s="22"/>
      <c r="AZ255" s="22"/>
    </row>
    <row r="256" ht="15.75" customHeight="1">
      <c r="D256" s="3"/>
      <c r="J256" s="3"/>
      <c r="K256" s="3"/>
      <c r="M256" s="10"/>
      <c r="Q256" s="11"/>
      <c r="R256" s="18"/>
      <c r="S256" s="18"/>
      <c r="U256" s="19"/>
      <c r="AC256" s="20"/>
      <c r="AY256" s="22"/>
      <c r="AZ256" s="22"/>
    </row>
    <row r="257" ht="15.75" customHeight="1">
      <c r="D257" s="3"/>
      <c r="J257" s="3"/>
      <c r="K257" s="3"/>
      <c r="M257" s="10"/>
      <c r="Q257" s="11"/>
      <c r="R257" s="18"/>
      <c r="S257" s="18"/>
      <c r="U257" s="19"/>
      <c r="AC257" s="20"/>
      <c r="AY257" s="22"/>
      <c r="AZ257" s="22"/>
    </row>
    <row r="258" ht="15.75" customHeight="1">
      <c r="D258" s="3"/>
      <c r="J258" s="3"/>
      <c r="K258" s="3"/>
      <c r="M258" s="10"/>
      <c r="Q258" s="11"/>
      <c r="R258" s="18"/>
      <c r="S258" s="18"/>
      <c r="U258" s="19"/>
      <c r="AC258" s="20"/>
      <c r="AY258" s="22"/>
      <c r="AZ258" s="22"/>
    </row>
    <row r="259" ht="15.75" customHeight="1">
      <c r="D259" s="3"/>
      <c r="J259" s="3"/>
      <c r="K259" s="3"/>
      <c r="M259" s="10"/>
      <c r="Q259" s="11"/>
      <c r="R259" s="18"/>
      <c r="S259" s="18"/>
      <c r="U259" s="19"/>
      <c r="AC259" s="20"/>
      <c r="AY259" s="22"/>
      <c r="AZ259" s="22"/>
    </row>
    <row r="260" ht="15.75" customHeight="1">
      <c r="D260" s="3"/>
      <c r="J260" s="3"/>
      <c r="K260" s="3"/>
      <c r="M260" s="10"/>
      <c r="Q260" s="11"/>
      <c r="R260" s="18"/>
      <c r="S260" s="18"/>
      <c r="U260" s="19"/>
      <c r="AC260" s="20"/>
      <c r="AY260" s="22"/>
      <c r="AZ260" s="22"/>
    </row>
    <row r="261" ht="15.75" customHeight="1">
      <c r="D261" s="3"/>
      <c r="J261" s="3"/>
      <c r="K261" s="3"/>
      <c r="M261" s="10"/>
      <c r="Q261" s="11"/>
      <c r="R261" s="18"/>
      <c r="S261" s="18"/>
      <c r="U261" s="19"/>
      <c r="AC261" s="20"/>
      <c r="AY261" s="22"/>
      <c r="AZ261" s="22"/>
    </row>
    <row r="262" ht="15.75" customHeight="1">
      <c r="D262" s="3"/>
      <c r="J262" s="3"/>
      <c r="K262" s="3"/>
      <c r="M262" s="10"/>
      <c r="Q262" s="11"/>
      <c r="R262" s="18"/>
      <c r="S262" s="18"/>
      <c r="U262" s="19"/>
      <c r="AC262" s="20"/>
      <c r="AY262" s="22"/>
      <c r="AZ262" s="22"/>
    </row>
    <row r="263" ht="15.75" customHeight="1">
      <c r="D263" s="3"/>
      <c r="J263" s="3"/>
      <c r="K263" s="3"/>
      <c r="M263" s="10"/>
      <c r="Q263" s="11"/>
      <c r="R263" s="18"/>
      <c r="S263" s="18"/>
      <c r="U263" s="19"/>
      <c r="AC263" s="20"/>
      <c r="AY263" s="22"/>
      <c r="AZ263" s="22"/>
    </row>
    <row r="264" ht="15.75" customHeight="1">
      <c r="D264" s="3"/>
      <c r="J264" s="3"/>
      <c r="K264" s="3"/>
      <c r="M264" s="10"/>
      <c r="Q264" s="11"/>
      <c r="R264" s="18"/>
      <c r="S264" s="18"/>
      <c r="U264" s="19"/>
      <c r="AC264" s="20"/>
      <c r="AY264" s="22"/>
      <c r="AZ264" s="22"/>
    </row>
    <row r="265" ht="15.75" customHeight="1">
      <c r="D265" s="3"/>
      <c r="J265" s="3"/>
      <c r="K265" s="3"/>
      <c r="M265" s="10"/>
      <c r="Q265" s="11"/>
      <c r="R265" s="18"/>
      <c r="S265" s="18"/>
      <c r="U265" s="19"/>
      <c r="AC265" s="20"/>
      <c r="AY265" s="22"/>
      <c r="AZ265" s="22"/>
    </row>
    <row r="266" ht="15.75" customHeight="1">
      <c r="D266" s="3"/>
      <c r="J266" s="3"/>
      <c r="K266" s="3"/>
      <c r="M266" s="10"/>
      <c r="Q266" s="11"/>
      <c r="R266" s="18"/>
      <c r="S266" s="18"/>
      <c r="U266" s="19"/>
      <c r="AC266" s="20"/>
      <c r="AY266" s="22"/>
      <c r="AZ266" s="22"/>
    </row>
    <row r="267" ht="15.75" customHeight="1">
      <c r="D267" s="3"/>
      <c r="J267" s="3"/>
      <c r="K267" s="3"/>
      <c r="M267" s="10"/>
      <c r="Q267" s="11"/>
      <c r="R267" s="18"/>
      <c r="S267" s="18"/>
      <c r="U267" s="19"/>
      <c r="AC267" s="20"/>
      <c r="AY267" s="22"/>
      <c r="AZ267" s="22"/>
    </row>
    <row r="268" ht="15.75" customHeight="1">
      <c r="D268" s="3"/>
      <c r="J268" s="3"/>
      <c r="K268" s="3"/>
      <c r="M268" s="10"/>
      <c r="Q268" s="11"/>
      <c r="R268" s="18"/>
      <c r="S268" s="18"/>
      <c r="U268" s="19"/>
      <c r="AC268" s="20"/>
      <c r="AY268" s="22"/>
      <c r="AZ268" s="22"/>
    </row>
    <row r="269" ht="15.75" customHeight="1">
      <c r="D269" s="3"/>
      <c r="J269" s="3"/>
      <c r="K269" s="3"/>
      <c r="M269" s="10"/>
      <c r="Q269" s="11"/>
      <c r="R269" s="18"/>
      <c r="S269" s="18"/>
      <c r="U269" s="19"/>
      <c r="AC269" s="20"/>
      <c r="AY269" s="22"/>
      <c r="AZ269" s="22"/>
    </row>
    <row r="270" ht="15.75" customHeight="1">
      <c r="D270" s="3"/>
      <c r="J270" s="3"/>
      <c r="K270" s="3"/>
      <c r="M270" s="10"/>
      <c r="Q270" s="11"/>
      <c r="R270" s="18"/>
      <c r="S270" s="18"/>
      <c r="U270" s="19"/>
      <c r="AC270" s="20"/>
      <c r="AY270" s="22"/>
      <c r="AZ270" s="22"/>
    </row>
    <row r="271" ht="15.75" customHeight="1">
      <c r="D271" s="3"/>
      <c r="J271" s="3"/>
      <c r="K271" s="3"/>
      <c r="M271" s="10"/>
      <c r="Q271" s="11"/>
      <c r="R271" s="18"/>
      <c r="S271" s="18"/>
      <c r="U271" s="19"/>
      <c r="AC271" s="20"/>
      <c r="AY271" s="22"/>
      <c r="AZ271" s="22"/>
    </row>
    <row r="272" ht="15.75" customHeight="1">
      <c r="D272" s="3"/>
      <c r="J272" s="3"/>
      <c r="K272" s="3"/>
      <c r="M272" s="10"/>
      <c r="Q272" s="11"/>
      <c r="R272" s="18"/>
      <c r="S272" s="18"/>
      <c r="U272" s="19"/>
      <c r="AC272" s="20"/>
      <c r="AY272" s="22"/>
      <c r="AZ272" s="22"/>
    </row>
    <row r="273" ht="15.75" customHeight="1">
      <c r="D273" s="3"/>
      <c r="J273" s="3"/>
      <c r="K273" s="3"/>
      <c r="M273" s="10"/>
      <c r="Q273" s="11"/>
      <c r="R273" s="18"/>
      <c r="S273" s="18"/>
      <c r="U273" s="19"/>
      <c r="AC273" s="20"/>
      <c r="AY273" s="22"/>
      <c r="AZ273" s="22"/>
    </row>
    <row r="274" ht="15.75" customHeight="1">
      <c r="D274" s="3"/>
      <c r="J274" s="3"/>
      <c r="K274" s="3"/>
      <c r="M274" s="10"/>
      <c r="Q274" s="11"/>
      <c r="R274" s="18"/>
      <c r="S274" s="18"/>
      <c r="U274" s="19"/>
      <c r="AC274" s="20"/>
      <c r="AY274" s="22"/>
      <c r="AZ274" s="22"/>
    </row>
    <row r="275" ht="15.75" customHeight="1">
      <c r="D275" s="3"/>
      <c r="J275" s="3"/>
      <c r="K275" s="3"/>
      <c r="M275" s="10"/>
      <c r="Q275" s="11"/>
      <c r="R275" s="18"/>
      <c r="S275" s="18"/>
      <c r="U275" s="19"/>
      <c r="AC275" s="20"/>
      <c r="AY275" s="22"/>
      <c r="AZ275" s="22"/>
    </row>
    <row r="276" ht="15.75" customHeight="1">
      <c r="D276" s="3"/>
      <c r="J276" s="3"/>
      <c r="K276" s="3"/>
      <c r="M276" s="10"/>
      <c r="Q276" s="11"/>
      <c r="R276" s="18"/>
      <c r="S276" s="18"/>
      <c r="U276" s="19"/>
      <c r="AC276" s="20"/>
      <c r="AY276" s="22"/>
      <c r="AZ276" s="22"/>
    </row>
    <row r="277" ht="15.75" customHeight="1">
      <c r="D277" s="3"/>
      <c r="J277" s="3"/>
      <c r="K277" s="3"/>
      <c r="M277" s="10"/>
      <c r="Q277" s="11"/>
      <c r="R277" s="18"/>
      <c r="S277" s="18"/>
      <c r="U277" s="19"/>
      <c r="AC277" s="20"/>
      <c r="AY277" s="22"/>
      <c r="AZ277" s="22"/>
    </row>
    <row r="278" ht="15.75" customHeight="1">
      <c r="D278" s="3"/>
      <c r="J278" s="3"/>
      <c r="K278" s="3"/>
      <c r="M278" s="10"/>
      <c r="Q278" s="11"/>
      <c r="R278" s="18"/>
      <c r="S278" s="18"/>
      <c r="U278" s="19"/>
      <c r="AC278" s="20"/>
      <c r="AY278" s="22"/>
      <c r="AZ278" s="22"/>
    </row>
    <row r="279" ht="15.75" customHeight="1">
      <c r="D279" s="3"/>
      <c r="J279" s="3"/>
      <c r="K279" s="3"/>
      <c r="M279" s="10"/>
      <c r="Q279" s="11"/>
      <c r="R279" s="18"/>
      <c r="S279" s="18"/>
      <c r="U279" s="19"/>
      <c r="AC279" s="20"/>
      <c r="AY279" s="22"/>
      <c r="AZ279" s="22"/>
    </row>
    <row r="280" ht="15.75" customHeight="1">
      <c r="D280" s="3"/>
      <c r="J280" s="3"/>
      <c r="K280" s="3"/>
      <c r="M280" s="10"/>
      <c r="Q280" s="11"/>
      <c r="R280" s="18"/>
      <c r="S280" s="18"/>
      <c r="U280" s="19"/>
      <c r="AC280" s="20"/>
      <c r="AY280" s="22"/>
      <c r="AZ280" s="22"/>
    </row>
    <row r="281" ht="15.75" customHeight="1">
      <c r="D281" s="3"/>
      <c r="J281" s="3"/>
      <c r="K281" s="3"/>
      <c r="M281" s="10"/>
      <c r="Q281" s="11"/>
      <c r="R281" s="18"/>
      <c r="S281" s="18"/>
      <c r="U281" s="19"/>
      <c r="AC281" s="20"/>
      <c r="AY281" s="22"/>
      <c r="AZ281" s="22"/>
    </row>
    <row r="282" ht="15.75" customHeight="1">
      <c r="D282" s="3"/>
      <c r="J282" s="3"/>
      <c r="K282" s="3"/>
      <c r="M282" s="10"/>
      <c r="Q282" s="11"/>
      <c r="R282" s="18"/>
      <c r="S282" s="18"/>
      <c r="U282" s="19"/>
      <c r="AC282" s="20"/>
      <c r="AY282" s="22"/>
      <c r="AZ282" s="22"/>
    </row>
    <row r="283" ht="15.75" customHeight="1">
      <c r="D283" s="3"/>
      <c r="J283" s="3"/>
      <c r="K283" s="3"/>
      <c r="M283" s="10"/>
      <c r="Q283" s="11"/>
      <c r="R283" s="18"/>
      <c r="S283" s="18"/>
      <c r="U283" s="19"/>
      <c r="AC283" s="20"/>
      <c r="AY283" s="22"/>
      <c r="AZ283" s="22"/>
    </row>
    <row r="284" ht="15.75" customHeight="1">
      <c r="D284" s="3"/>
      <c r="J284" s="3"/>
      <c r="K284" s="3"/>
      <c r="M284" s="10"/>
      <c r="Q284" s="11"/>
      <c r="R284" s="18"/>
      <c r="S284" s="18"/>
      <c r="U284" s="19"/>
      <c r="AC284" s="20"/>
      <c r="AY284" s="22"/>
      <c r="AZ284" s="22"/>
    </row>
    <row r="285" ht="15.75" customHeight="1">
      <c r="D285" s="3"/>
      <c r="J285" s="3"/>
      <c r="K285" s="3"/>
      <c r="M285" s="10"/>
      <c r="Q285" s="11"/>
      <c r="R285" s="18"/>
      <c r="S285" s="18"/>
      <c r="U285" s="19"/>
      <c r="AC285" s="20"/>
      <c r="AY285" s="22"/>
      <c r="AZ285" s="22"/>
    </row>
    <row r="286" ht="15.75" customHeight="1">
      <c r="D286" s="3"/>
      <c r="J286" s="3"/>
      <c r="K286" s="3"/>
      <c r="M286" s="10"/>
      <c r="Q286" s="11"/>
      <c r="R286" s="18"/>
      <c r="S286" s="18"/>
      <c r="U286" s="19"/>
      <c r="AC286" s="20"/>
      <c r="AY286" s="22"/>
      <c r="AZ286" s="22"/>
    </row>
    <row r="287" ht="15.75" customHeight="1">
      <c r="D287" s="3"/>
      <c r="J287" s="3"/>
      <c r="K287" s="3"/>
      <c r="M287" s="10"/>
      <c r="Q287" s="11"/>
      <c r="R287" s="18"/>
      <c r="S287" s="18"/>
      <c r="U287" s="19"/>
      <c r="AC287" s="20"/>
      <c r="AY287" s="22"/>
      <c r="AZ287" s="22"/>
    </row>
    <row r="288" ht="15.75" customHeight="1">
      <c r="D288" s="3"/>
      <c r="J288" s="3"/>
      <c r="K288" s="3"/>
      <c r="M288" s="10"/>
      <c r="Q288" s="11"/>
      <c r="R288" s="18"/>
      <c r="S288" s="18"/>
      <c r="U288" s="19"/>
      <c r="AC288" s="20"/>
      <c r="AY288" s="22"/>
      <c r="AZ288" s="22"/>
    </row>
    <row r="289" ht="15.75" customHeight="1">
      <c r="D289" s="3"/>
      <c r="J289" s="3"/>
      <c r="K289" s="3"/>
      <c r="M289" s="10"/>
      <c r="Q289" s="11"/>
      <c r="R289" s="18"/>
      <c r="S289" s="18"/>
      <c r="U289" s="19"/>
      <c r="AC289" s="20"/>
      <c r="AY289" s="22"/>
      <c r="AZ289" s="22"/>
    </row>
    <row r="290" ht="15.75" customHeight="1">
      <c r="D290" s="3"/>
      <c r="J290" s="3"/>
      <c r="K290" s="3"/>
      <c r="M290" s="10"/>
      <c r="Q290" s="11"/>
      <c r="R290" s="18"/>
      <c r="S290" s="18"/>
      <c r="U290" s="19"/>
      <c r="AC290" s="20"/>
      <c r="AY290" s="22"/>
      <c r="AZ290" s="22"/>
    </row>
    <row r="291" ht="15.75" customHeight="1">
      <c r="D291" s="3"/>
      <c r="J291" s="3"/>
      <c r="K291" s="3"/>
      <c r="M291" s="10"/>
      <c r="Q291" s="11"/>
      <c r="R291" s="18"/>
      <c r="S291" s="18"/>
      <c r="U291" s="19"/>
      <c r="AC291" s="20"/>
      <c r="AY291" s="22"/>
      <c r="AZ291" s="22"/>
    </row>
    <row r="292" ht="15.75" customHeight="1">
      <c r="D292" s="3"/>
      <c r="J292" s="3"/>
      <c r="K292" s="3"/>
      <c r="M292" s="10"/>
      <c r="Q292" s="11"/>
      <c r="R292" s="18"/>
      <c r="S292" s="18"/>
      <c r="U292" s="19"/>
      <c r="AC292" s="20"/>
      <c r="AY292" s="22"/>
      <c r="AZ292" s="22"/>
    </row>
    <row r="293" ht="15.75" customHeight="1">
      <c r="D293" s="3"/>
      <c r="J293" s="3"/>
      <c r="K293" s="3"/>
      <c r="M293" s="10"/>
      <c r="Q293" s="11"/>
      <c r="R293" s="18"/>
      <c r="S293" s="18"/>
      <c r="U293" s="19"/>
      <c r="AC293" s="20"/>
      <c r="AY293" s="22"/>
      <c r="AZ293" s="22"/>
    </row>
    <row r="294" ht="15.75" customHeight="1">
      <c r="D294" s="3"/>
      <c r="J294" s="3"/>
      <c r="K294" s="3"/>
      <c r="M294" s="10"/>
      <c r="Q294" s="11"/>
      <c r="R294" s="18"/>
      <c r="S294" s="18"/>
      <c r="U294" s="19"/>
      <c r="AC294" s="20"/>
      <c r="AY294" s="22"/>
      <c r="AZ294" s="22"/>
    </row>
    <row r="295" ht="15.75" customHeight="1">
      <c r="D295" s="3"/>
      <c r="J295" s="3"/>
      <c r="K295" s="3"/>
      <c r="M295" s="10"/>
      <c r="Q295" s="11"/>
      <c r="R295" s="18"/>
      <c r="S295" s="18"/>
      <c r="U295" s="19"/>
      <c r="AC295" s="20"/>
      <c r="AY295" s="22"/>
      <c r="AZ295" s="22"/>
    </row>
    <row r="296" ht="15.75" customHeight="1">
      <c r="D296" s="3"/>
      <c r="J296" s="3"/>
      <c r="K296" s="3"/>
      <c r="M296" s="10"/>
      <c r="Q296" s="11"/>
      <c r="R296" s="18"/>
      <c r="S296" s="18"/>
      <c r="U296" s="19"/>
      <c r="AC296" s="20"/>
      <c r="AY296" s="22"/>
      <c r="AZ296" s="22"/>
    </row>
    <row r="297" ht="15.75" customHeight="1">
      <c r="D297" s="3"/>
      <c r="J297" s="3"/>
      <c r="K297" s="3"/>
      <c r="M297" s="10"/>
      <c r="Q297" s="11"/>
      <c r="R297" s="18"/>
      <c r="S297" s="18"/>
      <c r="U297" s="19"/>
      <c r="AC297" s="20"/>
      <c r="AY297" s="22"/>
      <c r="AZ297" s="22"/>
    </row>
    <row r="298" ht="15.75" customHeight="1">
      <c r="D298" s="3"/>
      <c r="J298" s="3"/>
      <c r="K298" s="3"/>
      <c r="M298" s="10"/>
      <c r="Q298" s="11"/>
      <c r="R298" s="18"/>
      <c r="S298" s="18"/>
      <c r="U298" s="19"/>
      <c r="AC298" s="20"/>
      <c r="AY298" s="22"/>
      <c r="AZ298" s="22"/>
    </row>
    <row r="299" ht="15.75" customHeight="1">
      <c r="D299" s="3"/>
      <c r="J299" s="3"/>
      <c r="K299" s="3"/>
      <c r="M299" s="10"/>
      <c r="Q299" s="11"/>
      <c r="R299" s="18"/>
      <c r="S299" s="18"/>
      <c r="U299" s="19"/>
      <c r="AC299" s="20"/>
      <c r="AY299" s="22"/>
      <c r="AZ299" s="22"/>
    </row>
    <row r="300" ht="15.75" customHeight="1">
      <c r="D300" s="3"/>
      <c r="J300" s="3"/>
      <c r="K300" s="3"/>
      <c r="M300" s="10"/>
      <c r="Q300" s="11"/>
      <c r="R300" s="18"/>
      <c r="S300" s="18"/>
      <c r="U300" s="19"/>
      <c r="AC300" s="20"/>
      <c r="AY300" s="22"/>
      <c r="AZ300" s="22"/>
    </row>
    <row r="301" ht="15.75" customHeight="1">
      <c r="D301" s="3"/>
      <c r="J301" s="3"/>
      <c r="K301" s="3"/>
      <c r="M301" s="10"/>
      <c r="Q301" s="11"/>
      <c r="R301" s="18"/>
      <c r="S301" s="18"/>
      <c r="U301" s="19"/>
      <c r="AC301" s="20"/>
      <c r="AY301" s="22"/>
      <c r="AZ301" s="22"/>
    </row>
    <row r="302" ht="15.75" customHeight="1">
      <c r="D302" s="3"/>
      <c r="J302" s="3"/>
      <c r="K302" s="3"/>
      <c r="M302" s="10"/>
      <c r="Q302" s="11"/>
      <c r="R302" s="18"/>
      <c r="S302" s="18"/>
      <c r="U302" s="19"/>
      <c r="AC302" s="20"/>
      <c r="AY302" s="22"/>
      <c r="AZ302" s="22"/>
    </row>
    <row r="303" ht="15.75" customHeight="1">
      <c r="D303" s="3"/>
      <c r="J303" s="3"/>
      <c r="K303" s="3"/>
      <c r="M303" s="10"/>
      <c r="Q303" s="11"/>
      <c r="R303" s="18"/>
      <c r="S303" s="18"/>
      <c r="U303" s="19"/>
      <c r="AC303" s="20"/>
      <c r="AY303" s="22"/>
      <c r="AZ303" s="22"/>
    </row>
    <row r="304" ht="15.75" customHeight="1">
      <c r="D304" s="3"/>
      <c r="J304" s="3"/>
      <c r="K304" s="3"/>
      <c r="M304" s="10"/>
      <c r="Q304" s="11"/>
      <c r="R304" s="18"/>
      <c r="S304" s="18"/>
      <c r="U304" s="19"/>
      <c r="AC304" s="20"/>
      <c r="AY304" s="22"/>
      <c r="AZ304" s="22"/>
    </row>
    <row r="305" ht="15.75" customHeight="1">
      <c r="D305" s="3"/>
      <c r="J305" s="3"/>
      <c r="K305" s="3"/>
      <c r="M305" s="10"/>
      <c r="Q305" s="11"/>
      <c r="R305" s="18"/>
      <c r="S305" s="18"/>
      <c r="U305" s="19"/>
      <c r="AC305" s="20"/>
      <c r="AY305" s="22"/>
      <c r="AZ305" s="22"/>
    </row>
    <row r="306" ht="15.75" customHeight="1">
      <c r="D306" s="3"/>
      <c r="J306" s="3"/>
      <c r="K306" s="3"/>
      <c r="M306" s="10"/>
      <c r="Q306" s="11"/>
      <c r="R306" s="18"/>
      <c r="S306" s="18"/>
      <c r="U306" s="19"/>
      <c r="AC306" s="20"/>
      <c r="AY306" s="22"/>
      <c r="AZ306" s="22"/>
    </row>
    <row r="307" ht="15.75" customHeight="1">
      <c r="D307" s="3"/>
      <c r="J307" s="3"/>
      <c r="K307" s="3"/>
      <c r="M307" s="10"/>
      <c r="Q307" s="11"/>
      <c r="R307" s="18"/>
      <c r="S307" s="18"/>
      <c r="U307" s="19"/>
      <c r="AC307" s="20"/>
      <c r="AY307" s="22"/>
      <c r="AZ307" s="22"/>
    </row>
    <row r="308" ht="15.75" customHeight="1">
      <c r="D308" s="3"/>
      <c r="J308" s="3"/>
      <c r="K308" s="3"/>
      <c r="M308" s="10"/>
      <c r="Q308" s="11"/>
      <c r="R308" s="18"/>
      <c r="S308" s="18"/>
      <c r="U308" s="19"/>
      <c r="AC308" s="20"/>
      <c r="AY308" s="22"/>
      <c r="AZ308" s="22"/>
    </row>
    <row r="309" ht="15.75" customHeight="1">
      <c r="D309" s="3"/>
      <c r="J309" s="3"/>
      <c r="K309" s="3"/>
      <c r="M309" s="10"/>
      <c r="Q309" s="11"/>
      <c r="R309" s="18"/>
      <c r="S309" s="18"/>
      <c r="U309" s="19"/>
      <c r="AC309" s="20"/>
      <c r="AY309" s="22"/>
      <c r="AZ309" s="22"/>
    </row>
    <row r="310" ht="15.75" customHeight="1">
      <c r="D310" s="3"/>
      <c r="J310" s="3"/>
      <c r="K310" s="3"/>
      <c r="M310" s="10"/>
      <c r="Q310" s="11"/>
      <c r="R310" s="18"/>
      <c r="S310" s="18"/>
      <c r="U310" s="19"/>
      <c r="AC310" s="20"/>
      <c r="AY310" s="22"/>
      <c r="AZ310" s="22"/>
    </row>
    <row r="311" ht="15.75" customHeight="1">
      <c r="D311" s="3"/>
      <c r="J311" s="3"/>
      <c r="K311" s="3"/>
      <c r="M311" s="10"/>
      <c r="Q311" s="11"/>
      <c r="R311" s="18"/>
      <c r="S311" s="18"/>
      <c r="U311" s="19"/>
      <c r="AC311" s="20"/>
      <c r="AY311" s="22"/>
      <c r="AZ311" s="22"/>
    </row>
    <row r="312" ht="15.75" customHeight="1">
      <c r="D312" s="3"/>
      <c r="J312" s="3"/>
      <c r="K312" s="3"/>
      <c r="M312" s="10"/>
      <c r="Q312" s="11"/>
      <c r="R312" s="18"/>
      <c r="S312" s="18"/>
      <c r="U312" s="19"/>
      <c r="AC312" s="20"/>
      <c r="AY312" s="22"/>
      <c r="AZ312" s="22"/>
    </row>
    <row r="313" ht="15.75" customHeight="1">
      <c r="D313" s="3"/>
      <c r="J313" s="3"/>
      <c r="K313" s="3"/>
      <c r="M313" s="10"/>
      <c r="Q313" s="11"/>
      <c r="R313" s="18"/>
      <c r="S313" s="18"/>
      <c r="U313" s="19"/>
      <c r="AC313" s="20"/>
      <c r="AY313" s="22"/>
      <c r="AZ313" s="22"/>
    </row>
    <row r="314" ht="15.75" customHeight="1">
      <c r="D314" s="3"/>
      <c r="J314" s="3"/>
      <c r="K314" s="3"/>
      <c r="M314" s="10"/>
      <c r="Q314" s="11"/>
      <c r="R314" s="18"/>
      <c r="S314" s="18"/>
      <c r="U314" s="19"/>
      <c r="AC314" s="20"/>
      <c r="AY314" s="22"/>
      <c r="AZ314" s="22"/>
    </row>
    <row r="315" ht="15.75" customHeight="1">
      <c r="D315" s="3"/>
      <c r="J315" s="3"/>
      <c r="K315" s="3"/>
      <c r="M315" s="10"/>
      <c r="Q315" s="11"/>
      <c r="R315" s="18"/>
      <c r="S315" s="18"/>
      <c r="U315" s="19"/>
      <c r="AC315" s="20"/>
      <c r="AY315" s="22"/>
      <c r="AZ315" s="22"/>
    </row>
    <row r="316" ht="15.75" customHeight="1">
      <c r="D316" s="3"/>
      <c r="J316" s="3"/>
      <c r="K316" s="3"/>
      <c r="M316" s="10"/>
      <c r="Q316" s="11"/>
      <c r="R316" s="18"/>
      <c r="S316" s="18"/>
      <c r="U316" s="19"/>
      <c r="AC316" s="20"/>
      <c r="AY316" s="22"/>
      <c r="AZ316" s="22"/>
    </row>
    <row r="317" ht="15.75" customHeight="1">
      <c r="D317" s="3"/>
      <c r="J317" s="3"/>
      <c r="K317" s="3"/>
      <c r="M317" s="10"/>
      <c r="Q317" s="11"/>
      <c r="R317" s="18"/>
      <c r="S317" s="18"/>
      <c r="U317" s="19"/>
      <c r="AC317" s="20"/>
      <c r="AY317" s="22"/>
      <c r="AZ317" s="22"/>
    </row>
    <row r="318" ht="15.75" customHeight="1">
      <c r="D318" s="3"/>
      <c r="J318" s="3"/>
      <c r="K318" s="3"/>
      <c r="M318" s="10"/>
      <c r="Q318" s="11"/>
      <c r="R318" s="18"/>
      <c r="S318" s="18"/>
      <c r="U318" s="19"/>
      <c r="AC318" s="20"/>
      <c r="AY318" s="22"/>
      <c r="AZ318" s="22"/>
    </row>
    <row r="319" ht="15.75" customHeight="1">
      <c r="D319" s="3"/>
      <c r="J319" s="3"/>
      <c r="K319" s="3"/>
      <c r="M319" s="10"/>
      <c r="Q319" s="11"/>
      <c r="R319" s="18"/>
      <c r="S319" s="18"/>
      <c r="U319" s="19"/>
      <c r="AC319" s="20"/>
      <c r="AY319" s="22"/>
      <c r="AZ319" s="22"/>
    </row>
    <row r="320" ht="15.75" customHeight="1">
      <c r="D320" s="3"/>
      <c r="J320" s="3"/>
      <c r="K320" s="3"/>
      <c r="M320" s="10"/>
      <c r="Q320" s="11"/>
      <c r="R320" s="18"/>
      <c r="S320" s="18"/>
      <c r="U320" s="19"/>
      <c r="AC320" s="20"/>
      <c r="AY320" s="22"/>
      <c r="AZ320" s="22"/>
    </row>
    <row r="321" ht="15.75" customHeight="1">
      <c r="D321" s="3"/>
      <c r="J321" s="3"/>
      <c r="K321" s="3"/>
      <c r="M321" s="10"/>
      <c r="Q321" s="11"/>
      <c r="R321" s="18"/>
      <c r="S321" s="18"/>
      <c r="U321" s="19"/>
      <c r="AC321" s="20"/>
      <c r="AY321" s="22"/>
      <c r="AZ321" s="22"/>
    </row>
    <row r="322" ht="15.75" customHeight="1">
      <c r="D322" s="3"/>
      <c r="J322" s="3"/>
      <c r="K322" s="3"/>
      <c r="M322" s="10"/>
      <c r="Q322" s="11"/>
      <c r="R322" s="18"/>
      <c r="S322" s="18"/>
      <c r="U322" s="19"/>
      <c r="AC322" s="20"/>
      <c r="AY322" s="22"/>
      <c r="AZ322" s="22"/>
    </row>
    <row r="323" ht="15.75" customHeight="1">
      <c r="D323" s="3"/>
      <c r="J323" s="3"/>
      <c r="K323" s="3"/>
      <c r="M323" s="10"/>
      <c r="Q323" s="11"/>
      <c r="R323" s="18"/>
      <c r="S323" s="18"/>
      <c r="U323" s="19"/>
      <c r="AC323" s="20"/>
      <c r="AY323" s="22"/>
      <c r="AZ323" s="22"/>
    </row>
    <row r="324" ht="15.75" customHeight="1">
      <c r="D324" s="3"/>
      <c r="J324" s="3"/>
      <c r="K324" s="3"/>
      <c r="M324" s="10"/>
      <c r="Q324" s="11"/>
      <c r="R324" s="18"/>
      <c r="S324" s="18"/>
      <c r="U324" s="19"/>
      <c r="AC324" s="20"/>
      <c r="AY324" s="22"/>
      <c r="AZ324" s="22"/>
    </row>
    <row r="325" ht="15.75" customHeight="1">
      <c r="D325" s="3"/>
      <c r="J325" s="3"/>
      <c r="K325" s="3"/>
      <c r="M325" s="10"/>
      <c r="Q325" s="11"/>
      <c r="R325" s="18"/>
      <c r="S325" s="18"/>
      <c r="U325" s="19"/>
      <c r="AC325" s="20"/>
      <c r="AY325" s="22"/>
      <c r="AZ325" s="22"/>
    </row>
    <row r="326" ht="15.75" customHeight="1">
      <c r="D326" s="3"/>
      <c r="J326" s="3"/>
      <c r="K326" s="3"/>
      <c r="M326" s="10"/>
      <c r="Q326" s="11"/>
      <c r="R326" s="18"/>
      <c r="S326" s="18"/>
      <c r="U326" s="19"/>
      <c r="AC326" s="20"/>
      <c r="AY326" s="22"/>
      <c r="AZ326" s="22"/>
    </row>
    <row r="327" ht="15.75" customHeight="1">
      <c r="D327" s="3"/>
      <c r="J327" s="3"/>
      <c r="K327" s="3"/>
      <c r="M327" s="10"/>
      <c r="Q327" s="11"/>
      <c r="R327" s="18"/>
      <c r="S327" s="18"/>
      <c r="U327" s="19"/>
      <c r="AC327" s="20"/>
      <c r="AY327" s="22"/>
      <c r="AZ327" s="22"/>
    </row>
    <row r="328" ht="15.75" customHeight="1">
      <c r="D328" s="3"/>
      <c r="J328" s="3"/>
      <c r="K328" s="3"/>
      <c r="M328" s="10"/>
      <c r="Q328" s="11"/>
      <c r="R328" s="18"/>
      <c r="S328" s="18"/>
      <c r="U328" s="19"/>
      <c r="AC328" s="20"/>
      <c r="AY328" s="22"/>
      <c r="AZ328" s="22"/>
    </row>
    <row r="329" ht="15.75" customHeight="1">
      <c r="D329" s="3"/>
      <c r="J329" s="3"/>
      <c r="K329" s="3"/>
      <c r="M329" s="10"/>
      <c r="Q329" s="11"/>
      <c r="R329" s="18"/>
      <c r="S329" s="18"/>
      <c r="U329" s="19"/>
      <c r="AC329" s="20"/>
      <c r="AY329" s="22"/>
      <c r="AZ329" s="22"/>
    </row>
    <row r="330" ht="15.75" customHeight="1">
      <c r="D330" s="3"/>
      <c r="J330" s="3"/>
      <c r="K330" s="3"/>
      <c r="M330" s="10"/>
      <c r="Q330" s="11"/>
      <c r="R330" s="18"/>
      <c r="S330" s="18"/>
      <c r="U330" s="19"/>
      <c r="AC330" s="20"/>
      <c r="AY330" s="22"/>
      <c r="AZ330" s="22"/>
    </row>
    <row r="331" ht="15.75" customHeight="1">
      <c r="D331" s="3"/>
      <c r="J331" s="3"/>
      <c r="K331" s="3"/>
      <c r="M331" s="10"/>
      <c r="Q331" s="11"/>
      <c r="R331" s="18"/>
      <c r="S331" s="18"/>
      <c r="U331" s="19"/>
      <c r="AC331" s="20"/>
      <c r="AY331" s="22"/>
      <c r="AZ331" s="22"/>
    </row>
    <row r="332" ht="15.75" customHeight="1">
      <c r="D332" s="3"/>
      <c r="J332" s="3"/>
      <c r="K332" s="3"/>
      <c r="M332" s="10"/>
      <c r="Q332" s="11"/>
      <c r="R332" s="18"/>
      <c r="S332" s="18"/>
      <c r="U332" s="19"/>
      <c r="AC332" s="20"/>
      <c r="AY332" s="22"/>
      <c r="AZ332" s="22"/>
    </row>
    <row r="333" ht="15.75" customHeight="1">
      <c r="D333" s="3"/>
      <c r="J333" s="3"/>
      <c r="K333" s="3"/>
      <c r="M333" s="10"/>
      <c r="Q333" s="11"/>
      <c r="R333" s="18"/>
      <c r="S333" s="18"/>
      <c r="U333" s="19"/>
      <c r="AC333" s="20"/>
      <c r="AY333" s="22"/>
      <c r="AZ333" s="22"/>
    </row>
    <row r="334" ht="15.75" customHeight="1">
      <c r="D334" s="3"/>
      <c r="J334" s="3"/>
      <c r="K334" s="3"/>
      <c r="M334" s="10"/>
      <c r="Q334" s="11"/>
      <c r="R334" s="18"/>
      <c r="S334" s="18"/>
      <c r="U334" s="19"/>
      <c r="AC334" s="20"/>
      <c r="AY334" s="22"/>
      <c r="AZ334" s="22"/>
    </row>
    <row r="335" ht="15.75" customHeight="1">
      <c r="D335" s="3"/>
      <c r="J335" s="3"/>
      <c r="K335" s="3"/>
      <c r="M335" s="10"/>
      <c r="Q335" s="11"/>
      <c r="R335" s="18"/>
      <c r="S335" s="18"/>
      <c r="U335" s="19"/>
      <c r="AC335" s="20"/>
      <c r="AY335" s="22"/>
      <c r="AZ335" s="22"/>
    </row>
    <row r="336" ht="15.75" customHeight="1">
      <c r="D336" s="3"/>
      <c r="J336" s="3"/>
      <c r="K336" s="3"/>
      <c r="M336" s="10"/>
      <c r="Q336" s="11"/>
      <c r="R336" s="18"/>
      <c r="S336" s="18"/>
      <c r="U336" s="19"/>
      <c r="AC336" s="20"/>
      <c r="AY336" s="22"/>
      <c r="AZ336" s="22"/>
    </row>
    <row r="337" ht="15.75" customHeight="1">
      <c r="D337" s="3"/>
      <c r="J337" s="3"/>
      <c r="K337" s="3"/>
      <c r="M337" s="10"/>
      <c r="Q337" s="11"/>
      <c r="R337" s="18"/>
      <c r="S337" s="18"/>
      <c r="U337" s="19"/>
      <c r="AC337" s="20"/>
      <c r="AY337" s="22"/>
      <c r="AZ337" s="22"/>
    </row>
    <row r="338" ht="15.75" customHeight="1">
      <c r="D338" s="3"/>
      <c r="J338" s="3"/>
      <c r="K338" s="3"/>
      <c r="M338" s="10"/>
      <c r="Q338" s="11"/>
      <c r="R338" s="18"/>
      <c r="S338" s="18"/>
      <c r="U338" s="19"/>
      <c r="AC338" s="20"/>
      <c r="AY338" s="22"/>
      <c r="AZ338" s="22"/>
    </row>
    <row r="339" ht="15.75" customHeight="1">
      <c r="D339" s="3"/>
      <c r="J339" s="3"/>
      <c r="K339" s="3"/>
      <c r="M339" s="10"/>
      <c r="Q339" s="11"/>
      <c r="R339" s="18"/>
      <c r="S339" s="18"/>
      <c r="U339" s="19"/>
      <c r="AC339" s="20"/>
      <c r="AY339" s="22"/>
      <c r="AZ339" s="22"/>
    </row>
    <row r="340" ht="15.75" customHeight="1">
      <c r="D340" s="3"/>
      <c r="J340" s="3"/>
      <c r="K340" s="3"/>
      <c r="M340" s="10"/>
      <c r="Q340" s="11"/>
      <c r="R340" s="18"/>
      <c r="S340" s="18"/>
      <c r="U340" s="19"/>
      <c r="AC340" s="20"/>
      <c r="AY340" s="22"/>
      <c r="AZ340" s="22"/>
    </row>
    <row r="341" ht="15.75" customHeight="1">
      <c r="D341" s="3"/>
      <c r="J341" s="3"/>
      <c r="K341" s="3"/>
      <c r="M341" s="10"/>
      <c r="Q341" s="11"/>
      <c r="R341" s="18"/>
      <c r="S341" s="18"/>
      <c r="U341" s="19"/>
      <c r="AC341" s="20"/>
      <c r="AY341" s="22"/>
      <c r="AZ341" s="22"/>
    </row>
    <row r="342" ht="15.75" customHeight="1">
      <c r="D342" s="3"/>
      <c r="J342" s="3"/>
      <c r="K342" s="3"/>
      <c r="M342" s="10"/>
      <c r="Q342" s="11"/>
      <c r="R342" s="18"/>
      <c r="S342" s="18"/>
      <c r="U342" s="19"/>
      <c r="AC342" s="20"/>
      <c r="AY342" s="22"/>
      <c r="AZ342" s="22"/>
    </row>
    <row r="343" ht="15.75" customHeight="1">
      <c r="D343" s="3"/>
      <c r="J343" s="3"/>
      <c r="K343" s="3"/>
      <c r="M343" s="10"/>
      <c r="Q343" s="11"/>
      <c r="R343" s="18"/>
      <c r="S343" s="18"/>
      <c r="U343" s="19"/>
      <c r="AC343" s="20"/>
      <c r="AY343" s="22"/>
      <c r="AZ343" s="22"/>
    </row>
    <row r="344" ht="15.75" customHeight="1">
      <c r="D344" s="3"/>
      <c r="J344" s="3"/>
      <c r="K344" s="3"/>
      <c r="M344" s="10"/>
      <c r="Q344" s="11"/>
      <c r="R344" s="18"/>
      <c r="S344" s="18"/>
      <c r="U344" s="19"/>
      <c r="AC344" s="20"/>
      <c r="AY344" s="22"/>
      <c r="AZ344" s="22"/>
    </row>
    <row r="345" ht="15.75" customHeight="1">
      <c r="D345" s="3"/>
      <c r="J345" s="3"/>
      <c r="K345" s="3"/>
      <c r="M345" s="10"/>
      <c r="Q345" s="11"/>
      <c r="R345" s="18"/>
      <c r="S345" s="18"/>
      <c r="U345" s="19"/>
      <c r="AC345" s="20"/>
      <c r="AY345" s="22"/>
      <c r="AZ345" s="22"/>
    </row>
    <row r="346" ht="15.75" customHeight="1">
      <c r="D346" s="3"/>
      <c r="J346" s="3"/>
      <c r="K346" s="3"/>
      <c r="M346" s="10"/>
      <c r="Q346" s="11"/>
      <c r="R346" s="18"/>
      <c r="S346" s="18"/>
      <c r="U346" s="19"/>
      <c r="AC346" s="20"/>
      <c r="AY346" s="22"/>
      <c r="AZ346" s="22"/>
    </row>
    <row r="347" ht="15.75" customHeight="1">
      <c r="D347" s="3"/>
      <c r="J347" s="3"/>
      <c r="K347" s="3"/>
      <c r="M347" s="10"/>
      <c r="Q347" s="11"/>
      <c r="R347" s="18"/>
      <c r="S347" s="18"/>
      <c r="U347" s="19"/>
      <c r="AC347" s="20"/>
      <c r="AY347" s="22"/>
      <c r="AZ347" s="22"/>
    </row>
    <row r="348" ht="15.75" customHeight="1">
      <c r="D348" s="3"/>
      <c r="J348" s="3"/>
      <c r="K348" s="3"/>
      <c r="M348" s="10"/>
      <c r="Q348" s="11"/>
      <c r="R348" s="18"/>
      <c r="S348" s="18"/>
      <c r="U348" s="19"/>
      <c r="AC348" s="20"/>
      <c r="AY348" s="22"/>
      <c r="AZ348" s="22"/>
    </row>
    <row r="349" ht="15.75" customHeight="1">
      <c r="D349" s="3"/>
      <c r="J349" s="3"/>
      <c r="K349" s="3"/>
      <c r="M349" s="10"/>
      <c r="Q349" s="11"/>
      <c r="R349" s="18"/>
      <c r="S349" s="18"/>
      <c r="U349" s="19"/>
      <c r="AC349" s="20"/>
      <c r="AY349" s="22"/>
      <c r="AZ349" s="22"/>
    </row>
    <row r="350" ht="15.75" customHeight="1">
      <c r="D350" s="3"/>
      <c r="J350" s="3"/>
      <c r="K350" s="3"/>
      <c r="M350" s="10"/>
      <c r="Q350" s="11"/>
      <c r="R350" s="18"/>
      <c r="S350" s="18"/>
      <c r="U350" s="19"/>
      <c r="AC350" s="20"/>
      <c r="AY350" s="22"/>
      <c r="AZ350" s="22"/>
    </row>
    <row r="351" ht="15.75" customHeight="1">
      <c r="D351" s="3"/>
      <c r="J351" s="3"/>
      <c r="K351" s="3"/>
      <c r="M351" s="10"/>
      <c r="Q351" s="11"/>
      <c r="R351" s="18"/>
      <c r="S351" s="18"/>
      <c r="U351" s="19"/>
      <c r="AC351" s="20"/>
      <c r="AY351" s="22"/>
      <c r="AZ351" s="22"/>
    </row>
    <row r="352" ht="15.75" customHeight="1">
      <c r="D352" s="3"/>
      <c r="J352" s="3"/>
      <c r="K352" s="3"/>
      <c r="M352" s="10"/>
      <c r="Q352" s="11"/>
      <c r="R352" s="18"/>
      <c r="S352" s="18"/>
      <c r="U352" s="19"/>
      <c r="AC352" s="20"/>
      <c r="AY352" s="22"/>
      <c r="AZ352" s="22"/>
    </row>
    <row r="353" ht="15.75" customHeight="1">
      <c r="D353" s="3"/>
      <c r="J353" s="3"/>
      <c r="K353" s="3"/>
      <c r="M353" s="10"/>
      <c r="Q353" s="11"/>
      <c r="R353" s="18"/>
      <c r="S353" s="18"/>
      <c r="U353" s="19"/>
      <c r="AC353" s="20"/>
      <c r="AY353" s="22"/>
      <c r="AZ353" s="22"/>
    </row>
    <row r="354" ht="15.75" customHeight="1">
      <c r="D354" s="3"/>
      <c r="J354" s="3"/>
      <c r="K354" s="3"/>
      <c r="M354" s="10"/>
      <c r="Q354" s="11"/>
      <c r="R354" s="18"/>
      <c r="S354" s="18"/>
      <c r="U354" s="19"/>
      <c r="AC354" s="20"/>
      <c r="AY354" s="22"/>
      <c r="AZ354" s="22"/>
    </row>
    <row r="355" ht="15.75" customHeight="1">
      <c r="D355" s="3"/>
      <c r="J355" s="3"/>
      <c r="K355" s="3"/>
      <c r="M355" s="10"/>
      <c r="Q355" s="11"/>
      <c r="R355" s="18"/>
      <c r="S355" s="18"/>
      <c r="U355" s="19"/>
      <c r="AC355" s="20"/>
      <c r="AY355" s="22"/>
      <c r="AZ355" s="22"/>
    </row>
    <row r="356" ht="15.75" customHeight="1">
      <c r="D356" s="3"/>
      <c r="J356" s="3"/>
      <c r="K356" s="3"/>
      <c r="M356" s="10"/>
      <c r="Q356" s="11"/>
      <c r="R356" s="18"/>
      <c r="S356" s="18"/>
      <c r="U356" s="19"/>
      <c r="AC356" s="20"/>
      <c r="AY356" s="22"/>
      <c r="AZ356" s="22"/>
    </row>
    <row r="357" ht="15.75" customHeight="1">
      <c r="D357" s="3"/>
      <c r="J357" s="3"/>
      <c r="K357" s="3"/>
      <c r="M357" s="10"/>
      <c r="Q357" s="11"/>
      <c r="R357" s="18"/>
      <c r="S357" s="18"/>
      <c r="U357" s="19"/>
      <c r="AC357" s="20"/>
      <c r="AY357" s="22"/>
      <c r="AZ357" s="22"/>
    </row>
    <row r="358" ht="15.75" customHeight="1">
      <c r="D358" s="3"/>
      <c r="J358" s="3"/>
      <c r="K358" s="3"/>
      <c r="M358" s="10"/>
      <c r="Q358" s="11"/>
      <c r="R358" s="18"/>
      <c r="S358" s="18"/>
      <c r="U358" s="19"/>
      <c r="AC358" s="20"/>
      <c r="AY358" s="22"/>
      <c r="AZ358" s="22"/>
    </row>
    <row r="359" ht="15.75" customHeight="1">
      <c r="D359" s="3"/>
      <c r="J359" s="3"/>
      <c r="K359" s="3"/>
      <c r="M359" s="10"/>
      <c r="Q359" s="11"/>
      <c r="R359" s="18"/>
      <c r="S359" s="18"/>
      <c r="U359" s="19"/>
      <c r="AC359" s="20"/>
      <c r="AY359" s="22"/>
      <c r="AZ359" s="22"/>
    </row>
    <row r="360" ht="15.75" customHeight="1">
      <c r="D360" s="3"/>
      <c r="J360" s="3"/>
      <c r="K360" s="3"/>
      <c r="M360" s="10"/>
      <c r="Q360" s="11"/>
      <c r="R360" s="18"/>
      <c r="S360" s="18"/>
      <c r="U360" s="19"/>
      <c r="AC360" s="20"/>
      <c r="AY360" s="22"/>
      <c r="AZ360" s="22"/>
    </row>
    <row r="361" ht="15.75" customHeight="1">
      <c r="D361" s="3"/>
      <c r="J361" s="3"/>
      <c r="K361" s="3"/>
      <c r="M361" s="10"/>
      <c r="Q361" s="11"/>
      <c r="R361" s="18"/>
      <c r="S361" s="18"/>
      <c r="U361" s="19"/>
      <c r="AC361" s="20"/>
      <c r="AY361" s="22"/>
      <c r="AZ361" s="22"/>
    </row>
    <row r="362" ht="15.75" customHeight="1">
      <c r="D362" s="3"/>
      <c r="J362" s="3"/>
      <c r="K362" s="3"/>
      <c r="M362" s="10"/>
      <c r="Q362" s="11"/>
      <c r="R362" s="18"/>
      <c r="S362" s="18"/>
      <c r="U362" s="19"/>
      <c r="AC362" s="20"/>
      <c r="AY362" s="22"/>
      <c r="AZ362" s="22"/>
    </row>
    <row r="363" ht="15.75" customHeight="1">
      <c r="D363" s="3"/>
      <c r="J363" s="3"/>
      <c r="K363" s="3"/>
      <c r="M363" s="10"/>
      <c r="Q363" s="11"/>
      <c r="R363" s="18"/>
      <c r="S363" s="18"/>
      <c r="U363" s="19"/>
      <c r="AC363" s="20"/>
      <c r="AY363" s="22"/>
      <c r="AZ363" s="22"/>
    </row>
    <row r="364" ht="15.75" customHeight="1">
      <c r="D364" s="3"/>
      <c r="J364" s="3"/>
      <c r="K364" s="3"/>
      <c r="M364" s="10"/>
      <c r="Q364" s="11"/>
      <c r="R364" s="18"/>
      <c r="S364" s="18"/>
      <c r="U364" s="19"/>
      <c r="AC364" s="20"/>
      <c r="AY364" s="22"/>
      <c r="AZ364" s="22"/>
    </row>
    <row r="365" ht="15.75" customHeight="1">
      <c r="D365" s="3"/>
      <c r="J365" s="3"/>
      <c r="K365" s="3"/>
      <c r="M365" s="10"/>
      <c r="Q365" s="11"/>
      <c r="R365" s="18"/>
      <c r="S365" s="18"/>
      <c r="U365" s="19"/>
      <c r="AC365" s="20"/>
      <c r="AY365" s="22"/>
      <c r="AZ365" s="22"/>
    </row>
    <row r="366" ht="15.75" customHeight="1">
      <c r="D366" s="3"/>
      <c r="J366" s="3"/>
      <c r="K366" s="3"/>
      <c r="M366" s="10"/>
      <c r="Q366" s="11"/>
      <c r="R366" s="18"/>
      <c r="S366" s="18"/>
      <c r="U366" s="19"/>
      <c r="AC366" s="20"/>
      <c r="AY366" s="22"/>
      <c r="AZ366" s="22"/>
    </row>
    <row r="367" ht="15.75" customHeight="1">
      <c r="D367" s="3"/>
      <c r="J367" s="3"/>
      <c r="K367" s="3"/>
      <c r="M367" s="10"/>
      <c r="Q367" s="11"/>
      <c r="R367" s="18"/>
      <c r="S367" s="18"/>
      <c r="U367" s="19"/>
      <c r="AC367" s="20"/>
      <c r="AY367" s="22"/>
      <c r="AZ367" s="22"/>
    </row>
    <row r="368" ht="15.75" customHeight="1">
      <c r="D368" s="3"/>
      <c r="J368" s="3"/>
      <c r="K368" s="3"/>
      <c r="M368" s="10"/>
      <c r="Q368" s="11"/>
      <c r="R368" s="18"/>
      <c r="S368" s="18"/>
      <c r="U368" s="19"/>
      <c r="AC368" s="20"/>
      <c r="AY368" s="22"/>
      <c r="AZ368" s="22"/>
    </row>
    <row r="369" ht="15.75" customHeight="1">
      <c r="D369" s="3"/>
      <c r="J369" s="3"/>
      <c r="K369" s="3"/>
      <c r="M369" s="10"/>
      <c r="Q369" s="11"/>
      <c r="R369" s="18"/>
      <c r="S369" s="18"/>
      <c r="U369" s="19"/>
      <c r="AC369" s="20"/>
      <c r="AY369" s="22"/>
      <c r="AZ369" s="22"/>
    </row>
    <row r="370" ht="15.75" customHeight="1">
      <c r="D370" s="3"/>
      <c r="J370" s="3"/>
      <c r="K370" s="3"/>
      <c r="M370" s="10"/>
      <c r="Q370" s="11"/>
      <c r="R370" s="18"/>
      <c r="S370" s="18"/>
      <c r="U370" s="19"/>
      <c r="AC370" s="20"/>
      <c r="AY370" s="22"/>
      <c r="AZ370" s="22"/>
    </row>
    <row r="371" ht="15.75" customHeight="1">
      <c r="D371" s="3"/>
      <c r="J371" s="3"/>
      <c r="K371" s="3"/>
      <c r="M371" s="10"/>
      <c r="Q371" s="11"/>
      <c r="R371" s="18"/>
      <c r="S371" s="18"/>
      <c r="U371" s="19"/>
      <c r="AC371" s="20"/>
      <c r="AY371" s="22"/>
      <c r="AZ371" s="22"/>
    </row>
    <row r="372" ht="15.75" customHeight="1">
      <c r="D372" s="3"/>
      <c r="J372" s="3"/>
      <c r="K372" s="3"/>
      <c r="M372" s="10"/>
      <c r="Q372" s="11"/>
      <c r="R372" s="18"/>
      <c r="S372" s="18"/>
      <c r="U372" s="19"/>
      <c r="AC372" s="20"/>
      <c r="AY372" s="22"/>
      <c r="AZ372" s="22"/>
    </row>
    <row r="373" ht="15.75" customHeight="1">
      <c r="D373" s="3"/>
      <c r="J373" s="3"/>
      <c r="K373" s="3"/>
      <c r="M373" s="10"/>
      <c r="Q373" s="11"/>
      <c r="R373" s="18"/>
      <c r="S373" s="18"/>
      <c r="U373" s="19"/>
      <c r="AC373" s="20"/>
      <c r="AY373" s="22"/>
      <c r="AZ373" s="22"/>
    </row>
    <row r="374" ht="15.75" customHeight="1">
      <c r="D374" s="3"/>
      <c r="J374" s="3"/>
      <c r="K374" s="3"/>
      <c r="M374" s="10"/>
      <c r="Q374" s="11"/>
      <c r="R374" s="18"/>
      <c r="S374" s="18"/>
      <c r="U374" s="19"/>
      <c r="AC374" s="20"/>
      <c r="AY374" s="22"/>
      <c r="AZ374" s="22"/>
    </row>
    <row r="375" ht="15.75" customHeight="1">
      <c r="D375" s="3"/>
      <c r="J375" s="3"/>
      <c r="K375" s="3"/>
      <c r="M375" s="10"/>
      <c r="Q375" s="11"/>
      <c r="R375" s="18"/>
      <c r="S375" s="18"/>
      <c r="U375" s="19"/>
      <c r="AC375" s="20"/>
      <c r="AY375" s="22"/>
      <c r="AZ375" s="22"/>
    </row>
    <row r="376" ht="15.75" customHeight="1">
      <c r="D376" s="3"/>
      <c r="J376" s="3"/>
      <c r="K376" s="3"/>
      <c r="M376" s="10"/>
      <c r="Q376" s="11"/>
      <c r="R376" s="18"/>
      <c r="S376" s="18"/>
      <c r="U376" s="19"/>
      <c r="AC376" s="20"/>
      <c r="AY376" s="22"/>
      <c r="AZ376" s="22"/>
    </row>
    <row r="377" ht="15.75" customHeight="1">
      <c r="D377" s="3"/>
      <c r="J377" s="3"/>
      <c r="K377" s="3"/>
      <c r="M377" s="10"/>
      <c r="Q377" s="11"/>
      <c r="R377" s="18"/>
      <c r="S377" s="18"/>
      <c r="U377" s="19"/>
      <c r="AC377" s="20"/>
      <c r="AY377" s="22"/>
      <c r="AZ377" s="22"/>
    </row>
    <row r="378" ht="15.75" customHeight="1">
      <c r="D378" s="3"/>
      <c r="J378" s="3"/>
      <c r="K378" s="3"/>
      <c r="M378" s="10"/>
      <c r="Q378" s="11"/>
      <c r="R378" s="18"/>
      <c r="S378" s="18"/>
      <c r="U378" s="19"/>
      <c r="AC378" s="20"/>
      <c r="AY378" s="22"/>
      <c r="AZ378" s="22"/>
    </row>
    <row r="379" ht="15.75" customHeight="1">
      <c r="D379" s="3"/>
      <c r="J379" s="3"/>
      <c r="K379" s="3"/>
      <c r="M379" s="10"/>
      <c r="Q379" s="11"/>
      <c r="R379" s="18"/>
      <c r="S379" s="18"/>
      <c r="U379" s="19"/>
      <c r="AC379" s="20"/>
      <c r="AY379" s="22"/>
      <c r="AZ379" s="22"/>
    </row>
    <row r="380" ht="15.75" customHeight="1">
      <c r="D380" s="3"/>
      <c r="J380" s="3"/>
      <c r="K380" s="3"/>
      <c r="M380" s="10"/>
      <c r="Q380" s="11"/>
      <c r="R380" s="18"/>
      <c r="S380" s="18"/>
      <c r="U380" s="19"/>
      <c r="AC380" s="20"/>
      <c r="AY380" s="22"/>
      <c r="AZ380" s="22"/>
    </row>
    <row r="381" ht="15.75" customHeight="1">
      <c r="D381" s="3"/>
      <c r="J381" s="3"/>
      <c r="K381" s="3"/>
      <c r="M381" s="10"/>
      <c r="Q381" s="11"/>
      <c r="R381" s="18"/>
      <c r="S381" s="18"/>
      <c r="U381" s="19"/>
      <c r="AC381" s="20"/>
      <c r="AY381" s="22"/>
      <c r="AZ381" s="22"/>
    </row>
    <row r="382" ht="15.75" customHeight="1">
      <c r="D382" s="3"/>
      <c r="J382" s="3"/>
      <c r="K382" s="3"/>
      <c r="M382" s="10"/>
      <c r="Q382" s="11"/>
      <c r="R382" s="18"/>
      <c r="S382" s="18"/>
      <c r="U382" s="19"/>
      <c r="AC382" s="20"/>
      <c r="AY382" s="22"/>
      <c r="AZ382" s="22"/>
    </row>
    <row r="383" ht="15.75" customHeight="1">
      <c r="D383" s="3"/>
      <c r="J383" s="3"/>
      <c r="K383" s="3"/>
      <c r="M383" s="10"/>
      <c r="Q383" s="11"/>
      <c r="R383" s="18"/>
      <c r="S383" s="18"/>
      <c r="U383" s="19"/>
      <c r="AC383" s="20"/>
      <c r="AY383" s="22"/>
      <c r="AZ383" s="22"/>
    </row>
    <row r="384" ht="15.75" customHeight="1">
      <c r="D384" s="3"/>
      <c r="J384" s="3"/>
      <c r="K384" s="3"/>
      <c r="M384" s="10"/>
      <c r="Q384" s="11"/>
      <c r="R384" s="18"/>
      <c r="S384" s="18"/>
      <c r="U384" s="19"/>
      <c r="AC384" s="20"/>
      <c r="AY384" s="22"/>
      <c r="AZ384" s="22"/>
    </row>
    <row r="385" ht="15.75" customHeight="1">
      <c r="D385" s="3"/>
      <c r="J385" s="3"/>
      <c r="K385" s="3"/>
      <c r="M385" s="10"/>
      <c r="Q385" s="11"/>
      <c r="R385" s="18"/>
      <c r="S385" s="18"/>
      <c r="U385" s="19"/>
      <c r="AC385" s="20"/>
      <c r="AY385" s="22"/>
      <c r="AZ385" s="22"/>
    </row>
    <row r="386" ht="15.75" customHeight="1">
      <c r="D386" s="3"/>
      <c r="J386" s="3"/>
      <c r="K386" s="3"/>
      <c r="M386" s="10"/>
      <c r="Q386" s="11"/>
      <c r="R386" s="18"/>
      <c r="S386" s="18"/>
      <c r="U386" s="19"/>
      <c r="AC386" s="20"/>
      <c r="AY386" s="22"/>
      <c r="AZ386" s="22"/>
    </row>
    <row r="387" ht="15.75" customHeight="1">
      <c r="D387" s="3"/>
      <c r="J387" s="3"/>
      <c r="K387" s="3"/>
      <c r="M387" s="10"/>
      <c r="Q387" s="11"/>
      <c r="R387" s="18"/>
      <c r="S387" s="18"/>
      <c r="U387" s="19"/>
      <c r="AC387" s="20"/>
      <c r="AY387" s="22"/>
      <c r="AZ387" s="22"/>
    </row>
    <row r="388" ht="15.75" customHeight="1">
      <c r="D388" s="3"/>
      <c r="J388" s="3"/>
      <c r="K388" s="3"/>
      <c r="M388" s="10"/>
      <c r="Q388" s="11"/>
      <c r="R388" s="18"/>
      <c r="S388" s="18"/>
      <c r="U388" s="19"/>
      <c r="AC388" s="20"/>
      <c r="AY388" s="22"/>
      <c r="AZ388" s="22"/>
    </row>
    <row r="389" ht="15.75" customHeight="1">
      <c r="D389" s="3"/>
      <c r="J389" s="3"/>
      <c r="K389" s="3"/>
      <c r="M389" s="10"/>
      <c r="Q389" s="11"/>
      <c r="R389" s="18"/>
      <c r="S389" s="18"/>
      <c r="U389" s="19"/>
      <c r="AC389" s="20"/>
      <c r="AY389" s="22"/>
      <c r="AZ389" s="22"/>
    </row>
    <row r="390" ht="15.75" customHeight="1">
      <c r="D390" s="3"/>
      <c r="J390" s="3"/>
      <c r="K390" s="3"/>
      <c r="M390" s="10"/>
      <c r="Q390" s="11"/>
      <c r="R390" s="18"/>
      <c r="S390" s="18"/>
      <c r="U390" s="19"/>
      <c r="AC390" s="20"/>
      <c r="AY390" s="22"/>
      <c r="AZ390" s="22"/>
    </row>
    <row r="391" ht="15.75" customHeight="1">
      <c r="D391" s="3"/>
      <c r="J391" s="3"/>
      <c r="K391" s="3"/>
      <c r="M391" s="10"/>
      <c r="Q391" s="11"/>
      <c r="R391" s="18"/>
      <c r="S391" s="18"/>
      <c r="U391" s="19"/>
      <c r="AC391" s="20"/>
      <c r="AY391" s="22"/>
      <c r="AZ391" s="22"/>
    </row>
    <row r="392" ht="15.75" customHeight="1">
      <c r="D392" s="3"/>
      <c r="J392" s="3"/>
      <c r="K392" s="3"/>
      <c r="M392" s="10"/>
      <c r="Q392" s="11"/>
      <c r="R392" s="18"/>
      <c r="S392" s="18"/>
      <c r="U392" s="19"/>
      <c r="AC392" s="20"/>
      <c r="AY392" s="22"/>
      <c r="AZ392" s="22"/>
    </row>
    <row r="393" ht="15.75" customHeight="1">
      <c r="D393" s="3"/>
      <c r="J393" s="3"/>
      <c r="K393" s="3"/>
      <c r="M393" s="10"/>
      <c r="Q393" s="11"/>
      <c r="R393" s="18"/>
      <c r="S393" s="18"/>
      <c r="U393" s="19"/>
      <c r="AC393" s="20"/>
      <c r="AY393" s="22"/>
      <c r="AZ393" s="22"/>
    </row>
    <row r="394" ht="15.75" customHeight="1">
      <c r="D394" s="3"/>
      <c r="J394" s="3"/>
      <c r="K394" s="3"/>
      <c r="M394" s="10"/>
      <c r="Q394" s="11"/>
      <c r="R394" s="18"/>
      <c r="S394" s="18"/>
      <c r="U394" s="19"/>
      <c r="AC394" s="20"/>
      <c r="AY394" s="22"/>
      <c r="AZ394" s="22"/>
    </row>
    <row r="395" ht="15.75" customHeight="1">
      <c r="D395" s="3"/>
      <c r="J395" s="3"/>
      <c r="K395" s="3"/>
      <c r="M395" s="10"/>
      <c r="Q395" s="11"/>
      <c r="R395" s="18"/>
      <c r="S395" s="18"/>
      <c r="U395" s="19"/>
      <c r="AC395" s="20"/>
      <c r="AY395" s="22"/>
      <c r="AZ395" s="22"/>
    </row>
    <row r="396" ht="15.75" customHeight="1">
      <c r="D396" s="3"/>
      <c r="J396" s="3"/>
      <c r="K396" s="3"/>
      <c r="M396" s="10"/>
      <c r="Q396" s="11"/>
      <c r="R396" s="18"/>
      <c r="S396" s="18"/>
      <c r="U396" s="19"/>
      <c r="AC396" s="20"/>
      <c r="AY396" s="22"/>
      <c r="AZ396" s="22"/>
    </row>
    <row r="397" ht="15.75" customHeight="1">
      <c r="D397" s="3"/>
      <c r="J397" s="3"/>
      <c r="K397" s="3"/>
      <c r="M397" s="10"/>
      <c r="Q397" s="11"/>
      <c r="R397" s="18"/>
      <c r="S397" s="18"/>
      <c r="U397" s="19"/>
      <c r="AC397" s="20"/>
      <c r="AY397" s="22"/>
      <c r="AZ397" s="22"/>
    </row>
    <row r="398" ht="15.75" customHeight="1">
      <c r="D398" s="3"/>
      <c r="J398" s="3"/>
      <c r="K398" s="3"/>
      <c r="M398" s="10"/>
      <c r="Q398" s="11"/>
      <c r="R398" s="18"/>
      <c r="S398" s="18"/>
      <c r="U398" s="19"/>
      <c r="AC398" s="20"/>
      <c r="AY398" s="22"/>
      <c r="AZ398" s="22"/>
    </row>
    <row r="399" ht="15.75" customHeight="1">
      <c r="D399" s="3"/>
      <c r="J399" s="3"/>
      <c r="K399" s="3"/>
      <c r="M399" s="10"/>
      <c r="Q399" s="11"/>
      <c r="R399" s="18"/>
      <c r="S399" s="18"/>
      <c r="U399" s="19"/>
      <c r="AC399" s="20"/>
      <c r="AY399" s="22"/>
      <c r="AZ399" s="22"/>
    </row>
    <row r="400" ht="15.75" customHeight="1">
      <c r="D400" s="3"/>
      <c r="J400" s="3"/>
      <c r="K400" s="3"/>
      <c r="M400" s="10"/>
      <c r="Q400" s="11"/>
      <c r="R400" s="18"/>
      <c r="S400" s="18"/>
      <c r="U400" s="19"/>
      <c r="AC400" s="20"/>
      <c r="AY400" s="22"/>
      <c r="AZ400" s="22"/>
    </row>
    <row r="401" ht="15.75" customHeight="1">
      <c r="D401" s="3"/>
      <c r="J401" s="3"/>
      <c r="K401" s="3"/>
      <c r="M401" s="10"/>
      <c r="Q401" s="11"/>
      <c r="R401" s="18"/>
      <c r="S401" s="18"/>
      <c r="U401" s="19"/>
      <c r="AC401" s="20"/>
      <c r="AY401" s="22"/>
      <c r="AZ401" s="22"/>
    </row>
    <row r="402" ht="15.75" customHeight="1">
      <c r="D402" s="3"/>
      <c r="J402" s="3"/>
      <c r="K402" s="3"/>
      <c r="M402" s="10"/>
      <c r="Q402" s="11"/>
      <c r="R402" s="18"/>
      <c r="S402" s="18"/>
      <c r="U402" s="19"/>
      <c r="AC402" s="20"/>
      <c r="AY402" s="22"/>
      <c r="AZ402" s="22"/>
    </row>
    <row r="403" ht="15.75" customHeight="1">
      <c r="D403" s="3"/>
      <c r="J403" s="3"/>
      <c r="K403" s="3"/>
      <c r="M403" s="10"/>
      <c r="Q403" s="11"/>
      <c r="R403" s="18"/>
      <c r="S403" s="18"/>
      <c r="U403" s="19"/>
      <c r="AC403" s="20"/>
      <c r="AY403" s="22"/>
      <c r="AZ403" s="22"/>
    </row>
    <row r="404" ht="15.75" customHeight="1">
      <c r="D404" s="3"/>
      <c r="J404" s="3"/>
      <c r="K404" s="3"/>
      <c r="M404" s="10"/>
      <c r="Q404" s="11"/>
      <c r="R404" s="18"/>
      <c r="S404" s="18"/>
      <c r="U404" s="19"/>
      <c r="AC404" s="20"/>
      <c r="AY404" s="22"/>
      <c r="AZ404" s="22"/>
    </row>
    <row r="405" ht="15.75" customHeight="1">
      <c r="D405" s="3"/>
      <c r="J405" s="3"/>
      <c r="K405" s="3"/>
      <c r="M405" s="10"/>
      <c r="Q405" s="11"/>
      <c r="R405" s="18"/>
      <c r="S405" s="18"/>
      <c r="U405" s="19"/>
      <c r="AC405" s="20"/>
      <c r="AY405" s="22"/>
      <c r="AZ405" s="22"/>
    </row>
    <row r="406" ht="15.75" customHeight="1">
      <c r="D406" s="3"/>
      <c r="J406" s="3"/>
      <c r="K406" s="3"/>
      <c r="M406" s="10"/>
      <c r="Q406" s="11"/>
      <c r="R406" s="18"/>
      <c r="S406" s="18"/>
      <c r="U406" s="19"/>
      <c r="AC406" s="20"/>
      <c r="AY406" s="22"/>
      <c r="AZ406" s="22"/>
    </row>
    <row r="407" ht="15.75" customHeight="1">
      <c r="D407" s="3"/>
      <c r="J407" s="3"/>
      <c r="K407" s="3"/>
      <c r="M407" s="10"/>
      <c r="Q407" s="11"/>
      <c r="R407" s="18"/>
      <c r="S407" s="18"/>
      <c r="U407" s="19"/>
      <c r="AC407" s="20"/>
      <c r="AY407" s="22"/>
      <c r="AZ407" s="22"/>
    </row>
    <row r="408" ht="15.75" customHeight="1">
      <c r="D408" s="3"/>
      <c r="J408" s="3"/>
      <c r="K408" s="3"/>
      <c r="M408" s="10"/>
      <c r="Q408" s="11"/>
      <c r="R408" s="18"/>
      <c r="S408" s="18"/>
      <c r="U408" s="19"/>
      <c r="AC408" s="20"/>
      <c r="AY408" s="22"/>
      <c r="AZ408" s="22"/>
    </row>
    <row r="409" ht="15.75" customHeight="1">
      <c r="D409" s="3"/>
      <c r="J409" s="3"/>
      <c r="K409" s="3"/>
      <c r="M409" s="10"/>
      <c r="Q409" s="11"/>
      <c r="R409" s="18"/>
      <c r="S409" s="18"/>
      <c r="U409" s="19"/>
      <c r="AC409" s="20"/>
      <c r="AY409" s="22"/>
      <c r="AZ409" s="22"/>
    </row>
    <row r="410" ht="15.75" customHeight="1">
      <c r="D410" s="3"/>
      <c r="J410" s="3"/>
      <c r="K410" s="3"/>
      <c r="M410" s="10"/>
      <c r="Q410" s="11"/>
      <c r="R410" s="18"/>
      <c r="S410" s="18"/>
      <c r="U410" s="19"/>
      <c r="AC410" s="20"/>
      <c r="AY410" s="22"/>
      <c r="AZ410" s="22"/>
    </row>
    <row r="411" ht="15.75" customHeight="1">
      <c r="D411" s="3"/>
      <c r="J411" s="3"/>
      <c r="K411" s="3"/>
      <c r="M411" s="10"/>
      <c r="Q411" s="11"/>
      <c r="R411" s="18"/>
      <c r="S411" s="18"/>
      <c r="U411" s="19"/>
      <c r="AC411" s="20"/>
      <c r="AY411" s="22"/>
      <c r="AZ411" s="22"/>
    </row>
    <row r="412" ht="15.75" customHeight="1">
      <c r="D412" s="3"/>
      <c r="J412" s="3"/>
      <c r="K412" s="3"/>
      <c r="M412" s="10"/>
      <c r="Q412" s="11"/>
      <c r="R412" s="18"/>
      <c r="S412" s="18"/>
      <c r="U412" s="19"/>
      <c r="AC412" s="20"/>
      <c r="AY412" s="22"/>
      <c r="AZ412" s="22"/>
    </row>
    <row r="413" ht="15.75" customHeight="1">
      <c r="D413" s="3"/>
      <c r="J413" s="3"/>
      <c r="K413" s="3"/>
      <c r="M413" s="10"/>
      <c r="Q413" s="11"/>
      <c r="R413" s="18"/>
      <c r="S413" s="18"/>
      <c r="U413" s="19"/>
      <c r="AC413" s="20"/>
      <c r="AY413" s="22"/>
      <c r="AZ413" s="22"/>
    </row>
    <row r="414" ht="15.75" customHeight="1">
      <c r="D414" s="3"/>
      <c r="J414" s="3"/>
      <c r="K414" s="3"/>
      <c r="M414" s="10"/>
      <c r="Q414" s="11"/>
      <c r="R414" s="18"/>
      <c r="S414" s="18"/>
      <c r="U414" s="19"/>
      <c r="AC414" s="20"/>
      <c r="AY414" s="22"/>
      <c r="AZ414" s="22"/>
    </row>
    <row r="415" ht="15.75" customHeight="1">
      <c r="D415" s="3"/>
      <c r="J415" s="3"/>
      <c r="K415" s="3"/>
      <c r="M415" s="10"/>
      <c r="Q415" s="11"/>
      <c r="R415" s="18"/>
      <c r="S415" s="18"/>
      <c r="U415" s="19"/>
      <c r="AC415" s="20"/>
      <c r="AY415" s="22"/>
      <c r="AZ415" s="22"/>
    </row>
    <row r="416" ht="15.75" customHeight="1">
      <c r="D416" s="3"/>
      <c r="J416" s="3"/>
      <c r="K416" s="3"/>
      <c r="M416" s="10"/>
      <c r="Q416" s="11"/>
      <c r="R416" s="18"/>
      <c r="S416" s="18"/>
      <c r="U416" s="19"/>
      <c r="AC416" s="20"/>
      <c r="AY416" s="22"/>
      <c r="AZ416" s="22"/>
    </row>
    <row r="417" ht="15.75" customHeight="1">
      <c r="D417" s="3"/>
      <c r="J417" s="3"/>
      <c r="K417" s="3"/>
      <c r="M417" s="10"/>
      <c r="Q417" s="11"/>
      <c r="R417" s="18"/>
      <c r="S417" s="18"/>
      <c r="U417" s="19"/>
      <c r="AC417" s="20"/>
      <c r="AY417" s="22"/>
      <c r="AZ417" s="22"/>
    </row>
    <row r="418" ht="15.75" customHeight="1">
      <c r="D418" s="3"/>
      <c r="J418" s="3"/>
      <c r="K418" s="3"/>
      <c r="M418" s="10"/>
      <c r="Q418" s="11"/>
      <c r="R418" s="18"/>
      <c r="S418" s="18"/>
      <c r="U418" s="19"/>
      <c r="AC418" s="20"/>
      <c r="AY418" s="22"/>
      <c r="AZ418" s="22"/>
    </row>
    <row r="419" ht="15.75" customHeight="1">
      <c r="D419" s="3"/>
      <c r="J419" s="3"/>
      <c r="K419" s="3"/>
      <c r="M419" s="10"/>
      <c r="Q419" s="11"/>
      <c r="R419" s="18"/>
      <c r="S419" s="18"/>
      <c r="U419" s="19"/>
      <c r="AC419" s="20"/>
      <c r="AY419" s="22"/>
      <c r="AZ419" s="22"/>
    </row>
    <row r="420" ht="15.75" customHeight="1">
      <c r="D420" s="3"/>
      <c r="J420" s="3"/>
      <c r="K420" s="3"/>
      <c r="M420" s="10"/>
      <c r="Q420" s="11"/>
      <c r="R420" s="18"/>
      <c r="S420" s="18"/>
      <c r="U420" s="19"/>
      <c r="AC420" s="20"/>
      <c r="AY420" s="22"/>
      <c r="AZ420" s="22"/>
    </row>
    <row r="421" ht="15.75" customHeight="1">
      <c r="D421" s="3"/>
      <c r="J421" s="3"/>
      <c r="K421" s="3"/>
      <c r="M421" s="10"/>
      <c r="Q421" s="11"/>
      <c r="R421" s="18"/>
      <c r="S421" s="18"/>
      <c r="U421" s="19"/>
      <c r="AC421" s="20"/>
      <c r="AY421" s="22"/>
      <c r="AZ421" s="22"/>
    </row>
    <row r="422" ht="15.75" customHeight="1">
      <c r="D422" s="3"/>
      <c r="J422" s="3"/>
      <c r="K422" s="3"/>
      <c r="M422" s="10"/>
      <c r="Q422" s="11"/>
      <c r="R422" s="18"/>
      <c r="S422" s="18"/>
      <c r="U422" s="19"/>
      <c r="AC422" s="20"/>
      <c r="AY422" s="22"/>
      <c r="AZ422" s="22"/>
    </row>
    <row r="423" ht="15.75" customHeight="1">
      <c r="D423" s="3"/>
      <c r="J423" s="3"/>
      <c r="K423" s="3"/>
      <c r="M423" s="10"/>
      <c r="Q423" s="11"/>
      <c r="R423" s="18"/>
      <c r="S423" s="18"/>
      <c r="U423" s="19"/>
      <c r="AC423" s="20"/>
      <c r="AY423" s="22"/>
      <c r="AZ423" s="22"/>
    </row>
    <row r="424" ht="15.75" customHeight="1">
      <c r="D424" s="3"/>
      <c r="J424" s="3"/>
      <c r="K424" s="3"/>
      <c r="M424" s="10"/>
      <c r="Q424" s="11"/>
      <c r="R424" s="18"/>
      <c r="S424" s="18"/>
      <c r="U424" s="19"/>
      <c r="AC424" s="20"/>
      <c r="AY424" s="22"/>
      <c r="AZ424" s="22"/>
    </row>
    <row r="425" ht="15.75" customHeight="1">
      <c r="D425" s="3"/>
      <c r="J425" s="3"/>
      <c r="K425" s="3"/>
      <c r="M425" s="10"/>
      <c r="Q425" s="11"/>
      <c r="R425" s="18"/>
      <c r="S425" s="18"/>
      <c r="U425" s="19"/>
      <c r="AC425" s="20"/>
      <c r="AY425" s="22"/>
      <c r="AZ425" s="22"/>
    </row>
    <row r="426" ht="15.75" customHeight="1">
      <c r="D426" s="3"/>
      <c r="J426" s="3"/>
      <c r="K426" s="3"/>
      <c r="M426" s="10"/>
      <c r="Q426" s="11"/>
      <c r="R426" s="18"/>
      <c r="S426" s="18"/>
      <c r="U426" s="19"/>
      <c r="AC426" s="20"/>
      <c r="AY426" s="22"/>
      <c r="AZ426" s="22"/>
    </row>
    <row r="427" ht="15.75" customHeight="1">
      <c r="D427" s="3"/>
      <c r="J427" s="3"/>
      <c r="K427" s="3"/>
      <c r="M427" s="10"/>
      <c r="Q427" s="11"/>
      <c r="R427" s="18"/>
      <c r="S427" s="18"/>
      <c r="U427" s="19"/>
      <c r="AC427" s="20"/>
      <c r="AY427" s="22"/>
      <c r="AZ427" s="22"/>
    </row>
    <row r="428" ht="15.75" customHeight="1">
      <c r="D428" s="3"/>
      <c r="J428" s="3"/>
      <c r="K428" s="3"/>
      <c r="M428" s="10"/>
      <c r="Q428" s="11"/>
      <c r="R428" s="18"/>
      <c r="S428" s="18"/>
      <c r="U428" s="19"/>
      <c r="AC428" s="20"/>
      <c r="AY428" s="22"/>
      <c r="AZ428" s="22"/>
    </row>
    <row r="429" ht="15.75" customHeight="1">
      <c r="D429" s="3"/>
      <c r="J429" s="3"/>
      <c r="K429" s="3"/>
      <c r="M429" s="10"/>
      <c r="Q429" s="11"/>
      <c r="R429" s="18"/>
      <c r="S429" s="18"/>
      <c r="U429" s="19"/>
      <c r="AC429" s="20"/>
      <c r="AY429" s="22"/>
      <c r="AZ429" s="22"/>
    </row>
    <row r="430" ht="15.75" customHeight="1">
      <c r="D430" s="3"/>
      <c r="J430" s="3"/>
      <c r="K430" s="3"/>
      <c r="M430" s="10"/>
      <c r="Q430" s="11"/>
      <c r="R430" s="18"/>
      <c r="S430" s="18"/>
      <c r="U430" s="19"/>
      <c r="AC430" s="20"/>
      <c r="AY430" s="22"/>
      <c r="AZ430" s="22"/>
    </row>
    <row r="431" ht="15.75" customHeight="1">
      <c r="D431" s="3"/>
      <c r="J431" s="3"/>
      <c r="K431" s="3"/>
      <c r="M431" s="10"/>
      <c r="Q431" s="11"/>
      <c r="R431" s="18"/>
      <c r="S431" s="18"/>
      <c r="U431" s="19"/>
      <c r="AC431" s="20"/>
      <c r="AY431" s="22"/>
      <c r="AZ431" s="22"/>
    </row>
    <row r="432" ht="15.75" customHeight="1">
      <c r="D432" s="3"/>
      <c r="J432" s="3"/>
      <c r="K432" s="3"/>
      <c r="M432" s="10"/>
      <c r="Q432" s="11"/>
      <c r="R432" s="18"/>
      <c r="S432" s="18"/>
      <c r="U432" s="19"/>
      <c r="AC432" s="20"/>
      <c r="AY432" s="22"/>
      <c r="AZ432" s="22"/>
    </row>
    <row r="433" ht="15.75" customHeight="1">
      <c r="D433" s="3"/>
      <c r="J433" s="3"/>
      <c r="K433" s="3"/>
      <c r="M433" s="10"/>
      <c r="Q433" s="11"/>
      <c r="R433" s="18"/>
      <c r="S433" s="18"/>
      <c r="U433" s="19"/>
      <c r="AC433" s="20"/>
      <c r="AY433" s="22"/>
      <c r="AZ433" s="22"/>
    </row>
    <row r="434" ht="15.75" customHeight="1">
      <c r="D434" s="3"/>
      <c r="J434" s="3"/>
      <c r="K434" s="3"/>
      <c r="M434" s="10"/>
      <c r="Q434" s="11"/>
      <c r="R434" s="18"/>
      <c r="S434" s="18"/>
      <c r="U434" s="19"/>
      <c r="AC434" s="20"/>
      <c r="AY434" s="22"/>
      <c r="AZ434" s="22"/>
    </row>
    <row r="435" ht="15.75" customHeight="1">
      <c r="D435" s="3"/>
      <c r="J435" s="3"/>
      <c r="K435" s="3"/>
      <c r="M435" s="10"/>
      <c r="Q435" s="11"/>
      <c r="R435" s="18"/>
      <c r="S435" s="18"/>
      <c r="U435" s="19"/>
      <c r="AC435" s="20"/>
      <c r="AY435" s="22"/>
      <c r="AZ435" s="22"/>
    </row>
    <row r="436" ht="15.75" customHeight="1">
      <c r="D436" s="3"/>
      <c r="J436" s="3"/>
      <c r="K436" s="3"/>
      <c r="M436" s="10"/>
      <c r="Q436" s="11"/>
      <c r="R436" s="18"/>
      <c r="S436" s="18"/>
      <c r="U436" s="19"/>
      <c r="AC436" s="20"/>
      <c r="AY436" s="22"/>
      <c r="AZ436" s="22"/>
    </row>
    <row r="437" ht="15.75" customHeight="1">
      <c r="D437" s="3"/>
      <c r="J437" s="3"/>
      <c r="K437" s="3"/>
      <c r="M437" s="10"/>
      <c r="Q437" s="11"/>
      <c r="R437" s="18"/>
      <c r="S437" s="18"/>
      <c r="U437" s="19"/>
      <c r="AC437" s="20"/>
      <c r="AY437" s="22"/>
      <c r="AZ437" s="22"/>
    </row>
    <row r="438" ht="15.75" customHeight="1">
      <c r="D438" s="3"/>
      <c r="J438" s="3"/>
      <c r="K438" s="3"/>
      <c r="M438" s="10"/>
      <c r="Q438" s="11"/>
      <c r="R438" s="18"/>
      <c r="S438" s="18"/>
      <c r="U438" s="19"/>
      <c r="AC438" s="20"/>
      <c r="AY438" s="22"/>
      <c r="AZ438" s="22"/>
    </row>
    <row r="439" ht="15.75" customHeight="1">
      <c r="D439" s="3"/>
      <c r="J439" s="3"/>
      <c r="K439" s="3"/>
      <c r="M439" s="10"/>
      <c r="Q439" s="11"/>
      <c r="R439" s="18"/>
      <c r="S439" s="18"/>
      <c r="U439" s="19"/>
      <c r="AC439" s="20"/>
      <c r="AY439" s="22"/>
      <c r="AZ439" s="22"/>
    </row>
    <row r="440" ht="15.75" customHeight="1">
      <c r="D440" s="3"/>
      <c r="J440" s="3"/>
      <c r="K440" s="3"/>
      <c r="M440" s="10"/>
      <c r="Q440" s="11"/>
      <c r="R440" s="18"/>
      <c r="S440" s="18"/>
      <c r="U440" s="19"/>
      <c r="AC440" s="20"/>
      <c r="AY440" s="22"/>
      <c r="AZ440" s="22"/>
    </row>
    <row r="441" ht="15.75" customHeight="1">
      <c r="D441" s="3"/>
      <c r="J441" s="3"/>
      <c r="K441" s="3"/>
      <c r="M441" s="10"/>
      <c r="Q441" s="11"/>
      <c r="R441" s="18"/>
      <c r="S441" s="18"/>
      <c r="U441" s="19"/>
      <c r="AC441" s="20"/>
      <c r="AY441" s="22"/>
      <c r="AZ441" s="22"/>
    </row>
    <row r="442" ht="15.75" customHeight="1">
      <c r="D442" s="3"/>
      <c r="J442" s="3"/>
      <c r="K442" s="3"/>
      <c r="M442" s="10"/>
      <c r="Q442" s="11"/>
      <c r="R442" s="18"/>
      <c r="S442" s="18"/>
      <c r="U442" s="19"/>
      <c r="AC442" s="20"/>
      <c r="AY442" s="22"/>
      <c r="AZ442" s="22"/>
    </row>
    <row r="443" ht="15.75" customHeight="1">
      <c r="D443" s="3"/>
      <c r="J443" s="3"/>
      <c r="K443" s="3"/>
      <c r="M443" s="10"/>
      <c r="Q443" s="11"/>
      <c r="R443" s="18"/>
      <c r="S443" s="18"/>
      <c r="U443" s="19"/>
      <c r="AC443" s="20"/>
      <c r="AY443" s="22"/>
      <c r="AZ443" s="22"/>
    </row>
    <row r="444" ht="15.75" customHeight="1">
      <c r="D444" s="3"/>
      <c r="J444" s="3"/>
      <c r="K444" s="3"/>
      <c r="M444" s="10"/>
      <c r="Q444" s="11"/>
      <c r="R444" s="18"/>
      <c r="S444" s="18"/>
      <c r="U444" s="19"/>
      <c r="AC444" s="20"/>
      <c r="AY444" s="22"/>
      <c r="AZ444" s="22"/>
    </row>
    <row r="445" ht="15.75" customHeight="1">
      <c r="D445" s="3"/>
      <c r="J445" s="3"/>
      <c r="K445" s="3"/>
      <c r="M445" s="10"/>
      <c r="Q445" s="11"/>
      <c r="R445" s="18"/>
      <c r="S445" s="18"/>
      <c r="U445" s="19"/>
      <c r="AC445" s="20"/>
      <c r="AY445" s="22"/>
      <c r="AZ445" s="22"/>
    </row>
    <row r="446" ht="15.75" customHeight="1">
      <c r="D446" s="3"/>
      <c r="J446" s="3"/>
      <c r="K446" s="3"/>
      <c r="M446" s="10"/>
      <c r="Q446" s="11"/>
      <c r="R446" s="18"/>
      <c r="S446" s="18"/>
      <c r="U446" s="19"/>
      <c r="AC446" s="20"/>
      <c r="AY446" s="22"/>
      <c r="AZ446" s="22"/>
    </row>
    <row r="447" ht="15.75" customHeight="1">
      <c r="D447" s="3"/>
      <c r="J447" s="3"/>
      <c r="K447" s="3"/>
      <c r="M447" s="10"/>
      <c r="Q447" s="11"/>
      <c r="R447" s="18"/>
      <c r="S447" s="18"/>
      <c r="U447" s="19"/>
      <c r="AC447" s="20"/>
      <c r="AY447" s="22"/>
      <c r="AZ447" s="22"/>
    </row>
    <row r="448" ht="15.75" customHeight="1">
      <c r="D448" s="3"/>
      <c r="J448" s="3"/>
      <c r="K448" s="3"/>
      <c r="M448" s="10"/>
      <c r="Q448" s="11"/>
      <c r="R448" s="18"/>
      <c r="S448" s="18"/>
      <c r="U448" s="19"/>
      <c r="AC448" s="20"/>
      <c r="AY448" s="22"/>
      <c r="AZ448" s="22"/>
    </row>
    <row r="449" ht="15.75" customHeight="1">
      <c r="D449" s="3"/>
      <c r="J449" s="3"/>
      <c r="K449" s="3"/>
      <c r="M449" s="10"/>
      <c r="Q449" s="11"/>
      <c r="R449" s="18"/>
      <c r="S449" s="18"/>
      <c r="U449" s="19"/>
      <c r="AC449" s="20"/>
      <c r="AY449" s="22"/>
      <c r="AZ449" s="22"/>
    </row>
    <row r="450" ht="15.75" customHeight="1">
      <c r="D450" s="3"/>
      <c r="J450" s="3"/>
      <c r="K450" s="3"/>
      <c r="M450" s="10"/>
      <c r="Q450" s="11"/>
      <c r="R450" s="18"/>
      <c r="S450" s="18"/>
      <c r="U450" s="19"/>
      <c r="AC450" s="20"/>
      <c r="AY450" s="22"/>
      <c r="AZ450" s="22"/>
    </row>
    <row r="451" ht="15.75" customHeight="1">
      <c r="D451" s="3"/>
      <c r="J451" s="3"/>
      <c r="K451" s="3"/>
      <c r="M451" s="10"/>
      <c r="Q451" s="11"/>
      <c r="R451" s="18"/>
      <c r="S451" s="18"/>
      <c r="U451" s="19"/>
      <c r="AC451" s="20"/>
      <c r="AY451" s="22"/>
      <c r="AZ451" s="22"/>
    </row>
    <row r="452" ht="15.75" customHeight="1">
      <c r="D452" s="3"/>
      <c r="J452" s="3"/>
      <c r="K452" s="3"/>
      <c r="M452" s="10"/>
      <c r="Q452" s="11"/>
      <c r="R452" s="18"/>
      <c r="S452" s="18"/>
      <c r="U452" s="19"/>
      <c r="AC452" s="20"/>
      <c r="AY452" s="22"/>
      <c r="AZ452" s="22"/>
    </row>
    <row r="453" ht="15.75" customHeight="1">
      <c r="D453" s="3"/>
      <c r="J453" s="3"/>
      <c r="K453" s="3"/>
      <c r="M453" s="10"/>
      <c r="Q453" s="11"/>
      <c r="R453" s="18"/>
      <c r="S453" s="18"/>
      <c r="U453" s="19"/>
      <c r="AC453" s="20"/>
      <c r="AY453" s="22"/>
      <c r="AZ453" s="22"/>
    </row>
    <row r="454" ht="15.75" customHeight="1">
      <c r="D454" s="3"/>
      <c r="J454" s="3"/>
      <c r="K454" s="3"/>
      <c r="M454" s="10"/>
      <c r="Q454" s="11"/>
      <c r="R454" s="18"/>
      <c r="S454" s="18"/>
      <c r="U454" s="19"/>
      <c r="AC454" s="20"/>
      <c r="AY454" s="22"/>
      <c r="AZ454" s="22"/>
    </row>
    <row r="455" ht="15.75" customHeight="1">
      <c r="D455" s="3"/>
      <c r="J455" s="3"/>
      <c r="K455" s="3"/>
      <c r="M455" s="10"/>
      <c r="Q455" s="11"/>
      <c r="R455" s="18"/>
      <c r="S455" s="18"/>
      <c r="U455" s="19"/>
      <c r="AC455" s="20"/>
      <c r="AY455" s="22"/>
      <c r="AZ455" s="22"/>
    </row>
    <row r="456" ht="15.75" customHeight="1">
      <c r="D456" s="3"/>
      <c r="J456" s="3"/>
      <c r="K456" s="3"/>
      <c r="M456" s="10"/>
      <c r="Q456" s="11"/>
      <c r="R456" s="18"/>
      <c r="S456" s="18"/>
      <c r="U456" s="19"/>
      <c r="AC456" s="20"/>
      <c r="AY456" s="22"/>
      <c r="AZ456" s="22"/>
    </row>
    <row r="457" ht="15.75" customHeight="1">
      <c r="D457" s="3"/>
      <c r="J457" s="3"/>
      <c r="K457" s="3"/>
      <c r="M457" s="10"/>
      <c r="Q457" s="11"/>
      <c r="R457" s="18"/>
      <c r="S457" s="18"/>
      <c r="U457" s="19"/>
      <c r="AC457" s="20"/>
      <c r="AY457" s="22"/>
      <c r="AZ457" s="22"/>
    </row>
    <row r="458" ht="15.75" customHeight="1">
      <c r="D458" s="3"/>
      <c r="J458" s="3"/>
      <c r="K458" s="3"/>
      <c r="M458" s="10"/>
      <c r="Q458" s="11"/>
      <c r="R458" s="18"/>
      <c r="S458" s="18"/>
      <c r="U458" s="19"/>
      <c r="AC458" s="20"/>
      <c r="AY458" s="22"/>
      <c r="AZ458" s="22"/>
    </row>
    <row r="459" ht="15.75" customHeight="1">
      <c r="D459" s="3"/>
      <c r="J459" s="3"/>
      <c r="K459" s="3"/>
      <c r="M459" s="10"/>
      <c r="Q459" s="11"/>
      <c r="R459" s="18"/>
      <c r="S459" s="18"/>
      <c r="U459" s="19"/>
      <c r="AC459" s="20"/>
      <c r="AY459" s="22"/>
      <c r="AZ459" s="22"/>
    </row>
    <row r="460" ht="15.75" customHeight="1">
      <c r="D460" s="3"/>
      <c r="J460" s="3"/>
      <c r="K460" s="3"/>
      <c r="M460" s="10"/>
      <c r="Q460" s="11"/>
      <c r="R460" s="18"/>
      <c r="S460" s="18"/>
      <c r="U460" s="19"/>
      <c r="AC460" s="20"/>
      <c r="AY460" s="22"/>
      <c r="AZ460" s="22"/>
    </row>
    <row r="461" ht="15.75" customHeight="1">
      <c r="D461" s="3"/>
      <c r="J461" s="3"/>
      <c r="K461" s="3"/>
      <c r="M461" s="10"/>
      <c r="Q461" s="11"/>
      <c r="R461" s="18"/>
      <c r="S461" s="18"/>
      <c r="U461" s="19"/>
      <c r="AC461" s="20"/>
      <c r="AY461" s="22"/>
      <c r="AZ461" s="22"/>
    </row>
    <row r="462" ht="15.75" customHeight="1">
      <c r="D462" s="3"/>
      <c r="J462" s="3"/>
      <c r="K462" s="3"/>
      <c r="M462" s="10"/>
      <c r="Q462" s="11"/>
      <c r="R462" s="18"/>
      <c r="S462" s="18"/>
      <c r="U462" s="19"/>
      <c r="AC462" s="20"/>
      <c r="AY462" s="22"/>
      <c r="AZ462" s="22"/>
    </row>
    <row r="463" ht="15.75" customHeight="1">
      <c r="D463" s="3"/>
      <c r="J463" s="3"/>
      <c r="K463" s="3"/>
      <c r="M463" s="10"/>
      <c r="Q463" s="11"/>
      <c r="R463" s="18"/>
      <c r="S463" s="18"/>
      <c r="U463" s="19"/>
      <c r="AC463" s="20"/>
      <c r="AY463" s="22"/>
      <c r="AZ463" s="22"/>
    </row>
    <row r="464" ht="15.75" customHeight="1">
      <c r="D464" s="3"/>
      <c r="J464" s="3"/>
      <c r="K464" s="3"/>
      <c r="M464" s="10"/>
      <c r="Q464" s="11"/>
      <c r="R464" s="18"/>
      <c r="S464" s="18"/>
      <c r="U464" s="19"/>
      <c r="AC464" s="20"/>
      <c r="AY464" s="22"/>
      <c r="AZ464" s="22"/>
    </row>
    <row r="465" ht="15.75" customHeight="1">
      <c r="D465" s="3"/>
      <c r="J465" s="3"/>
      <c r="K465" s="3"/>
      <c r="M465" s="10"/>
      <c r="Q465" s="11"/>
      <c r="R465" s="18"/>
      <c r="S465" s="18"/>
      <c r="U465" s="19"/>
      <c r="AC465" s="20"/>
      <c r="AY465" s="22"/>
      <c r="AZ465" s="22"/>
    </row>
    <row r="466" ht="15.75" customHeight="1">
      <c r="D466" s="3"/>
      <c r="J466" s="3"/>
      <c r="K466" s="3"/>
      <c r="M466" s="10"/>
      <c r="Q466" s="11"/>
      <c r="R466" s="18"/>
      <c r="S466" s="18"/>
      <c r="U466" s="19"/>
      <c r="AC466" s="20"/>
      <c r="AY466" s="22"/>
      <c r="AZ466" s="22"/>
    </row>
    <row r="467" ht="15.75" customHeight="1">
      <c r="D467" s="3"/>
      <c r="J467" s="3"/>
      <c r="K467" s="3"/>
      <c r="M467" s="10"/>
      <c r="Q467" s="11"/>
      <c r="R467" s="18"/>
      <c r="S467" s="18"/>
      <c r="U467" s="19"/>
      <c r="AC467" s="20"/>
      <c r="AY467" s="22"/>
      <c r="AZ467" s="22"/>
    </row>
    <row r="468" ht="15.75" customHeight="1">
      <c r="D468" s="3"/>
      <c r="J468" s="3"/>
      <c r="K468" s="3"/>
      <c r="M468" s="10"/>
      <c r="Q468" s="11"/>
      <c r="R468" s="18"/>
      <c r="S468" s="18"/>
      <c r="U468" s="19"/>
      <c r="AC468" s="20"/>
      <c r="AY468" s="22"/>
      <c r="AZ468" s="22"/>
    </row>
    <row r="469" ht="15.75" customHeight="1">
      <c r="D469" s="3"/>
      <c r="J469" s="3"/>
      <c r="K469" s="3"/>
      <c r="M469" s="10"/>
      <c r="Q469" s="11"/>
      <c r="R469" s="18"/>
      <c r="S469" s="18"/>
      <c r="U469" s="19"/>
      <c r="AC469" s="20"/>
      <c r="AY469" s="22"/>
      <c r="AZ469" s="22"/>
    </row>
    <row r="470" ht="15.75" customHeight="1">
      <c r="D470" s="3"/>
      <c r="J470" s="3"/>
      <c r="K470" s="3"/>
      <c r="M470" s="10"/>
      <c r="Q470" s="11"/>
      <c r="R470" s="18"/>
      <c r="S470" s="18"/>
      <c r="U470" s="19"/>
      <c r="AC470" s="20"/>
      <c r="AY470" s="22"/>
      <c r="AZ470" s="22"/>
    </row>
    <row r="471" ht="15.75" customHeight="1">
      <c r="D471" s="3"/>
      <c r="J471" s="3"/>
      <c r="K471" s="3"/>
      <c r="M471" s="10"/>
      <c r="Q471" s="11"/>
      <c r="R471" s="18"/>
      <c r="S471" s="18"/>
      <c r="U471" s="19"/>
      <c r="AC471" s="20"/>
      <c r="AY471" s="22"/>
      <c r="AZ471" s="22"/>
    </row>
    <row r="472" ht="15.75" customHeight="1">
      <c r="D472" s="3"/>
      <c r="J472" s="3"/>
      <c r="K472" s="3"/>
      <c r="M472" s="10"/>
      <c r="Q472" s="11"/>
      <c r="R472" s="18"/>
      <c r="S472" s="18"/>
      <c r="U472" s="19"/>
      <c r="AC472" s="20"/>
      <c r="AY472" s="22"/>
      <c r="AZ472" s="22"/>
    </row>
    <row r="473" ht="15.75" customHeight="1">
      <c r="D473" s="3"/>
      <c r="J473" s="3"/>
      <c r="K473" s="3"/>
      <c r="M473" s="10"/>
      <c r="Q473" s="11"/>
      <c r="R473" s="18"/>
      <c r="S473" s="18"/>
      <c r="U473" s="19"/>
      <c r="AC473" s="20"/>
      <c r="AY473" s="22"/>
      <c r="AZ473" s="22"/>
    </row>
    <row r="474" ht="15.75" customHeight="1">
      <c r="D474" s="3"/>
      <c r="J474" s="3"/>
      <c r="K474" s="3"/>
      <c r="M474" s="10"/>
      <c r="Q474" s="11"/>
      <c r="R474" s="18"/>
      <c r="S474" s="18"/>
      <c r="U474" s="19"/>
      <c r="AC474" s="20"/>
      <c r="AY474" s="22"/>
      <c r="AZ474" s="22"/>
    </row>
    <row r="475" ht="15.75" customHeight="1">
      <c r="D475" s="3"/>
      <c r="J475" s="3"/>
      <c r="K475" s="3"/>
      <c r="M475" s="10"/>
      <c r="Q475" s="11"/>
      <c r="R475" s="18"/>
      <c r="S475" s="18"/>
      <c r="U475" s="19"/>
      <c r="AC475" s="20"/>
      <c r="AY475" s="22"/>
      <c r="AZ475" s="22"/>
    </row>
    <row r="476" ht="15.75" customHeight="1">
      <c r="D476" s="3"/>
      <c r="J476" s="3"/>
      <c r="K476" s="3"/>
      <c r="M476" s="10"/>
      <c r="Q476" s="11"/>
      <c r="R476" s="18"/>
      <c r="S476" s="18"/>
      <c r="U476" s="19"/>
      <c r="AC476" s="20"/>
      <c r="AY476" s="22"/>
      <c r="AZ476" s="22"/>
    </row>
    <row r="477" ht="15.75" customHeight="1">
      <c r="D477" s="3"/>
      <c r="J477" s="3"/>
      <c r="K477" s="3"/>
      <c r="M477" s="10"/>
      <c r="Q477" s="11"/>
      <c r="R477" s="18"/>
      <c r="S477" s="18"/>
      <c r="U477" s="19"/>
      <c r="AC477" s="20"/>
      <c r="AY477" s="22"/>
      <c r="AZ477" s="22"/>
    </row>
    <row r="478" ht="15.75" customHeight="1">
      <c r="D478" s="3"/>
      <c r="J478" s="3"/>
      <c r="K478" s="3"/>
      <c r="M478" s="10"/>
      <c r="Q478" s="11"/>
      <c r="R478" s="18"/>
      <c r="S478" s="18"/>
      <c r="U478" s="19"/>
      <c r="AC478" s="20"/>
      <c r="AY478" s="22"/>
      <c r="AZ478" s="22"/>
    </row>
    <row r="479" ht="15.75" customHeight="1">
      <c r="D479" s="3"/>
      <c r="J479" s="3"/>
      <c r="K479" s="3"/>
      <c r="M479" s="10"/>
      <c r="Q479" s="11"/>
      <c r="R479" s="18"/>
      <c r="S479" s="18"/>
      <c r="U479" s="19"/>
      <c r="AC479" s="20"/>
      <c r="AY479" s="22"/>
      <c r="AZ479" s="22"/>
    </row>
    <row r="480" ht="15.75" customHeight="1">
      <c r="D480" s="3"/>
      <c r="J480" s="3"/>
      <c r="K480" s="3"/>
      <c r="M480" s="10"/>
      <c r="Q480" s="11"/>
      <c r="R480" s="18"/>
      <c r="S480" s="18"/>
      <c r="U480" s="19"/>
      <c r="AC480" s="20"/>
      <c r="AY480" s="22"/>
      <c r="AZ480" s="22"/>
    </row>
    <row r="481" ht="15.75" customHeight="1">
      <c r="D481" s="3"/>
      <c r="J481" s="3"/>
      <c r="K481" s="3"/>
      <c r="M481" s="10"/>
      <c r="Q481" s="11"/>
      <c r="R481" s="18"/>
      <c r="S481" s="18"/>
      <c r="U481" s="19"/>
      <c r="AC481" s="20"/>
      <c r="AY481" s="22"/>
      <c r="AZ481" s="22"/>
    </row>
    <row r="482" ht="15.75" customHeight="1">
      <c r="D482" s="3"/>
      <c r="J482" s="3"/>
      <c r="K482" s="3"/>
      <c r="M482" s="10"/>
      <c r="Q482" s="11"/>
      <c r="R482" s="18"/>
      <c r="S482" s="18"/>
      <c r="U482" s="19"/>
      <c r="AC482" s="20"/>
      <c r="AY482" s="22"/>
      <c r="AZ482" s="22"/>
    </row>
    <row r="483" ht="15.75" customHeight="1">
      <c r="D483" s="3"/>
      <c r="J483" s="3"/>
      <c r="K483" s="3"/>
      <c r="M483" s="10"/>
      <c r="Q483" s="11"/>
      <c r="R483" s="18"/>
      <c r="S483" s="18"/>
      <c r="U483" s="19"/>
      <c r="AC483" s="20"/>
      <c r="AY483" s="22"/>
      <c r="AZ483" s="22"/>
    </row>
    <row r="484" ht="15.75" customHeight="1">
      <c r="D484" s="3"/>
      <c r="J484" s="3"/>
      <c r="K484" s="3"/>
      <c r="M484" s="10"/>
      <c r="Q484" s="11"/>
      <c r="R484" s="18"/>
      <c r="S484" s="18"/>
      <c r="U484" s="19"/>
      <c r="AC484" s="20"/>
      <c r="AY484" s="22"/>
      <c r="AZ484" s="22"/>
    </row>
    <row r="485" ht="15.75" customHeight="1">
      <c r="D485" s="3"/>
      <c r="J485" s="3"/>
      <c r="K485" s="3"/>
      <c r="M485" s="10"/>
      <c r="Q485" s="11"/>
      <c r="R485" s="18"/>
      <c r="S485" s="18"/>
      <c r="U485" s="19"/>
      <c r="AC485" s="20"/>
      <c r="AY485" s="22"/>
      <c r="AZ485" s="22"/>
    </row>
    <row r="486" ht="15.75" customHeight="1">
      <c r="D486" s="3"/>
      <c r="J486" s="3"/>
      <c r="K486" s="3"/>
      <c r="M486" s="10"/>
      <c r="Q486" s="11"/>
      <c r="R486" s="18"/>
      <c r="S486" s="18"/>
      <c r="U486" s="19"/>
      <c r="AC486" s="20"/>
      <c r="AY486" s="22"/>
      <c r="AZ486" s="22"/>
    </row>
    <row r="487" ht="15.75" customHeight="1">
      <c r="D487" s="3"/>
      <c r="J487" s="3"/>
      <c r="K487" s="3"/>
      <c r="M487" s="10"/>
      <c r="Q487" s="11"/>
      <c r="R487" s="18"/>
      <c r="S487" s="18"/>
      <c r="U487" s="19"/>
      <c r="AC487" s="20"/>
      <c r="AY487" s="22"/>
      <c r="AZ487" s="22"/>
    </row>
    <row r="488" ht="15.75" customHeight="1">
      <c r="D488" s="3"/>
      <c r="J488" s="3"/>
      <c r="K488" s="3"/>
      <c r="M488" s="10"/>
      <c r="Q488" s="11"/>
      <c r="R488" s="18"/>
      <c r="S488" s="18"/>
      <c r="U488" s="19"/>
      <c r="AC488" s="20"/>
      <c r="AY488" s="22"/>
      <c r="AZ488" s="22"/>
    </row>
    <row r="489" ht="15.75" customHeight="1">
      <c r="D489" s="3"/>
      <c r="J489" s="3"/>
      <c r="K489" s="3"/>
      <c r="M489" s="10"/>
      <c r="Q489" s="11"/>
      <c r="R489" s="18"/>
      <c r="S489" s="18"/>
      <c r="U489" s="19"/>
      <c r="AC489" s="20"/>
      <c r="AY489" s="22"/>
      <c r="AZ489" s="22"/>
    </row>
    <row r="490" ht="15.75" customHeight="1">
      <c r="D490" s="3"/>
      <c r="J490" s="3"/>
      <c r="K490" s="3"/>
      <c r="M490" s="10"/>
      <c r="Q490" s="11"/>
      <c r="R490" s="18"/>
      <c r="S490" s="18"/>
      <c r="U490" s="19"/>
      <c r="AC490" s="20"/>
      <c r="AY490" s="22"/>
      <c r="AZ490" s="22"/>
    </row>
    <row r="491" ht="15.75" customHeight="1">
      <c r="D491" s="3"/>
      <c r="J491" s="3"/>
      <c r="K491" s="3"/>
      <c r="M491" s="10"/>
      <c r="Q491" s="11"/>
      <c r="R491" s="18"/>
      <c r="S491" s="18"/>
      <c r="U491" s="19"/>
      <c r="AC491" s="20"/>
      <c r="AY491" s="22"/>
      <c r="AZ491" s="22"/>
    </row>
    <row r="492" ht="15.75" customHeight="1">
      <c r="D492" s="3"/>
      <c r="J492" s="3"/>
      <c r="K492" s="3"/>
      <c r="M492" s="10"/>
      <c r="Q492" s="11"/>
      <c r="R492" s="18"/>
      <c r="S492" s="18"/>
      <c r="U492" s="19"/>
      <c r="AC492" s="20"/>
      <c r="AY492" s="22"/>
      <c r="AZ492" s="22"/>
    </row>
    <row r="493" ht="15.75" customHeight="1">
      <c r="D493" s="3"/>
      <c r="J493" s="3"/>
      <c r="K493" s="3"/>
      <c r="M493" s="10"/>
      <c r="Q493" s="11"/>
      <c r="R493" s="18"/>
      <c r="S493" s="18"/>
      <c r="U493" s="19"/>
      <c r="AC493" s="20"/>
      <c r="AY493" s="22"/>
      <c r="AZ493" s="22"/>
    </row>
    <row r="494" ht="15.75" customHeight="1">
      <c r="D494" s="3"/>
      <c r="J494" s="3"/>
      <c r="K494" s="3"/>
      <c r="M494" s="10"/>
      <c r="Q494" s="11"/>
      <c r="R494" s="18"/>
      <c r="S494" s="18"/>
      <c r="U494" s="19"/>
      <c r="AC494" s="20"/>
      <c r="AY494" s="22"/>
      <c r="AZ494" s="22"/>
    </row>
    <row r="495" ht="15.75" customHeight="1">
      <c r="D495" s="3"/>
      <c r="J495" s="3"/>
      <c r="K495" s="3"/>
      <c r="M495" s="10"/>
      <c r="Q495" s="11"/>
      <c r="R495" s="18"/>
      <c r="S495" s="18"/>
      <c r="U495" s="19"/>
      <c r="AC495" s="20"/>
      <c r="AY495" s="22"/>
      <c r="AZ495" s="22"/>
    </row>
    <row r="496" ht="15.75" customHeight="1">
      <c r="D496" s="3"/>
      <c r="J496" s="3"/>
      <c r="K496" s="3"/>
      <c r="M496" s="10"/>
      <c r="Q496" s="11"/>
      <c r="R496" s="18"/>
      <c r="S496" s="18"/>
      <c r="U496" s="19"/>
      <c r="AC496" s="20"/>
      <c r="AY496" s="22"/>
      <c r="AZ496" s="22"/>
    </row>
    <row r="497" ht="15.75" customHeight="1">
      <c r="D497" s="3"/>
      <c r="J497" s="3"/>
      <c r="K497" s="3"/>
      <c r="M497" s="10"/>
      <c r="Q497" s="11"/>
      <c r="R497" s="18"/>
      <c r="S497" s="18"/>
      <c r="U497" s="19"/>
      <c r="AC497" s="20"/>
      <c r="AY497" s="22"/>
      <c r="AZ497" s="22"/>
    </row>
    <row r="498" ht="15.75" customHeight="1">
      <c r="D498" s="3"/>
      <c r="J498" s="3"/>
      <c r="K498" s="3"/>
      <c r="M498" s="10"/>
      <c r="Q498" s="11"/>
      <c r="R498" s="18"/>
      <c r="S498" s="18"/>
      <c r="U498" s="19"/>
      <c r="AC498" s="20"/>
      <c r="AY498" s="22"/>
      <c r="AZ498" s="22"/>
    </row>
    <row r="499" ht="15.75" customHeight="1">
      <c r="D499" s="3"/>
      <c r="J499" s="3"/>
      <c r="K499" s="3"/>
      <c r="M499" s="10"/>
      <c r="Q499" s="11"/>
      <c r="R499" s="18"/>
      <c r="S499" s="18"/>
      <c r="U499" s="19"/>
      <c r="AC499" s="20"/>
      <c r="AY499" s="22"/>
      <c r="AZ499" s="22"/>
    </row>
    <row r="500" ht="15.75" customHeight="1">
      <c r="D500" s="3"/>
      <c r="J500" s="3"/>
      <c r="K500" s="3"/>
      <c r="M500" s="10"/>
      <c r="Q500" s="11"/>
      <c r="R500" s="18"/>
      <c r="S500" s="18"/>
      <c r="U500" s="19"/>
      <c r="AC500" s="20"/>
      <c r="AY500" s="22"/>
      <c r="AZ500" s="22"/>
    </row>
    <row r="501" ht="15.75" customHeight="1">
      <c r="D501" s="3"/>
      <c r="J501" s="3"/>
      <c r="K501" s="3"/>
      <c r="M501" s="10"/>
      <c r="Q501" s="11"/>
      <c r="R501" s="18"/>
      <c r="S501" s="18"/>
      <c r="U501" s="19"/>
      <c r="AC501" s="20"/>
      <c r="AY501" s="22"/>
      <c r="AZ501" s="22"/>
    </row>
    <row r="502" ht="15.75" customHeight="1">
      <c r="D502" s="3"/>
      <c r="J502" s="3"/>
      <c r="K502" s="3"/>
      <c r="M502" s="10"/>
      <c r="Q502" s="11"/>
      <c r="R502" s="18"/>
      <c r="S502" s="18"/>
      <c r="U502" s="19"/>
      <c r="AC502" s="20"/>
      <c r="AY502" s="22"/>
      <c r="AZ502" s="22"/>
    </row>
    <row r="503" ht="15.75" customHeight="1">
      <c r="D503" s="3"/>
      <c r="J503" s="3"/>
      <c r="K503" s="3"/>
      <c r="M503" s="10"/>
      <c r="Q503" s="11"/>
      <c r="R503" s="18"/>
      <c r="S503" s="18"/>
      <c r="U503" s="19"/>
      <c r="AC503" s="20"/>
      <c r="AY503" s="22"/>
      <c r="AZ503" s="22"/>
    </row>
    <row r="504" ht="15.75" customHeight="1">
      <c r="D504" s="3"/>
      <c r="J504" s="3"/>
      <c r="K504" s="3"/>
      <c r="M504" s="10"/>
      <c r="Q504" s="11"/>
      <c r="R504" s="18"/>
      <c r="S504" s="18"/>
      <c r="U504" s="19"/>
      <c r="AC504" s="20"/>
      <c r="AY504" s="22"/>
      <c r="AZ504" s="22"/>
    </row>
    <row r="505" ht="15.75" customHeight="1">
      <c r="D505" s="3"/>
      <c r="J505" s="3"/>
      <c r="K505" s="3"/>
      <c r="M505" s="10"/>
      <c r="Q505" s="11"/>
      <c r="R505" s="18"/>
      <c r="S505" s="18"/>
      <c r="U505" s="19"/>
      <c r="AC505" s="20"/>
      <c r="AY505" s="22"/>
      <c r="AZ505" s="22"/>
    </row>
    <row r="506" ht="15.75" customHeight="1">
      <c r="D506" s="3"/>
      <c r="J506" s="3"/>
      <c r="K506" s="3"/>
      <c r="M506" s="10"/>
      <c r="Q506" s="11"/>
      <c r="R506" s="18"/>
      <c r="S506" s="18"/>
      <c r="U506" s="19"/>
      <c r="AC506" s="20"/>
      <c r="AY506" s="22"/>
      <c r="AZ506" s="22"/>
    </row>
    <row r="507" ht="15.75" customHeight="1">
      <c r="D507" s="3"/>
      <c r="J507" s="3"/>
      <c r="K507" s="3"/>
      <c r="M507" s="10"/>
      <c r="Q507" s="11"/>
      <c r="R507" s="18"/>
      <c r="S507" s="18"/>
      <c r="U507" s="19"/>
      <c r="AC507" s="20"/>
      <c r="AY507" s="22"/>
      <c r="AZ507" s="22"/>
    </row>
    <row r="508" ht="15.75" customHeight="1">
      <c r="D508" s="3"/>
      <c r="J508" s="3"/>
      <c r="K508" s="3"/>
      <c r="M508" s="10"/>
      <c r="Q508" s="11"/>
      <c r="R508" s="18"/>
      <c r="S508" s="18"/>
      <c r="U508" s="19"/>
      <c r="AC508" s="20"/>
      <c r="AY508" s="22"/>
      <c r="AZ508" s="22"/>
    </row>
    <row r="509" ht="15.75" customHeight="1">
      <c r="D509" s="3"/>
      <c r="J509" s="3"/>
      <c r="K509" s="3"/>
      <c r="M509" s="10"/>
      <c r="Q509" s="11"/>
      <c r="R509" s="18"/>
      <c r="S509" s="18"/>
      <c r="U509" s="19"/>
      <c r="AC509" s="20"/>
      <c r="AY509" s="22"/>
      <c r="AZ509" s="22"/>
    </row>
    <row r="510" ht="15.75" customHeight="1">
      <c r="D510" s="3"/>
      <c r="J510" s="3"/>
      <c r="K510" s="3"/>
      <c r="M510" s="10"/>
      <c r="Q510" s="11"/>
      <c r="R510" s="18"/>
      <c r="S510" s="18"/>
      <c r="U510" s="19"/>
      <c r="AC510" s="20"/>
      <c r="AY510" s="22"/>
      <c r="AZ510" s="22"/>
    </row>
    <row r="511" ht="15.75" customHeight="1">
      <c r="D511" s="3"/>
      <c r="J511" s="3"/>
      <c r="K511" s="3"/>
      <c r="M511" s="10"/>
      <c r="Q511" s="11"/>
      <c r="R511" s="18"/>
      <c r="S511" s="18"/>
      <c r="U511" s="19"/>
      <c r="AC511" s="20"/>
      <c r="AY511" s="22"/>
      <c r="AZ511" s="22"/>
    </row>
    <row r="512" ht="15.75" customHeight="1">
      <c r="D512" s="3"/>
      <c r="J512" s="3"/>
      <c r="K512" s="3"/>
      <c r="M512" s="10"/>
      <c r="Q512" s="11"/>
      <c r="R512" s="18"/>
      <c r="S512" s="18"/>
      <c r="U512" s="19"/>
      <c r="AC512" s="20"/>
      <c r="AY512" s="22"/>
      <c r="AZ512" s="22"/>
    </row>
    <row r="513" ht="15.75" customHeight="1">
      <c r="D513" s="3"/>
      <c r="J513" s="3"/>
      <c r="K513" s="3"/>
      <c r="M513" s="10"/>
      <c r="Q513" s="11"/>
      <c r="R513" s="18"/>
      <c r="S513" s="18"/>
      <c r="U513" s="19"/>
      <c r="AC513" s="20"/>
      <c r="AY513" s="22"/>
      <c r="AZ513" s="22"/>
    </row>
    <row r="514" ht="15.75" customHeight="1">
      <c r="D514" s="3"/>
      <c r="J514" s="3"/>
      <c r="K514" s="3"/>
      <c r="M514" s="10"/>
      <c r="Q514" s="11"/>
      <c r="R514" s="18"/>
      <c r="S514" s="18"/>
      <c r="U514" s="19"/>
      <c r="AC514" s="20"/>
      <c r="AY514" s="22"/>
      <c r="AZ514" s="22"/>
    </row>
    <row r="515" ht="15.75" customHeight="1">
      <c r="D515" s="3"/>
      <c r="J515" s="3"/>
      <c r="K515" s="3"/>
      <c r="M515" s="10"/>
      <c r="Q515" s="11"/>
      <c r="R515" s="18"/>
      <c r="S515" s="18"/>
      <c r="U515" s="19"/>
      <c r="AC515" s="20"/>
      <c r="AY515" s="22"/>
      <c r="AZ515" s="22"/>
    </row>
    <row r="516" ht="15.75" customHeight="1">
      <c r="D516" s="3"/>
      <c r="J516" s="3"/>
      <c r="K516" s="3"/>
      <c r="M516" s="10"/>
      <c r="Q516" s="11"/>
      <c r="R516" s="18"/>
      <c r="S516" s="18"/>
      <c r="U516" s="19"/>
      <c r="AC516" s="20"/>
      <c r="AY516" s="22"/>
      <c r="AZ516" s="22"/>
    </row>
    <row r="517" ht="15.75" customHeight="1">
      <c r="D517" s="3"/>
      <c r="J517" s="3"/>
      <c r="K517" s="3"/>
      <c r="M517" s="10"/>
      <c r="Q517" s="11"/>
      <c r="R517" s="18"/>
      <c r="S517" s="18"/>
      <c r="U517" s="19"/>
      <c r="AC517" s="20"/>
      <c r="AY517" s="22"/>
      <c r="AZ517" s="22"/>
    </row>
    <row r="518" ht="15.75" customHeight="1">
      <c r="D518" s="3"/>
      <c r="J518" s="3"/>
      <c r="K518" s="3"/>
      <c r="M518" s="10"/>
      <c r="Q518" s="11"/>
      <c r="R518" s="18"/>
      <c r="S518" s="18"/>
      <c r="U518" s="19"/>
      <c r="AC518" s="20"/>
      <c r="AY518" s="22"/>
      <c r="AZ518" s="22"/>
    </row>
    <row r="519" ht="15.75" customHeight="1">
      <c r="D519" s="3"/>
      <c r="J519" s="3"/>
      <c r="K519" s="3"/>
      <c r="M519" s="10"/>
      <c r="Q519" s="11"/>
      <c r="R519" s="18"/>
      <c r="S519" s="18"/>
      <c r="U519" s="19"/>
      <c r="AC519" s="20"/>
      <c r="AY519" s="22"/>
      <c r="AZ519" s="22"/>
    </row>
    <row r="520" ht="15.75" customHeight="1">
      <c r="D520" s="3"/>
      <c r="J520" s="3"/>
      <c r="K520" s="3"/>
      <c r="M520" s="10"/>
      <c r="Q520" s="11"/>
      <c r="R520" s="18"/>
      <c r="S520" s="18"/>
      <c r="U520" s="19"/>
      <c r="AC520" s="20"/>
      <c r="AY520" s="22"/>
      <c r="AZ520" s="22"/>
    </row>
    <row r="521" ht="15.75" customHeight="1">
      <c r="D521" s="3"/>
      <c r="J521" s="3"/>
      <c r="K521" s="3"/>
      <c r="M521" s="10"/>
      <c r="Q521" s="11"/>
      <c r="R521" s="18"/>
      <c r="S521" s="18"/>
      <c r="U521" s="19"/>
      <c r="AC521" s="20"/>
      <c r="AY521" s="22"/>
      <c r="AZ521" s="22"/>
    </row>
    <row r="522" ht="15.75" customHeight="1">
      <c r="D522" s="3"/>
      <c r="J522" s="3"/>
      <c r="K522" s="3"/>
      <c r="M522" s="10"/>
      <c r="Q522" s="11"/>
      <c r="R522" s="18"/>
      <c r="S522" s="18"/>
      <c r="U522" s="19"/>
      <c r="AC522" s="20"/>
      <c r="AY522" s="22"/>
      <c r="AZ522" s="22"/>
    </row>
    <row r="523" ht="15.75" customHeight="1">
      <c r="D523" s="3"/>
      <c r="J523" s="3"/>
      <c r="K523" s="3"/>
      <c r="M523" s="10"/>
      <c r="Q523" s="11"/>
      <c r="R523" s="18"/>
      <c r="S523" s="18"/>
      <c r="U523" s="19"/>
      <c r="AC523" s="20"/>
      <c r="AY523" s="22"/>
      <c r="AZ523" s="22"/>
    </row>
    <row r="524" ht="15.75" customHeight="1">
      <c r="D524" s="3"/>
      <c r="J524" s="3"/>
      <c r="K524" s="3"/>
      <c r="M524" s="10"/>
      <c r="Q524" s="11"/>
      <c r="R524" s="18"/>
      <c r="S524" s="18"/>
      <c r="U524" s="19"/>
      <c r="AC524" s="20"/>
      <c r="AY524" s="22"/>
      <c r="AZ524" s="22"/>
    </row>
    <row r="525" ht="15.75" customHeight="1">
      <c r="D525" s="3"/>
      <c r="J525" s="3"/>
      <c r="K525" s="3"/>
      <c r="M525" s="10"/>
      <c r="Q525" s="11"/>
      <c r="R525" s="18"/>
      <c r="S525" s="18"/>
      <c r="U525" s="19"/>
      <c r="AC525" s="20"/>
      <c r="AY525" s="22"/>
      <c r="AZ525" s="22"/>
    </row>
    <row r="526" ht="15.75" customHeight="1">
      <c r="D526" s="3"/>
      <c r="J526" s="3"/>
      <c r="K526" s="3"/>
      <c r="M526" s="10"/>
      <c r="Q526" s="11"/>
      <c r="R526" s="18"/>
      <c r="S526" s="18"/>
      <c r="U526" s="19"/>
      <c r="AC526" s="20"/>
      <c r="AY526" s="22"/>
      <c r="AZ526" s="22"/>
    </row>
    <row r="527" ht="15.75" customHeight="1">
      <c r="D527" s="3"/>
      <c r="J527" s="3"/>
      <c r="K527" s="3"/>
      <c r="M527" s="10"/>
      <c r="Q527" s="11"/>
      <c r="R527" s="18"/>
      <c r="S527" s="18"/>
      <c r="U527" s="19"/>
      <c r="AC527" s="20"/>
      <c r="AY527" s="22"/>
      <c r="AZ527" s="22"/>
    </row>
    <row r="528" ht="15.75" customHeight="1">
      <c r="D528" s="3"/>
      <c r="J528" s="3"/>
      <c r="K528" s="3"/>
      <c r="M528" s="10"/>
      <c r="Q528" s="11"/>
      <c r="R528" s="18"/>
      <c r="S528" s="18"/>
      <c r="U528" s="19"/>
      <c r="AC528" s="20"/>
      <c r="AY528" s="22"/>
      <c r="AZ528" s="22"/>
    </row>
    <row r="529" ht="15.75" customHeight="1">
      <c r="D529" s="3"/>
      <c r="J529" s="3"/>
      <c r="K529" s="3"/>
      <c r="M529" s="10"/>
      <c r="Q529" s="11"/>
      <c r="R529" s="18"/>
      <c r="S529" s="18"/>
      <c r="U529" s="19"/>
      <c r="AC529" s="20"/>
      <c r="AY529" s="22"/>
      <c r="AZ529" s="22"/>
    </row>
    <row r="530" ht="15.75" customHeight="1">
      <c r="D530" s="3"/>
      <c r="J530" s="3"/>
      <c r="K530" s="3"/>
      <c r="M530" s="10"/>
      <c r="Q530" s="11"/>
      <c r="R530" s="18"/>
      <c r="S530" s="18"/>
      <c r="U530" s="19"/>
      <c r="AC530" s="20"/>
      <c r="AY530" s="22"/>
      <c r="AZ530" s="22"/>
    </row>
    <row r="531" ht="15.75" customHeight="1">
      <c r="D531" s="3"/>
      <c r="J531" s="3"/>
      <c r="K531" s="3"/>
      <c r="M531" s="10"/>
      <c r="Q531" s="11"/>
      <c r="R531" s="18"/>
      <c r="S531" s="18"/>
      <c r="U531" s="19"/>
      <c r="AC531" s="20"/>
      <c r="AY531" s="22"/>
      <c r="AZ531" s="22"/>
    </row>
    <row r="532" ht="15.75" customHeight="1">
      <c r="D532" s="3"/>
      <c r="J532" s="3"/>
      <c r="K532" s="3"/>
      <c r="M532" s="10"/>
      <c r="Q532" s="11"/>
      <c r="R532" s="18"/>
      <c r="S532" s="18"/>
      <c r="U532" s="19"/>
      <c r="AC532" s="20"/>
      <c r="AY532" s="22"/>
      <c r="AZ532" s="22"/>
    </row>
    <row r="533" ht="15.75" customHeight="1">
      <c r="D533" s="3"/>
      <c r="J533" s="3"/>
      <c r="K533" s="3"/>
      <c r="M533" s="10"/>
      <c r="Q533" s="11"/>
      <c r="R533" s="18"/>
      <c r="S533" s="18"/>
      <c r="U533" s="19"/>
      <c r="AC533" s="20"/>
      <c r="AY533" s="22"/>
      <c r="AZ533" s="22"/>
    </row>
    <row r="534" ht="15.75" customHeight="1">
      <c r="D534" s="3"/>
      <c r="J534" s="3"/>
      <c r="K534" s="3"/>
      <c r="M534" s="10"/>
      <c r="Q534" s="11"/>
      <c r="R534" s="18"/>
      <c r="S534" s="18"/>
      <c r="U534" s="19"/>
      <c r="AC534" s="20"/>
      <c r="AY534" s="22"/>
      <c r="AZ534" s="22"/>
    </row>
    <row r="535" ht="15.75" customHeight="1">
      <c r="D535" s="3"/>
      <c r="J535" s="3"/>
      <c r="K535" s="3"/>
      <c r="M535" s="10"/>
      <c r="Q535" s="11"/>
      <c r="R535" s="18"/>
      <c r="S535" s="18"/>
      <c r="U535" s="19"/>
      <c r="AC535" s="20"/>
      <c r="AY535" s="22"/>
      <c r="AZ535" s="22"/>
    </row>
    <row r="536" ht="15.75" customHeight="1">
      <c r="D536" s="3"/>
      <c r="J536" s="3"/>
      <c r="K536" s="3"/>
      <c r="M536" s="10"/>
      <c r="Q536" s="11"/>
      <c r="R536" s="18"/>
      <c r="S536" s="18"/>
      <c r="U536" s="19"/>
      <c r="AC536" s="20"/>
      <c r="AY536" s="22"/>
      <c r="AZ536" s="22"/>
    </row>
    <row r="537" ht="15.75" customHeight="1">
      <c r="D537" s="3"/>
      <c r="J537" s="3"/>
      <c r="K537" s="3"/>
      <c r="M537" s="10"/>
      <c r="Q537" s="11"/>
      <c r="R537" s="18"/>
      <c r="S537" s="18"/>
      <c r="U537" s="19"/>
      <c r="AC537" s="20"/>
      <c r="AY537" s="22"/>
      <c r="AZ537" s="22"/>
    </row>
    <row r="538" ht="15.75" customHeight="1">
      <c r="D538" s="3"/>
      <c r="J538" s="3"/>
      <c r="K538" s="3"/>
      <c r="M538" s="10"/>
      <c r="Q538" s="11"/>
      <c r="R538" s="18"/>
      <c r="S538" s="18"/>
      <c r="U538" s="19"/>
      <c r="AC538" s="20"/>
      <c r="AY538" s="22"/>
      <c r="AZ538" s="22"/>
    </row>
    <row r="539" ht="15.75" customHeight="1">
      <c r="D539" s="3"/>
      <c r="J539" s="3"/>
      <c r="K539" s="3"/>
      <c r="M539" s="10"/>
      <c r="Q539" s="11"/>
      <c r="R539" s="18"/>
      <c r="S539" s="18"/>
      <c r="U539" s="19"/>
      <c r="AC539" s="20"/>
      <c r="AY539" s="22"/>
      <c r="AZ539" s="22"/>
    </row>
    <row r="540" ht="15.75" customHeight="1">
      <c r="D540" s="3"/>
      <c r="J540" s="3"/>
      <c r="K540" s="3"/>
      <c r="M540" s="10"/>
      <c r="Q540" s="11"/>
      <c r="R540" s="18"/>
      <c r="S540" s="18"/>
      <c r="U540" s="19"/>
      <c r="AC540" s="20"/>
      <c r="AY540" s="22"/>
      <c r="AZ540" s="22"/>
    </row>
    <row r="541" ht="15.75" customHeight="1">
      <c r="D541" s="3"/>
      <c r="J541" s="3"/>
      <c r="K541" s="3"/>
      <c r="M541" s="10"/>
      <c r="Q541" s="11"/>
      <c r="R541" s="18"/>
      <c r="S541" s="18"/>
      <c r="U541" s="19"/>
      <c r="AC541" s="20"/>
      <c r="AY541" s="22"/>
      <c r="AZ541" s="22"/>
    </row>
    <row r="542" ht="15.75" customHeight="1">
      <c r="D542" s="3"/>
      <c r="J542" s="3"/>
      <c r="K542" s="3"/>
      <c r="M542" s="10"/>
      <c r="Q542" s="11"/>
      <c r="R542" s="18"/>
      <c r="S542" s="18"/>
      <c r="U542" s="19"/>
      <c r="AC542" s="20"/>
      <c r="AY542" s="22"/>
      <c r="AZ542" s="22"/>
    </row>
    <row r="543" ht="15.75" customHeight="1">
      <c r="D543" s="3"/>
      <c r="J543" s="3"/>
      <c r="K543" s="3"/>
      <c r="M543" s="10"/>
      <c r="Q543" s="11"/>
      <c r="R543" s="18"/>
      <c r="S543" s="18"/>
      <c r="U543" s="19"/>
      <c r="AC543" s="20"/>
      <c r="AY543" s="22"/>
      <c r="AZ543" s="22"/>
    </row>
    <row r="544" ht="15.75" customHeight="1">
      <c r="D544" s="3"/>
      <c r="J544" s="3"/>
      <c r="K544" s="3"/>
      <c r="M544" s="10"/>
      <c r="Q544" s="11"/>
      <c r="R544" s="18"/>
      <c r="S544" s="18"/>
      <c r="U544" s="19"/>
      <c r="AC544" s="20"/>
      <c r="AY544" s="22"/>
      <c r="AZ544" s="22"/>
    </row>
    <row r="545" ht="15.75" customHeight="1">
      <c r="D545" s="3"/>
      <c r="J545" s="3"/>
      <c r="K545" s="3"/>
      <c r="M545" s="10"/>
      <c r="Q545" s="11"/>
      <c r="R545" s="18"/>
      <c r="S545" s="18"/>
      <c r="U545" s="19"/>
      <c r="AC545" s="20"/>
      <c r="AY545" s="22"/>
      <c r="AZ545" s="22"/>
    </row>
    <row r="546" ht="15.75" customHeight="1">
      <c r="D546" s="3"/>
      <c r="J546" s="3"/>
      <c r="K546" s="3"/>
      <c r="M546" s="10"/>
      <c r="Q546" s="11"/>
      <c r="R546" s="18"/>
      <c r="S546" s="18"/>
      <c r="U546" s="19"/>
      <c r="AC546" s="20"/>
      <c r="AY546" s="22"/>
      <c r="AZ546" s="22"/>
    </row>
    <row r="547" ht="15.75" customHeight="1">
      <c r="D547" s="3"/>
      <c r="J547" s="3"/>
      <c r="K547" s="3"/>
      <c r="M547" s="10"/>
      <c r="Q547" s="11"/>
      <c r="R547" s="18"/>
      <c r="S547" s="18"/>
      <c r="U547" s="19"/>
      <c r="AC547" s="20"/>
      <c r="AY547" s="22"/>
      <c r="AZ547" s="22"/>
    </row>
    <row r="548" ht="15.75" customHeight="1">
      <c r="D548" s="3"/>
      <c r="J548" s="3"/>
      <c r="K548" s="3"/>
      <c r="M548" s="10"/>
      <c r="Q548" s="11"/>
      <c r="R548" s="18"/>
      <c r="S548" s="18"/>
      <c r="U548" s="19"/>
      <c r="AC548" s="20"/>
      <c r="AY548" s="22"/>
      <c r="AZ548" s="22"/>
    </row>
    <row r="549" ht="15.75" customHeight="1">
      <c r="D549" s="3"/>
      <c r="J549" s="3"/>
      <c r="K549" s="3"/>
      <c r="M549" s="10"/>
      <c r="Q549" s="11"/>
      <c r="R549" s="18"/>
      <c r="S549" s="18"/>
      <c r="U549" s="19"/>
      <c r="AC549" s="20"/>
      <c r="AY549" s="22"/>
      <c r="AZ549" s="22"/>
    </row>
    <row r="550" ht="15.75" customHeight="1">
      <c r="D550" s="3"/>
      <c r="J550" s="3"/>
      <c r="K550" s="3"/>
      <c r="M550" s="10"/>
      <c r="Q550" s="11"/>
      <c r="R550" s="18"/>
      <c r="S550" s="18"/>
      <c r="U550" s="19"/>
      <c r="AC550" s="20"/>
      <c r="AY550" s="22"/>
      <c r="AZ550" s="22"/>
    </row>
    <row r="551" ht="15.75" customHeight="1">
      <c r="D551" s="3"/>
      <c r="J551" s="3"/>
      <c r="K551" s="3"/>
      <c r="M551" s="10"/>
      <c r="Q551" s="11"/>
      <c r="R551" s="18"/>
      <c r="S551" s="18"/>
      <c r="U551" s="19"/>
      <c r="AC551" s="20"/>
      <c r="AY551" s="22"/>
      <c r="AZ551" s="22"/>
    </row>
    <row r="552" ht="15.75" customHeight="1">
      <c r="D552" s="3"/>
      <c r="J552" s="3"/>
      <c r="K552" s="3"/>
      <c r="M552" s="10"/>
      <c r="Q552" s="11"/>
      <c r="R552" s="18"/>
      <c r="S552" s="18"/>
      <c r="U552" s="19"/>
      <c r="AC552" s="20"/>
      <c r="AY552" s="22"/>
      <c r="AZ552" s="22"/>
    </row>
    <row r="553" ht="15.75" customHeight="1">
      <c r="D553" s="3"/>
      <c r="J553" s="3"/>
      <c r="K553" s="3"/>
      <c r="M553" s="10"/>
      <c r="Q553" s="11"/>
      <c r="R553" s="18"/>
      <c r="S553" s="18"/>
      <c r="U553" s="19"/>
      <c r="AC553" s="20"/>
      <c r="AY553" s="22"/>
      <c r="AZ553" s="22"/>
    </row>
    <row r="554" ht="15.75" customHeight="1">
      <c r="D554" s="3"/>
      <c r="J554" s="3"/>
      <c r="K554" s="3"/>
      <c r="M554" s="10"/>
      <c r="Q554" s="11"/>
      <c r="R554" s="18"/>
      <c r="S554" s="18"/>
      <c r="U554" s="19"/>
      <c r="AC554" s="20"/>
      <c r="AY554" s="22"/>
      <c r="AZ554" s="22"/>
    </row>
    <row r="555" ht="15.75" customHeight="1">
      <c r="D555" s="3"/>
      <c r="J555" s="3"/>
      <c r="K555" s="3"/>
      <c r="M555" s="10"/>
      <c r="Q555" s="11"/>
      <c r="R555" s="18"/>
      <c r="S555" s="18"/>
      <c r="U555" s="19"/>
      <c r="AC555" s="20"/>
      <c r="AY555" s="22"/>
      <c r="AZ555" s="22"/>
    </row>
    <row r="556" ht="15.75" customHeight="1">
      <c r="D556" s="3"/>
      <c r="J556" s="3"/>
      <c r="K556" s="3"/>
      <c r="M556" s="10"/>
      <c r="Q556" s="11"/>
      <c r="R556" s="18"/>
      <c r="S556" s="18"/>
      <c r="U556" s="19"/>
      <c r="AC556" s="20"/>
      <c r="AY556" s="22"/>
      <c r="AZ556" s="22"/>
    </row>
    <row r="557" ht="15.75" customHeight="1">
      <c r="D557" s="3"/>
      <c r="J557" s="3"/>
      <c r="K557" s="3"/>
      <c r="M557" s="10"/>
      <c r="Q557" s="11"/>
      <c r="R557" s="18"/>
      <c r="S557" s="18"/>
      <c r="U557" s="19"/>
      <c r="AC557" s="20"/>
      <c r="AY557" s="22"/>
      <c r="AZ557" s="22"/>
    </row>
    <row r="558" ht="15.75" customHeight="1">
      <c r="D558" s="3"/>
      <c r="J558" s="3"/>
      <c r="K558" s="3"/>
      <c r="M558" s="10"/>
      <c r="Q558" s="11"/>
      <c r="R558" s="18"/>
      <c r="S558" s="18"/>
      <c r="U558" s="19"/>
      <c r="AC558" s="20"/>
      <c r="AY558" s="22"/>
      <c r="AZ558" s="22"/>
    </row>
    <row r="559" ht="15.75" customHeight="1">
      <c r="D559" s="3"/>
      <c r="J559" s="3"/>
      <c r="K559" s="3"/>
      <c r="M559" s="10"/>
      <c r="Q559" s="11"/>
      <c r="R559" s="18"/>
      <c r="S559" s="18"/>
      <c r="U559" s="19"/>
      <c r="AC559" s="20"/>
      <c r="AY559" s="22"/>
      <c r="AZ559" s="22"/>
    </row>
    <row r="560" ht="15.75" customHeight="1">
      <c r="D560" s="3"/>
      <c r="J560" s="3"/>
      <c r="K560" s="3"/>
      <c r="M560" s="10"/>
      <c r="Q560" s="11"/>
      <c r="R560" s="18"/>
      <c r="S560" s="18"/>
      <c r="U560" s="19"/>
      <c r="AC560" s="20"/>
      <c r="AY560" s="22"/>
      <c r="AZ560" s="22"/>
    </row>
    <row r="561" ht="15.75" customHeight="1">
      <c r="D561" s="3"/>
      <c r="J561" s="3"/>
      <c r="K561" s="3"/>
      <c r="M561" s="10"/>
      <c r="Q561" s="11"/>
      <c r="R561" s="18"/>
      <c r="S561" s="18"/>
      <c r="U561" s="19"/>
      <c r="AC561" s="20"/>
      <c r="AY561" s="22"/>
      <c r="AZ561" s="22"/>
    </row>
    <row r="562" ht="15.75" customHeight="1">
      <c r="D562" s="3"/>
      <c r="J562" s="3"/>
      <c r="K562" s="3"/>
      <c r="M562" s="10"/>
      <c r="Q562" s="11"/>
      <c r="R562" s="18"/>
      <c r="S562" s="18"/>
      <c r="U562" s="19"/>
      <c r="AC562" s="20"/>
      <c r="AY562" s="22"/>
      <c r="AZ562" s="22"/>
    </row>
    <row r="563" ht="15.75" customHeight="1">
      <c r="D563" s="3"/>
      <c r="J563" s="3"/>
      <c r="K563" s="3"/>
      <c r="M563" s="10"/>
      <c r="Q563" s="11"/>
      <c r="R563" s="18"/>
      <c r="S563" s="18"/>
      <c r="U563" s="19"/>
      <c r="AC563" s="20"/>
      <c r="AY563" s="22"/>
      <c r="AZ563" s="22"/>
    </row>
    <row r="564" ht="15.75" customHeight="1">
      <c r="D564" s="3"/>
      <c r="J564" s="3"/>
      <c r="K564" s="3"/>
      <c r="M564" s="10"/>
      <c r="Q564" s="11"/>
      <c r="R564" s="18"/>
      <c r="S564" s="18"/>
      <c r="U564" s="19"/>
      <c r="AC564" s="20"/>
      <c r="AY564" s="22"/>
      <c r="AZ564" s="22"/>
    </row>
    <row r="565" ht="15.75" customHeight="1">
      <c r="D565" s="3"/>
      <c r="J565" s="3"/>
      <c r="K565" s="3"/>
      <c r="M565" s="10"/>
      <c r="Q565" s="11"/>
      <c r="R565" s="18"/>
      <c r="S565" s="18"/>
      <c r="U565" s="19"/>
      <c r="AC565" s="20"/>
      <c r="AY565" s="22"/>
      <c r="AZ565" s="22"/>
    </row>
    <row r="566" ht="15.75" customHeight="1">
      <c r="D566" s="3"/>
      <c r="J566" s="3"/>
      <c r="K566" s="3"/>
      <c r="M566" s="10"/>
      <c r="Q566" s="11"/>
      <c r="R566" s="18"/>
      <c r="S566" s="18"/>
      <c r="U566" s="19"/>
      <c r="AC566" s="20"/>
      <c r="AY566" s="22"/>
      <c r="AZ566" s="22"/>
    </row>
    <row r="567" ht="15.75" customHeight="1">
      <c r="D567" s="3"/>
      <c r="J567" s="3"/>
      <c r="K567" s="3"/>
      <c r="M567" s="10"/>
      <c r="Q567" s="11"/>
      <c r="R567" s="18"/>
      <c r="S567" s="18"/>
      <c r="U567" s="19"/>
      <c r="AC567" s="20"/>
      <c r="AY567" s="22"/>
      <c r="AZ567" s="22"/>
    </row>
    <row r="568" ht="15.75" customHeight="1">
      <c r="D568" s="3"/>
      <c r="J568" s="3"/>
      <c r="K568" s="3"/>
      <c r="M568" s="10"/>
      <c r="Q568" s="11"/>
      <c r="R568" s="18"/>
      <c r="S568" s="18"/>
      <c r="U568" s="19"/>
      <c r="AC568" s="20"/>
      <c r="AY568" s="22"/>
      <c r="AZ568" s="22"/>
    </row>
    <row r="569" ht="15.75" customHeight="1">
      <c r="D569" s="3"/>
      <c r="J569" s="3"/>
      <c r="K569" s="3"/>
      <c r="M569" s="10"/>
      <c r="Q569" s="11"/>
      <c r="R569" s="18"/>
      <c r="S569" s="18"/>
      <c r="U569" s="19"/>
      <c r="AC569" s="20"/>
      <c r="AY569" s="22"/>
      <c r="AZ569" s="22"/>
    </row>
    <row r="570" ht="15.75" customHeight="1">
      <c r="D570" s="3"/>
      <c r="J570" s="3"/>
      <c r="K570" s="3"/>
      <c r="M570" s="10"/>
      <c r="Q570" s="11"/>
      <c r="R570" s="18"/>
      <c r="S570" s="18"/>
      <c r="U570" s="19"/>
      <c r="AC570" s="20"/>
      <c r="AY570" s="22"/>
      <c r="AZ570" s="22"/>
    </row>
    <row r="571" ht="15.75" customHeight="1">
      <c r="D571" s="3"/>
      <c r="J571" s="3"/>
      <c r="K571" s="3"/>
      <c r="M571" s="10"/>
      <c r="Q571" s="11"/>
      <c r="R571" s="18"/>
      <c r="S571" s="18"/>
      <c r="U571" s="19"/>
      <c r="AC571" s="20"/>
      <c r="AY571" s="22"/>
      <c r="AZ571" s="22"/>
    </row>
    <row r="572" ht="15.75" customHeight="1">
      <c r="D572" s="3"/>
      <c r="J572" s="3"/>
      <c r="K572" s="3"/>
      <c r="M572" s="10"/>
      <c r="Q572" s="11"/>
      <c r="R572" s="18"/>
      <c r="S572" s="18"/>
      <c r="U572" s="19"/>
      <c r="AC572" s="20"/>
      <c r="AY572" s="22"/>
      <c r="AZ572" s="22"/>
    </row>
    <row r="573" ht="15.75" customHeight="1">
      <c r="D573" s="3"/>
      <c r="J573" s="3"/>
      <c r="K573" s="3"/>
      <c r="M573" s="10"/>
      <c r="Q573" s="11"/>
      <c r="R573" s="18"/>
      <c r="S573" s="18"/>
      <c r="U573" s="19"/>
      <c r="AC573" s="20"/>
      <c r="AY573" s="22"/>
      <c r="AZ573" s="22"/>
    </row>
    <row r="574" ht="15.75" customHeight="1">
      <c r="D574" s="3"/>
      <c r="J574" s="3"/>
      <c r="K574" s="3"/>
      <c r="M574" s="10"/>
      <c r="Q574" s="11"/>
      <c r="R574" s="18"/>
      <c r="S574" s="18"/>
      <c r="U574" s="19"/>
      <c r="AC574" s="20"/>
      <c r="AY574" s="22"/>
      <c r="AZ574" s="22"/>
    </row>
    <row r="575" ht="15.75" customHeight="1">
      <c r="D575" s="3"/>
      <c r="J575" s="3"/>
      <c r="K575" s="3"/>
      <c r="M575" s="10"/>
      <c r="Q575" s="11"/>
      <c r="R575" s="18"/>
      <c r="S575" s="18"/>
      <c r="U575" s="19"/>
      <c r="AC575" s="20"/>
      <c r="AY575" s="22"/>
      <c r="AZ575" s="22"/>
    </row>
    <row r="576" ht="15.75" customHeight="1">
      <c r="D576" s="3"/>
      <c r="J576" s="3"/>
      <c r="K576" s="3"/>
      <c r="M576" s="10"/>
      <c r="Q576" s="11"/>
      <c r="R576" s="18"/>
      <c r="S576" s="18"/>
      <c r="U576" s="19"/>
      <c r="AC576" s="20"/>
      <c r="AY576" s="22"/>
      <c r="AZ576" s="22"/>
    </row>
    <row r="577" ht="15.75" customHeight="1">
      <c r="D577" s="3"/>
      <c r="J577" s="3"/>
      <c r="K577" s="3"/>
      <c r="M577" s="10"/>
      <c r="Q577" s="11"/>
      <c r="R577" s="18"/>
      <c r="S577" s="18"/>
      <c r="U577" s="19"/>
      <c r="AC577" s="20"/>
      <c r="AY577" s="22"/>
      <c r="AZ577" s="22"/>
    </row>
    <row r="578" ht="15.75" customHeight="1">
      <c r="D578" s="3"/>
      <c r="J578" s="3"/>
      <c r="K578" s="3"/>
      <c r="M578" s="10"/>
      <c r="Q578" s="11"/>
      <c r="R578" s="18"/>
      <c r="S578" s="18"/>
      <c r="U578" s="19"/>
      <c r="AC578" s="20"/>
      <c r="AY578" s="22"/>
      <c r="AZ578" s="22"/>
    </row>
    <row r="579" ht="15.75" customHeight="1">
      <c r="D579" s="3"/>
      <c r="J579" s="3"/>
      <c r="K579" s="3"/>
      <c r="M579" s="10"/>
      <c r="Q579" s="11"/>
      <c r="R579" s="18"/>
      <c r="S579" s="18"/>
      <c r="U579" s="19"/>
      <c r="AC579" s="20"/>
      <c r="AY579" s="22"/>
      <c r="AZ579" s="22"/>
    </row>
    <row r="580" ht="15.75" customHeight="1">
      <c r="D580" s="3"/>
      <c r="J580" s="3"/>
      <c r="K580" s="3"/>
      <c r="M580" s="10"/>
      <c r="Q580" s="11"/>
      <c r="R580" s="18"/>
      <c r="S580" s="18"/>
      <c r="U580" s="19"/>
      <c r="AC580" s="20"/>
      <c r="AY580" s="22"/>
      <c r="AZ580" s="22"/>
    </row>
    <row r="581" ht="15.75" customHeight="1">
      <c r="D581" s="3"/>
      <c r="J581" s="3"/>
      <c r="K581" s="3"/>
      <c r="M581" s="10"/>
      <c r="Q581" s="11"/>
      <c r="R581" s="18"/>
      <c r="S581" s="18"/>
      <c r="U581" s="19"/>
      <c r="AC581" s="20"/>
      <c r="AY581" s="22"/>
      <c r="AZ581" s="22"/>
    </row>
    <row r="582" ht="15.75" customHeight="1">
      <c r="D582" s="3"/>
      <c r="J582" s="3"/>
      <c r="K582" s="3"/>
      <c r="M582" s="10"/>
      <c r="Q582" s="11"/>
      <c r="R582" s="18"/>
      <c r="S582" s="18"/>
      <c r="U582" s="19"/>
      <c r="AC582" s="20"/>
      <c r="AY582" s="22"/>
      <c r="AZ582" s="22"/>
    </row>
    <row r="583" ht="15.75" customHeight="1">
      <c r="D583" s="3"/>
      <c r="J583" s="3"/>
      <c r="K583" s="3"/>
      <c r="M583" s="10"/>
      <c r="Q583" s="11"/>
      <c r="R583" s="18"/>
      <c r="S583" s="18"/>
      <c r="U583" s="19"/>
      <c r="AC583" s="20"/>
      <c r="AY583" s="22"/>
      <c r="AZ583" s="22"/>
    </row>
    <row r="584" ht="15.75" customHeight="1">
      <c r="D584" s="3"/>
      <c r="J584" s="3"/>
      <c r="K584" s="3"/>
      <c r="M584" s="10"/>
      <c r="Q584" s="11"/>
      <c r="R584" s="18"/>
      <c r="S584" s="18"/>
      <c r="U584" s="19"/>
      <c r="AC584" s="20"/>
      <c r="AY584" s="22"/>
      <c r="AZ584" s="22"/>
    </row>
    <row r="585" ht="15.75" customHeight="1">
      <c r="D585" s="3"/>
      <c r="J585" s="3"/>
      <c r="K585" s="3"/>
      <c r="M585" s="10"/>
      <c r="Q585" s="11"/>
      <c r="R585" s="18"/>
      <c r="S585" s="18"/>
      <c r="U585" s="19"/>
      <c r="AC585" s="20"/>
      <c r="AY585" s="22"/>
      <c r="AZ585" s="22"/>
    </row>
    <row r="586" ht="15.75" customHeight="1">
      <c r="D586" s="3"/>
      <c r="J586" s="3"/>
      <c r="K586" s="3"/>
      <c r="M586" s="10"/>
      <c r="Q586" s="11"/>
      <c r="R586" s="18"/>
      <c r="S586" s="18"/>
      <c r="U586" s="19"/>
      <c r="AC586" s="20"/>
      <c r="AY586" s="22"/>
      <c r="AZ586" s="22"/>
    </row>
    <row r="587" ht="15.75" customHeight="1">
      <c r="D587" s="3"/>
      <c r="J587" s="3"/>
      <c r="K587" s="3"/>
      <c r="M587" s="10"/>
      <c r="Q587" s="11"/>
      <c r="R587" s="18"/>
      <c r="S587" s="18"/>
      <c r="U587" s="19"/>
      <c r="AC587" s="20"/>
      <c r="AY587" s="22"/>
      <c r="AZ587" s="22"/>
    </row>
    <row r="588" ht="15.75" customHeight="1">
      <c r="D588" s="3"/>
      <c r="J588" s="3"/>
      <c r="K588" s="3"/>
      <c r="M588" s="10"/>
      <c r="Q588" s="11"/>
      <c r="R588" s="18"/>
      <c r="S588" s="18"/>
      <c r="U588" s="19"/>
      <c r="AC588" s="20"/>
      <c r="AY588" s="22"/>
      <c r="AZ588" s="22"/>
    </row>
    <row r="589" ht="15.75" customHeight="1">
      <c r="D589" s="3"/>
      <c r="J589" s="3"/>
      <c r="K589" s="3"/>
      <c r="M589" s="10"/>
      <c r="Q589" s="11"/>
      <c r="R589" s="18"/>
      <c r="S589" s="18"/>
      <c r="U589" s="19"/>
      <c r="AC589" s="20"/>
      <c r="AY589" s="22"/>
      <c r="AZ589" s="22"/>
    </row>
    <row r="590" ht="15.75" customHeight="1">
      <c r="D590" s="3"/>
      <c r="J590" s="3"/>
      <c r="K590" s="3"/>
      <c r="M590" s="10"/>
      <c r="Q590" s="11"/>
      <c r="R590" s="18"/>
      <c r="S590" s="18"/>
      <c r="U590" s="19"/>
      <c r="AC590" s="20"/>
      <c r="AY590" s="22"/>
      <c r="AZ590" s="22"/>
    </row>
    <row r="591" ht="15.75" customHeight="1">
      <c r="D591" s="3"/>
      <c r="J591" s="3"/>
      <c r="K591" s="3"/>
      <c r="M591" s="10"/>
      <c r="Q591" s="11"/>
      <c r="R591" s="18"/>
      <c r="S591" s="18"/>
      <c r="U591" s="19"/>
      <c r="AC591" s="20"/>
      <c r="AY591" s="22"/>
      <c r="AZ591" s="22"/>
    </row>
    <row r="592" ht="15.75" customHeight="1">
      <c r="D592" s="3"/>
      <c r="J592" s="3"/>
      <c r="K592" s="3"/>
      <c r="M592" s="10"/>
      <c r="Q592" s="11"/>
      <c r="R592" s="18"/>
      <c r="S592" s="18"/>
      <c r="U592" s="19"/>
      <c r="AC592" s="20"/>
      <c r="AY592" s="22"/>
      <c r="AZ592" s="22"/>
    </row>
    <row r="593" ht="15.75" customHeight="1">
      <c r="D593" s="3"/>
      <c r="J593" s="3"/>
      <c r="K593" s="3"/>
      <c r="M593" s="10"/>
      <c r="Q593" s="11"/>
      <c r="R593" s="18"/>
      <c r="S593" s="18"/>
      <c r="U593" s="19"/>
      <c r="AC593" s="20"/>
      <c r="AY593" s="22"/>
      <c r="AZ593" s="22"/>
    </row>
    <row r="594" ht="15.75" customHeight="1">
      <c r="D594" s="3"/>
      <c r="J594" s="3"/>
      <c r="K594" s="3"/>
      <c r="M594" s="10"/>
      <c r="Q594" s="11"/>
      <c r="R594" s="18"/>
      <c r="S594" s="18"/>
      <c r="U594" s="19"/>
      <c r="AC594" s="20"/>
      <c r="AY594" s="22"/>
      <c r="AZ594" s="22"/>
    </row>
    <row r="595" ht="15.75" customHeight="1">
      <c r="D595" s="3"/>
      <c r="J595" s="3"/>
      <c r="K595" s="3"/>
      <c r="M595" s="10"/>
      <c r="Q595" s="11"/>
      <c r="R595" s="18"/>
      <c r="S595" s="18"/>
      <c r="U595" s="19"/>
      <c r="AC595" s="20"/>
      <c r="AY595" s="22"/>
      <c r="AZ595" s="22"/>
    </row>
    <row r="596" ht="15.75" customHeight="1">
      <c r="D596" s="3"/>
      <c r="J596" s="3"/>
      <c r="K596" s="3"/>
      <c r="M596" s="10"/>
      <c r="Q596" s="11"/>
      <c r="R596" s="18"/>
      <c r="S596" s="18"/>
      <c r="U596" s="19"/>
      <c r="AC596" s="20"/>
      <c r="AY596" s="22"/>
      <c r="AZ596" s="22"/>
    </row>
    <row r="597" ht="15.75" customHeight="1">
      <c r="D597" s="3"/>
      <c r="J597" s="3"/>
      <c r="K597" s="3"/>
      <c r="M597" s="10"/>
      <c r="Q597" s="11"/>
      <c r="R597" s="18"/>
      <c r="S597" s="18"/>
      <c r="U597" s="19"/>
      <c r="AC597" s="20"/>
      <c r="AY597" s="22"/>
      <c r="AZ597" s="22"/>
    </row>
    <row r="598" ht="15.75" customHeight="1">
      <c r="D598" s="3"/>
      <c r="J598" s="3"/>
      <c r="K598" s="3"/>
      <c r="M598" s="10"/>
      <c r="Q598" s="11"/>
      <c r="R598" s="18"/>
      <c r="S598" s="18"/>
      <c r="U598" s="19"/>
      <c r="AC598" s="20"/>
      <c r="AY598" s="22"/>
      <c r="AZ598" s="22"/>
    </row>
    <row r="599" ht="15.75" customHeight="1">
      <c r="D599" s="3"/>
      <c r="J599" s="3"/>
      <c r="K599" s="3"/>
      <c r="M599" s="10"/>
      <c r="Q599" s="11"/>
      <c r="R599" s="18"/>
      <c r="S599" s="18"/>
      <c r="U599" s="19"/>
      <c r="AC599" s="20"/>
      <c r="AY599" s="22"/>
      <c r="AZ599" s="22"/>
    </row>
    <row r="600" ht="15.75" customHeight="1">
      <c r="D600" s="3"/>
      <c r="J600" s="3"/>
      <c r="K600" s="3"/>
      <c r="M600" s="10"/>
      <c r="Q600" s="11"/>
      <c r="R600" s="18"/>
      <c r="S600" s="18"/>
      <c r="U600" s="19"/>
      <c r="AC600" s="20"/>
      <c r="AY600" s="22"/>
      <c r="AZ600" s="22"/>
    </row>
    <row r="601" ht="15.75" customHeight="1">
      <c r="D601" s="3"/>
      <c r="J601" s="3"/>
      <c r="K601" s="3"/>
      <c r="M601" s="10"/>
      <c r="Q601" s="11"/>
      <c r="R601" s="18"/>
      <c r="S601" s="18"/>
      <c r="U601" s="19"/>
      <c r="AC601" s="20"/>
      <c r="AY601" s="22"/>
      <c r="AZ601" s="22"/>
    </row>
    <row r="602" ht="15.75" customHeight="1">
      <c r="D602" s="3"/>
      <c r="J602" s="3"/>
      <c r="K602" s="3"/>
      <c r="M602" s="10"/>
      <c r="Q602" s="11"/>
      <c r="R602" s="18"/>
      <c r="S602" s="18"/>
      <c r="U602" s="19"/>
      <c r="AC602" s="20"/>
      <c r="AY602" s="22"/>
      <c r="AZ602" s="22"/>
    </row>
    <row r="603" ht="15.75" customHeight="1">
      <c r="D603" s="3"/>
      <c r="J603" s="3"/>
      <c r="K603" s="3"/>
      <c r="M603" s="10"/>
      <c r="Q603" s="11"/>
      <c r="R603" s="18"/>
      <c r="S603" s="18"/>
      <c r="U603" s="19"/>
      <c r="AC603" s="20"/>
      <c r="AY603" s="22"/>
      <c r="AZ603" s="22"/>
    </row>
    <row r="604" ht="15.75" customHeight="1">
      <c r="D604" s="3"/>
      <c r="J604" s="3"/>
      <c r="K604" s="3"/>
      <c r="M604" s="10"/>
      <c r="Q604" s="11"/>
      <c r="R604" s="18"/>
      <c r="S604" s="18"/>
      <c r="U604" s="19"/>
      <c r="AC604" s="20"/>
      <c r="AY604" s="22"/>
      <c r="AZ604" s="22"/>
    </row>
    <row r="605" ht="15.75" customHeight="1">
      <c r="D605" s="3"/>
      <c r="J605" s="3"/>
      <c r="K605" s="3"/>
      <c r="M605" s="10"/>
      <c r="Q605" s="11"/>
      <c r="R605" s="18"/>
      <c r="S605" s="18"/>
      <c r="U605" s="19"/>
      <c r="AC605" s="20"/>
      <c r="AY605" s="22"/>
      <c r="AZ605" s="22"/>
    </row>
    <row r="606" ht="15.75" customHeight="1">
      <c r="D606" s="3"/>
      <c r="J606" s="3"/>
      <c r="K606" s="3"/>
      <c r="M606" s="10"/>
      <c r="Q606" s="11"/>
      <c r="R606" s="18"/>
      <c r="S606" s="18"/>
      <c r="U606" s="19"/>
      <c r="AC606" s="20"/>
      <c r="AY606" s="22"/>
      <c r="AZ606" s="22"/>
    </row>
    <row r="607" ht="15.75" customHeight="1">
      <c r="D607" s="3"/>
      <c r="J607" s="3"/>
      <c r="K607" s="3"/>
      <c r="M607" s="10"/>
      <c r="Q607" s="11"/>
      <c r="R607" s="18"/>
      <c r="S607" s="18"/>
      <c r="U607" s="19"/>
      <c r="AC607" s="20"/>
      <c r="AY607" s="22"/>
      <c r="AZ607" s="22"/>
    </row>
    <row r="608" ht="15.75" customHeight="1">
      <c r="D608" s="3"/>
      <c r="J608" s="3"/>
      <c r="K608" s="3"/>
      <c r="M608" s="10"/>
      <c r="Q608" s="11"/>
      <c r="R608" s="18"/>
      <c r="S608" s="18"/>
      <c r="U608" s="19"/>
      <c r="AC608" s="20"/>
      <c r="AY608" s="22"/>
      <c r="AZ608" s="22"/>
    </row>
    <row r="609" ht="15.75" customHeight="1">
      <c r="D609" s="3"/>
      <c r="J609" s="3"/>
      <c r="K609" s="3"/>
      <c r="M609" s="10"/>
      <c r="Q609" s="11"/>
      <c r="R609" s="18"/>
      <c r="S609" s="18"/>
      <c r="U609" s="19"/>
      <c r="AC609" s="20"/>
      <c r="AY609" s="22"/>
      <c r="AZ609" s="22"/>
    </row>
    <row r="610" ht="15.75" customHeight="1">
      <c r="D610" s="3"/>
      <c r="J610" s="3"/>
      <c r="K610" s="3"/>
      <c r="M610" s="10"/>
      <c r="Q610" s="11"/>
      <c r="R610" s="18"/>
      <c r="S610" s="18"/>
      <c r="U610" s="19"/>
      <c r="AC610" s="20"/>
      <c r="AY610" s="22"/>
      <c r="AZ610" s="22"/>
    </row>
    <row r="611" ht="15.75" customHeight="1">
      <c r="D611" s="3"/>
      <c r="J611" s="3"/>
      <c r="K611" s="3"/>
      <c r="M611" s="10"/>
      <c r="Q611" s="11"/>
      <c r="R611" s="18"/>
      <c r="S611" s="18"/>
      <c r="U611" s="19"/>
      <c r="AC611" s="20"/>
      <c r="AY611" s="22"/>
      <c r="AZ611" s="22"/>
    </row>
    <row r="612" ht="15.75" customHeight="1">
      <c r="D612" s="3"/>
      <c r="J612" s="3"/>
      <c r="K612" s="3"/>
      <c r="M612" s="10"/>
      <c r="Q612" s="11"/>
      <c r="R612" s="18"/>
      <c r="S612" s="18"/>
      <c r="U612" s="19"/>
      <c r="AC612" s="20"/>
      <c r="AY612" s="22"/>
      <c r="AZ612" s="22"/>
    </row>
    <row r="613" ht="15.75" customHeight="1">
      <c r="D613" s="3"/>
      <c r="J613" s="3"/>
      <c r="K613" s="3"/>
      <c r="M613" s="10"/>
      <c r="Q613" s="11"/>
      <c r="R613" s="18"/>
      <c r="S613" s="18"/>
      <c r="U613" s="19"/>
      <c r="AC613" s="20"/>
      <c r="AY613" s="22"/>
      <c r="AZ613" s="22"/>
    </row>
    <row r="614" ht="15.75" customHeight="1">
      <c r="D614" s="3"/>
      <c r="J614" s="3"/>
      <c r="K614" s="3"/>
      <c r="M614" s="10"/>
      <c r="Q614" s="11"/>
      <c r="R614" s="18"/>
      <c r="S614" s="18"/>
      <c r="U614" s="19"/>
      <c r="AC614" s="20"/>
      <c r="AY614" s="22"/>
      <c r="AZ614" s="22"/>
    </row>
    <row r="615" ht="15.75" customHeight="1">
      <c r="D615" s="3"/>
      <c r="J615" s="3"/>
      <c r="K615" s="3"/>
      <c r="M615" s="10"/>
      <c r="Q615" s="11"/>
      <c r="R615" s="18"/>
      <c r="S615" s="18"/>
      <c r="U615" s="19"/>
      <c r="AC615" s="20"/>
      <c r="AY615" s="22"/>
      <c r="AZ615" s="22"/>
    </row>
    <row r="616" ht="15.75" customHeight="1">
      <c r="D616" s="3"/>
      <c r="J616" s="3"/>
      <c r="K616" s="3"/>
      <c r="M616" s="10"/>
      <c r="Q616" s="11"/>
      <c r="R616" s="18"/>
      <c r="S616" s="18"/>
      <c r="U616" s="19"/>
      <c r="AC616" s="20"/>
      <c r="AY616" s="22"/>
      <c r="AZ616" s="22"/>
    </row>
    <row r="617" ht="15.75" customHeight="1">
      <c r="D617" s="3"/>
      <c r="J617" s="3"/>
      <c r="K617" s="3"/>
      <c r="M617" s="10"/>
      <c r="Q617" s="11"/>
      <c r="R617" s="18"/>
      <c r="S617" s="18"/>
      <c r="U617" s="19"/>
      <c r="AC617" s="20"/>
      <c r="AY617" s="22"/>
      <c r="AZ617" s="22"/>
    </row>
    <row r="618" ht="15.75" customHeight="1">
      <c r="D618" s="3"/>
      <c r="J618" s="3"/>
      <c r="K618" s="3"/>
      <c r="M618" s="10"/>
      <c r="Q618" s="11"/>
      <c r="R618" s="18"/>
      <c r="S618" s="18"/>
      <c r="U618" s="19"/>
      <c r="AC618" s="20"/>
      <c r="AY618" s="22"/>
      <c r="AZ618" s="22"/>
    </row>
    <row r="619" ht="15.75" customHeight="1">
      <c r="D619" s="3"/>
      <c r="J619" s="3"/>
      <c r="K619" s="3"/>
      <c r="M619" s="10"/>
      <c r="Q619" s="11"/>
      <c r="R619" s="18"/>
      <c r="S619" s="18"/>
      <c r="U619" s="19"/>
      <c r="AC619" s="20"/>
      <c r="AY619" s="22"/>
      <c r="AZ619" s="22"/>
    </row>
    <row r="620" ht="15.75" customHeight="1">
      <c r="D620" s="3"/>
      <c r="J620" s="3"/>
      <c r="K620" s="3"/>
      <c r="M620" s="10"/>
      <c r="Q620" s="11"/>
      <c r="R620" s="18"/>
      <c r="S620" s="18"/>
      <c r="U620" s="19"/>
      <c r="AC620" s="20"/>
      <c r="AY620" s="22"/>
      <c r="AZ620" s="22"/>
    </row>
    <row r="621" ht="15.75" customHeight="1">
      <c r="D621" s="3"/>
      <c r="J621" s="3"/>
      <c r="K621" s="3"/>
      <c r="M621" s="10"/>
      <c r="Q621" s="11"/>
      <c r="R621" s="18"/>
      <c r="S621" s="18"/>
      <c r="U621" s="19"/>
      <c r="AC621" s="20"/>
      <c r="AY621" s="22"/>
      <c r="AZ621" s="22"/>
    </row>
    <row r="622" ht="15.75" customHeight="1">
      <c r="D622" s="3"/>
      <c r="J622" s="3"/>
      <c r="K622" s="3"/>
      <c r="M622" s="10"/>
      <c r="Q622" s="11"/>
      <c r="R622" s="18"/>
      <c r="S622" s="18"/>
      <c r="U622" s="19"/>
      <c r="AC622" s="20"/>
      <c r="AY622" s="22"/>
      <c r="AZ622" s="22"/>
    </row>
    <row r="623" ht="15.75" customHeight="1">
      <c r="D623" s="3"/>
      <c r="J623" s="3"/>
      <c r="K623" s="3"/>
      <c r="M623" s="10"/>
      <c r="Q623" s="11"/>
      <c r="R623" s="18"/>
      <c r="S623" s="18"/>
      <c r="U623" s="19"/>
      <c r="AC623" s="20"/>
      <c r="AY623" s="22"/>
      <c r="AZ623" s="22"/>
    </row>
    <row r="624" ht="15.75" customHeight="1">
      <c r="D624" s="3"/>
      <c r="J624" s="3"/>
      <c r="K624" s="3"/>
      <c r="M624" s="10"/>
      <c r="Q624" s="11"/>
      <c r="R624" s="18"/>
      <c r="S624" s="18"/>
      <c r="U624" s="19"/>
      <c r="AC624" s="20"/>
      <c r="AY624" s="22"/>
      <c r="AZ624" s="22"/>
    </row>
    <row r="625" ht="15.75" customHeight="1">
      <c r="D625" s="3"/>
      <c r="J625" s="3"/>
      <c r="K625" s="3"/>
      <c r="M625" s="10"/>
      <c r="Q625" s="11"/>
      <c r="R625" s="18"/>
      <c r="S625" s="18"/>
      <c r="U625" s="19"/>
      <c r="AC625" s="20"/>
      <c r="AY625" s="22"/>
      <c r="AZ625" s="22"/>
    </row>
    <row r="626" ht="15.75" customHeight="1">
      <c r="D626" s="3"/>
      <c r="J626" s="3"/>
      <c r="K626" s="3"/>
      <c r="M626" s="10"/>
      <c r="Q626" s="11"/>
      <c r="R626" s="18"/>
      <c r="S626" s="18"/>
      <c r="U626" s="19"/>
      <c r="AC626" s="20"/>
      <c r="AY626" s="22"/>
      <c r="AZ626" s="22"/>
    </row>
    <row r="627" ht="15.75" customHeight="1">
      <c r="D627" s="3"/>
      <c r="J627" s="3"/>
      <c r="K627" s="3"/>
      <c r="M627" s="10"/>
      <c r="Q627" s="11"/>
      <c r="R627" s="18"/>
      <c r="S627" s="18"/>
      <c r="U627" s="19"/>
      <c r="AC627" s="20"/>
      <c r="AY627" s="22"/>
      <c r="AZ627" s="22"/>
    </row>
    <row r="628" ht="15.75" customHeight="1">
      <c r="D628" s="3"/>
      <c r="J628" s="3"/>
      <c r="K628" s="3"/>
      <c r="M628" s="10"/>
      <c r="Q628" s="11"/>
      <c r="R628" s="18"/>
      <c r="S628" s="18"/>
      <c r="U628" s="19"/>
      <c r="AC628" s="20"/>
      <c r="AY628" s="22"/>
      <c r="AZ628" s="22"/>
    </row>
    <row r="629" ht="15.75" customHeight="1">
      <c r="D629" s="3"/>
      <c r="J629" s="3"/>
      <c r="K629" s="3"/>
      <c r="M629" s="10"/>
      <c r="Q629" s="11"/>
      <c r="R629" s="18"/>
      <c r="S629" s="18"/>
      <c r="U629" s="19"/>
      <c r="AC629" s="20"/>
      <c r="AY629" s="22"/>
      <c r="AZ629" s="22"/>
    </row>
    <row r="630" ht="15.75" customHeight="1">
      <c r="D630" s="3"/>
      <c r="J630" s="3"/>
      <c r="K630" s="3"/>
      <c r="M630" s="10"/>
      <c r="Q630" s="11"/>
      <c r="R630" s="18"/>
      <c r="S630" s="18"/>
      <c r="U630" s="19"/>
      <c r="AC630" s="20"/>
      <c r="AY630" s="22"/>
      <c r="AZ630" s="22"/>
    </row>
    <row r="631" ht="15.75" customHeight="1">
      <c r="D631" s="3"/>
      <c r="J631" s="3"/>
      <c r="K631" s="3"/>
      <c r="M631" s="10"/>
      <c r="Q631" s="11"/>
      <c r="R631" s="18"/>
      <c r="S631" s="18"/>
      <c r="U631" s="19"/>
      <c r="AC631" s="20"/>
      <c r="AY631" s="22"/>
      <c r="AZ631" s="22"/>
    </row>
    <row r="632" ht="15.75" customHeight="1">
      <c r="D632" s="3"/>
      <c r="J632" s="3"/>
      <c r="K632" s="3"/>
      <c r="M632" s="10"/>
      <c r="Q632" s="11"/>
      <c r="R632" s="18"/>
      <c r="S632" s="18"/>
      <c r="U632" s="19"/>
      <c r="AC632" s="20"/>
      <c r="AY632" s="22"/>
      <c r="AZ632" s="22"/>
    </row>
    <row r="633" ht="15.75" customHeight="1">
      <c r="D633" s="3"/>
      <c r="J633" s="3"/>
      <c r="K633" s="3"/>
      <c r="M633" s="10"/>
      <c r="Q633" s="11"/>
      <c r="R633" s="18"/>
      <c r="S633" s="18"/>
      <c r="U633" s="19"/>
      <c r="AC633" s="20"/>
      <c r="AY633" s="22"/>
      <c r="AZ633" s="22"/>
    </row>
    <row r="634" ht="15.75" customHeight="1">
      <c r="D634" s="3"/>
      <c r="J634" s="3"/>
      <c r="K634" s="3"/>
      <c r="M634" s="10"/>
      <c r="Q634" s="11"/>
      <c r="R634" s="18"/>
      <c r="S634" s="18"/>
      <c r="U634" s="19"/>
      <c r="AC634" s="20"/>
      <c r="AY634" s="22"/>
      <c r="AZ634" s="22"/>
    </row>
    <row r="635" ht="15.75" customHeight="1">
      <c r="D635" s="3"/>
      <c r="J635" s="3"/>
      <c r="K635" s="3"/>
      <c r="M635" s="10"/>
      <c r="Q635" s="11"/>
      <c r="R635" s="18"/>
      <c r="S635" s="18"/>
      <c r="U635" s="19"/>
      <c r="AC635" s="20"/>
      <c r="AY635" s="22"/>
      <c r="AZ635" s="22"/>
    </row>
    <row r="636" ht="15.75" customHeight="1">
      <c r="D636" s="3"/>
      <c r="J636" s="3"/>
      <c r="K636" s="3"/>
      <c r="M636" s="10"/>
      <c r="Q636" s="11"/>
      <c r="R636" s="18"/>
      <c r="S636" s="18"/>
      <c r="U636" s="19"/>
      <c r="AC636" s="20"/>
      <c r="AY636" s="22"/>
      <c r="AZ636" s="22"/>
    </row>
    <row r="637" ht="15.75" customHeight="1">
      <c r="D637" s="3"/>
      <c r="J637" s="3"/>
      <c r="K637" s="3"/>
      <c r="M637" s="10"/>
      <c r="Q637" s="11"/>
      <c r="R637" s="18"/>
      <c r="S637" s="18"/>
      <c r="U637" s="19"/>
      <c r="AC637" s="20"/>
      <c r="AY637" s="22"/>
      <c r="AZ637" s="22"/>
    </row>
    <row r="638" ht="15.75" customHeight="1">
      <c r="D638" s="3"/>
      <c r="J638" s="3"/>
      <c r="K638" s="3"/>
      <c r="M638" s="10"/>
      <c r="Q638" s="11"/>
      <c r="R638" s="18"/>
      <c r="S638" s="18"/>
      <c r="U638" s="19"/>
      <c r="AC638" s="20"/>
      <c r="AY638" s="22"/>
      <c r="AZ638" s="22"/>
    </row>
    <row r="639" ht="15.75" customHeight="1">
      <c r="D639" s="3"/>
      <c r="J639" s="3"/>
      <c r="K639" s="3"/>
      <c r="M639" s="10"/>
      <c r="Q639" s="11"/>
      <c r="R639" s="18"/>
      <c r="S639" s="18"/>
      <c r="U639" s="19"/>
      <c r="AC639" s="20"/>
      <c r="AY639" s="22"/>
      <c r="AZ639" s="22"/>
    </row>
    <row r="640" ht="15.75" customHeight="1">
      <c r="D640" s="3"/>
      <c r="J640" s="3"/>
      <c r="K640" s="3"/>
      <c r="M640" s="10"/>
      <c r="Q640" s="11"/>
      <c r="R640" s="18"/>
      <c r="S640" s="18"/>
      <c r="U640" s="19"/>
      <c r="AC640" s="20"/>
      <c r="AY640" s="22"/>
      <c r="AZ640" s="22"/>
    </row>
    <row r="641" ht="15.75" customHeight="1">
      <c r="D641" s="3"/>
      <c r="J641" s="3"/>
      <c r="K641" s="3"/>
      <c r="M641" s="10"/>
      <c r="Q641" s="11"/>
      <c r="R641" s="18"/>
      <c r="S641" s="18"/>
      <c r="U641" s="19"/>
      <c r="AC641" s="20"/>
      <c r="AY641" s="22"/>
      <c r="AZ641" s="22"/>
    </row>
    <row r="642" ht="15.75" customHeight="1">
      <c r="D642" s="3"/>
      <c r="J642" s="3"/>
      <c r="K642" s="3"/>
      <c r="M642" s="10"/>
      <c r="Q642" s="11"/>
      <c r="R642" s="18"/>
      <c r="S642" s="18"/>
      <c r="U642" s="19"/>
      <c r="AC642" s="20"/>
      <c r="AY642" s="22"/>
      <c r="AZ642" s="22"/>
    </row>
    <row r="643" ht="15.75" customHeight="1">
      <c r="D643" s="3"/>
      <c r="J643" s="3"/>
      <c r="K643" s="3"/>
      <c r="M643" s="10"/>
      <c r="Q643" s="11"/>
      <c r="R643" s="18"/>
      <c r="S643" s="18"/>
      <c r="U643" s="19"/>
      <c r="AC643" s="20"/>
      <c r="AY643" s="22"/>
      <c r="AZ643" s="22"/>
    </row>
    <row r="644" ht="15.75" customHeight="1">
      <c r="D644" s="3"/>
      <c r="J644" s="3"/>
      <c r="K644" s="3"/>
      <c r="M644" s="10"/>
      <c r="Q644" s="11"/>
      <c r="R644" s="18"/>
      <c r="S644" s="18"/>
      <c r="U644" s="19"/>
      <c r="AC644" s="20"/>
      <c r="AY644" s="22"/>
      <c r="AZ644" s="22"/>
    </row>
    <row r="645" ht="15.75" customHeight="1">
      <c r="D645" s="3"/>
      <c r="J645" s="3"/>
      <c r="K645" s="3"/>
      <c r="M645" s="10"/>
      <c r="Q645" s="11"/>
      <c r="R645" s="18"/>
      <c r="S645" s="18"/>
      <c r="U645" s="19"/>
      <c r="AC645" s="20"/>
      <c r="AY645" s="22"/>
      <c r="AZ645" s="22"/>
    </row>
    <row r="646" ht="15.75" customHeight="1">
      <c r="D646" s="3"/>
      <c r="J646" s="3"/>
      <c r="K646" s="3"/>
      <c r="M646" s="10"/>
      <c r="Q646" s="11"/>
      <c r="R646" s="18"/>
      <c r="S646" s="18"/>
      <c r="U646" s="19"/>
      <c r="AC646" s="20"/>
      <c r="AY646" s="22"/>
      <c r="AZ646" s="22"/>
    </row>
    <row r="647" ht="15.75" customHeight="1">
      <c r="D647" s="3"/>
      <c r="J647" s="3"/>
      <c r="K647" s="3"/>
      <c r="M647" s="10"/>
      <c r="Q647" s="11"/>
      <c r="R647" s="18"/>
      <c r="S647" s="18"/>
      <c r="U647" s="19"/>
      <c r="AC647" s="20"/>
      <c r="AY647" s="22"/>
      <c r="AZ647" s="22"/>
    </row>
    <row r="648" ht="15.75" customHeight="1">
      <c r="D648" s="3"/>
      <c r="J648" s="3"/>
      <c r="K648" s="3"/>
      <c r="M648" s="10"/>
      <c r="Q648" s="11"/>
      <c r="R648" s="18"/>
      <c r="S648" s="18"/>
      <c r="U648" s="19"/>
      <c r="AC648" s="20"/>
      <c r="AY648" s="22"/>
      <c r="AZ648" s="22"/>
    </row>
    <row r="649" ht="15.75" customHeight="1">
      <c r="D649" s="3"/>
      <c r="J649" s="3"/>
      <c r="K649" s="3"/>
      <c r="M649" s="10"/>
      <c r="Q649" s="11"/>
      <c r="R649" s="18"/>
      <c r="S649" s="18"/>
      <c r="U649" s="19"/>
      <c r="AC649" s="20"/>
      <c r="AY649" s="22"/>
      <c r="AZ649" s="22"/>
    </row>
    <row r="650" ht="15.75" customHeight="1">
      <c r="D650" s="3"/>
      <c r="J650" s="3"/>
      <c r="K650" s="3"/>
      <c r="M650" s="10"/>
      <c r="Q650" s="11"/>
      <c r="R650" s="18"/>
      <c r="S650" s="18"/>
      <c r="U650" s="19"/>
      <c r="AC650" s="20"/>
      <c r="AY650" s="22"/>
      <c r="AZ650" s="22"/>
    </row>
    <row r="651" ht="15.75" customHeight="1">
      <c r="D651" s="3"/>
      <c r="J651" s="3"/>
      <c r="K651" s="3"/>
      <c r="M651" s="10"/>
      <c r="Q651" s="11"/>
      <c r="R651" s="18"/>
      <c r="S651" s="18"/>
      <c r="U651" s="19"/>
      <c r="AC651" s="20"/>
      <c r="AY651" s="22"/>
      <c r="AZ651" s="22"/>
    </row>
    <row r="652" ht="15.75" customHeight="1">
      <c r="D652" s="3"/>
      <c r="J652" s="3"/>
      <c r="K652" s="3"/>
      <c r="M652" s="10"/>
      <c r="Q652" s="11"/>
      <c r="R652" s="18"/>
      <c r="S652" s="18"/>
      <c r="U652" s="19"/>
      <c r="AC652" s="20"/>
      <c r="AY652" s="22"/>
      <c r="AZ652" s="22"/>
    </row>
    <row r="653" ht="15.75" customHeight="1">
      <c r="D653" s="3"/>
      <c r="J653" s="3"/>
      <c r="K653" s="3"/>
      <c r="M653" s="10"/>
      <c r="Q653" s="11"/>
      <c r="R653" s="18"/>
      <c r="S653" s="18"/>
      <c r="U653" s="19"/>
      <c r="AC653" s="20"/>
      <c r="AY653" s="22"/>
      <c r="AZ653" s="22"/>
    </row>
    <row r="654" ht="15.75" customHeight="1">
      <c r="D654" s="3"/>
      <c r="J654" s="3"/>
      <c r="K654" s="3"/>
      <c r="M654" s="10"/>
      <c r="Q654" s="11"/>
      <c r="R654" s="18"/>
      <c r="S654" s="18"/>
      <c r="U654" s="19"/>
      <c r="AC654" s="20"/>
      <c r="AY654" s="22"/>
      <c r="AZ654" s="22"/>
    </row>
    <row r="655" ht="15.75" customHeight="1">
      <c r="D655" s="3"/>
      <c r="J655" s="3"/>
      <c r="K655" s="3"/>
      <c r="M655" s="10"/>
      <c r="Q655" s="11"/>
      <c r="R655" s="18"/>
      <c r="S655" s="18"/>
      <c r="U655" s="19"/>
      <c r="AC655" s="20"/>
      <c r="AY655" s="22"/>
      <c r="AZ655" s="22"/>
    </row>
    <row r="656" ht="15.75" customHeight="1">
      <c r="D656" s="3"/>
      <c r="J656" s="3"/>
      <c r="K656" s="3"/>
      <c r="M656" s="10"/>
      <c r="Q656" s="11"/>
      <c r="R656" s="18"/>
      <c r="S656" s="18"/>
      <c r="U656" s="19"/>
      <c r="AC656" s="20"/>
      <c r="AY656" s="22"/>
      <c r="AZ656" s="22"/>
    </row>
    <row r="657" ht="15.75" customHeight="1">
      <c r="D657" s="3"/>
      <c r="J657" s="3"/>
      <c r="K657" s="3"/>
      <c r="M657" s="10"/>
      <c r="Q657" s="11"/>
      <c r="R657" s="18"/>
      <c r="S657" s="18"/>
      <c r="U657" s="19"/>
      <c r="AC657" s="20"/>
      <c r="AY657" s="22"/>
      <c r="AZ657" s="22"/>
    </row>
    <row r="658" ht="15.75" customHeight="1">
      <c r="D658" s="3"/>
      <c r="J658" s="3"/>
      <c r="K658" s="3"/>
      <c r="M658" s="10"/>
      <c r="Q658" s="11"/>
      <c r="R658" s="18"/>
      <c r="S658" s="18"/>
      <c r="U658" s="19"/>
      <c r="AC658" s="20"/>
      <c r="AY658" s="22"/>
      <c r="AZ658" s="22"/>
    </row>
    <row r="659" ht="15.75" customHeight="1">
      <c r="D659" s="3"/>
      <c r="J659" s="3"/>
      <c r="K659" s="3"/>
      <c r="M659" s="10"/>
      <c r="Q659" s="11"/>
      <c r="R659" s="18"/>
      <c r="S659" s="18"/>
      <c r="U659" s="19"/>
      <c r="AC659" s="20"/>
      <c r="AY659" s="22"/>
      <c r="AZ659" s="22"/>
    </row>
    <row r="660" ht="15.75" customHeight="1">
      <c r="D660" s="3"/>
      <c r="J660" s="3"/>
      <c r="K660" s="3"/>
      <c r="M660" s="10"/>
      <c r="Q660" s="11"/>
      <c r="R660" s="18"/>
      <c r="S660" s="18"/>
      <c r="U660" s="19"/>
      <c r="AC660" s="20"/>
      <c r="AY660" s="22"/>
      <c r="AZ660" s="22"/>
    </row>
    <row r="661" ht="15.75" customHeight="1">
      <c r="D661" s="3"/>
      <c r="J661" s="3"/>
      <c r="K661" s="3"/>
      <c r="M661" s="10"/>
      <c r="Q661" s="11"/>
      <c r="R661" s="18"/>
      <c r="S661" s="18"/>
      <c r="U661" s="19"/>
      <c r="AC661" s="20"/>
      <c r="AY661" s="22"/>
      <c r="AZ661" s="22"/>
    </row>
    <row r="662" ht="15.75" customHeight="1">
      <c r="D662" s="3"/>
      <c r="J662" s="3"/>
      <c r="K662" s="3"/>
      <c r="M662" s="10"/>
      <c r="Q662" s="11"/>
      <c r="R662" s="18"/>
      <c r="S662" s="18"/>
      <c r="U662" s="19"/>
      <c r="AC662" s="20"/>
      <c r="AY662" s="22"/>
      <c r="AZ662" s="22"/>
    </row>
    <row r="663" ht="15.75" customHeight="1">
      <c r="D663" s="3"/>
      <c r="J663" s="3"/>
      <c r="K663" s="3"/>
      <c r="M663" s="10"/>
      <c r="Q663" s="11"/>
      <c r="R663" s="18"/>
      <c r="S663" s="18"/>
      <c r="U663" s="19"/>
      <c r="AC663" s="20"/>
      <c r="AY663" s="22"/>
      <c r="AZ663" s="22"/>
    </row>
    <row r="664" ht="15.75" customHeight="1">
      <c r="D664" s="3"/>
      <c r="J664" s="3"/>
      <c r="K664" s="3"/>
      <c r="M664" s="10"/>
      <c r="Q664" s="11"/>
      <c r="R664" s="18"/>
      <c r="S664" s="18"/>
      <c r="U664" s="19"/>
      <c r="AC664" s="20"/>
      <c r="AY664" s="22"/>
      <c r="AZ664" s="22"/>
    </row>
    <row r="665" ht="15.75" customHeight="1">
      <c r="D665" s="3"/>
      <c r="J665" s="3"/>
      <c r="K665" s="3"/>
      <c r="M665" s="10"/>
      <c r="Q665" s="11"/>
      <c r="R665" s="18"/>
      <c r="S665" s="18"/>
      <c r="U665" s="19"/>
      <c r="AC665" s="20"/>
      <c r="AY665" s="22"/>
      <c r="AZ665" s="22"/>
    </row>
    <row r="666" ht="15.75" customHeight="1">
      <c r="D666" s="3"/>
      <c r="J666" s="3"/>
      <c r="K666" s="3"/>
      <c r="M666" s="10"/>
      <c r="Q666" s="11"/>
      <c r="R666" s="18"/>
      <c r="S666" s="18"/>
      <c r="U666" s="19"/>
      <c r="AC666" s="20"/>
      <c r="AY666" s="22"/>
      <c r="AZ666" s="22"/>
    </row>
    <row r="667" ht="15.75" customHeight="1">
      <c r="D667" s="3"/>
      <c r="J667" s="3"/>
      <c r="K667" s="3"/>
      <c r="M667" s="10"/>
      <c r="Q667" s="11"/>
      <c r="R667" s="18"/>
      <c r="S667" s="18"/>
      <c r="U667" s="19"/>
      <c r="AC667" s="20"/>
      <c r="AY667" s="22"/>
      <c r="AZ667" s="22"/>
    </row>
    <row r="668" ht="15.75" customHeight="1">
      <c r="D668" s="3"/>
      <c r="J668" s="3"/>
      <c r="K668" s="3"/>
      <c r="M668" s="10"/>
      <c r="Q668" s="11"/>
      <c r="R668" s="18"/>
      <c r="S668" s="18"/>
      <c r="U668" s="19"/>
      <c r="AC668" s="20"/>
      <c r="AY668" s="22"/>
      <c r="AZ668" s="22"/>
    </row>
    <row r="669" ht="15.75" customHeight="1">
      <c r="D669" s="3"/>
      <c r="J669" s="3"/>
      <c r="K669" s="3"/>
      <c r="M669" s="10"/>
      <c r="Q669" s="11"/>
      <c r="R669" s="18"/>
      <c r="S669" s="18"/>
      <c r="U669" s="19"/>
      <c r="AC669" s="20"/>
      <c r="AY669" s="22"/>
      <c r="AZ669" s="22"/>
    </row>
    <row r="670" ht="15.75" customHeight="1">
      <c r="D670" s="3"/>
      <c r="J670" s="3"/>
      <c r="K670" s="3"/>
      <c r="M670" s="10"/>
      <c r="Q670" s="11"/>
      <c r="R670" s="18"/>
      <c r="S670" s="18"/>
      <c r="U670" s="19"/>
      <c r="AC670" s="20"/>
      <c r="AY670" s="22"/>
      <c r="AZ670" s="22"/>
    </row>
    <row r="671" ht="15.75" customHeight="1">
      <c r="D671" s="3"/>
      <c r="J671" s="3"/>
      <c r="K671" s="3"/>
      <c r="M671" s="10"/>
      <c r="Q671" s="11"/>
      <c r="R671" s="18"/>
      <c r="S671" s="18"/>
      <c r="U671" s="19"/>
      <c r="AC671" s="20"/>
      <c r="AY671" s="22"/>
      <c r="AZ671" s="22"/>
    </row>
    <row r="672" ht="15.75" customHeight="1">
      <c r="D672" s="3"/>
      <c r="J672" s="3"/>
      <c r="K672" s="3"/>
      <c r="M672" s="10"/>
      <c r="Q672" s="11"/>
      <c r="R672" s="18"/>
      <c r="S672" s="18"/>
      <c r="U672" s="19"/>
      <c r="AC672" s="20"/>
      <c r="AY672" s="22"/>
      <c r="AZ672" s="22"/>
    </row>
    <row r="673" ht="15.75" customHeight="1">
      <c r="D673" s="3"/>
      <c r="J673" s="3"/>
      <c r="K673" s="3"/>
      <c r="M673" s="10"/>
      <c r="Q673" s="11"/>
      <c r="R673" s="18"/>
      <c r="S673" s="18"/>
      <c r="U673" s="19"/>
      <c r="AC673" s="20"/>
      <c r="AY673" s="22"/>
      <c r="AZ673" s="22"/>
    </row>
    <row r="674" ht="15.75" customHeight="1">
      <c r="D674" s="3"/>
      <c r="J674" s="3"/>
      <c r="K674" s="3"/>
      <c r="M674" s="10"/>
      <c r="Q674" s="11"/>
      <c r="R674" s="18"/>
      <c r="S674" s="18"/>
      <c r="U674" s="19"/>
      <c r="AC674" s="20"/>
      <c r="AY674" s="22"/>
      <c r="AZ674" s="22"/>
    </row>
    <row r="675" ht="15.75" customHeight="1">
      <c r="D675" s="3"/>
      <c r="J675" s="3"/>
      <c r="K675" s="3"/>
      <c r="M675" s="10"/>
      <c r="Q675" s="11"/>
      <c r="R675" s="18"/>
      <c r="S675" s="18"/>
      <c r="U675" s="19"/>
      <c r="AC675" s="20"/>
      <c r="AY675" s="22"/>
      <c r="AZ675" s="22"/>
    </row>
    <row r="676" ht="15.75" customHeight="1">
      <c r="D676" s="3"/>
      <c r="J676" s="3"/>
      <c r="K676" s="3"/>
      <c r="M676" s="10"/>
      <c r="Q676" s="11"/>
      <c r="R676" s="18"/>
      <c r="S676" s="18"/>
      <c r="U676" s="19"/>
      <c r="AC676" s="20"/>
      <c r="AY676" s="22"/>
      <c r="AZ676" s="22"/>
    </row>
    <row r="677" ht="15.75" customHeight="1">
      <c r="D677" s="3"/>
      <c r="J677" s="3"/>
      <c r="K677" s="3"/>
      <c r="M677" s="10"/>
      <c r="Q677" s="11"/>
      <c r="R677" s="18"/>
      <c r="S677" s="18"/>
      <c r="U677" s="19"/>
      <c r="AC677" s="20"/>
      <c r="AY677" s="22"/>
      <c r="AZ677" s="22"/>
    </row>
    <row r="678" ht="15.75" customHeight="1">
      <c r="D678" s="3"/>
      <c r="J678" s="3"/>
      <c r="K678" s="3"/>
      <c r="M678" s="10"/>
      <c r="Q678" s="11"/>
      <c r="R678" s="18"/>
      <c r="S678" s="18"/>
      <c r="U678" s="19"/>
      <c r="AC678" s="20"/>
      <c r="AY678" s="22"/>
      <c r="AZ678" s="22"/>
    </row>
    <row r="679" ht="15.75" customHeight="1">
      <c r="D679" s="3"/>
      <c r="J679" s="3"/>
      <c r="K679" s="3"/>
      <c r="M679" s="10"/>
      <c r="Q679" s="11"/>
      <c r="R679" s="18"/>
      <c r="S679" s="18"/>
      <c r="U679" s="19"/>
      <c r="AC679" s="20"/>
      <c r="AY679" s="22"/>
      <c r="AZ679" s="22"/>
    </row>
    <row r="680" ht="15.75" customHeight="1">
      <c r="D680" s="3"/>
      <c r="J680" s="3"/>
      <c r="K680" s="3"/>
      <c r="M680" s="10"/>
      <c r="Q680" s="11"/>
      <c r="R680" s="18"/>
      <c r="S680" s="18"/>
      <c r="U680" s="19"/>
      <c r="AC680" s="20"/>
      <c r="AY680" s="22"/>
      <c r="AZ680" s="22"/>
    </row>
    <row r="681" ht="15.75" customHeight="1">
      <c r="D681" s="3"/>
      <c r="J681" s="3"/>
      <c r="K681" s="3"/>
      <c r="M681" s="10"/>
      <c r="Q681" s="11"/>
      <c r="R681" s="18"/>
      <c r="S681" s="18"/>
      <c r="U681" s="19"/>
      <c r="AC681" s="20"/>
      <c r="AY681" s="22"/>
      <c r="AZ681" s="22"/>
    </row>
    <row r="682" ht="15.75" customHeight="1">
      <c r="D682" s="3"/>
      <c r="J682" s="3"/>
      <c r="K682" s="3"/>
      <c r="M682" s="10"/>
      <c r="Q682" s="11"/>
      <c r="R682" s="18"/>
      <c r="S682" s="18"/>
      <c r="U682" s="19"/>
      <c r="AC682" s="20"/>
      <c r="AY682" s="22"/>
      <c r="AZ682" s="22"/>
    </row>
    <row r="683" ht="15.75" customHeight="1">
      <c r="D683" s="3"/>
      <c r="J683" s="3"/>
      <c r="K683" s="3"/>
      <c r="M683" s="10"/>
      <c r="Q683" s="11"/>
      <c r="R683" s="18"/>
      <c r="S683" s="18"/>
      <c r="U683" s="19"/>
      <c r="AC683" s="20"/>
      <c r="AY683" s="22"/>
      <c r="AZ683" s="22"/>
    </row>
    <row r="684" ht="15.75" customHeight="1">
      <c r="D684" s="3"/>
      <c r="J684" s="3"/>
      <c r="K684" s="3"/>
      <c r="M684" s="10"/>
      <c r="Q684" s="11"/>
      <c r="R684" s="18"/>
      <c r="S684" s="18"/>
      <c r="U684" s="19"/>
      <c r="AC684" s="20"/>
      <c r="AY684" s="22"/>
      <c r="AZ684" s="22"/>
    </row>
    <row r="685" ht="15.75" customHeight="1">
      <c r="D685" s="3"/>
      <c r="J685" s="3"/>
      <c r="K685" s="3"/>
      <c r="M685" s="10"/>
      <c r="Q685" s="11"/>
      <c r="R685" s="18"/>
      <c r="S685" s="18"/>
      <c r="U685" s="19"/>
      <c r="AC685" s="20"/>
      <c r="AY685" s="22"/>
      <c r="AZ685" s="22"/>
    </row>
    <row r="686" ht="15.75" customHeight="1">
      <c r="D686" s="3"/>
      <c r="J686" s="3"/>
      <c r="K686" s="3"/>
      <c r="M686" s="10"/>
      <c r="Q686" s="11"/>
      <c r="R686" s="18"/>
      <c r="S686" s="18"/>
      <c r="U686" s="19"/>
      <c r="AC686" s="20"/>
      <c r="AY686" s="22"/>
      <c r="AZ686" s="22"/>
    </row>
    <row r="687" ht="15.75" customHeight="1">
      <c r="D687" s="3"/>
      <c r="J687" s="3"/>
      <c r="K687" s="3"/>
      <c r="M687" s="10"/>
      <c r="Q687" s="11"/>
      <c r="R687" s="18"/>
      <c r="S687" s="18"/>
      <c r="U687" s="19"/>
      <c r="AC687" s="20"/>
      <c r="AY687" s="22"/>
      <c r="AZ687" s="22"/>
    </row>
    <row r="688" ht="15.75" customHeight="1">
      <c r="D688" s="3"/>
      <c r="J688" s="3"/>
      <c r="K688" s="3"/>
      <c r="M688" s="10"/>
      <c r="Q688" s="11"/>
      <c r="R688" s="18"/>
      <c r="S688" s="18"/>
      <c r="U688" s="19"/>
      <c r="AC688" s="20"/>
      <c r="AY688" s="22"/>
      <c r="AZ688" s="22"/>
    </row>
    <row r="689" ht="15.75" customHeight="1">
      <c r="D689" s="3"/>
      <c r="J689" s="3"/>
      <c r="K689" s="3"/>
      <c r="M689" s="10"/>
      <c r="Q689" s="11"/>
      <c r="R689" s="18"/>
      <c r="S689" s="18"/>
      <c r="U689" s="19"/>
      <c r="AC689" s="20"/>
      <c r="AY689" s="22"/>
      <c r="AZ689" s="22"/>
    </row>
    <row r="690" ht="15.75" customHeight="1">
      <c r="D690" s="3"/>
      <c r="J690" s="3"/>
      <c r="K690" s="3"/>
      <c r="M690" s="10"/>
      <c r="Q690" s="11"/>
      <c r="R690" s="18"/>
      <c r="S690" s="18"/>
      <c r="U690" s="19"/>
      <c r="AC690" s="20"/>
      <c r="AY690" s="22"/>
      <c r="AZ690" s="22"/>
    </row>
    <row r="691" ht="15.75" customHeight="1">
      <c r="D691" s="3"/>
      <c r="J691" s="3"/>
      <c r="K691" s="3"/>
      <c r="M691" s="10"/>
      <c r="Q691" s="11"/>
      <c r="R691" s="18"/>
      <c r="S691" s="18"/>
      <c r="U691" s="19"/>
      <c r="AC691" s="20"/>
      <c r="AY691" s="22"/>
      <c r="AZ691" s="22"/>
    </row>
    <row r="692" ht="15.75" customHeight="1">
      <c r="D692" s="3"/>
      <c r="J692" s="3"/>
      <c r="K692" s="3"/>
      <c r="M692" s="10"/>
      <c r="Q692" s="11"/>
      <c r="R692" s="18"/>
      <c r="S692" s="18"/>
      <c r="U692" s="19"/>
      <c r="AC692" s="20"/>
      <c r="AY692" s="22"/>
      <c r="AZ692" s="22"/>
    </row>
    <row r="693" ht="15.75" customHeight="1">
      <c r="D693" s="3"/>
      <c r="J693" s="3"/>
      <c r="K693" s="3"/>
      <c r="M693" s="10"/>
      <c r="Q693" s="11"/>
      <c r="R693" s="18"/>
      <c r="S693" s="18"/>
      <c r="U693" s="19"/>
      <c r="AC693" s="20"/>
      <c r="AY693" s="22"/>
      <c r="AZ693" s="22"/>
    </row>
    <row r="694" ht="15.75" customHeight="1">
      <c r="D694" s="3"/>
      <c r="J694" s="3"/>
      <c r="K694" s="3"/>
      <c r="M694" s="10"/>
      <c r="Q694" s="11"/>
      <c r="R694" s="18"/>
      <c r="S694" s="18"/>
      <c r="U694" s="19"/>
      <c r="AC694" s="20"/>
      <c r="AY694" s="22"/>
      <c r="AZ694" s="22"/>
    </row>
    <row r="695" ht="15.75" customHeight="1">
      <c r="D695" s="3"/>
      <c r="J695" s="3"/>
      <c r="K695" s="3"/>
      <c r="M695" s="10"/>
      <c r="Q695" s="11"/>
      <c r="R695" s="18"/>
      <c r="S695" s="18"/>
      <c r="U695" s="19"/>
      <c r="AC695" s="20"/>
      <c r="AY695" s="22"/>
      <c r="AZ695" s="22"/>
    </row>
    <row r="696" ht="15.75" customHeight="1">
      <c r="D696" s="3"/>
      <c r="J696" s="3"/>
      <c r="K696" s="3"/>
      <c r="M696" s="10"/>
      <c r="Q696" s="11"/>
      <c r="R696" s="18"/>
      <c r="S696" s="18"/>
      <c r="U696" s="19"/>
      <c r="AC696" s="20"/>
      <c r="AY696" s="22"/>
      <c r="AZ696" s="22"/>
    </row>
    <row r="697" ht="15.75" customHeight="1">
      <c r="D697" s="3"/>
      <c r="J697" s="3"/>
      <c r="K697" s="3"/>
      <c r="M697" s="10"/>
      <c r="Q697" s="11"/>
      <c r="R697" s="18"/>
      <c r="S697" s="18"/>
      <c r="U697" s="19"/>
      <c r="AC697" s="20"/>
      <c r="AY697" s="22"/>
      <c r="AZ697" s="22"/>
    </row>
    <row r="698" ht="15.75" customHeight="1">
      <c r="D698" s="3"/>
      <c r="J698" s="3"/>
      <c r="K698" s="3"/>
      <c r="M698" s="10"/>
      <c r="Q698" s="11"/>
      <c r="R698" s="18"/>
      <c r="S698" s="18"/>
      <c r="U698" s="19"/>
      <c r="AC698" s="20"/>
      <c r="AY698" s="22"/>
      <c r="AZ698" s="22"/>
    </row>
    <row r="699" ht="15.75" customHeight="1">
      <c r="D699" s="3"/>
      <c r="J699" s="3"/>
      <c r="K699" s="3"/>
      <c r="M699" s="10"/>
      <c r="Q699" s="11"/>
      <c r="R699" s="18"/>
      <c r="S699" s="18"/>
      <c r="U699" s="19"/>
      <c r="AC699" s="20"/>
      <c r="AY699" s="22"/>
      <c r="AZ699" s="22"/>
    </row>
    <row r="700" ht="15.75" customHeight="1">
      <c r="D700" s="3"/>
      <c r="J700" s="3"/>
      <c r="K700" s="3"/>
      <c r="M700" s="10"/>
      <c r="Q700" s="11"/>
      <c r="R700" s="18"/>
      <c r="S700" s="18"/>
      <c r="U700" s="19"/>
      <c r="AC700" s="20"/>
      <c r="AY700" s="22"/>
      <c r="AZ700" s="22"/>
    </row>
    <row r="701" ht="15.75" customHeight="1">
      <c r="D701" s="3"/>
      <c r="J701" s="3"/>
      <c r="K701" s="3"/>
      <c r="M701" s="10"/>
      <c r="Q701" s="11"/>
      <c r="R701" s="18"/>
      <c r="S701" s="18"/>
      <c r="U701" s="19"/>
      <c r="AC701" s="20"/>
      <c r="AY701" s="22"/>
      <c r="AZ701" s="22"/>
    </row>
    <row r="702" ht="15.75" customHeight="1">
      <c r="D702" s="3"/>
      <c r="J702" s="3"/>
      <c r="K702" s="3"/>
      <c r="M702" s="10"/>
      <c r="Q702" s="11"/>
      <c r="R702" s="18"/>
      <c r="S702" s="18"/>
      <c r="U702" s="19"/>
      <c r="AC702" s="20"/>
      <c r="AY702" s="22"/>
      <c r="AZ702" s="22"/>
    </row>
    <row r="703" ht="15.75" customHeight="1">
      <c r="D703" s="3"/>
      <c r="J703" s="3"/>
      <c r="K703" s="3"/>
      <c r="M703" s="10"/>
      <c r="Q703" s="11"/>
      <c r="R703" s="18"/>
      <c r="S703" s="18"/>
      <c r="U703" s="19"/>
      <c r="AC703" s="20"/>
      <c r="AY703" s="22"/>
      <c r="AZ703" s="22"/>
    </row>
    <row r="704" ht="15.75" customHeight="1">
      <c r="D704" s="3"/>
      <c r="J704" s="3"/>
      <c r="K704" s="3"/>
      <c r="M704" s="10"/>
      <c r="Q704" s="11"/>
      <c r="R704" s="18"/>
      <c r="S704" s="18"/>
      <c r="U704" s="19"/>
      <c r="AC704" s="20"/>
      <c r="AY704" s="22"/>
      <c r="AZ704" s="22"/>
    </row>
    <row r="705" ht="15.75" customHeight="1">
      <c r="D705" s="3"/>
      <c r="J705" s="3"/>
      <c r="K705" s="3"/>
      <c r="M705" s="10"/>
      <c r="Q705" s="11"/>
      <c r="R705" s="18"/>
      <c r="S705" s="18"/>
      <c r="U705" s="19"/>
      <c r="AC705" s="20"/>
      <c r="AY705" s="22"/>
      <c r="AZ705" s="22"/>
    </row>
    <row r="706" ht="15.75" customHeight="1">
      <c r="D706" s="3"/>
      <c r="J706" s="3"/>
      <c r="K706" s="3"/>
      <c r="M706" s="10"/>
      <c r="Q706" s="11"/>
      <c r="R706" s="18"/>
      <c r="S706" s="18"/>
      <c r="U706" s="19"/>
      <c r="AC706" s="20"/>
      <c r="AY706" s="22"/>
      <c r="AZ706" s="22"/>
    </row>
    <row r="707" ht="15.75" customHeight="1">
      <c r="D707" s="3"/>
      <c r="J707" s="3"/>
      <c r="K707" s="3"/>
      <c r="M707" s="10"/>
      <c r="Q707" s="11"/>
      <c r="R707" s="18"/>
      <c r="S707" s="18"/>
      <c r="U707" s="19"/>
      <c r="AC707" s="20"/>
      <c r="AY707" s="22"/>
      <c r="AZ707" s="22"/>
    </row>
    <row r="708" ht="15.75" customHeight="1">
      <c r="D708" s="3"/>
      <c r="J708" s="3"/>
      <c r="K708" s="3"/>
      <c r="M708" s="10"/>
      <c r="Q708" s="11"/>
      <c r="R708" s="18"/>
      <c r="S708" s="18"/>
      <c r="U708" s="19"/>
      <c r="AC708" s="20"/>
      <c r="AY708" s="22"/>
      <c r="AZ708" s="22"/>
    </row>
    <row r="709" ht="15.75" customHeight="1">
      <c r="D709" s="3"/>
      <c r="J709" s="3"/>
      <c r="K709" s="3"/>
      <c r="M709" s="10"/>
      <c r="Q709" s="11"/>
      <c r="R709" s="18"/>
      <c r="S709" s="18"/>
      <c r="U709" s="19"/>
      <c r="AC709" s="20"/>
      <c r="AY709" s="22"/>
      <c r="AZ709" s="22"/>
    </row>
    <row r="710" ht="15.75" customHeight="1">
      <c r="D710" s="3"/>
      <c r="J710" s="3"/>
      <c r="K710" s="3"/>
      <c r="M710" s="10"/>
      <c r="Q710" s="11"/>
      <c r="R710" s="18"/>
      <c r="S710" s="18"/>
      <c r="U710" s="19"/>
      <c r="AC710" s="20"/>
      <c r="AY710" s="22"/>
      <c r="AZ710" s="22"/>
    </row>
    <row r="711" ht="15.75" customHeight="1">
      <c r="D711" s="3"/>
      <c r="J711" s="3"/>
      <c r="K711" s="3"/>
      <c r="M711" s="10"/>
      <c r="Q711" s="11"/>
      <c r="R711" s="18"/>
      <c r="S711" s="18"/>
      <c r="U711" s="19"/>
      <c r="AC711" s="20"/>
      <c r="AY711" s="22"/>
      <c r="AZ711" s="22"/>
    </row>
    <row r="712" ht="15.75" customHeight="1">
      <c r="D712" s="3"/>
      <c r="J712" s="3"/>
      <c r="K712" s="3"/>
      <c r="M712" s="10"/>
      <c r="Q712" s="11"/>
      <c r="R712" s="18"/>
      <c r="S712" s="18"/>
      <c r="U712" s="19"/>
      <c r="AC712" s="20"/>
      <c r="AY712" s="22"/>
      <c r="AZ712" s="22"/>
    </row>
    <row r="713" ht="15.75" customHeight="1">
      <c r="D713" s="3"/>
      <c r="J713" s="3"/>
      <c r="K713" s="3"/>
      <c r="M713" s="10"/>
      <c r="Q713" s="11"/>
      <c r="R713" s="18"/>
      <c r="S713" s="18"/>
      <c r="U713" s="19"/>
      <c r="AC713" s="20"/>
      <c r="AY713" s="22"/>
      <c r="AZ713" s="22"/>
    </row>
    <row r="714" ht="15.75" customHeight="1">
      <c r="D714" s="3"/>
      <c r="J714" s="3"/>
      <c r="K714" s="3"/>
      <c r="M714" s="10"/>
      <c r="Q714" s="11"/>
      <c r="R714" s="18"/>
      <c r="S714" s="18"/>
      <c r="U714" s="19"/>
      <c r="AC714" s="20"/>
      <c r="AY714" s="22"/>
      <c r="AZ714" s="22"/>
    </row>
    <row r="715" ht="15.75" customHeight="1">
      <c r="D715" s="3"/>
      <c r="J715" s="3"/>
      <c r="K715" s="3"/>
      <c r="M715" s="10"/>
      <c r="Q715" s="11"/>
      <c r="R715" s="18"/>
      <c r="S715" s="18"/>
      <c r="U715" s="19"/>
      <c r="AC715" s="20"/>
      <c r="AY715" s="22"/>
      <c r="AZ715" s="22"/>
    </row>
    <row r="716" ht="15.75" customHeight="1">
      <c r="D716" s="3"/>
      <c r="J716" s="3"/>
      <c r="K716" s="3"/>
      <c r="M716" s="10"/>
      <c r="Q716" s="11"/>
      <c r="R716" s="18"/>
      <c r="S716" s="18"/>
      <c r="U716" s="19"/>
      <c r="AC716" s="20"/>
      <c r="AY716" s="22"/>
      <c r="AZ716" s="22"/>
    </row>
    <row r="717" ht="15.75" customHeight="1">
      <c r="D717" s="3"/>
      <c r="J717" s="3"/>
      <c r="K717" s="3"/>
      <c r="M717" s="10"/>
      <c r="Q717" s="11"/>
      <c r="R717" s="18"/>
      <c r="S717" s="18"/>
      <c r="U717" s="19"/>
      <c r="AC717" s="20"/>
      <c r="AY717" s="22"/>
      <c r="AZ717" s="22"/>
    </row>
    <row r="718" ht="15.75" customHeight="1">
      <c r="D718" s="3"/>
      <c r="J718" s="3"/>
      <c r="K718" s="3"/>
      <c r="M718" s="10"/>
      <c r="Q718" s="11"/>
      <c r="R718" s="18"/>
      <c r="S718" s="18"/>
      <c r="U718" s="19"/>
      <c r="AC718" s="20"/>
      <c r="AY718" s="22"/>
      <c r="AZ718" s="22"/>
    </row>
    <row r="719" ht="15.75" customHeight="1">
      <c r="D719" s="3"/>
      <c r="J719" s="3"/>
      <c r="K719" s="3"/>
      <c r="M719" s="10"/>
      <c r="Q719" s="11"/>
      <c r="R719" s="18"/>
      <c r="S719" s="18"/>
      <c r="U719" s="19"/>
      <c r="AC719" s="20"/>
      <c r="AY719" s="22"/>
      <c r="AZ719" s="22"/>
    </row>
    <row r="720" ht="15.75" customHeight="1">
      <c r="D720" s="3"/>
      <c r="J720" s="3"/>
      <c r="K720" s="3"/>
      <c r="M720" s="10"/>
      <c r="Q720" s="11"/>
      <c r="R720" s="18"/>
      <c r="S720" s="18"/>
      <c r="U720" s="19"/>
      <c r="AC720" s="20"/>
      <c r="AY720" s="22"/>
      <c r="AZ720" s="22"/>
    </row>
    <row r="721" ht="15.75" customHeight="1">
      <c r="D721" s="3"/>
      <c r="J721" s="3"/>
      <c r="K721" s="3"/>
      <c r="M721" s="10"/>
      <c r="Q721" s="11"/>
      <c r="R721" s="18"/>
      <c r="S721" s="18"/>
      <c r="U721" s="19"/>
      <c r="AC721" s="20"/>
      <c r="AY721" s="22"/>
      <c r="AZ721" s="22"/>
    </row>
    <row r="722" ht="15.75" customHeight="1">
      <c r="D722" s="3"/>
      <c r="J722" s="3"/>
      <c r="K722" s="3"/>
      <c r="M722" s="10"/>
      <c r="Q722" s="11"/>
      <c r="R722" s="18"/>
      <c r="S722" s="18"/>
      <c r="U722" s="19"/>
      <c r="AC722" s="20"/>
      <c r="AY722" s="22"/>
      <c r="AZ722" s="22"/>
    </row>
    <row r="723" ht="15.75" customHeight="1">
      <c r="D723" s="3"/>
      <c r="J723" s="3"/>
      <c r="K723" s="3"/>
      <c r="M723" s="10"/>
      <c r="Q723" s="11"/>
      <c r="R723" s="18"/>
      <c r="S723" s="18"/>
      <c r="U723" s="19"/>
      <c r="AC723" s="20"/>
      <c r="AY723" s="22"/>
      <c r="AZ723" s="22"/>
    </row>
    <row r="724" ht="15.75" customHeight="1">
      <c r="D724" s="3"/>
      <c r="J724" s="3"/>
      <c r="K724" s="3"/>
      <c r="M724" s="10"/>
      <c r="Q724" s="11"/>
      <c r="R724" s="18"/>
      <c r="S724" s="18"/>
      <c r="U724" s="19"/>
      <c r="AC724" s="20"/>
      <c r="AY724" s="22"/>
      <c r="AZ724" s="22"/>
    </row>
    <row r="725" ht="15.75" customHeight="1">
      <c r="D725" s="3"/>
      <c r="J725" s="3"/>
      <c r="K725" s="3"/>
      <c r="M725" s="10"/>
      <c r="Q725" s="11"/>
      <c r="R725" s="18"/>
      <c r="S725" s="18"/>
      <c r="U725" s="19"/>
      <c r="AC725" s="20"/>
      <c r="AY725" s="22"/>
      <c r="AZ725" s="22"/>
    </row>
    <row r="726" ht="15.75" customHeight="1">
      <c r="D726" s="3"/>
      <c r="J726" s="3"/>
      <c r="K726" s="3"/>
      <c r="M726" s="10"/>
      <c r="Q726" s="11"/>
      <c r="R726" s="18"/>
      <c r="S726" s="18"/>
      <c r="U726" s="19"/>
      <c r="AC726" s="20"/>
      <c r="AY726" s="22"/>
      <c r="AZ726" s="22"/>
    </row>
    <row r="727" ht="15.75" customHeight="1">
      <c r="D727" s="3"/>
      <c r="J727" s="3"/>
      <c r="K727" s="3"/>
      <c r="M727" s="10"/>
      <c r="Q727" s="11"/>
      <c r="R727" s="18"/>
      <c r="S727" s="18"/>
      <c r="U727" s="19"/>
      <c r="AC727" s="20"/>
      <c r="AY727" s="22"/>
      <c r="AZ727" s="22"/>
    </row>
    <row r="728" ht="15.75" customHeight="1">
      <c r="D728" s="3"/>
      <c r="J728" s="3"/>
      <c r="K728" s="3"/>
      <c r="M728" s="10"/>
      <c r="Q728" s="11"/>
      <c r="R728" s="18"/>
      <c r="S728" s="18"/>
      <c r="U728" s="19"/>
      <c r="AC728" s="20"/>
      <c r="AY728" s="22"/>
      <c r="AZ728" s="22"/>
    </row>
    <row r="729" ht="15.75" customHeight="1">
      <c r="D729" s="3"/>
      <c r="J729" s="3"/>
      <c r="K729" s="3"/>
      <c r="M729" s="10"/>
      <c r="Q729" s="11"/>
      <c r="R729" s="18"/>
      <c r="S729" s="18"/>
      <c r="U729" s="19"/>
      <c r="AC729" s="20"/>
      <c r="AY729" s="22"/>
      <c r="AZ729" s="22"/>
    </row>
    <row r="730" ht="15.75" customHeight="1">
      <c r="D730" s="3"/>
      <c r="J730" s="3"/>
      <c r="K730" s="3"/>
      <c r="M730" s="10"/>
      <c r="Q730" s="11"/>
      <c r="R730" s="18"/>
      <c r="S730" s="18"/>
      <c r="U730" s="19"/>
      <c r="AC730" s="20"/>
      <c r="AY730" s="22"/>
      <c r="AZ730" s="22"/>
    </row>
    <row r="731" ht="15.75" customHeight="1">
      <c r="D731" s="3"/>
      <c r="J731" s="3"/>
      <c r="K731" s="3"/>
      <c r="M731" s="10"/>
      <c r="Q731" s="11"/>
      <c r="R731" s="18"/>
      <c r="S731" s="18"/>
      <c r="U731" s="19"/>
      <c r="AC731" s="20"/>
      <c r="AY731" s="22"/>
      <c r="AZ731" s="22"/>
    </row>
    <row r="732" ht="15.75" customHeight="1">
      <c r="D732" s="3"/>
      <c r="J732" s="3"/>
      <c r="K732" s="3"/>
      <c r="M732" s="10"/>
      <c r="Q732" s="11"/>
      <c r="R732" s="18"/>
      <c r="S732" s="18"/>
      <c r="U732" s="19"/>
      <c r="AC732" s="20"/>
      <c r="AY732" s="22"/>
      <c r="AZ732" s="22"/>
    </row>
    <row r="733" ht="15.75" customHeight="1">
      <c r="D733" s="3"/>
      <c r="J733" s="3"/>
      <c r="K733" s="3"/>
      <c r="M733" s="10"/>
      <c r="Q733" s="11"/>
      <c r="R733" s="18"/>
      <c r="S733" s="18"/>
      <c r="U733" s="19"/>
      <c r="AC733" s="20"/>
      <c r="AY733" s="22"/>
      <c r="AZ733" s="22"/>
    </row>
    <row r="734" ht="15.75" customHeight="1">
      <c r="D734" s="3"/>
      <c r="J734" s="3"/>
      <c r="K734" s="3"/>
      <c r="M734" s="10"/>
      <c r="Q734" s="11"/>
      <c r="R734" s="18"/>
      <c r="S734" s="18"/>
      <c r="U734" s="19"/>
      <c r="AC734" s="20"/>
      <c r="AY734" s="22"/>
      <c r="AZ734" s="22"/>
    </row>
    <row r="735" ht="15.75" customHeight="1">
      <c r="D735" s="3"/>
      <c r="J735" s="3"/>
      <c r="K735" s="3"/>
      <c r="M735" s="10"/>
      <c r="Q735" s="11"/>
      <c r="R735" s="18"/>
      <c r="S735" s="18"/>
      <c r="U735" s="19"/>
      <c r="AC735" s="20"/>
      <c r="AY735" s="22"/>
      <c r="AZ735" s="22"/>
    </row>
    <row r="736" ht="15.75" customHeight="1">
      <c r="D736" s="3"/>
      <c r="J736" s="3"/>
      <c r="K736" s="3"/>
      <c r="M736" s="10"/>
      <c r="Q736" s="11"/>
      <c r="R736" s="18"/>
      <c r="S736" s="18"/>
      <c r="U736" s="19"/>
      <c r="AC736" s="20"/>
      <c r="AY736" s="22"/>
      <c r="AZ736" s="22"/>
    </row>
    <row r="737" ht="15.75" customHeight="1">
      <c r="D737" s="3"/>
      <c r="J737" s="3"/>
      <c r="K737" s="3"/>
      <c r="M737" s="10"/>
      <c r="Q737" s="11"/>
      <c r="R737" s="18"/>
      <c r="S737" s="18"/>
      <c r="U737" s="19"/>
      <c r="AC737" s="20"/>
      <c r="AY737" s="22"/>
      <c r="AZ737" s="22"/>
    </row>
    <row r="738" ht="15.75" customHeight="1">
      <c r="D738" s="3"/>
      <c r="J738" s="3"/>
      <c r="K738" s="3"/>
      <c r="M738" s="10"/>
      <c r="Q738" s="11"/>
      <c r="R738" s="18"/>
      <c r="S738" s="18"/>
      <c r="U738" s="19"/>
      <c r="AC738" s="20"/>
      <c r="AY738" s="22"/>
      <c r="AZ738" s="22"/>
    </row>
    <row r="739" ht="15.75" customHeight="1">
      <c r="D739" s="3"/>
      <c r="J739" s="3"/>
      <c r="K739" s="3"/>
      <c r="M739" s="10"/>
      <c r="Q739" s="11"/>
      <c r="R739" s="18"/>
      <c r="S739" s="18"/>
      <c r="U739" s="19"/>
      <c r="AC739" s="20"/>
      <c r="AY739" s="22"/>
      <c r="AZ739" s="22"/>
    </row>
    <row r="740" ht="15.75" customHeight="1">
      <c r="D740" s="3"/>
      <c r="J740" s="3"/>
      <c r="K740" s="3"/>
      <c r="M740" s="10"/>
      <c r="Q740" s="11"/>
      <c r="R740" s="18"/>
      <c r="S740" s="18"/>
      <c r="U740" s="19"/>
      <c r="AC740" s="20"/>
      <c r="AY740" s="22"/>
      <c r="AZ740" s="22"/>
    </row>
    <row r="741" ht="15.75" customHeight="1">
      <c r="D741" s="3"/>
      <c r="J741" s="3"/>
      <c r="K741" s="3"/>
      <c r="M741" s="10"/>
      <c r="Q741" s="11"/>
      <c r="R741" s="18"/>
      <c r="S741" s="18"/>
      <c r="U741" s="19"/>
      <c r="AC741" s="20"/>
      <c r="AY741" s="22"/>
      <c r="AZ741" s="22"/>
    </row>
    <row r="742" ht="15.75" customHeight="1">
      <c r="D742" s="3"/>
      <c r="J742" s="3"/>
      <c r="K742" s="3"/>
      <c r="M742" s="10"/>
      <c r="Q742" s="11"/>
      <c r="R742" s="18"/>
      <c r="S742" s="18"/>
      <c r="U742" s="19"/>
      <c r="AC742" s="20"/>
      <c r="AY742" s="22"/>
      <c r="AZ742" s="22"/>
    </row>
    <row r="743" ht="15.75" customHeight="1">
      <c r="D743" s="3"/>
      <c r="J743" s="3"/>
      <c r="K743" s="3"/>
      <c r="M743" s="10"/>
      <c r="Q743" s="11"/>
      <c r="R743" s="18"/>
      <c r="S743" s="18"/>
      <c r="U743" s="19"/>
      <c r="AC743" s="20"/>
      <c r="AY743" s="22"/>
      <c r="AZ743" s="22"/>
    </row>
    <row r="744" ht="15.75" customHeight="1">
      <c r="D744" s="3"/>
      <c r="J744" s="3"/>
      <c r="K744" s="3"/>
      <c r="M744" s="10"/>
      <c r="Q744" s="11"/>
      <c r="R744" s="18"/>
      <c r="S744" s="18"/>
      <c r="U744" s="19"/>
      <c r="AC744" s="20"/>
      <c r="AY744" s="22"/>
      <c r="AZ744" s="22"/>
    </row>
    <row r="745" ht="15.75" customHeight="1">
      <c r="D745" s="3"/>
      <c r="J745" s="3"/>
      <c r="K745" s="3"/>
      <c r="M745" s="10"/>
      <c r="Q745" s="11"/>
      <c r="R745" s="18"/>
      <c r="S745" s="18"/>
      <c r="U745" s="19"/>
      <c r="AC745" s="20"/>
      <c r="AY745" s="22"/>
      <c r="AZ745" s="22"/>
    </row>
    <row r="746" ht="15.75" customHeight="1">
      <c r="D746" s="3"/>
      <c r="J746" s="3"/>
      <c r="K746" s="3"/>
      <c r="M746" s="10"/>
      <c r="Q746" s="11"/>
      <c r="R746" s="18"/>
      <c r="S746" s="18"/>
      <c r="U746" s="19"/>
      <c r="AC746" s="20"/>
      <c r="AY746" s="22"/>
      <c r="AZ746" s="22"/>
    </row>
    <row r="747" ht="15.75" customHeight="1">
      <c r="D747" s="3"/>
      <c r="J747" s="3"/>
      <c r="K747" s="3"/>
      <c r="M747" s="10"/>
      <c r="Q747" s="11"/>
      <c r="R747" s="18"/>
      <c r="S747" s="18"/>
      <c r="U747" s="19"/>
      <c r="AC747" s="20"/>
      <c r="AY747" s="22"/>
      <c r="AZ747" s="22"/>
    </row>
    <row r="748" ht="15.75" customHeight="1">
      <c r="D748" s="3"/>
      <c r="J748" s="3"/>
      <c r="K748" s="3"/>
      <c r="M748" s="10"/>
      <c r="Q748" s="11"/>
      <c r="R748" s="18"/>
      <c r="S748" s="18"/>
      <c r="U748" s="19"/>
      <c r="AC748" s="20"/>
      <c r="AY748" s="22"/>
      <c r="AZ748" s="22"/>
    </row>
    <row r="749" ht="15.75" customHeight="1">
      <c r="D749" s="3"/>
      <c r="J749" s="3"/>
      <c r="K749" s="3"/>
      <c r="M749" s="10"/>
      <c r="Q749" s="11"/>
      <c r="R749" s="18"/>
      <c r="S749" s="18"/>
      <c r="U749" s="19"/>
      <c r="AC749" s="20"/>
      <c r="AY749" s="22"/>
      <c r="AZ749" s="22"/>
    </row>
    <row r="750" ht="15.75" customHeight="1">
      <c r="D750" s="3"/>
      <c r="J750" s="3"/>
      <c r="K750" s="3"/>
      <c r="M750" s="10"/>
      <c r="Q750" s="11"/>
      <c r="R750" s="18"/>
      <c r="S750" s="18"/>
      <c r="U750" s="19"/>
      <c r="AC750" s="20"/>
      <c r="AY750" s="22"/>
      <c r="AZ750" s="22"/>
    </row>
    <row r="751" ht="15.75" customHeight="1">
      <c r="D751" s="3"/>
      <c r="J751" s="3"/>
      <c r="K751" s="3"/>
      <c r="M751" s="10"/>
      <c r="Q751" s="11"/>
      <c r="R751" s="18"/>
      <c r="S751" s="18"/>
      <c r="U751" s="19"/>
      <c r="AC751" s="20"/>
      <c r="AY751" s="22"/>
      <c r="AZ751" s="22"/>
    </row>
    <row r="752" ht="15.75" customHeight="1">
      <c r="D752" s="3"/>
      <c r="J752" s="3"/>
      <c r="K752" s="3"/>
      <c r="M752" s="10"/>
      <c r="Q752" s="11"/>
      <c r="R752" s="18"/>
      <c r="S752" s="18"/>
      <c r="U752" s="19"/>
      <c r="AC752" s="20"/>
      <c r="AY752" s="22"/>
      <c r="AZ752" s="22"/>
    </row>
    <row r="753" ht="15.75" customHeight="1">
      <c r="D753" s="3"/>
      <c r="J753" s="3"/>
      <c r="K753" s="3"/>
      <c r="M753" s="10"/>
      <c r="Q753" s="11"/>
      <c r="R753" s="18"/>
      <c r="S753" s="18"/>
      <c r="U753" s="19"/>
      <c r="AC753" s="20"/>
      <c r="AY753" s="22"/>
      <c r="AZ753" s="22"/>
    </row>
    <row r="754" ht="15.75" customHeight="1">
      <c r="D754" s="3"/>
      <c r="J754" s="3"/>
      <c r="K754" s="3"/>
      <c r="M754" s="10"/>
      <c r="Q754" s="11"/>
      <c r="R754" s="18"/>
      <c r="S754" s="18"/>
      <c r="U754" s="19"/>
      <c r="AC754" s="20"/>
      <c r="AY754" s="22"/>
      <c r="AZ754" s="22"/>
    </row>
    <row r="755" ht="15.75" customHeight="1">
      <c r="D755" s="3"/>
      <c r="J755" s="3"/>
      <c r="K755" s="3"/>
      <c r="M755" s="10"/>
      <c r="Q755" s="11"/>
      <c r="R755" s="18"/>
      <c r="S755" s="18"/>
      <c r="U755" s="19"/>
      <c r="AC755" s="20"/>
      <c r="AY755" s="22"/>
      <c r="AZ755" s="22"/>
    </row>
    <row r="756" ht="15.75" customHeight="1">
      <c r="D756" s="3"/>
      <c r="J756" s="3"/>
      <c r="K756" s="3"/>
      <c r="M756" s="10"/>
      <c r="Q756" s="11"/>
      <c r="R756" s="18"/>
      <c r="S756" s="18"/>
      <c r="U756" s="19"/>
      <c r="AC756" s="20"/>
      <c r="AY756" s="22"/>
      <c r="AZ756" s="22"/>
    </row>
    <row r="757" ht="15.75" customHeight="1">
      <c r="D757" s="3"/>
      <c r="J757" s="3"/>
      <c r="K757" s="3"/>
      <c r="M757" s="10"/>
      <c r="Q757" s="11"/>
      <c r="R757" s="18"/>
      <c r="S757" s="18"/>
      <c r="U757" s="19"/>
      <c r="AC757" s="20"/>
      <c r="AY757" s="22"/>
      <c r="AZ757" s="22"/>
    </row>
    <row r="758" ht="15.75" customHeight="1">
      <c r="D758" s="3"/>
      <c r="J758" s="3"/>
      <c r="K758" s="3"/>
      <c r="M758" s="10"/>
      <c r="Q758" s="11"/>
      <c r="R758" s="18"/>
      <c r="S758" s="18"/>
      <c r="U758" s="19"/>
      <c r="AC758" s="20"/>
      <c r="AY758" s="22"/>
      <c r="AZ758" s="22"/>
    </row>
    <row r="759" ht="15.75" customHeight="1">
      <c r="D759" s="3"/>
      <c r="J759" s="3"/>
      <c r="K759" s="3"/>
      <c r="M759" s="10"/>
      <c r="Q759" s="11"/>
      <c r="R759" s="18"/>
      <c r="S759" s="18"/>
      <c r="U759" s="19"/>
      <c r="AC759" s="20"/>
      <c r="AY759" s="22"/>
      <c r="AZ759" s="22"/>
    </row>
    <row r="760" ht="15.75" customHeight="1">
      <c r="D760" s="3"/>
      <c r="J760" s="3"/>
      <c r="K760" s="3"/>
      <c r="M760" s="10"/>
      <c r="Q760" s="11"/>
      <c r="R760" s="18"/>
      <c r="S760" s="18"/>
      <c r="U760" s="19"/>
      <c r="AC760" s="20"/>
      <c r="AY760" s="22"/>
      <c r="AZ760" s="22"/>
    </row>
    <row r="761" ht="15.75" customHeight="1">
      <c r="D761" s="3"/>
      <c r="J761" s="3"/>
      <c r="K761" s="3"/>
      <c r="M761" s="10"/>
      <c r="Q761" s="11"/>
      <c r="R761" s="18"/>
      <c r="S761" s="18"/>
      <c r="U761" s="19"/>
      <c r="AC761" s="20"/>
      <c r="AY761" s="22"/>
      <c r="AZ761" s="22"/>
    </row>
    <row r="762" ht="15.75" customHeight="1">
      <c r="D762" s="3"/>
      <c r="J762" s="3"/>
      <c r="K762" s="3"/>
      <c r="M762" s="10"/>
      <c r="Q762" s="11"/>
      <c r="R762" s="18"/>
      <c r="S762" s="18"/>
      <c r="U762" s="19"/>
      <c r="AC762" s="20"/>
      <c r="AY762" s="22"/>
      <c r="AZ762" s="22"/>
    </row>
    <row r="763" ht="15.75" customHeight="1">
      <c r="D763" s="3"/>
      <c r="J763" s="3"/>
      <c r="K763" s="3"/>
      <c r="M763" s="10"/>
      <c r="Q763" s="11"/>
      <c r="R763" s="18"/>
      <c r="S763" s="18"/>
      <c r="U763" s="19"/>
      <c r="AC763" s="20"/>
      <c r="AY763" s="22"/>
      <c r="AZ763" s="22"/>
    </row>
    <row r="764" ht="15.75" customHeight="1">
      <c r="D764" s="3"/>
      <c r="J764" s="3"/>
      <c r="K764" s="3"/>
      <c r="M764" s="10"/>
      <c r="Q764" s="11"/>
      <c r="R764" s="18"/>
      <c r="S764" s="18"/>
      <c r="U764" s="19"/>
      <c r="AC764" s="20"/>
      <c r="AY764" s="22"/>
      <c r="AZ764" s="22"/>
    </row>
    <row r="765" ht="15.75" customHeight="1">
      <c r="D765" s="3"/>
      <c r="J765" s="3"/>
      <c r="K765" s="3"/>
      <c r="M765" s="10"/>
      <c r="Q765" s="11"/>
      <c r="R765" s="18"/>
      <c r="S765" s="18"/>
      <c r="U765" s="19"/>
      <c r="AC765" s="20"/>
      <c r="AY765" s="22"/>
      <c r="AZ765" s="22"/>
    </row>
    <row r="766" ht="15.75" customHeight="1">
      <c r="D766" s="3"/>
      <c r="J766" s="3"/>
      <c r="K766" s="3"/>
      <c r="M766" s="10"/>
      <c r="Q766" s="11"/>
      <c r="R766" s="18"/>
      <c r="S766" s="18"/>
      <c r="U766" s="19"/>
      <c r="AC766" s="20"/>
      <c r="AY766" s="22"/>
      <c r="AZ766" s="22"/>
    </row>
    <row r="767" ht="15.75" customHeight="1">
      <c r="D767" s="3"/>
      <c r="J767" s="3"/>
      <c r="K767" s="3"/>
      <c r="M767" s="10"/>
      <c r="Q767" s="11"/>
      <c r="R767" s="18"/>
      <c r="S767" s="18"/>
      <c r="U767" s="19"/>
      <c r="AC767" s="20"/>
      <c r="AY767" s="22"/>
      <c r="AZ767" s="22"/>
    </row>
    <row r="768" ht="15.75" customHeight="1">
      <c r="D768" s="3"/>
      <c r="J768" s="3"/>
      <c r="K768" s="3"/>
      <c r="M768" s="10"/>
      <c r="Q768" s="11"/>
      <c r="R768" s="18"/>
      <c r="S768" s="18"/>
      <c r="U768" s="19"/>
      <c r="AC768" s="20"/>
      <c r="AY768" s="22"/>
      <c r="AZ768" s="22"/>
    </row>
    <row r="769" ht="15.75" customHeight="1">
      <c r="D769" s="3"/>
      <c r="J769" s="3"/>
      <c r="K769" s="3"/>
      <c r="M769" s="10"/>
      <c r="Q769" s="11"/>
      <c r="R769" s="18"/>
      <c r="S769" s="18"/>
      <c r="U769" s="19"/>
      <c r="AC769" s="20"/>
      <c r="AY769" s="22"/>
      <c r="AZ769" s="22"/>
    </row>
    <row r="770" ht="15.75" customHeight="1">
      <c r="D770" s="3"/>
      <c r="J770" s="3"/>
      <c r="K770" s="3"/>
      <c r="M770" s="10"/>
      <c r="Q770" s="11"/>
      <c r="R770" s="18"/>
      <c r="S770" s="18"/>
      <c r="U770" s="19"/>
      <c r="AC770" s="20"/>
      <c r="AY770" s="22"/>
      <c r="AZ770" s="22"/>
    </row>
    <row r="771" ht="15.75" customHeight="1">
      <c r="D771" s="3"/>
      <c r="J771" s="3"/>
      <c r="K771" s="3"/>
      <c r="M771" s="10"/>
      <c r="Q771" s="11"/>
      <c r="R771" s="18"/>
      <c r="S771" s="18"/>
      <c r="U771" s="19"/>
      <c r="AC771" s="20"/>
      <c r="AY771" s="22"/>
      <c r="AZ771" s="22"/>
    </row>
    <row r="772" ht="15.75" customHeight="1">
      <c r="D772" s="3"/>
      <c r="J772" s="3"/>
      <c r="K772" s="3"/>
      <c r="M772" s="10"/>
      <c r="Q772" s="11"/>
      <c r="R772" s="18"/>
      <c r="S772" s="18"/>
      <c r="U772" s="19"/>
      <c r="AC772" s="20"/>
      <c r="AY772" s="22"/>
      <c r="AZ772" s="22"/>
    </row>
    <row r="773" ht="15.75" customHeight="1">
      <c r="D773" s="3"/>
      <c r="J773" s="3"/>
      <c r="K773" s="3"/>
      <c r="M773" s="10"/>
      <c r="Q773" s="11"/>
      <c r="R773" s="18"/>
      <c r="S773" s="18"/>
      <c r="U773" s="19"/>
      <c r="AC773" s="20"/>
      <c r="AY773" s="22"/>
      <c r="AZ773" s="22"/>
    </row>
    <row r="774" ht="15.75" customHeight="1">
      <c r="D774" s="3"/>
      <c r="J774" s="3"/>
      <c r="K774" s="3"/>
      <c r="M774" s="10"/>
      <c r="Q774" s="11"/>
      <c r="R774" s="18"/>
      <c r="S774" s="18"/>
      <c r="U774" s="19"/>
      <c r="AC774" s="20"/>
      <c r="AY774" s="22"/>
      <c r="AZ774" s="22"/>
    </row>
    <row r="775" ht="15.75" customHeight="1">
      <c r="D775" s="3"/>
      <c r="J775" s="3"/>
      <c r="K775" s="3"/>
      <c r="M775" s="10"/>
      <c r="Q775" s="11"/>
      <c r="R775" s="18"/>
      <c r="S775" s="18"/>
      <c r="U775" s="19"/>
      <c r="AC775" s="20"/>
      <c r="AY775" s="22"/>
      <c r="AZ775" s="22"/>
    </row>
    <row r="776" ht="15.75" customHeight="1">
      <c r="D776" s="3"/>
      <c r="J776" s="3"/>
      <c r="K776" s="3"/>
      <c r="M776" s="10"/>
      <c r="Q776" s="11"/>
      <c r="R776" s="18"/>
      <c r="S776" s="18"/>
      <c r="U776" s="19"/>
      <c r="AC776" s="20"/>
      <c r="AY776" s="22"/>
      <c r="AZ776" s="22"/>
    </row>
    <row r="777" ht="15.75" customHeight="1">
      <c r="D777" s="3"/>
      <c r="J777" s="3"/>
      <c r="K777" s="3"/>
      <c r="M777" s="10"/>
      <c r="Q777" s="11"/>
      <c r="R777" s="18"/>
      <c r="S777" s="18"/>
      <c r="U777" s="19"/>
      <c r="AC777" s="20"/>
      <c r="AY777" s="22"/>
      <c r="AZ777" s="22"/>
    </row>
    <row r="778" ht="15.75" customHeight="1">
      <c r="D778" s="3"/>
      <c r="J778" s="3"/>
      <c r="K778" s="3"/>
      <c r="M778" s="10"/>
      <c r="Q778" s="11"/>
      <c r="R778" s="18"/>
      <c r="S778" s="18"/>
      <c r="U778" s="19"/>
      <c r="AC778" s="20"/>
      <c r="AY778" s="22"/>
      <c r="AZ778" s="22"/>
    </row>
    <row r="779" ht="15.75" customHeight="1">
      <c r="D779" s="3"/>
      <c r="J779" s="3"/>
      <c r="K779" s="3"/>
      <c r="M779" s="10"/>
      <c r="Q779" s="11"/>
      <c r="R779" s="18"/>
      <c r="S779" s="18"/>
      <c r="U779" s="19"/>
      <c r="AC779" s="20"/>
      <c r="AY779" s="22"/>
      <c r="AZ779" s="22"/>
    </row>
    <row r="780" ht="15.75" customHeight="1">
      <c r="D780" s="3"/>
      <c r="J780" s="3"/>
      <c r="K780" s="3"/>
      <c r="M780" s="10"/>
      <c r="Q780" s="11"/>
      <c r="R780" s="18"/>
      <c r="S780" s="18"/>
      <c r="U780" s="19"/>
      <c r="AC780" s="20"/>
      <c r="AY780" s="22"/>
      <c r="AZ780" s="22"/>
    </row>
    <row r="781" ht="15.75" customHeight="1">
      <c r="D781" s="3"/>
      <c r="J781" s="3"/>
      <c r="K781" s="3"/>
      <c r="M781" s="10"/>
      <c r="Q781" s="11"/>
      <c r="R781" s="18"/>
      <c r="S781" s="18"/>
      <c r="U781" s="19"/>
      <c r="AC781" s="20"/>
      <c r="AY781" s="22"/>
      <c r="AZ781" s="22"/>
    </row>
    <row r="782" ht="15.75" customHeight="1">
      <c r="D782" s="3"/>
      <c r="J782" s="3"/>
      <c r="K782" s="3"/>
      <c r="M782" s="10"/>
      <c r="Q782" s="11"/>
      <c r="R782" s="18"/>
      <c r="S782" s="18"/>
      <c r="U782" s="19"/>
      <c r="AC782" s="20"/>
      <c r="AY782" s="22"/>
      <c r="AZ782" s="22"/>
    </row>
    <row r="783" ht="15.75" customHeight="1">
      <c r="D783" s="3"/>
      <c r="J783" s="3"/>
      <c r="K783" s="3"/>
      <c r="M783" s="10"/>
      <c r="Q783" s="11"/>
      <c r="R783" s="18"/>
      <c r="S783" s="18"/>
      <c r="U783" s="19"/>
      <c r="AC783" s="20"/>
      <c r="AY783" s="22"/>
      <c r="AZ783" s="22"/>
    </row>
    <row r="784" ht="15.75" customHeight="1">
      <c r="D784" s="3"/>
      <c r="J784" s="3"/>
      <c r="K784" s="3"/>
      <c r="M784" s="10"/>
      <c r="Q784" s="11"/>
      <c r="R784" s="18"/>
      <c r="S784" s="18"/>
      <c r="U784" s="19"/>
      <c r="AC784" s="20"/>
      <c r="AY784" s="22"/>
      <c r="AZ784" s="22"/>
    </row>
    <row r="785" ht="15.75" customHeight="1">
      <c r="D785" s="3"/>
      <c r="J785" s="3"/>
      <c r="K785" s="3"/>
      <c r="M785" s="10"/>
      <c r="Q785" s="11"/>
      <c r="R785" s="18"/>
      <c r="S785" s="18"/>
      <c r="U785" s="19"/>
      <c r="AC785" s="20"/>
      <c r="AY785" s="22"/>
      <c r="AZ785" s="22"/>
    </row>
    <row r="786" ht="15.75" customHeight="1">
      <c r="D786" s="3"/>
      <c r="J786" s="3"/>
      <c r="K786" s="3"/>
      <c r="M786" s="10"/>
      <c r="Q786" s="11"/>
      <c r="R786" s="18"/>
      <c r="S786" s="18"/>
      <c r="U786" s="19"/>
      <c r="AC786" s="20"/>
      <c r="AY786" s="22"/>
      <c r="AZ786" s="22"/>
    </row>
    <row r="787" ht="15.75" customHeight="1">
      <c r="D787" s="3"/>
      <c r="J787" s="3"/>
      <c r="K787" s="3"/>
      <c r="M787" s="10"/>
      <c r="Q787" s="11"/>
      <c r="R787" s="18"/>
      <c r="S787" s="18"/>
      <c r="U787" s="19"/>
      <c r="AC787" s="20"/>
      <c r="AY787" s="22"/>
      <c r="AZ787" s="22"/>
    </row>
    <row r="788" ht="15.75" customHeight="1">
      <c r="D788" s="3"/>
      <c r="J788" s="3"/>
      <c r="K788" s="3"/>
      <c r="M788" s="10"/>
      <c r="Q788" s="11"/>
      <c r="R788" s="18"/>
      <c r="S788" s="18"/>
      <c r="U788" s="19"/>
      <c r="AC788" s="20"/>
      <c r="AY788" s="22"/>
      <c r="AZ788" s="22"/>
    </row>
    <row r="789" ht="15.75" customHeight="1">
      <c r="D789" s="3"/>
      <c r="J789" s="3"/>
      <c r="K789" s="3"/>
      <c r="M789" s="10"/>
      <c r="Q789" s="11"/>
      <c r="R789" s="18"/>
      <c r="S789" s="18"/>
      <c r="U789" s="19"/>
      <c r="AC789" s="20"/>
      <c r="AY789" s="22"/>
      <c r="AZ789" s="22"/>
    </row>
    <row r="790" ht="15.75" customHeight="1">
      <c r="D790" s="3"/>
      <c r="J790" s="3"/>
      <c r="K790" s="3"/>
      <c r="M790" s="10"/>
      <c r="Q790" s="11"/>
      <c r="R790" s="18"/>
      <c r="S790" s="18"/>
      <c r="U790" s="19"/>
      <c r="AC790" s="20"/>
      <c r="AY790" s="22"/>
      <c r="AZ790" s="22"/>
    </row>
    <row r="791" ht="15.75" customHeight="1">
      <c r="D791" s="3"/>
      <c r="J791" s="3"/>
      <c r="K791" s="3"/>
      <c r="M791" s="10"/>
      <c r="Q791" s="11"/>
      <c r="R791" s="18"/>
      <c r="S791" s="18"/>
      <c r="U791" s="19"/>
      <c r="AC791" s="20"/>
      <c r="AY791" s="22"/>
      <c r="AZ791" s="22"/>
    </row>
    <row r="792" ht="15.75" customHeight="1">
      <c r="D792" s="3"/>
      <c r="J792" s="3"/>
      <c r="K792" s="3"/>
      <c r="M792" s="10"/>
      <c r="Q792" s="11"/>
      <c r="R792" s="18"/>
      <c r="S792" s="18"/>
      <c r="U792" s="19"/>
      <c r="AC792" s="20"/>
      <c r="AY792" s="22"/>
      <c r="AZ792" s="22"/>
    </row>
    <row r="793" ht="15.75" customHeight="1">
      <c r="D793" s="3"/>
      <c r="J793" s="3"/>
      <c r="K793" s="3"/>
      <c r="M793" s="10"/>
      <c r="Q793" s="11"/>
      <c r="R793" s="18"/>
      <c r="S793" s="18"/>
      <c r="U793" s="19"/>
      <c r="AC793" s="20"/>
      <c r="AY793" s="22"/>
      <c r="AZ793" s="22"/>
    </row>
    <row r="794" ht="15.75" customHeight="1">
      <c r="D794" s="3"/>
      <c r="J794" s="3"/>
      <c r="K794" s="3"/>
      <c r="M794" s="10"/>
      <c r="Q794" s="11"/>
      <c r="R794" s="18"/>
      <c r="S794" s="18"/>
      <c r="U794" s="19"/>
      <c r="AC794" s="20"/>
      <c r="AY794" s="22"/>
      <c r="AZ794" s="22"/>
    </row>
    <row r="795" ht="15.75" customHeight="1">
      <c r="D795" s="3"/>
      <c r="J795" s="3"/>
      <c r="K795" s="3"/>
      <c r="M795" s="10"/>
      <c r="Q795" s="11"/>
      <c r="R795" s="18"/>
      <c r="S795" s="18"/>
      <c r="U795" s="19"/>
      <c r="AC795" s="20"/>
      <c r="AY795" s="22"/>
      <c r="AZ795" s="22"/>
    </row>
    <row r="796" ht="15.75" customHeight="1">
      <c r="D796" s="3"/>
      <c r="J796" s="3"/>
      <c r="K796" s="3"/>
      <c r="M796" s="10"/>
      <c r="Q796" s="11"/>
      <c r="R796" s="18"/>
      <c r="S796" s="18"/>
      <c r="U796" s="19"/>
      <c r="AC796" s="20"/>
      <c r="AY796" s="22"/>
      <c r="AZ796" s="22"/>
    </row>
    <row r="797" ht="15.75" customHeight="1">
      <c r="D797" s="3"/>
      <c r="J797" s="3"/>
      <c r="K797" s="3"/>
      <c r="M797" s="10"/>
      <c r="Q797" s="11"/>
      <c r="R797" s="18"/>
      <c r="S797" s="18"/>
      <c r="U797" s="19"/>
      <c r="AC797" s="20"/>
      <c r="AY797" s="22"/>
      <c r="AZ797" s="22"/>
    </row>
    <row r="798" ht="15.75" customHeight="1">
      <c r="D798" s="3"/>
      <c r="J798" s="3"/>
      <c r="K798" s="3"/>
      <c r="M798" s="10"/>
      <c r="Q798" s="11"/>
      <c r="R798" s="18"/>
      <c r="S798" s="18"/>
      <c r="U798" s="19"/>
      <c r="AC798" s="20"/>
      <c r="AY798" s="22"/>
      <c r="AZ798" s="22"/>
    </row>
    <row r="799" ht="15.75" customHeight="1">
      <c r="D799" s="3"/>
      <c r="J799" s="3"/>
      <c r="K799" s="3"/>
      <c r="M799" s="10"/>
      <c r="Q799" s="11"/>
      <c r="R799" s="18"/>
      <c r="S799" s="18"/>
      <c r="U799" s="19"/>
      <c r="AC799" s="20"/>
      <c r="AY799" s="22"/>
      <c r="AZ799" s="22"/>
    </row>
    <row r="800" ht="15.75" customHeight="1">
      <c r="D800" s="3"/>
      <c r="J800" s="3"/>
      <c r="K800" s="3"/>
      <c r="M800" s="10"/>
      <c r="Q800" s="11"/>
      <c r="R800" s="18"/>
      <c r="S800" s="18"/>
      <c r="U800" s="19"/>
      <c r="AC800" s="20"/>
      <c r="AY800" s="22"/>
      <c r="AZ800" s="22"/>
    </row>
    <row r="801" ht="15.75" customHeight="1">
      <c r="D801" s="3"/>
      <c r="J801" s="3"/>
      <c r="K801" s="3"/>
      <c r="M801" s="10"/>
      <c r="Q801" s="11"/>
      <c r="R801" s="18"/>
      <c r="S801" s="18"/>
      <c r="U801" s="19"/>
      <c r="AC801" s="20"/>
      <c r="AY801" s="22"/>
      <c r="AZ801" s="22"/>
    </row>
    <row r="802" ht="15.75" customHeight="1">
      <c r="D802" s="3"/>
      <c r="J802" s="3"/>
      <c r="K802" s="3"/>
      <c r="M802" s="10"/>
      <c r="Q802" s="11"/>
      <c r="R802" s="18"/>
      <c r="S802" s="18"/>
      <c r="U802" s="19"/>
      <c r="AC802" s="20"/>
      <c r="AY802" s="22"/>
      <c r="AZ802" s="22"/>
    </row>
    <row r="803" ht="15.75" customHeight="1">
      <c r="D803" s="3"/>
      <c r="J803" s="3"/>
      <c r="K803" s="3"/>
      <c r="M803" s="10"/>
      <c r="Q803" s="11"/>
      <c r="R803" s="18"/>
      <c r="S803" s="18"/>
      <c r="U803" s="19"/>
      <c r="AC803" s="20"/>
      <c r="AY803" s="22"/>
      <c r="AZ803" s="22"/>
    </row>
    <row r="804" ht="15.75" customHeight="1">
      <c r="D804" s="3"/>
      <c r="J804" s="3"/>
      <c r="K804" s="3"/>
      <c r="M804" s="10"/>
      <c r="Q804" s="11"/>
      <c r="R804" s="18"/>
      <c r="S804" s="18"/>
      <c r="U804" s="19"/>
      <c r="AC804" s="20"/>
      <c r="AY804" s="22"/>
      <c r="AZ804" s="22"/>
    </row>
    <row r="805" ht="15.75" customHeight="1">
      <c r="D805" s="3"/>
      <c r="J805" s="3"/>
      <c r="K805" s="3"/>
      <c r="M805" s="10"/>
      <c r="Q805" s="11"/>
      <c r="R805" s="18"/>
      <c r="S805" s="18"/>
      <c r="U805" s="19"/>
      <c r="AC805" s="20"/>
      <c r="AY805" s="22"/>
      <c r="AZ805" s="22"/>
    </row>
    <row r="806" ht="15.75" customHeight="1">
      <c r="D806" s="3"/>
      <c r="J806" s="3"/>
      <c r="K806" s="3"/>
      <c r="M806" s="10"/>
      <c r="Q806" s="11"/>
      <c r="R806" s="18"/>
      <c r="S806" s="18"/>
      <c r="U806" s="19"/>
      <c r="AC806" s="20"/>
      <c r="AY806" s="22"/>
      <c r="AZ806" s="22"/>
    </row>
    <row r="807" ht="15.75" customHeight="1">
      <c r="D807" s="3"/>
      <c r="J807" s="3"/>
      <c r="K807" s="3"/>
      <c r="M807" s="10"/>
      <c r="Q807" s="11"/>
      <c r="R807" s="18"/>
      <c r="S807" s="18"/>
      <c r="U807" s="19"/>
      <c r="AC807" s="20"/>
      <c r="AY807" s="22"/>
      <c r="AZ807" s="22"/>
    </row>
    <row r="808" ht="15.75" customHeight="1">
      <c r="D808" s="3"/>
      <c r="J808" s="3"/>
      <c r="K808" s="3"/>
      <c r="M808" s="10"/>
      <c r="Q808" s="11"/>
      <c r="R808" s="18"/>
      <c r="S808" s="18"/>
      <c r="U808" s="19"/>
      <c r="AC808" s="20"/>
      <c r="AY808" s="22"/>
      <c r="AZ808" s="22"/>
    </row>
    <row r="809" ht="15.75" customHeight="1">
      <c r="D809" s="3"/>
      <c r="J809" s="3"/>
      <c r="K809" s="3"/>
      <c r="M809" s="10"/>
      <c r="Q809" s="11"/>
      <c r="R809" s="18"/>
      <c r="S809" s="18"/>
      <c r="U809" s="19"/>
      <c r="AC809" s="20"/>
      <c r="AY809" s="22"/>
      <c r="AZ809" s="22"/>
    </row>
    <row r="810" ht="15.75" customHeight="1">
      <c r="D810" s="3"/>
      <c r="J810" s="3"/>
      <c r="K810" s="3"/>
      <c r="M810" s="10"/>
      <c r="Q810" s="11"/>
      <c r="R810" s="18"/>
      <c r="S810" s="18"/>
      <c r="U810" s="19"/>
      <c r="AC810" s="20"/>
      <c r="AY810" s="22"/>
      <c r="AZ810" s="22"/>
    </row>
    <row r="811" ht="15.75" customHeight="1">
      <c r="D811" s="3"/>
      <c r="J811" s="3"/>
      <c r="K811" s="3"/>
      <c r="M811" s="10"/>
      <c r="Q811" s="11"/>
      <c r="R811" s="18"/>
      <c r="S811" s="18"/>
      <c r="U811" s="19"/>
      <c r="AC811" s="20"/>
      <c r="AY811" s="22"/>
      <c r="AZ811" s="22"/>
    </row>
    <row r="812" ht="15.75" customHeight="1">
      <c r="D812" s="3"/>
      <c r="J812" s="3"/>
      <c r="K812" s="3"/>
      <c r="M812" s="10"/>
      <c r="Q812" s="11"/>
      <c r="R812" s="18"/>
      <c r="S812" s="18"/>
      <c r="U812" s="19"/>
      <c r="AC812" s="20"/>
      <c r="AY812" s="22"/>
      <c r="AZ812" s="22"/>
    </row>
    <row r="813" ht="15.75" customHeight="1">
      <c r="D813" s="3"/>
      <c r="J813" s="3"/>
      <c r="K813" s="3"/>
      <c r="M813" s="10"/>
      <c r="Q813" s="11"/>
      <c r="R813" s="18"/>
      <c r="S813" s="18"/>
      <c r="U813" s="19"/>
      <c r="AC813" s="20"/>
      <c r="AY813" s="22"/>
      <c r="AZ813" s="22"/>
    </row>
    <row r="814" ht="15.75" customHeight="1">
      <c r="D814" s="3"/>
      <c r="J814" s="3"/>
      <c r="K814" s="3"/>
      <c r="M814" s="10"/>
      <c r="Q814" s="11"/>
      <c r="R814" s="18"/>
      <c r="S814" s="18"/>
      <c r="U814" s="19"/>
      <c r="AC814" s="20"/>
      <c r="AY814" s="22"/>
      <c r="AZ814" s="22"/>
    </row>
    <row r="815" ht="15.75" customHeight="1">
      <c r="D815" s="3"/>
      <c r="J815" s="3"/>
      <c r="K815" s="3"/>
      <c r="M815" s="10"/>
      <c r="Q815" s="11"/>
      <c r="R815" s="18"/>
      <c r="S815" s="18"/>
      <c r="U815" s="19"/>
      <c r="AC815" s="20"/>
      <c r="AY815" s="22"/>
      <c r="AZ815" s="22"/>
    </row>
    <row r="816" ht="15.75" customHeight="1">
      <c r="D816" s="3"/>
      <c r="J816" s="3"/>
      <c r="K816" s="3"/>
      <c r="M816" s="10"/>
      <c r="Q816" s="11"/>
      <c r="R816" s="18"/>
      <c r="S816" s="18"/>
      <c r="U816" s="19"/>
      <c r="AC816" s="20"/>
      <c r="AY816" s="22"/>
      <c r="AZ816" s="22"/>
    </row>
    <row r="817" ht="15.75" customHeight="1">
      <c r="D817" s="3"/>
      <c r="J817" s="3"/>
      <c r="K817" s="3"/>
      <c r="M817" s="10"/>
      <c r="Q817" s="11"/>
      <c r="R817" s="18"/>
      <c r="S817" s="18"/>
      <c r="U817" s="19"/>
      <c r="AC817" s="20"/>
      <c r="AY817" s="22"/>
      <c r="AZ817" s="22"/>
    </row>
    <row r="818" ht="15.75" customHeight="1">
      <c r="D818" s="3"/>
      <c r="J818" s="3"/>
      <c r="K818" s="3"/>
      <c r="M818" s="10"/>
      <c r="Q818" s="11"/>
      <c r="R818" s="18"/>
      <c r="S818" s="18"/>
      <c r="U818" s="19"/>
      <c r="AC818" s="20"/>
      <c r="AY818" s="22"/>
      <c r="AZ818" s="22"/>
    </row>
    <row r="819" ht="15.75" customHeight="1">
      <c r="D819" s="3"/>
      <c r="J819" s="3"/>
      <c r="K819" s="3"/>
      <c r="M819" s="10"/>
      <c r="Q819" s="11"/>
      <c r="R819" s="18"/>
      <c r="S819" s="18"/>
      <c r="U819" s="19"/>
      <c r="AC819" s="20"/>
      <c r="AY819" s="22"/>
      <c r="AZ819" s="22"/>
    </row>
    <row r="820" ht="15.75" customHeight="1">
      <c r="D820" s="3"/>
      <c r="J820" s="3"/>
      <c r="K820" s="3"/>
      <c r="M820" s="10"/>
      <c r="Q820" s="11"/>
      <c r="R820" s="18"/>
      <c r="S820" s="18"/>
      <c r="U820" s="19"/>
      <c r="AC820" s="20"/>
      <c r="AY820" s="22"/>
      <c r="AZ820" s="22"/>
    </row>
    <row r="821" ht="15.75" customHeight="1">
      <c r="D821" s="3"/>
      <c r="J821" s="3"/>
      <c r="K821" s="3"/>
      <c r="M821" s="10"/>
      <c r="Q821" s="11"/>
      <c r="R821" s="18"/>
      <c r="S821" s="18"/>
      <c r="U821" s="19"/>
      <c r="AC821" s="20"/>
      <c r="AY821" s="22"/>
      <c r="AZ821" s="22"/>
    </row>
    <row r="822" ht="15.75" customHeight="1">
      <c r="D822" s="3"/>
      <c r="J822" s="3"/>
      <c r="K822" s="3"/>
      <c r="M822" s="10"/>
      <c r="Q822" s="11"/>
      <c r="R822" s="18"/>
      <c r="S822" s="18"/>
      <c r="U822" s="19"/>
      <c r="AC822" s="20"/>
      <c r="AY822" s="22"/>
      <c r="AZ822" s="22"/>
    </row>
    <row r="823" ht="15.75" customHeight="1">
      <c r="D823" s="3"/>
      <c r="J823" s="3"/>
      <c r="K823" s="3"/>
      <c r="M823" s="10"/>
      <c r="Q823" s="11"/>
      <c r="R823" s="18"/>
      <c r="S823" s="18"/>
      <c r="U823" s="19"/>
      <c r="AC823" s="20"/>
      <c r="AY823" s="22"/>
      <c r="AZ823" s="22"/>
    </row>
    <row r="824" ht="15.75" customHeight="1">
      <c r="D824" s="3"/>
      <c r="J824" s="3"/>
      <c r="K824" s="3"/>
      <c r="M824" s="10"/>
      <c r="Q824" s="11"/>
      <c r="R824" s="18"/>
      <c r="S824" s="18"/>
      <c r="U824" s="19"/>
      <c r="AC824" s="20"/>
      <c r="AY824" s="22"/>
      <c r="AZ824" s="22"/>
    </row>
    <row r="825" ht="15.75" customHeight="1">
      <c r="D825" s="3"/>
      <c r="J825" s="3"/>
      <c r="K825" s="3"/>
      <c r="M825" s="10"/>
      <c r="Q825" s="11"/>
      <c r="R825" s="18"/>
      <c r="S825" s="18"/>
      <c r="U825" s="19"/>
      <c r="AC825" s="20"/>
      <c r="AY825" s="22"/>
      <c r="AZ825" s="22"/>
    </row>
    <row r="826" ht="15.75" customHeight="1">
      <c r="D826" s="3"/>
      <c r="J826" s="3"/>
      <c r="K826" s="3"/>
      <c r="M826" s="10"/>
      <c r="Q826" s="11"/>
      <c r="R826" s="18"/>
      <c r="S826" s="18"/>
      <c r="U826" s="19"/>
      <c r="AC826" s="20"/>
      <c r="AY826" s="22"/>
      <c r="AZ826" s="22"/>
    </row>
    <row r="827" ht="15.75" customHeight="1">
      <c r="D827" s="3"/>
      <c r="J827" s="3"/>
      <c r="K827" s="3"/>
      <c r="M827" s="10"/>
      <c r="Q827" s="11"/>
      <c r="R827" s="18"/>
      <c r="S827" s="18"/>
      <c r="U827" s="19"/>
      <c r="AC827" s="20"/>
      <c r="AY827" s="22"/>
      <c r="AZ827" s="22"/>
    </row>
    <row r="828" ht="15.75" customHeight="1">
      <c r="D828" s="3"/>
      <c r="J828" s="3"/>
      <c r="K828" s="3"/>
      <c r="M828" s="10"/>
      <c r="Q828" s="11"/>
      <c r="R828" s="18"/>
      <c r="S828" s="18"/>
      <c r="U828" s="19"/>
      <c r="AC828" s="20"/>
      <c r="AY828" s="22"/>
      <c r="AZ828" s="22"/>
    </row>
    <row r="829" ht="15.75" customHeight="1">
      <c r="D829" s="3"/>
      <c r="J829" s="3"/>
      <c r="K829" s="3"/>
      <c r="M829" s="10"/>
      <c r="Q829" s="11"/>
      <c r="R829" s="18"/>
      <c r="S829" s="18"/>
      <c r="U829" s="19"/>
      <c r="AC829" s="20"/>
      <c r="AY829" s="22"/>
      <c r="AZ829" s="22"/>
    </row>
    <row r="830" ht="15.75" customHeight="1">
      <c r="D830" s="3"/>
      <c r="J830" s="3"/>
      <c r="K830" s="3"/>
      <c r="M830" s="10"/>
      <c r="Q830" s="11"/>
      <c r="R830" s="18"/>
      <c r="S830" s="18"/>
      <c r="U830" s="19"/>
      <c r="AC830" s="20"/>
      <c r="AY830" s="22"/>
      <c r="AZ830" s="22"/>
    </row>
    <row r="831" ht="15.75" customHeight="1">
      <c r="D831" s="3"/>
      <c r="J831" s="3"/>
      <c r="K831" s="3"/>
      <c r="M831" s="10"/>
      <c r="Q831" s="11"/>
      <c r="R831" s="18"/>
      <c r="S831" s="18"/>
      <c r="U831" s="19"/>
      <c r="AC831" s="20"/>
      <c r="AY831" s="22"/>
      <c r="AZ831" s="22"/>
    </row>
    <row r="832" ht="15.75" customHeight="1">
      <c r="D832" s="3"/>
      <c r="J832" s="3"/>
      <c r="K832" s="3"/>
      <c r="M832" s="10"/>
      <c r="Q832" s="11"/>
      <c r="R832" s="18"/>
      <c r="S832" s="18"/>
      <c r="U832" s="19"/>
      <c r="AC832" s="20"/>
      <c r="AY832" s="22"/>
      <c r="AZ832" s="22"/>
    </row>
    <row r="833" ht="15.75" customHeight="1">
      <c r="D833" s="3"/>
      <c r="J833" s="3"/>
      <c r="K833" s="3"/>
      <c r="M833" s="10"/>
      <c r="Q833" s="11"/>
      <c r="R833" s="18"/>
      <c r="S833" s="18"/>
      <c r="U833" s="19"/>
      <c r="AC833" s="20"/>
      <c r="AY833" s="22"/>
      <c r="AZ833" s="22"/>
    </row>
    <row r="834" ht="15.75" customHeight="1">
      <c r="D834" s="3"/>
      <c r="J834" s="3"/>
      <c r="K834" s="3"/>
      <c r="M834" s="10"/>
      <c r="Q834" s="11"/>
      <c r="R834" s="18"/>
      <c r="S834" s="18"/>
      <c r="U834" s="19"/>
      <c r="AC834" s="20"/>
      <c r="AY834" s="22"/>
      <c r="AZ834" s="22"/>
    </row>
    <row r="835" ht="15.75" customHeight="1">
      <c r="D835" s="3"/>
      <c r="J835" s="3"/>
      <c r="K835" s="3"/>
      <c r="M835" s="10"/>
      <c r="Q835" s="11"/>
      <c r="R835" s="18"/>
      <c r="S835" s="18"/>
      <c r="U835" s="19"/>
      <c r="AC835" s="20"/>
      <c r="AY835" s="22"/>
      <c r="AZ835" s="22"/>
    </row>
    <row r="836" ht="15.75" customHeight="1">
      <c r="D836" s="3"/>
      <c r="J836" s="3"/>
      <c r="K836" s="3"/>
      <c r="M836" s="10"/>
      <c r="Q836" s="11"/>
      <c r="R836" s="18"/>
      <c r="S836" s="18"/>
      <c r="U836" s="19"/>
      <c r="AC836" s="20"/>
      <c r="AY836" s="22"/>
      <c r="AZ836" s="22"/>
    </row>
    <row r="837" ht="15.75" customHeight="1">
      <c r="D837" s="3"/>
      <c r="J837" s="3"/>
      <c r="K837" s="3"/>
      <c r="M837" s="10"/>
      <c r="Q837" s="11"/>
      <c r="R837" s="18"/>
      <c r="S837" s="18"/>
      <c r="U837" s="19"/>
      <c r="AC837" s="20"/>
      <c r="AY837" s="22"/>
      <c r="AZ837" s="22"/>
    </row>
    <row r="838" ht="15.75" customHeight="1">
      <c r="D838" s="3"/>
      <c r="J838" s="3"/>
      <c r="K838" s="3"/>
      <c r="M838" s="10"/>
      <c r="Q838" s="11"/>
      <c r="R838" s="18"/>
      <c r="S838" s="18"/>
      <c r="U838" s="19"/>
      <c r="AC838" s="20"/>
      <c r="AY838" s="22"/>
      <c r="AZ838" s="22"/>
    </row>
    <row r="839" ht="15.75" customHeight="1">
      <c r="D839" s="3"/>
      <c r="J839" s="3"/>
      <c r="K839" s="3"/>
      <c r="M839" s="10"/>
      <c r="Q839" s="11"/>
      <c r="R839" s="18"/>
      <c r="S839" s="18"/>
      <c r="U839" s="19"/>
      <c r="AC839" s="20"/>
      <c r="AY839" s="22"/>
      <c r="AZ839" s="22"/>
    </row>
    <row r="840" ht="15.75" customHeight="1">
      <c r="D840" s="3"/>
      <c r="J840" s="3"/>
      <c r="K840" s="3"/>
      <c r="M840" s="10"/>
      <c r="Q840" s="11"/>
      <c r="R840" s="18"/>
      <c r="S840" s="18"/>
      <c r="U840" s="19"/>
      <c r="AC840" s="20"/>
      <c r="AY840" s="22"/>
      <c r="AZ840" s="22"/>
    </row>
    <row r="841" ht="15.75" customHeight="1">
      <c r="D841" s="3"/>
      <c r="J841" s="3"/>
      <c r="K841" s="3"/>
      <c r="M841" s="10"/>
      <c r="Q841" s="11"/>
      <c r="R841" s="18"/>
      <c r="S841" s="18"/>
      <c r="U841" s="19"/>
      <c r="AC841" s="20"/>
      <c r="AY841" s="22"/>
      <c r="AZ841" s="22"/>
    </row>
    <row r="842" ht="15.75" customHeight="1">
      <c r="D842" s="3"/>
      <c r="J842" s="3"/>
      <c r="K842" s="3"/>
      <c r="M842" s="10"/>
      <c r="Q842" s="11"/>
      <c r="R842" s="18"/>
      <c r="S842" s="18"/>
      <c r="U842" s="19"/>
      <c r="AC842" s="20"/>
      <c r="AY842" s="22"/>
      <c r="AZ842" s="22"/>
    </row>
    <row r="843" ht="15.75" customHeight="1">
      <c r="D843" s="3"/>
      <c r="J843" s="3"/>
      <c r="K843" s="3"/>
      <c r="M843" s="10"/>
      <c r="Q843" s="11"/>
      <c r="R843" s="18"/>
      <c r="S843" s="18"/>
      <c r="U843" s="19"/>
      <c r="AC843" s="20"/>
      <c r="AY843" s="22"/>
      <c r="AZ843" s="22"/>
    </row>
    <row r="844" ht="15.75" customHeight="1">
      <c r="D844" s="3"/>
      <c r="J844" s="3"/>
      <c r="K844" s="3"/>
      <c r="M844" s="10"/>
      <c r="Q844" s="11"/>
      <c r="R844" s="18"/>
      <c r="S844" s="18"/>
      <c r="U844" s="19"/>
      <c r="AC844" s="20"/>
      <c r="AY844" s="22"/>
      <c r="AZ844" s="22"/>
    </row>
    <row r="845" ht="15.75" customHeight="1">
      <c r="D845" s="3"/>
      <c r="J845" s="3"/>
      <c r="K845" s="3"/>
      <c r="M845" s="10"/>
      <c r="Q845" s="11"/>
      <c r="R845" s="18"/>
      <c r="S845" s="18"/>
      <c r="U845" s="19"/>
      <c r="AC845" s="20"/>
      <c r="AY845" s="22"/>
      <c r="AZ845" s="22"/>
    </row>
    <row r="846" ht="15.75" customHeight="1">
      <c r="D846" s="3"/>
      <c r="J846" s="3"/>
      <c r="K846" s="3"/>
      <c r="M846" s="10"/>
      <c r="Q846" s="11"/>
      <c r="R846" s="18"/>
      <c r="S846" s="18"/>
      <c r="U846" s="19"/>
      <c r="AC846" s="20"/>
      <c r="AY846" s="22"/>
      <c r="AZ846" s="22"/>
    </row>
    <row r="847" ht="15.75" customHeight="1">
      <c r="D847" s="3"/>
      <c r="J847" s="3"/>
      <c r="K847" s="3"/>
      <c r="M847" s="10"/>
      <c r="Q847" s="11"/>
      <c r="R847" s="18"/>
      <c r="S847" s="18"/>
      <c r="U847" s="19"/>
      <c r="AC847" s="20"/>
      <c r="AY847" s="22"/>
      <c r="AZ847" s="22"/>
    </row>
    <row r="848" ht="15.75" customHeight="1">
      <c r="D848" s="3"/>
      <c r="J848" s="3"/>
      <c r="K848" s="3"/>
      <c r="M848" s="10"/>
      <c r="Q848" s="11"/>
      <c r="R848" s="18"/>
      <c r="S848" s="18"/>
      <c r="U848" s="19"/>
      <c r="AC848" s="20"/>
      <c r="AY848" s="22"/>
      <c r="AZ848" s="22"/>
    </row>
    <row r="849" ht="15.75" customHeight="1">
      <c r="D849" s="3"/>
      <c r="J849" s="3"/>
      <c r="K849" s="3"/>
      <c r="M849" s="10"/>
      <c r="Q849" s="11"/>
      <c r="R849" s="18"/>
      <c r="S849" s="18"/>
      <c r="U849" s="19"/>
      <c r="AC849" s="20"/>
      <c r="AY849" s="22"/>
      <c r="AZ849" s="22"/>
    </row>
    <row r="850" ht="15.75" customHeight="1">
      <c r="D850" s="3"/>
      <c r="J850" s="3"/>
      <c r="K850" s="3"/>
      <c r="M850" s="10"/>
      <c r="Q850" s="11"/>
      <c r="R850" s="18"/>
      <c r="S850" s="18"/>
      <c r="U850" s="19"/>
      <c r="AC850" s="20"/>
      <c r="AY850" s="22"/>
      <c r="AZ850" s="22"/>
    </row>
    <row r="851" ht="15.75" customHeight="1">
      <c r="D851" s="3"/>
      <c r="J851" s="3"/>
      <c r="K851" s="3"/>
      <c r="M851" s="10"/>
      <c r="Q851" s="11"/>
      <c r="R851" s="18"/>
      <c r="S851" s="18"/>
      <c r="U851" s="19"/>
      <c r="AC851" s="20"/>
      <c r="AY851" s="22"/>
      <c r="AZ851" s="22"/>
    </row>
    <row r="852" ht="15.75" customHeight="1">
      <c r="D852" s="3"/>
      <c r="J852" s="3"/>
      <c r="K852" s="3"/>
      <c r="M852" s="10"/>
      <c r="Q852" s="11"/>
      <c r="R852" s="18"/>
      <c r="S852" s="18"/>
      <c r="U852" s="19"/>
      <c r="AC852" s="20"/>
      <c r="AY852" s="22"/>
      <c r="AZ852" s="22"/>
    </row>
    <row r="853" ht="15.75" customHeight="1">
      <c r="D853" s="3"/>
      <c r="J853" s="3"/>
      <c r="K853" s="3"/>
      <c r="M853" s="10"/>
      <c r="Q853" s="11"/>
      <c r="R853" s="18"/>
      <c r="S853" s="18"/>
      <c r="U853" s="19"/>
      <c r="AC853" s="20"/>
      <c r="AY853" s="22"/>
      <c r="AZ853" s="22"/>
    </row>
    <row r="854" ht="15.75" customHeight="1">
      <c r="D854" s="3"/>
      <c r="J854" s="3"/>
      <c r="K854" s="3"/>
      <c r="M854" s="10"/>
      <c r="Q854" s="11"/>
      <c r="R854" s="18"/>
      <c r="S854" s="18"/>
      <c r="U854" s="19"/>
      <c r="AC854" s="20"/>
      <c r="AY854" s="22"/>
      <c r="AZ854" s="22"/>
    </row>
    <row r="855" ht="15.75" customHeight="1">
      <c r="D855" s="3"/>
      <c r="J855" s="3"/>
      <c r="K855" s="3"/>
      <c r="M855" s="10"/>
      <c r="Q855" s="11"/>
      <c r="R855" s="18"/>
      <c r="S855" s="18"/>
      <c r="U855" s="19"/>
      <c r="AC855" s="20"/>
      <c r="AY855" s="22"/>
      <c r="AZ855" s="22"/>
    </row>
    <row r="856" ht="15.75" customHeight="1">
      <c r="D856" s="3"/>
      <c r="J856" s="3"/>
      <c r="K856" s="3"/>
      <c r="M856" s="10"/>
      <c r="Q856" s="11"/>
      <c r="R856" s="18"/>
      <c r="S856" s="18"/>
      <c r="U856" s="19"/>
      <c r="AC856" s="20"/>
      <c r="AY856" s="22"/>
      <c r="AZ856" s="22"/>
    </row>
    <row r="857" ht="15.75" customHeight="1">
      <c r="D857" s="3"/>
      <c r="J857" s="3"/>
      <c r="K857" s="3"/>
      <c r="M857" s="10"/>
      <c r="Q857" s="11"/>
      <c r="R857" s="18"/>
      <c r="S857" s="18"/>
      <c r="U857" s="19"/>
      <c r="AC857" s="20"/>
      <c r="AY857" s="22"/>
      <c r="AZ857" s="22"/>
    </row>
    <row r="858" ht="15.75" customHeight="1">
      <c r="D858" s="3"/>
      <c r="J858" s="3"/>
      <c r="K858" s="3"/>
      <c r="M858" s="10"/>
      <c r="Q858" s="11"/>
      <c r="R858" s="18"/>
      <c r="S858" s="18"/>
      <c r="U858" s="19"/>
      <c r="AC858" s="20"/>
      <c r="AY858" s="22"/>
      <c r="AZ858" s="22"/>
    </row>
    <row r="859" ht="15.75" customHeight="1">
      <c r="D859" s="3"/>
      <c r="J859" s="3"/>
      <c r="K859" s="3"/>
      <c r="M859" s="10"/>
      <c r="Q859" s="11"/>
      <c r="R859" s="18"/>
      <c r="S859" s="18"/>
      <c r="U859" s="19"/>
      <c r="AC859" s="20"/>
      <c r="AY859" s="22"/>
      <c r="AZ859" s="22"/>
    </row>
    <row r="860" ht="15.75" customHeight="1">
      <c r="D860" s="3"/>
      <c r="J860" s="3"/>
      <c r="K860" s="3"/>
      <c r="M860" s="10"/>
      <c r="Q860" s="11"/>
      <c r="R860" s="18"/>
      <c r="S860" s="18"/>
      <c r="U860" s="19"/>
      <c r="AC860" s="20"/>
      <c r="AY860" s="22"/>
      <c r="AZ860" s="22"/>
    </row>
    <row r="861" ht="15.75" customHeight="1">
      <c r="D861" s="3"/>
      <c r="J861" s="3"/>
      <c r="K861" s="3"/>
      <c r="M861" s="10"/>
      <c r="Q861" s="11"/>
      <c r="R861" s="18"/>
      <c r="S861" s="18"/>
      <c r="U861" s="19"/>
      <c r="AC861" s="20"/>
      <c r="AY861" s="22"/>
      <c r="AZ861" s="22"/>
    </row>
    <row r="862" ht="15.75" customHeight="1">
      <c r="D862" s="3"/>
      <c r="J862" s="3"/>
      <c r="K862" s="3"/>
      <c r="M862" s="10"/>
      <c r="Q862" s="11"/>
      <c r="R862" s="18"/>
      <c r="S862" s="18"/>
      <c r="U862" s="19"/>
      <c r="AC862" s="20"/>
      <c r="AY862" s="22"/>
      <c r="AZ862" s="22"/>
    </row>
    <row r="863" ht="15.75" customHeight="1">
      <c r="D863" s="3"/>
      <c r="J863" s="3"/>
      <c r="K863" s="3"/>
      <c r="M863" s="10"/>
      <c r="Q863" s="11"/>
      <c r="R863" s="18"/>
      <c r="S863" s="18"/>
      <c r="U863" s="19"/>
      <c r="AC863" s="20"/>
      <c r="AY863" s="22"/>
      <c r="AZ863" s="22"/>
    </row>
    <row r="864" ht="15.75" customHeight="1">
      <c r="D864" s="3"/>
      <c r="J864" s="3"/>
      <c r="K864" s="3"/>
      <c r="M864" s="10"/>
      <c r="Q864" s="11"/>
      <c r="R864" s="18"/>
      <c r="S864" s="18"/>
      <c r="U864" s="19"/>
      <c r="AC864" s="20"/>
      <c r="AY864" s="22"/>
      <c r="AZ864" s="22"/>
    </row>
    <row r="865" ht="15.75" customHeight="1">
      <c r="D865" s="3"/>
      <c r="J865" s="3"/>
      <c r="K865" s="3"/>
      <c r="M865" s="10"/>
      <c r="Q865" s="11"/>
      <c r="R865" s="18"/>
      <c r="S865" s="18"/>
      <c r="U865" s="19"/>
      <c r="AC865" s="20"/>
      <c r="AY865" s="22"/>
      <c r="AZ865" s="22"/>
    </row>
    <row r="866" ht="15.75" customHeight="1">
      <c r="D866" s="3"/>
      <c r="J866" s="3"/>
      <c r="K866" s="3"/>
      <c r="M866" s="10"/>
      <c r="Q866" s="11"/>
      <c r="R866" s="18"/>
      <c r="S866" s="18"/>
      <c r="U866" s="19"/>
      <c r="AC866" s="20"/>
      <c r="AY866" s="22"/>
      <c r="AZ866" s="22"/>
    </row>
    <row r="867" ht="15.75" customHeight="1">
      <c r="D867" s="3"/>
      <c r="J867" s="3"/>
      <c r="K867" s="3"/>
      <c r="M867" s="10"/>
      <c r="Q867" s="11"/>
      <c r="R867" s="18"/>
      <c r="S867" s="18"/>
      <c r="U867" s="19"/>
      <c r="AC867" s="20"/>
      <c r="AY867" s="22"/>
      <c r="AZ867" s="22"/>
    </row>
    <row r="868" ht="15.75" customHeight="1">
      <c r="D868" s="3"/>
      <c r="J868" s="3"/>
      <c r="K868" s="3"/>
      <c r="M868" s="10"/>
      <c r="Q868" s="11"/>
      <c r="R868" s="18"/>
      <c r="S868" s="18"/>
      <c r="U868" s="19"/>
      <c r="AC868" s="20"/>
      <c r="AY868" s="22"/>
      <c r="AZ868" s="22"/>
    </row>
    <row r="869" ht="15.75" customHeight="1">
      <c r="D869" s="3"/>
      <c r="J869" s="3"/>
      <c r="K869" s="3"/>
      <c r="M869" s="10"/>
      <c r="Q869" s="11"/>
      <c r="R869" s="18"/>
      <c r="S869" s="18"/>
      <c r="U869" s="19"/>
      <c r="AC869" s="20"/>
      <c r="AY869" s="22"/>
      <c r="AZ869" s="22"/>
    </row>
    <row r="870" ht="15.75" customHeight="1">
      <c r="D870" s="3"/>
      <c r="J870" s="3"/>
      <c r="K870" s="3"/>
      <c r="M870" s="10"/>
      <c r="Q870" s="11"/>
      <c r="R870" s="18"/>
      <c r="S870" s="18"/>
      <c r="U870" s="19"/>
      <c r="AC870" s="20"/>
      <c r="AY870" s="22"/>
      <c r="AZ870" s="22"/>
    </row>
    <row r="871" ht="15.75" customHeight="1">
      <c r="D871" s="3"/>
      <c r="J871" s="3"/>
      <c r="K871" s="3"/>
      <c r="M871" s="10"/>
      <c r="Q871" s="11"/>
      <c r="R871" s="18"/>
      <c r="S871" s="18"/>
      <c r="U871" s="19"/>
      <c r="AC871" s="20"/>
      <c r="AY871" s="22"/>
      <c r="AZ871" s="22"/>
    </row>
    <row r="872" ht="15.75" customHeight="1">
      <c r="D872" s="3"/>
      <c r="J872" s="3"/>
      <c r="K872" s="3"/>
      <c r="M872" s="10"/>
      <c r="Q872" s="11"/>
      <c r="R872" s="18"/>
      <c r="S872" s="18"/>
      <c r="U872" s="19"/>
      <c r="AC872" s="20"/>
      <c r="AY872" s="22"/>
      <c r="AZ872" s="22"/>
    </row>
    <row r="873" ht="15.75" customHeight="1">
      <c r="D873" s="3"/>
      <c r="J873" s="3"/>
      <c r="K873" s="3"/>
      <c r="M873" s="10"/>
      <c r="Q873" s="11"/>
      <c r="R873" s="18"/>
      <c r="S873" s="18"/>
      <c r="U873" s="19"/>
      <c r="AC873" s="20"/>
      <c r="AY873" s="22"/>
      <c r="AZ873" s="22"/>
    </row>
    <row r="874" ht="15.75" customHeight="1">
      <c r="D874" s="3"/>
      <c r="J874" s="3"/>
      <c r="K874" s="3"/>
      <c r="M874" s="10"/>
      <c r="Q874" s="11"/>
      <c r="R874" s="18"/>
      <c r="S874" s="18"/>
      <c r="U874" s="19"/>
      <c r="AC874" s="20"/>
      <c r="AY874" s="22"/>
      <c r="AZ874" s="22"/>
    </row>
    <row r="875" ht="15.75" customHeight="1">
      <c r="D875" s="3"/>
      <c r="J875" s="3"/>
      <c r="K875" s="3"/>
      <c r="M875" s="10"/>
      <c r="Q875" s="11"/>
      <c r="R875" s="18"/>
      <c r="S875" s="18"/>
      <c r="U875" s="19"/>
      <c r="AC875" s="20"/>
      <c r="AY875" s="22"/>
      <c r="AZ875" s="22"/>
    </row>
    <row r="876" ht="15.75" customHeight="1">
      <c r="D876" s="3"/>
      <c r="J876" s="3"/>
      <c r="K876" s="3"/>
      <c r="M876" s="10"/>
      <c r="Q876" s="11"/>
      <c r="R876" s="18"/>
      <c r="S876" s="18"/>
      <c r="U876" s="19"/>
      <c r="AC876" s="20"/>
      <c r="AY876" s="22"/>
      <c r="AZ876" s="22"/>
    </row>
    <row r="877" ht="15.75" customHeight="1">
      <c r="D877" s="3"/>
      <c r="J877" s="3"/>
      <c r="K877" s="3"/>
      <c r="M877" s="10"/>
      <c r="Q877" s="11"/>
      <c r="R877" s="18"/>
      <c r="S877" s="18"/>
      <c r="U877" s="19"/>
      <c r="AC877" s="20"/>
      <c r="AY877" s="22"/>
      <c r="AZ877" s="22"/>
    </row>
    <row r="878" ht="15.75" customHeight="1">
      <c r="D878" s="3"/>
      <c r="J878" s="3"/>
      <c r="K878" s="3"/>
      <c r="M878" s="10"/>
      <c r="Q878" s="11"/>
      <c r="R878" s="18"/>
      <c r="S878" s="18"/>
      <c r="U878" s="19"/>
      <c r="AC878" s="20"/>
      <c r="AY878" s="22"/>
      <c r="AZ878" s="22"/>
    </row>
    <row r="879" ht="15.75" customHeight="1">
      <c r="D879" s="3"/>
      <c r="J879" s="3"/>
      <c r="K879" s="3"/>
      <c r="M879" s="10"/>
      <c r="Q879" s="11"/>
      <c r="R879" s="18"/>
      <c r="S879" s="18"/>
      <c r="U879" s="19"/>
      <c r="AC879" s="20"/>
      <c r="AY879" s="22"/>
      <c r="AZ879" s="22"/>
    </row>
    <row r="880" ht="15.75" customHeight="1">
      <c r="D880" s="3"/>
      <c r="J880" s="3"/>
      <c r="K880" s="3"/>
      <c r="M880" s="10"/>
      <c r="Q880" s="11"/>
      <c r="R880" s="18"/>
      <c r="S880" s="18"/>
      <c r="U880" s="19"/>
      <c r="AC880" s="20"/>
      <c r="AY880" s="22"/>
      <c r="AZ880" s="22"/>
    </row>
    <row r="881" ht="15.75" customHeight="1">
      <c r="D881" s="3"/>
      <c r="J881" s="3"/>
      <c r="K881" s="3"/>
      <c r="M881" s="10"/>
      <c r="Q881" s="11"/>
      <c r="R881" s="18"/>
      <c r="S881" s="18"/>
      <c r="U881" s="19"/>
      <c r="AC881" s="20"/>
      <c r="AY881" s="22"/>
      <c r="AZ881" s="22"/>
    </row>
    <row r="882" ht="15.75" customHeight="1">
      <c r="D882" s="3"/>
      <c r="J882" s="3"/>
      <c r="K882" s="3"/>
      <c r="M882" s="10"/>
      <c r="Q882" s="11"/>
      <c r="R882" s="18"/>
      <c r="S882" s="18"/>
      <c r="U882" s="19"/>
      <c r="AC882" s="20"/>
      <c r="AY882" s="22"/>
      <c r="AZ882" s="22"/>
    </row>
    <row r="883" ht="15.75" customHeight="1">
      <c r="D883" s="3"/>
      <c r="J883" s="3"/>
      <c r="K883" s="3"/>
      <c r="M883" s="10"/>
      <c r="Q883" s="11"/>
      <c r="R883" s="18"/>
      <c r="S883" s="18"/>
      <c r="U883" s="19"/>
      <c r="AC883" s="20"/>
      <c r="AY883" s="22"/>
      <c r="AZ883" s="22"/>
    </row>
    <row r="884" ht="15.75" customHeight="1">
      <c r="D884" s="3"/>
      <c r="J884" s="3"/>
      <c r="K884" s="3"/>
      <c r="M884" s="10"/>
      <c r="Q884" s="11"/>
      <c r="R884" s="18"/>
      <c r="S884" s="18"/>
      <c r="U884" s="19"/>
      <c r="AC884" s="20"/>
      <c r="AY884" s="22"/>
      <c r="AZ884" s="22"/>
    </row>
    <row r="885" ht="15.75" customHeight="1">
      <c r="D885" s="3"/>
      <c r="J885" s="3"/>
      <c r="K885" s="3"/>
      <c r="M885" s="10"/>
      <c r="Q885" s="11"/>
      <c r="R885" s="18"/>
      <c r="S885" s="18"/>
      <c r="U885" s="19"/>
      <c r="AC885" s="20"/>
      <c r="AY885" s="22"/>
      <c r="AZ885" s="22"/>
    </row>
    <row r="886" ht="15.75" customHeight="1">
      <c r="D886" s="3"/>
      <c r="J886" s="3"/>
      <c r="K886" s="3"/>
      <c r="M886" s="10"/>
      <c r="Q886" s="11"/>
      <c r="R886" s="18"/>
      <c r="S886" s="18"/>
      <c r="U886" s="19"/>
      <c r="AC886" s="20"/>
      <c r="AY886" s="22"/>
      <c r="AZ886" s="22"/>
    </row>
    <row r="887" ht="15.75" customHeight="1">
      <c r="D887" s="3"/>
      <c r="J887" s="3"/>
      <c r="K887" s="3"/>
      <c r="M887" s="10"/>
      <c r="Q887" s="11"/>
      <c r="R887" s="18"/>
      <c r="S887" s="18"/>
      <c r="U887" s="19"/>
      <c r="AC887" s="20"/>
      <c r="AY887" s="22"/>
      <c r="AZ887" s="22"/>
    </row>
    <row r="888" ht="15.75" customHeight="1">
      <c r="D888" s="3"/>
      <c r="J888" s="3"/>
      <c r="K888" s="3"/>
      <c r="M888" s="10"/>
      <c r="Q888" s="11"/>
      <c r="R888" s="18"/>
      <c r="S888" s="18"/>
      <c r="U888" s="19"/>
      <c r="AC888" s="20"/>
      <c r="AY888" s="22"/>
      <c r="AZ888" s="22"/>
    </row>
    <row r="889" ht="15.75" customHeight="1">
      <c r="D889" s="3"/>
      <c r="J889" s="3"/>
      <c r="K889" s="3"/>
      <c r="M889" s="10"/>
      <c r="Q889" s="11"/>
      <c r="R889" s="18"/>
      <c r="S889" s="18"/>
      <c r="U889" s="19"/>
      <c r="AC889" s="20"/>
      <c r="AY889" s="22"/>
      <c r="AZ889" s="22"/>
    </row>
    <row r="890" ht="15.75" customHeight="1">
      <c r="D890" s="3"/>
      <c r="J890" s="3"/>
      <c r="K890" s="3"/>
      <c r="M890" s="10"/>
      <c r="Q890" s="11"/>
      <c r="R890" s="18"/>
      <c r="S890" s="18"/>
      <c r="U890" s="19"/>
      <c r="AC890" s="20"/>
      <c r="AY890" s="22"/>
      <c r="AZ890" s="22"/>
    </row>
    <row r="891" ht="15.75" customHeight="1">
      <c r="D891" s="3"/>
      <c r="J891" s="3"/>
      <c r="K891" s="3"/>
      <c r="M891" s="10"/>
      <c r="Q891" s="11"/>
      <c r="R891" s="18"/>
      <c r="S891" s="18"/>
      <c r="U891" s="19"/>
      <c r="AC891" s="20"/>
      <c r="AY891" s="22"/>
      <c r="AZ891" s="22"/>
    </row>
    <row r="892" ht="15.75" customHeight="1">
      <c r="D892" s="3"/>
      <c r="J892" s="3"/>
      <c r="K892" s="3"/>
      <c r="M892" s="10"/>
      <c r="Q892" s="11"/>
      <c r="R892" s="18"/>
      <c r="S892" s="18"/>
      <c r="U892" s="19"/>
      <c r="AC892" s="20"/>
      <c r="AY892" s="22"/>
      <c r="AZ892" s="22"/>
    </row>
    <row r="893" ht="15.75" customHeight="1">
      <c r="D893" s="3"/>
      <c r="J893" s="3"/>
      <c r="K893" s="3"/>
      <c r="M893" s="10"/>
      <c r="Q893" s="11"/>
      <c r="R893" s="18"/>
      <c r="S893" s="18"/>
      <c r="U893" s="19"/>
      <c r="AC893" s="20"/>
      <c r="AY893" s="22"/>
      <c r="AZ893" s="22"/>
    </row>
    <row r="894" ht="15.75" customHeight="1">
      <c r="D894" s="3"/>
      <c r="J894" s="3"/>
      <c r="K894" s="3"/>
      <c r="M894" s="10"/>
      <c r="Q894" s="11"/>
      <c r="R894" s="18"/>
      <c r="S894" s="18"/>
      <c r="U894" s="19"/>
      <c r="AC894" s="20"/>
      <c r="AY894" s="22"/>
      <c r="AZ894" s="22"/>
    </row>
    <row r="895" ht="15.75" customHeight="1">
      <c r="D895" s="3"/>
      <c r="J895" s="3"/>
      <c r="K895" s="3"/>
      <c r="M895" s="10"/>
      <c r="Q895" s="11"/>
      <c r="R895" s="18"/>
      <c r="S895" s="18"/>
      <c r="U895" s="19"/>
      <c r="AC895" s="20"/>
      <c r="AY895" s="22"/>
      <c r="AZ895" s="22"/>
    </row>
    <row r="896" ht="15.75" customHeight="1">
      <c r="D896" s="3"/>
      <c r="J896" s="3"/>
      <c r="K896" s="3"/>
      <c r="M896" s="10"/>
      <c r="Q896" s="11"/>
      <c r="R896" s="18"/>
      <c r="S896" s="18"/>
      <c r="U896" s="19"/>
      <c r="AC896" s="20"/>
      <c r="AY896" s="22"/>
      <c r="AZ896" s="22"/>
    </row>
    <row r="897" ht="15.75" customHeight="1">
      <c r="D897" s="3"/>
      <c r="J897" s="3"/>
      <c r="K897" s="3"/>
      <c r="M897" s="10"/>
      <c r="Q897" s="11"/>
      <c r="R897" s="18"/>
      <c r="S897" s="18"/>
      <c r="U897" s="19"/>
      <c r="AC897" s="20"/>
      <c r="AY897" s="22"/>
      <c r="AZ897" s="22"/>
    </row>
    <row r="898" ht="15.75" customHeight="1">
      <c r="D898" s="3"/>
      <c r="J898" s="3"/>
      <c r="K898" s="3"/>
      <c r="M898" s="10"/>
      <c r="Q898" s="11"/>
      <c r="R898" s="18"/>
      <c r="S898" s="18"/>
      <c r="U898" s="19"/>
      <c r="AC898" s="20"/>
      <c r="AY898" s="22"/>
      <c r="AZ898" s="22"/>
    </row>
    <row r="899" ht="15.75" customHeight="1">
      <c r="D899" s="3"/>
      <c r="J899" s="3"/>
      <c r="K899" s="3"/>
      <c r="M899" s="10"/>
      <c r="Q899" s="11"/>
      <c r="R899" s="18"/>
      <c r="S899" s="18"/>
      <c r="U899" s="19"/>
      <c r="AC899" s="20"/>
      <c r="AY899" s="22"/>
      <c r="AZ899" s="22"/>
    </row>
    <row r="900" ht="15.75" customHeight="1">
      <c r="D900" s="3"/>
      <c r="J900" s="3"/>
      <c r="K900" s="3"/>
      <c r="M900" s="10"/>
      <c r="Q900" s="11"/>
      <c r="R900" s="18"/>
      <c r="S900" s="18"/>
      <c r="U900" s="19"/>
      <c r="AC900" s="20"/>
      <c r="AY900" s="22"/>
      <c r="AZ900" s="22"/>
    </row>
    <row r="901" ht="15.75" customHeight="1">
      <c r="D901" s="3"/>
      <c r="J901" s="3"/>
      <c r="K901" s="3"/>
      <c r="M901" s="10"/>
      <c r="Q901" s="11"/>
      <c r="R901" s="18"/>
      <c r="S901" s="18"/>
      <c r="U901" s="19"/>
      <c r="AC901" s="20"/>
      <c r="AY901" s="22"/>
      <c r="AZ901" s="22"/>
    </row>
    <row r="902" ht="15.75" customHeight="1">
      <c r="D902" s="3"/>
      <c r="J902" s="3"/>
      <c r="K902" s="3"/>
      <c r="M902" s="10"/>
      <c r="Q902" s="11"/>
      <c r="R902" s="18"/>
      <c r="S902" s="18"/>
      <c r="U902" s="19"/>
      <c r="AC902" s="20"/>
      <c r="AY902" s="22"/>
      <c r="AZ902" s="22"/>
    </row>
    <row r="903" ht="15.75" customHeight="1">
      <c r="D903" s="3"/>
      <c r="J903" s="3"/>
      <c r="K903" s="3"/>
      <c r="M903" s="10"/>
      <c r="Q903" s="11"/>
      <c r="R903" s="18"/>
      <c r="S903" s="18"/>
      <c r="U903" s="19"/>
      <c r="AC903" s="20"/>
      <c r="AY903" s="22"/>
      <c r="AZ903" s="22"/>
    </row>
    <row r="904" ht="15.75" customHeight="1">
      <c r="D904" s="3"/>
      <c r="J904" s="3"/>
      <c r="K904" s="3"/>
      <c r="M904" s="10"/>
      <c r="Q904" s="11"/>
      <c r="R904" s="18"/>
      <c r="S904" s="18"/>
      <c r="U904" s="19"/>
      <c r="AC904" s="20"/>
      <c r="AY904" s="22"/>
      <c r="AZ904" s="22"/>
    </row>
    <row r="905" ht="15.75" customHeight="1">
      <c r="D905" s="3"/>
      <c r="J905" s="3"/>
      <c r="K905" s="3"/>
      <c r="M905" s="10"/>
      <c r="Q905" s="11"/>
      <c r="R905" s="18"/>
      <c r="S905" s="18"/>
      <c r="U905" s="19"/>
      <c r="AC905" s="20"/>
      <c r="AY905" s="22"/>
      <c r="AZ905" s="22"/>
    </row>
    <row r="906">
      <c r="D906" s="3"/>
      <c r="J906" s="3"/>
      <c r="K906" s="3"/>
      <c r="Q906" s="11"/>
      <c r="R906" s="23"/>
      <c r="S906" s="23"/>
      <c r="AC906" s="11"/>
    </row>
    <row r="907">
      <c r="D907" s="3"/>
      <c r="J907" s="3"/>
      <c r="K907" s="3"/>
      <c r="Q907" s="11"/>
      <c r="R907" s="23"/>
      <c r="S907" s="23"/>
      <c r="AC907" s="11"/>
    </row>
    <row r="908">
      <c r="D908" s="3"/>
      <c r="J908" s="3"/>
      <c r="K908" s="3"/>
      <c r="Q908" s="11"/>
      <c r="R908" s="23"/>
      <c r="S908" s="23"/>
      <c r="AC908" s="11"/>
    </row>
    <row r="909">
      <c r="D909" s="3"/>
      <c r="J909" s="3"/>
      <c r="K909" s="3"/>
      <c r="Q909" s="11"/>
      <c r="R909" s="23"/>
      <c r="S909" s="23"/>
      <c r="AC909" s="11"/>
    </row>
    <row r="910">
      <c r="D910" s="3"/>
      <c r="J910" s="3"/>
      <c r="K910" s="3"/>
      <c r="Q910" s="11"/>
      <c r="R910" s="23"/>
      <c r="S910" s="23"/>
      <c r="AC910" s="11"/>
    </row>
    <row r="911">
      <c r="D911" s="3"/>
      <c r="J911" s="3"/>
      <c r="K911" s="3"/>
      <c r="Q911" s="11"/>
      <c r="R911" s="23"/>
      <c r="S911" s="23"/>
      <c r="AC911" s="11"/>
    </row>
    <row r="912">
      <c r="D912" s="3"/>
      <c r="J912" s="3"/>
      <c r="K912" s="3"/>
      <c r="Q912" s="11"/>
      <c r="R912" s="23"/>
      <c r="S912" s="23"/>
      <c r="AC912" s="11"/>
    </row>
    <row r="913">
      <c r="D913" s="3"/>
      <c r="J913" s="3"/>
      <c r="K913" s="3"/>
      <c r="Q913" s="11"/>
      <c r="R913" s="23"/>
      <c r="S913" s="23"/>
      <c r="AC913" s="11"/>
    </row>
    <row r="914">
      <c r="D914" s="3"/>
      <c r="J914" s="3"/>
      <c r="K914" s="3"/>
      <c r="Q914" s="11"/>
      <c r="R914" s="23"/>
      <c r="S914" s="23"/>
      <c r="AC914" s="11"/>
    </row>
    <row r="915">
      <c r="D915" s="3"/>
      <c r="J915" s="3"/>
      <c r="K915" s="3"/>
      <c r="Q915" s="11"/>
      <c r="R915" s="23"/>
      <c r="S915" s="23"/>
      <c r="AC915" s="11"/>
    </row>
    <row r="916">
      <c r="D916" s="3"/>
      <c r="J916" s="3"/>
      <c r="K916" s="3"/>
      <c r="Q916" s="11"/>
      <c r="R916" s="23"/>
      <c r="S916" s="23"/>
      <c r="AC916" s="11"/>
    </row>
    <row r="917">
      <c r="D917" s="3"/>
      <c r="J917" s="3"/>
      <c r="K917" s="3"/>
      <c r="Q917" s="11"/>
      <c r="R917" s="23"/>
      <c r="S917" s="23"/>
      <c r="AC917" s="11"/>
    </row>
    <row r="918">
      <c r="D918" s="3"/>
      <c r="J918" s="3"/>
      <c r="K918" s="3"/>
      <c r="Q918" s="11"/>
      <c r="R918" s="23"/>
      <c r="S918" s="23"/>
      <c r="AC918" s="11"/>
    </row>
    <row r="919">
      <c r="D919" s="3"/>
      <c r="J919" s="3"/>
      <c r="K919" s="3"/>
      <c r="Q919" s="11"/>
      <c r="R919" s="23"/>
      <c r="S919" s="23"/>
      <c r="AC919" s="11"/>
    </row>
    <row r="920">
      <c r="D920" s="3"/>
      <c r="J920" s="3"/>
      <c r="K920" s="3"/>
      <c r="Q920" s="11"/>
      <c r="R920" s="23"/>
      <c r="S920" s="23"/>
      <c r="AC920" s="11"/>
    </row>
    <row r="921">
      <c r="D921" s="3"/>
      <c r="J921" s="3"/>
      <c r="K921" s="3"/>
      <c r="Q921" s="11"/>
      <c r="R921" s="23"/>
      <c r="S921" s="23"/>
      <c r="AC921" s="11"/>
    </row>
    <row r="922">
      <c r="D922" s="3"/>
      <c r="J922" s="3"/>
      <c r="K922" s="3"/>
      <c r="Q922" s="11"/>
      <c r="R922" s="23"/>
      <c r="S922" s="23"/>
      <c r="AC922" s="11"/>
    </row>
    <row r="923">
      <c r="D923" s="3"/>
      <c r="J923" s="3"/>
      <c r="K923" s="3"/>
      <c r="Q923" s="11"/>
      <c r="R923" s="23"/>
      <c r="S923" s="23"/>
      <c r="AC923" s="11"/>
    </row>
    <row r="924">
      <c r="D924" s="3"/>
      <c r="J924" s="3"/>
      <c r="K924" s="3"/>
      <c r="Q924" s="11"/>
      <c r="R924" s="23"/>
      <c r="S924" s="23"/>
      <c r="AC924" s="11"/>
    </row>
    <row r="925">
      <c r="D925" s="3"/>
      <c r="J925" s="3"/>
      <c r="K925" s="3"/>
      <c r="Q925" s="11"/>
      <c r="R925" s="23"/>
      <c r="S925" s="23"/>
      <c r="AC925" s="11"/>
    </row>
    <row r="926">
      <c r="D926" s="3"/>
      <c r="J926" s="3"/>
      <c r="K926" s="3"/>
      <c r="Q926" s="11"/>
      <c r="R926" s="23"/>
      <c r="S926" s="23"/>
      <c r="AC926" s="11"/>
    </row>
    <row r="927">
      <c r="D927" s="3"/>
      <c r="J927" s="3"/>
      <c r="K927" s="3"/>
      <c r="Q927" s="11"/>
      <c r="R927" s="23"/>
      <c r="S927" s="23"/>
      <c r="AC927" s="11"/>
    </row>
    <row r="928">
      <c r="D928" s="3"/>
      <c r="J928" s="3"/>
      <c r="K928" s="3"/>
      <c r="Q928" s="11"/>
      <c r="R928" s="23"/>
      <c r="S928" s="23"/>
      <c r="AC928" s="11"/>
    </row>
    <row r="929">
      <c r="D929" s="3"/>
      <c r="J929" s="3"/>
      <c r="K929" s="3"/>
      <c r="Q929" s="11"/>
      <c r="R929" s="23"/>
      <c r="S929" s="23"/>
      <c r="AC929" s="11"/>
    </row>
    <row r="930">
      <c r="D930" s="3"/>
      <c r="J930" s="3"/>
      <c r="K930" s="3"/>
      <c r="Q930" s="11"/>
      <c r="R930" s="23"/>
      <c r="S930" s="23"/>
      <c r="AC930" s="11"/>
    </row>
    <row r="931">
      <c r="D931" s="3"/>
      <c r="J931" s="3"/>
      <c r="K931" s="3"/>
      <c r="Q931" s="11"/>
      <c r="R931" s="23"/>
      <c r="S931" s="23"/>
      <c r="AC931" s="11"/>
    </row>
    <row r="932">
      <c r="D932" s="3"/>
      <c r="J932" s="3"/>
      <c r="K932" s="3"/>
      <c r="Q932" s="11"/>
      <c r="R932" s="23"/>
      <c r="S932" s="23"/>
      <c r="AC932" s="11"/>
    </row>
    <row r="933">
      <c r="D933" s="3"/>
      <c r="J933" s="3"/>
      <c r="K933" s="3"/>
      <c r="Q933" s="11"/>
      <c r="R933" s="23"/>
      <c r="S933" s="23"/>
      <c r="AC933" s="11"/>
    </row>
    <row r="934">
      <c r="D934" s="3"/>
      <c r="J934" s="3"/>
      <c r="K934" s="3"/>
      <c r="Q934" s="11"/>
      <c r="R934" s="23"/>
      <c r="S934" s="23"/>
      <c r="AC934" s="11"/>
    </row>
    <row r="935">
      <c r="D935" s="3"/>
      <c r="J935" s="3"/>
      <c r="K935" s="3"/>
      <c r="Q935" s="11"/>
      <c r="R935" s="23"/>
      <c r="S935" s="23"/>
      <c r="AC935" s="11"/>
    </row>
    <row r="936">
      <c r="D936" s="3"/>
      <c r="J936" s="3"/>
      <c r="K936" s="3"/>
      <c r="Q936" s="11"/>
      <c r="R936" s="23"/>
      <c r="S936" s="23"/>
      <c r="AC936" s="11"/>
    </row>
    <row r="937">
      <c r="D937" s="3"/>
      <c r="J937" s="3"/>
      <c r="K937" s="3"/>
      <c r="Q937" s="11"/>
      <c r="R937" s="23"/>
      <c r="S937" s="23"/>
      <c r="AC937" s="11"/>
    </row>
    <row r="938">
      <c r="D938" s="3"/>
      <c r="J938" s="3"/>
      <c r="K938" s="3"/>
      <c r="Q938" s="11"/>
      <c r="R938" s="23"/>
      <c r="S938" s="23"/>
      <c r="AC938" s="11"/>
    </row>
    <row r="939">
      <c r="D939" s="3"/>
      <c r="J939" s="3"/>
      <c r="K939" s="3"/>
      <c r="Q939" s="11"/>
      <c r="R939" s="23"/>
      <c r="S939" s="23"/>
      <c r="AC939" s="11"/>
    </row>
    <row r="940">
      <c r="D940" s="3"/>
      <c r="J940" s="3"/>
      <c r="K940" s="3"/>
      <c r="Q940" s="11"/>
      <c r="R940" s="23"/>
      <c r="S940" s="23"/>
      <c r="AC940" s="11"/>
    </row>
    <row r="941">
      <c r="D941" s="3"/>
      <c r="J941" s="3"/>
      <c r="K941" s="3"/>
      <c r="Q941" s="11"/>
      <c r="R941" s="23"/>
      <c r="S941" s="23"/>
      <c r="AC941" s="11"/>
    </row>
    <row r="942">
      <c r="D942" s="3"/>
      <c r="J942" s="3"/>
      <c r="K942" s="3"/>
      <c r="Q942" s="11"/>
      <c r="R942" s="23"/>
      <c r="S942" s="23"/>
      <c r="AC942" s="11"/>
    </row>
    <row r="943">
      <c r="D943" s="3"/>
      <c r="J943" s="3"/>
      <c r="K943" s="3"/>
      <c r="Q943" s="11"/>
      <c r="R943" s="23"/>
      <c r="S943" s="23"/>
      <c r="AC943" s="11"/>
    </row>
    <row r="944">
      <c r="D944" s="3"/>
      <c r="J944" s="3"/>
      <c r="K944" s="3"/>
      <c r="Q944" s="11"/>
      <c r="R944" s="23"/>
      <c r="S944" s="23"/>
      <c r="AC944" s="11"/>
    </row>
    <row r="945">
      <c r="D945" s="3"/>
      <c r="J945" s="3"/>
      <c r="K945" s="3"/>
      <c r="Q945" s="11"/>
      <c r="R945" s="23"/>
      <c r="S945" s="23"/>
      <c r="AC945" s="11"/>
    </row>
    <row r="946">
      <c r="D946" s="3"/>
      <c r="J946" s="3"/>
      <c r="K946" s="3"/>
      <c r="Q946" s="11"/>
      <c r="R946" s="23"/>
      <c r="S946" s="23"/>
      <c r="AC946" s="11"/>
    </row>
    <row r="947">
      <c r="D947" s="3"/>
      <c r="J947" s="3"/>
      <c r="K947" s="3"/>
      <c r="Q947" s="11"/>
      <c r="R947" s="23"/>
      <c r="S947" s="23"/>
      <c r="AC947" s="11"/>
    </row>
    <row r="948">
      <c r="D948" s="3"/>
      <c r="J948" s="3"/>
      <c r="K948" s="3"/>
      <c r="Q948" s="11"/>
      <c r="R948" s="23"/>
      <c r="S948" s="23"/>
      <c r="AC948" s="11"/>
    </row>
    <row r="949">
      <c r="D949" s="3"/>
      <c r="J949" s="3"/>
      <c r="K949" s="3"/>
      <c r="Q949" s="11"/>
      <c r="R949" s="23"/>
      <c r="S949" s="23"/>
      <c r="AC949" s="11"/>
    </row>
    <row r="950">
      <c r="D950" s="3"/>
      <c r="J950" s="3"/>
      <c r="K950" s="3"/>
      <c r="Q950" s="11"/>
      <c r="R950" s="23"/>
      <c r="S950" s="23"/>
      <c r="AC950" s="11"/>
    </row>
    <row r="951">
      <c r="D951" s="3"/>
      <c r="J951" s="3"/>
      <c r="K951" s="3"/>
      <c r="Q951" s="11"/>
      <c r="R951" s="23"/>
      <c r="S951" s="23"/>
      <c r="AC951" s="11"/>
    </row>
    <row r="952">
      <c r="D952" s="3"/>
      <c r="J952" s="3"/>
      <c r="K952" s="3"/>
      <c r="Q952" s="11"/>
      <c r="R952" s="23"/>
      <c r="S952" s="23"/>
      <c r="AC952" s="11"/>
    </row>
  </sheetData>
  <autoFilter ref="$A$1:$BA$4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2.75"/>
    <col customWidth="1" min="3" max="3" width="10.13"/>
    <col customWidth="1" min="4" max="4" width="14.63"/>
    <col customWidth="1" min="5" max="5" width="5.5"/>
    <col customWidth="1" min="6" max="6" width="8.75"/>
    <col customWidth="1" min="7" max="7" width="10.0"/>
    <col customWidth="1" min="8" max="8" width="6.38"/>
  </cols>
  <sheetData>
    <row r="1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</row>
    <row r="2">
      <c r="A2" s="25" t="s">
        <v>117</v>
      </c>
      <c r="B2" s="25" t="s">
        <v>118</v>
      </c>
      <c r="C2" s="25" t="s">
        <v>61</v>
      </c>
      <c r="D2" s="25" t="s">
        <v>119</v>
      </c>
      <c r="E2" s="25" t="s">
        <v>120</v>
      </c>
      <c r="F2" s="25">
        <v>17.9369</v>
      </c>
      <c r="G2" s="25">
        <v>-66.8738</v>
      </c>
      <c r="H2" s="25">
        <v>5.0</v>
      </c>
      <c r="J2" s="25"/>
      <c r="K2" s="6" t="s">
        <v>121</v>
      </c>
      <c r="L2" s="26"/>
    </row>
    <row r="3">
      <c r="A3" s="25" t="s">
        <v>122</v>
      </c>
      <c r="B3" s="25" t="s">
        <v>123</v>
      </c>
      <c r="C3" s="25" t="s">
        <v>93</v>
      </c>
      <c r="D3" s="25" t="s">
        <v>124</v>
      </c>
      <c r="E3" s="25" t="s">
        <v>125</v>
      </c>
      <c r="F3" s="25">
        <v>18.382</v>
      </c>
      <c r="G3" s="25">
        <v>-67.4883</v>
      </c>
      <c r="H3" s="25">
        <v>15.0</v>
      </c>
      <c r="J3" s="27"/>
      <c r="K3" s="6" t="s">
        <v>126</v>
      </c>
      <c r="L3" s="26"/>
    </row>
    <row r="4">
      <c r="A4" s="25" t="s">
        <v>127</v>
      </c>
      <c r="B4" s="25" t="s">
        <v>123</v>
      </c>
      <c r="C4" s="25" t="s">
        <v>98</v>
      </c>
      <c r="D4" s="25" t="s">
        <v>124</v>
      </c>
      <c r="E4" s="25" t="s">
        <v>125</v>
      </c>
      <c r="F4" s="25">
        <v>18.38158</v>
      </c>
      <c r="G4" s="25">
        <v>-67.4886</v>
      </c>
      <c r="H4" s="25">
        <v>20.0</v>
      </c>
      <c r="K4" s="6" t="s">
        <v>128</v>
      </c>
      <c r="L4" s="26"/>
    </row>
    <row r="5">
      <c r="A5" s="25" t="s">
        <v>129</v>
      </c>
      <c r="B5" s="25" t="s">
        <v>130</v>
      </c>
      <c r="C5" s="25" t="s">
        <v>64</v>
      </c>
      <c r="D5" s="25" t="s">
        <v>119</v>
      </c>
      <c r="E5" s="25" t="s">
        <v>120</v>
      </c>
      <c r="F5" s="25">
        <v>17.88827</v>
      </c>
      <c r="G5" s="25">
        <v>-66.9978</v>
      </c>
      <c r="H5" s="25">
        <v>20.0</v>
      </c>
      <c r="L5" s="26"/>
    </row>
    <row r="6">
      <c r="A6" s="25" t="s">
        <v>131</v>
      </c>
      <c r="B6" s="25" t="s">
        <v>132</v>
      </c>
      <c r="C6" s="25" t="s">
        <v>73</v>
      </c>
      <c r="D6" s="25" t="s">
        <v>133</v>
      </c>
      <c r="E6" s="25" t="s">
        <v>134</v>
      </c>
      <c r="F6" s="25">
        <v>18.38544</v>
      </c>
      <c r="G6" s="25">
        <v>-65.6297</v>
      </c>
      <c r="H6" s="25">
        <v>5.0</v>
      </c>
      <c r="L6" s="26"/>
    </row>
    <row r="7">
      <c r="A7" s="25" t="s">
        <v>135</v>
      </c>
      <c r="B7" s="25" t="s">
        <v>136</v>
      </c>
      <c r="C7" s="25" t="s">
        <v>76</v>
      </c>
      <c r="D7" s="25" t="s">
        <v>137</v>
      </c>
      <c r="E7" s="25" t="s">
        <v>134</v>
      </c>
      <c r="F7" s="25">
        <v>18.08964</v>
      </c>
      <c r="G7" s="25">
        <v>-65.5901</v>
      </c>
      <c r="H7" s="25">
        <v>15.0</v>
      </c>
      <c r="L7" s="26"/>
    </row>
    <row r="8">
      <c r="A8" s="25" t="s">
        <v>138</v>
      </c>
      <c r="B8" s="25" t="s">
        <v>123</v>
      </c>
      <c r="C8" s="25" t="s">
        <v>99</v>
      </c>
      <c r="D8" s="25" t="s">
        <v>124</v>
      </c>
      <c r="E8" s="25" t="s">
        <v>125</v>
      </c>
      <c r="F8" s="25">
        <v>18.37747</v>
      </c>
      <c r="G8" s="25">
        <v>-67.484</v>
      </c>
      <c r="H8" s="25">
        <v>30.0</v>
      </c>
      <c r="L8" s="26"/>
    </row>
    <row r="9">
      <c r="A9" s="25" t="s">
        <v>139</v>
      </c>
      <c r="B9" s="25" t="s">
        <v>140</v>
      </c>
      <c r="C9" s="25" t="s">
        <v>109</v>
      </c>
      <c r="D9" s="25" t="s">
        <v>141</v>
      </c>
      <c r="E9" s="25" t="s">
        <v>142</v>
      </c>
      <c r="F9" s="25">
        <v>17.91533</v>
      </c>
      <c r="G9" s="25">
        <v>-66.2141</v>
      </c>
      <c r="H9" s="25">
        <v>10.0</v>
      </c>
      <c r="L9" s="26"/>
    </row>
    <row r="10">
      <c r="A10" s="25" t="s">
        <v>143</v>
      </c>
      <c r="B10" s="25" t="s">
        <v>144</v>
      </c>
      <c r="C10" s="25" t="s">
        <v>145</v>
      </c>
      <c r="D10" s="25" t="s">
        <v>146</v>
      </c>
      <c r="E10" s="25" t="s">
        <v>142</v>
      </c>
      <c r="F10" s="25">
        <v>17.89502</v>
      </c>
      <c r="G10" s="25">
        <v>-66.5284</v>
      </c>
      <c r="H10" s="25">
        <v>10.0</v>
      </c>
      <c r="L10" s="26"/>
    </row>
    <row r="11">
      <c r="A11" s="25" t="s">
        <v>147</v>
      </c>
      <c r="B11" s="25" t="s">
        <v>148</v>
      </c>
      <c r="C11" s="25" t="s">
        <v>149</v>
      </c>
      <c r="D11" s="25" t="s">
        <v>133</v>
      </c>
      <c r="E11" s="25" t="s">
        <v>150</v>
      </c>
      <c r="F11" s="25">
        <v>18.48955</v>
      </c>
      <c r="G11" s="25">
        <v>-66.3736</v>
      </c>
      <c r="H11" s="25">
        <v>10.0</v>
      </c>
      <c r="L11" s="26"/>
    </row>
    <row r="12">
      <c r="A12" s="25" t="s">
        <v>151</v>
      </c>
      <c r="B12" s="25" t="s">
        <v>118</v>
      </c>
      <c r="C12" s="25" t="s">
        <v>62</v>
      </c>
      <c r="D12" s="25" t="s">
        <v>119</v>
      </c>
      <c r="E12" s="25" t="s">
        <v>120</v>
      </c>
      <c r="F12" s="25">
        <v>17.9362</v>
      </c>
      <c r="G12" s="25">
        <v>-66.8884</v>
      </c>
      <c r="H12" s="25">
        <v>10.0</v>
      </c>
      <c r="L12" s="26"/>
    </row>
    <row r="13">
      <c r="A13" s="25" t="s">
        <v>152</v>
      </c>
      <c r="B13" s="25" t="s">
        <v>153</v>
      </c>
      <c r="C13" s="25" t="s">
        <v>70</v>
      </c>
      <c r="D13" s="25" t="s">
        <v>137</v>
      </c>
      <c r="E13" s="25" t="s">
        <v>134</v>
      </c>
      <c r="F13" s="25">
        <v>18.32779</v>
      </c>
      <c r="G13" s="25">
        <v>-65.332</v>
      </c>
      <c r="H13" s="25">
        <v>10.0</v>
      </c>
      <c r="L13" s="26"/>
    </row>
    <row r="14">
      <c r="A14" s="25" t="s">
        <v>154</v>
      </c>
      <c r="B14" s="25" t="s">
        <v>153</v>
      </c>
      <c r="C14" s="25" t="s">
        <v>66</v>
      </c>
      <c r="D14" s="25" t="s">
        <v>137</v>
      </c>
      <c r="E14" s="25" t="s">
        <v>134</v>
      </c>
      <c r="F14" s="25">
        <v>18.27587</v>
      </c>
      <c r="G14" s="25">
        <v>-65.2773</v>
      </c>
      <c r="H14" s="25">
        <v>20.0</v>
      </c>
    </row>
    <row r="15">
      <c r="A15" s="25" t="s">
        <v>155</v>
      </c>
      <c r="B15" s="25" t="s">
        <v>144</v>
      </c>
      <c r="C15" s="25" t="s">
        <v>116</v>
      </c>
      <c r="D15" s="25" t="s">
        <v>146</v>
      </c>
      <c r="E15" s="25" t="s">
        <v>142</v>
      </c>
      <c r="F15" s="25">
        <v>17.904</v>
      </c>
      <c r="G15" s="25">
        <v>-66.6086</v>
      </c>
      <c r="H15" s="25">
        <v>20.0</v>
      </c>
    </row>
    <row r="16">
      <c r="A16" s="25" t="s">
        <v>156</v>
      </c>
      <c r="B16" s="25" t="s">
        <v>132</v>
      </c>
      <c r="C16" s="25" t="s">
        <v>71</v>
      </c>
      <c r="D16" s="25" t="s">
        <v>133</v>
      </c>
      <c r="E16" s="25" t="s">
        <v>134</v>
      </c>
      <c r="F16" s="25">
        <v>18.36033</v>
      </c>
      <c r="G16" s="25">
        <v>-65.5309</v>
      </c>
      <c r="H16" s="25">
        <v>5.0</v>
      </c>
    </row>
    <row r="17">
      <c r="A17" s="25" t="s">
        <v>157</v>
      </c>
      <c r="B17" s="25" t="s">
        <v>158</v>
      </c>
      <c r="C17" s="25" t="s">
        <v>159</v>
      </c>
      <c r="D17" s="25" t="s">
        <v>133</v>
      </c>
      <c r="E17" s="25" t="s">
        <v>150</v>
      </c>
      <c r="F17" s="25">
        <v>18.46222</v>
      </c>
      <c r="G17" s="25">
        <v>-66.0517</v>
      </c>
      <c r="H17" s="25">
        <v>5.0</v>
      </c>
    </row>
    <row r="18">
      <c r="A18" s="25" t="s">
        <v>160</v>
      </c>
      <c r="B18" s="25" t="s">
        <v>136</v>
      </c>
      <c r="C18" s="25" t="s">
        <v>75</v>
      </c>
      <c r="D18" s="25" t="s">
        <v>137</v>
      </c>
      <c r="E18" s="25" t="s">
        <v>134</v>
      </c>
      <c r="F18" s="25">
        <v>18.08057</v>
      </c>
      <c r="G18" s="25">
        <v>-65.4879</v>
      </c>
      <c r="H18" s="25">
        <v>10.0</v>
      </c>
    </row>
    <row r="19">
      <c r="A19" s="25" t="s">
        <v>161</v>
      </c>
      <c r="B19" s="25" t="s">
        <v>130</v>
      </c>
      <c r="C19" s="25" t="s">
        <v>63</v>
      </c>
      <c r="D19" s="25" t="s">
        <v>119</v>
      </c>
      <c r="E19" s="25" t="s">
        <v>120</v>
      </c>
      <c r="F19" s="25">
        <v>17.8976</v>
      </c>
      <c r="G19" s="25">
        <v>-66.9599</v>
      </c>
      <c r="H19" s="25">
        <v>20.0</v>
      </c>
    </row>
    <row r="20">
      <c r="A20" s="25" t="s">
        <v>162</v>
      </c>
      <c r="B20" s="25" t="s">
        <v>163</v>
      </c>
      <c r="C20" s="25" t="s">
        <v>91</v>
      </c>
      <c r="D20" s="25" t="s">
        <v>164</v>
      </c>
      <c r="E20" s="25" t="s">
        <v>125</v>
      </c>
      <c r="F20" s="25">
        <v>18.0017</v>
      </c>
      <c r="G20" s="25">
        <v>-67.3299</v>
      </c>
      <c r="H20" s="25">
        <v>5.0</v>
      </c>
    </row>
    <row r="21">
      <c r="A21" s="25" t="s">
        <v>165</v>
      </c>
      <c r="B21" s="25" t="s">
        <v>166</v>
      </c>
      <c r="C21" s="25" t="s">
        <v>81</v>
      </c>
      <c r="D21" s="25" t="s">
        <v>164</v>
      </c>
      <c r="E21" s="25" t="s">
        <v>125</v>
      </c>
      <c r="F21" s="25">
        <v>18.17202</v>
      </c>
      <c r="G21" s="25">
        <v>-67.253</v>
      </c>
      <c r="H21" s="25">
        <v>20.0</v>
      </c>
    </row>
    <row r="22">
      <c r="A22" s="25" t="s">
        <v>167</v>
      </c>
      <c r="B22" s="25" t="s">
        <v>153</v>
      </c>
      <c r="C22" s="25" t="s">
        <v>69</v>
      </c>
      <c r="D22" s="25" t="s">
        <v>137</v>
      </c>
      <c r="E22" s="25" t="s">
        <v>134</v>
      </c>
      <c r="F22" s="25">
        <v>18.30493</v>
      </c>
      <c r="G22" s="25">
        <v>-65.3277</v>
      </c>
      <c r="H22" s="25">
        <v>5.0</v>
      </c>
    </row>
    <row r="23">
      <c r="A23" s="25" t="s">
        <v>168</v>
      </c>
      <c r="B23" s="25" t="s">
        <v>166</v>
      </c>
      <c r="C23" s="25" t="s">
        <v>108</v>
      </c>
      <c r="D23" s="25" t="s">
        <v>164</v>
      </c>
      <c r="E23" s="25" t="s">
        <v>125</v>
      </c>
      <c r="F23" s="25">
        <v>18.23353</v>
      </c>
      <c r="G23" s="25">
        <v>-67.2006</v>
      </c>
      <c r="H23" s="25">
        <v>10.0</v>
      </c>
    </row>
    <row r="24">
      <c r="A24" s="25" t="s">
        <v>169</v>
      </c>
      <c r="B24" s="25" t="s">
        <v>166</v>
      </c>
      <c r="C24" s="25" t="s">
        <v>107</v>
      </c>
      <c r="D24" s="25" t="s">
        <v>164</v>
      </c>
      <c r="E24" s="25" t="s">
        <v>125</v>
      </c>
      <c r="F24" s="25">
        <v>18.2335</v>
      </c>
      <c r="G24" s="25">
        <v>-67.2009</v>
      </c>
      <c r="H24" s="25">
        <v>20.0</v>
      </c>
    </row>
    <row r="25">
      <c r="A25" s="25" t="s">
        <v>170</v>
      </c>
      <c r="B25" s="25" t="s">
        <v>171</v>
      </c>
      <c r="C25" s="25" t="s">
        <v>60</v>
      </c>
      <c r="D25" s="25" t="s">
        <v>146</v>
      </c>
      <c r="E25" s="25" t="s">
        <v>142</v>
      </c>
      <c r="F25" s="25">
        <v>17.96488</v>
      </c>
      <c r="G25" s="25">
        <v>-66.7565</v>
      </c>
      <c r="H25" s="25">
        <v>5.0</v>
      </c>
    </row>
    <row r="26">
      <c r="A26" s="25" t="s">
        <v>172</v>
      </c>
      <c r="B26" s="25" t="s">
        <v>171</v>
      </c>
      <c r="C26" s="25" t="s">
        <v>59</v>
      </c>
      <c r="D26" s="25" t="s">
        <v>146</v>
      </c>
      <c r="E26" s="25" t="s">
        <v>142</v>
      </c>
      <c r="F26" s="25">
        <v>17.96093</v>
      </c>
      <c r="G26" s="25">
        <v>-66.7529</v>
      </c>
      <c r="H26" s="25">
        <v>10.0</v>
      </c>
    </row>
    <row r="27">
      <c r="A27" s="25" t="s">
        <v>173</v>
      </c>
      <c r="B27" s="25" t="s">
        <v>171</v>
      </c>
      <c r="C27" s="25" t="s">
        <v>174</v>
      </c>
      <c r="D27" s="25" t="s">
        <v>146</v>
      </c>
      <c r="E27" s="25" t="s">
        <v>142</v>
      </c>
      <c r="F27" s="25">
        <v>17.95953</v>
      </c>
      <c r="G27" s="25">
        <v>-66.747</v>
      </c>
      <c r="H27" s="25">
        <v>20.0</v>
      </c>
    </row>
    <row r="28">
      <c r="A28" s="25" t="s">
        <v>175</v>
      </c>
      <c r="B28" s="25" t="s">
        <v>130</v>
      </c>
      <c r="C28" s="25" t="s">
        <v>53</v>
      </c>
      <c r="D28" s="25" t="s">
        <v>119</v>
      </c>
      <c r="E28" s="25" t="s">
        <v>120</v>
      </c>
      <c r="F28" s="25">
        <v>17.93937</v>
      </c>
      <c r="G28" s="25">
        <v>-67.0507</v>
      </c>
      <c r="H28" s="25">
        <v>5.0</v>
      </c>
    </row>
    <row r="29">
      <c r="A29" s="25" t="s">
        <v>176</v>
      </c>
      <c r="B29" s="25" t="s">
        <v>130</v>
      </c>
      <c r="C29" s="25" t="s">
        <v>65</v>
      </c>
      <c r="D29" s="25" t="s">
        <v>119</v>
      </c>
      <c r="E29" s="25" t="s">
        <v>120</v>
      </c>
      <c r="F29" s="25">
        <v>17.93472</v>
      </c>
      <c r="G29" s="25">
        <v>-67.0485</v>
      </c>
      <c r="H29" s="25">
        <v>10.0</v>
      </c>
    </row>
    <row r="30">
      <c r="A30" s="25" t="s">
        <v>177</v>
      </c>
      <c r="B30" s="25" t="s">
        <v>163</v>
      </c>
      <c r="C30" s="25" t="s">
        <v>89</v>
      </c>
      <c r="D30" s="25" t="s">
        <v>164</v>
      </c>
      <c r="E30" s="25" t="s">
        <v>125</v>
      </c>
      <c r="F30" s="25">
        <v>18.14658</v>
      </c>
      <c r="G30" s="25">
        <v>-67.2476</v>
      </c>
      <c r="H30" s="25">
        <v>5.0</v>
      </c>
    </row>
    <row r="31">
      <c r="A31" s="25" t="s">
        <v>178</v>
      </c>
      <c r="B31" s="25" t="s">
        <v>163</v>
      </c>
      <c r="C31" s="25" t="s">
        <v>88</v>
      </c>
      <c r="D31" s="25" t="s">
        <v>164</v>
      </c>
      <c r="E31" s="25" t="s">
        <v>125</v>
      </c>
      <c r="F31" s="25">
        <v>18.14653</v>
      </c>
      <c r="G31" s="25">
        <v>-67.248</v>
      </c>
      <c r="H31" s="25">
        <v>10.0</v>
      </c>
    </row>
    <row r="32">
      <c r="A32" s="25" t="s">
        <v>179</v>
      </c>
      <c r="B32" s="25" t="s">
        <v>132</v>
      </c>
      <c r="C32" s="25" t="s">
        <v>72</v>
      </c>
      <c r="D32" s="25" t="s">
        <v>133</v>
      </c>
      <c r="E32" s="25" t="s">
        <v>134</v>
      </c>
      <c r="F32" s="25">
        <v>18.35466</v>
      </c>
      <c r="G32" s="25">
        <v>-65.5671</v>
      </c>
      <c r="H32" s="25">
        <v>20.0</v>
      </c>
    </row>
    <row r="33">
      <c r="A33" s="25" t="s">
        <v>180</v>
      </c>
      <c r="B33" s="25" t="s">
        <v>132</v>
      </c>
      <c r="C33" s="25" t="s">
        <v>77</v>
      </c>
      <c r="D33" s="25" t="s">
        <v>133</v>
      </c>
      <c r="E33" s="25" t="s">
        <v>134</v>
      </c>
      <c r="F33" s="25">
        <v>18.33537</v>
      </c>
      <c r="G33" s="25">
        <v>-65.5656</v>
      </c>
      <c r="H33" s="25">
        <v>10.0</v>
      </c>
    </row>
    <row r="34">
      <c r="A34" s="25" t="s">
        <v>181</v>
      </c>
      <c r="B34" s="25" t="s">
        <v>140</v>
      </c>
      <c r="C34" s="25" t="s">
        <v>112</v>
      </c>
      <c r="D34" s="25" t="s">
        <v>141</v>
      </c>
      <c r="E34" s="25" t="s">
        <v>142</v>
      </c>
      <c r="F34" s="25">
        <v>17.9346</v>
      </c>
      <c r="G34" s="25">
        <v>-66.3025</v>
      </c>
      <c r="H34" s="25">
        <v>5.0</v>
      </c>
    </row>
    <row r="35">
      <c r="A35" s="25" t="s">
        <v>182</v>
      </c>
      <c r="B35" s="25" t="s">
        <v>163</v>
      </c>
      <c r="C35" s="25" t="s">
        <v>92</v>
      </c>
      <c r="D35" s="25" t="s">
        <v>164</v>
      </c>
      <c r="E35" s="25" t="s">
        <v>125</v>
      </c>
      <c r="F35" s="25">
        <v>17.99116</v>
      </c>
      <c r="G35" s="25">
        <v>-67.2332</v>
      </c>
      <c r="H35" s="25">
        <v>10.0</v>
      </c>
    </row>
    <row r="36">
      <c r="A36" s="25" t="s">
        <v>183</v>
      </c>
      <c r="B36" s="25" t="s">
        <v>166</v>
      </c>
      <c r="C36" s="25" t="s">
        <v>78</v>
      </c>
      <c r="D36" s="25" t="s">
        <v>164</v>
      </c>
      <c r="E36" s="25" t="s">
        <v>125</v>
      </c>
      <c r="F36" s="25">
        <v>18.1893</v>
      </c>
      <c r="G36" s="25">
        <v>-67.1919</v>
      </c>
      <c r="H36" s="25">
        <v>5.0</v>
      </c>
    </row>
    <row r="37">
      <c r="A37" s="25" t="s">
        <v>184</v>
      </c>
      <c r="B37" s="25" t="s">
        <v>136</v>
      </c>
      <c r="C37" s="25" t="s">
        <v>74</v>
      </c>
      <c r="D37" s="25" t="s">
        <v>137</v>
      </c>
      <c r="E37" s="25" t="s">
        <v>134</v>
      </c>
      <c r="F37" s="25">
        <v>18.13869</v>
      </c>
      <c r="G37" s="25">
        <v>-65.1971</v>
      </c>
      <c r="H37" s="25">
        <v>30.0</v>
      </c>
    </row>
    <row r="38">
      <c r="A38" s="25" t="s">
        <v>185</v>
      </c>
      <c r="B38" s="25" t="s">
        <v>163</v>
      </c>
      <c r="C38" s="25" t="s">
        <v>86</v>
      </c>
      <c r="D38" s="25" t="s">
        <v>164</v>
      </c>
      <c r="E38" s="25" t="s">
        <v>125</v>
      </c>
      <c r="F38" s="25">
        <v>18.16304</v>
      </c>
      <c r="G38" s="25">
        <v>-67.2737</v>
      </c>
      <c r="H38" s="25">
        <v>10.0</v>
      </c>
    </row>
    <row r="39">
      <c r="A39" s="25" t="s">
        <v>186</v>
      </c>
      <c r="B39" s="25" t="s">
        <v>163</v>
      </c>
      <c r="C39" s="25" t="s">
        <v>84</v>
      </c>
      <c r="D39" s="25" t="s">
        <v>164</v>
      </c>
      <c r="E39" s="25" t="s">
        <v>125</v>
      </c>
      <c r="F39" s="25">
        <v>18.16517</v>
      </c>
      <c r="G39" s="25">
        <v>-67.2752</v>
      </c>
      <c r="H39" s="25">
        <v>20.0</v>
      </c>
    </row>
    <row r="40">
      <c r="A40" s="25" t="s">
        <v>187</v>
      </c>
      <c r="B40" s="25" t="s">
        <v>163</v>
      </c>
      <c r="C40" s="25" t="s">
        <v>83</v>
      </c>
      <c r="D40" s="25" t="s">
        <v>164</v>
      </c>
      <c r="E40" s="25" t="s">
        <v>125</v>
      </c>
      <c r="F40" s="25">
        <v>18.16637</v>
      </c>
      <c r="G40" s="25">
        <v>-67.2763</v>
      </c>
      <c r="H40" s="25">
        <v>30.0</v>
      </c>
    </row>
    <row r="41">
      <c r="A41" s="25" t="s">
        <v>188</v>
      </c>
      <c r="B41" s="25" t="s">
        <v>189</v>
      </c>
      <c r="C41" s="25" t="s">
        <v>190</v>
      </c>
      <c r="D41" s="25" t="s">
        <v>164</v>
      </c>
      <c r="E41" s="25" t="s">
        <v>125</v>
      </c>
      <c r="F41" s="25">
        <v>18.35072</v>
      </c>
      <c r="G41" s="25">
        <v>-67.2669</v>
      </c>
      <c r="H41" s="25">
        <v>5.0</v>
      </c>
    </row>
    <row r="42">
      <c r="A42" s="25" t="s">
        <v>191</v>
      </c>
      <c r="B42" s="25" t="s">
        <v>189</v>
      </c>
      <c r="C42" s="25" t="s">
        <v>103</v>
      </c>
      <c r="D42" s="25" t="s">
        <v>164</v>
      </c>
      <c r="E42" s="25" t="s">
        <v>125</v>
      </c>
      <c r="F42" s="25">
        <v>18.34732</v>
      </c>
      <c r="G42" s="25">
        <v>-67.27</v>
      </c>
      <c r="H42" s="25">
        <v>10.0</v>
      </c>
    </row>
    <row r="43">
      <c r="A43" s="25" t="s">
        <v>192</v>
      </c>
      <c r="B43" s="25" t="s">
        <v>189</v>
      </c>
      <c r="C43" s="25" t="s">
        <v>101</v>
      </c>
      <c r="D43" s="25" t="s">
        <v>164</v>
      </c>
      <c r="E43" s="25" t="s">
        <v>125</v>
      </c>
      <c r="F43" s="25">
        <v>18.34652</v>
      </c>
      <c r="G43" s="25">
        <v>-67.2712</v>
      </c>
      <c r="H43" s="25">
        <v>20.0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2023-08-23T21:20:35Z</dcterms:created>
</cp:coreProperties>
</file>