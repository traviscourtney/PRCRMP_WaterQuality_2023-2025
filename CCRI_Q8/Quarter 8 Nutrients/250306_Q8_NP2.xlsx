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306_Q8_NP2" sheetId="1" r:id="rId4"/>
  </sheets>
  <definedNames/>
  <calcPr/>
</workbook>
</file>

<file path=xl/sharedStrings.xml><?xml version="1.0" encoding="utf-8"?>
<sst xmlns="http://schemas.openxmlformats.org/spreadsheetml/2006/main" count="124" uniqueCount="57">
  <si>
    <t>ANAL</t>
  </si>
  <si>
    <t>NOx_PO4.ANL</t>
  </si>
  <si>
    <t>RUN</t>
  </si>
  <si>
    <t>250306_Q8_NP2.RUN</t>
  </si>
  <si>
    <t>DATE</t>
  </si>
  <si>
    <t>TIME</t>
  </si>
  <si>
    <t>NOx</t>
  </si>
  <si>
    <t>PO4</t>
  </si>
  <si>
    <t>OPER</t>
  </si>
  <si>
    <t>CLMR&amp;CVMD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</si>
  <si>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</si>
  <si>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</si>
  <si>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</si>
  <si>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</si>
  <si>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</si>
  <si>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</si>
  <si>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</si>
  <si>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</si>
  <si>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</si>
  <si>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</si>
  <si>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</si>
  <si>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</si>
  <si>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</si>
  <si>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</si>
  <si>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</si>
  <si>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</si>
  <si>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</si>
  <si>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</si>
  <si>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</si>
  <si>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</si>
  <si>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</si>
  <si>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</si>
  <si>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</si>
  <si>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</si>
  <si>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</si>
  <si>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</si>
  <si>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</si>
  <si>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</si>
  <si>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</si>
  <si>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</si>
  <si>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</si>
  <si>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</si>
  <si>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</si>
  <si>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</si>
  <si>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</si>
  <si>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</si>
  <si>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</si>
  <si>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</si>
  <si>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</si>
  <si>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</si>
  <si>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</si>
  <si>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2/3 [0.15/0.03]</t>
  </si>
  <si>
    <t>QUAL</t>
  </si>
  <si>
    <t>87 spiked</t>
  </si>
  <si>
    <t>35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</si>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</sst>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166" xfId="0" applyAlignment="1" applyBorder="1" applyFill="1" applyFont="1" applyNumberFormat="1">
      <alignment vertical="bottom"/>
    </xf>
    <xf borderId="2" fillId="2" fontId="3" numFmtId="166" xfId="0" applyAlignment="1" applyBorder="1" applyFont="1" applyNumberFormat="1">
      <alignment vertical="bottom"/>
    </xf>
    <xf borderId="3" fillId="2" fontId="3" numFmtId="166" xfId="0" applyAlignment="1" applyBorder="1" applyFont="1" applyNumberFormat="1">
      <alignment vertical="bottom"/>
    </xf>
    <xf borderId="4" fillId="2" fontId="3" numFmtId="166" xfId="0" applyAlignment="1" applyBorder="1" applyFont="1" applyNumberFormat="1">
      <alignment vertical="bottom"/>
    </xf>
    <xf borderId="5" fillId="2" fontId="3" numFmtId="167" xfId="0" applyAlignment="1" applyBorder="1" applyFont="1" applyNumberFormat="1">
      <alignment horizontal="right" vertical="bottom"/>
    </xf>
    <xf borderId="6" fillId="2" fontId="3" numFmtId="167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45722.0</v>
      </c>
    </row>
    <row r="4">
      <c r="A4" s="1" t="s">
        <v>5</v>
      </c>
      <c r="B4" s="3">
        <v>0.46412037037037035</v>
      </c>
      <c r="I4" s="4"/>
      <c r="J4" s="5" t="s">
        <v>6</v>
      </c>
      <c r="K4" s="6" t="s">
        <v>7</v>
      </c>
    </row>
    <row r="5">
      <c r="A5" s="1" t="s">
        <v>8</v>
      </c>
      <c r="B5" s="1" t="s">
        <v>9</v>
      </c>
      <c r="I5" s="7" t="s">
        <v>10</v>
      </c>
      <c r="J5" s="8">
        <f>STDEV(I50:I59)*2.821</f>
        <v>0</v>
      </c>
      <c r="K5" s="9">
        <f>STDEV(K50:K59)*2.821+AVERAGE(K50:K59)</f>
        <v>0.003</v>
      </c>
    </row>
    <row r="6">
      <c r="A6" s="1" t="s">
        <v>11</v>
      </c>
    </row>
    <row r="7">
      <c r="A7" s="1" t="s">
        <v>12</v>
      </c>
      <c r="B7" s="1">
        <v>1.0</v>
      </c>
      <c r="C7" s="1">
        <v>3.0</v>
      </c>
      <c r="D7" s="1">
        <v>2.0</v>
      </c>
    </row>
    <row r="8">
      <c r="A8" s="1" t="s">
        <v>13</v>
      </c>
      <c r="B8" s="1" t="s">
        <v>6</v>
      </c>
      <c r="C8" s="1" t="s">
        <v>7</v>
      </c>
      <c r="D8" s="1" t="s">
        <v>14</v>
      </c>
    </row>
    <row r="9">
      <c r="A9" s="1" t="s">
        <v>15</v>
      </c>
      <c r="B9" s="1" t="s">
        <v>16</v>
      </c>
      <c r="C9" s="1" t="s">
        <v>16</v>
      </c>
      <c r="D9" s="1" t="s">
        <v>16</v>
      </c>
    </row>
    <row r="10">
      <c r="A10" s="1" t="s">
        <v>17</v>
      </c>
      <c r="B10" s="1">
        <v>235.0</v>
      </c>
      <c r="C10" s="1">
        <v>5013.0</v>
      </c>
    </row>
    <row r="11">
      <c r="A11" s="1" t="s">
        <v>18</v>
      </c>
      <c r="J11" s="1">
        <v>25.0</v>
      </c>
      <c r="K11" s="1">
        <v>100.0</v>
      </c>
    </row>
    <row r="12">
      <c r="A12" s="1" t="s">
        <v>19</v>
      </c>
      <c r="B12" s="1" t="s">
        <v>20</v>
      </c>
      <c r="C12" s="1" t="s">
        <v>20</v>
      </c>
    </row>
    <row r="13">
      <c r="A13" s="1" t="s">
        <v>21</v>
      </c>
      <c r="B13" s="1">
        <v>1.0</v>
      </c>
      <c r="C13" s="1">
        <v>0.9985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29</v>
      </c>
      <c r="M14" s="1" t="s">
        <v>31</v>
      </c>
      <c r="N14" s="10" t="s">
        <v>32</v>
      </c>
      <c r="O14" s="10" t="s">
        <v>33</v>
      </c>
      <c r="P14" s="11" t="s">
        <v>34</v>
      </c>
      <c r="Q14" s="11" t="s">
        <v>35</v>
      </c>
    </row>
    <row r="15">
      <c r="A15" s="1" t="s">
        <v>36</v>
      </c>
      <c r="B15" s="1">
        <v>1.0</v>
      </c>
      <c r="C15" s="1">
        <v>921.0</v>
      </c>
      <c r="D15" s="1" t="s">
        <v>37</v>
      </c>
      <c r="E15" s="1">
        <v>0.0</v>
      </c>
      <c r="F15" s="1">
        <v>0.0</v>
      </c>
      <c r="G15" s="1">
        <v>0.0</v>
      </c>
      <c r="H15" s="12">
        <v>45722.46469907407</v>
      </c>
      <c r="I15" s="1">
        <v>0.203</v>
      </c>
      <c r="J15" s="1">
        <v>334.91</v>
      </c>
      <c r="K15" s="1">
        <v>0.202</v>
      </c>
      <c r="L15" s="1">
        <v>82.98</v>
      </c>
      <c r="M15" s="1">
        <v>1.0</v>
      </c>
      <c r="N15" s="13">
        <f t="shared" ref="N15:N64" si="1">I15</f>
        <v>0.203</v>
      </c>
      <c r="O15" s="13">
        <f t="shared" ref="O15:O64" si="2">K15</f>
        <v>0.202</v>
      </c>
      <c r="P15" s="13">
        <f t="shared" ref="P15:P64" si="3">IF(N15&lt;J$5,"&lt;0.000",N15)</f>
        <v>0.203</v>
      </c>
      <c r="Q15" s="13">
        <f t="shared" ref="Q15:Q64" si="4">IF(O15&lt;K$5,"&lt;0.003",O15)</f>
        <v>0.202</v>
      </c>
    </row>
    <row r="16">
      <c r="A16" s="1" t="s">
        <v>38</v>
      </c>
      <c r="B16" s="1">
        <v>2.0</v>
      </c>
      <c r="C16" s="1">
        <v>921.0</v>
      </c>
      <c r="D16" s="1" t="s">
        <v>39</v>
      </c>
      <c r="E16" s="1">
        <v>0.0</v>
      </c>
      <c r="F16" s="1">
        <v>0.0</v>
      </c>
      <c r="G16" s="1">
        <v>0.0</v>
      </c>
      <c r="H16" s="12">
        <v>45722.46550925926</v>
      </c>
      <c r="I16" s="1">
        <v>0.199</v>
      </c>
      <c r="J16" s="1">
        <v>327.64</v>
      </c>
      <c r="K16" s="1">
        <v>0.204</v>
      </c>
      <c r="L16" s="1">
        <v>83.41</v>
      </c>
      <c r="M16" s="1">
        <v>1.0</v>
      </c>
      <c r="N16" s="13">
        <f t="shared" si="1"/>
        <v>0.199</v>
      </c>
      <c r="O16" s="13">
        <f t="shared" si="2"/>
        <v>0.204</v>
      </c>
      <c r="P16" s="13">
        <f t="shared" si="3"/>
        <v>0.199</v>
      </c>
      <c r="Q16" s="13">
        <f t="shared" si="4"/>
        <v>0.204</v>
      </c>
    </row>
    <row r="17">
      <c r="A17" s="1">
        <v>0.2</v>
      </c>
      <c r="B17" s="1">
        <v>3.0</v>
      </c>
      <c r="C17" s="1">
        <v>921.0</v>
      </c>
      <c r="D17" s="1" t="s">
        <v>40</v>
      </c>
      <c r="E17" s="1">
        <v>0.0</v>
      </c>
      <c r="F17" s="1">
        <v>0.0</v>
      </c>
      <c r="G17" s="1">
        <v>0.0</v>
      </c>
      <c r="H17" s="12">
        <v>45722.466319444444</v>
      </c>
      <c r="I17" s="1">
        <v>0.2</v>
      </c>
      <c r="J17" s="1">
        <v>329.06</v>
      </c>
      <c r="K17" s="1">
        <v>0.204</v>
      </c>
      <c r="L17" s="1">
        <v>83.65</v>
      </c>
      <c r="M17" s="1">
        <v>1.0</v>
      </c>
      <c r="N17" s="13">
        <f t="shared" si="1"/>
        <v>0.2</v>
      </c>
      <c r="O17" s="13">
        <f t="shared" si="2"/>
        <v>0.204</v>
      </c>
      <c r="P17" s="13">
        <f t="shared" si="3"/>
        <v>0.2</v>
      </c>
      <c r="Q17" s="13">
        <f t="shared" si="4"/>
        <v>0.204</v>
      </c>
    </row>
    <row r="18">
      <c r="A18" s="1">
        <v>0.1</v>
      </c>
      <c r="B18" s="1">
        <v>4.0</v>
      </c>
      <c r="C18" s="1">
        <v>901.0</v>
      </c>
      <c r="D18" s="1" t="s">
        <v>40</v>
      </c>
      <c r="E18" s="1">
        <v>0.0</v>
      </c>
      <c r="F18" s="1">
        <v>0.0</v>
      </c>
      <c r="G18" s="1">
        <v>0.0</v>
      </c>
      <c r="H18" s="12">
        <v>45722.46712962963</v>
      </c>
      <c r="I18" s="1">
        <v>0.101</v>
      </c>
      <c r="J18" s="1">
        <v>168.96</v>
      </c>
      <c r="K18" s="1">
        <v>0.094</v>
      </c>
      <c r="L18" s="1">
        <v>38.04</v>
      </c>
      <c r="M18" s="1">
        <v>1.0</v>
      </c>
      <c r="N18" s="13">
        <f t="shared" si="1"/>
        <v>0.101</v>
      </c>
      <c r="O18" s="13">
        <f t="shared" si="2"/>
        <v>0.094</v>
      </c>
      <c r="P18" s="13">
        <f t="shared" si="3"/>
        <v>0.101</v>
      </c>
      <c r="Q18" s="13">
        <f t="shared" si="4"/>
        <v>0.094</v>
      </c>
    </row>
    <row r="19">
      <c r="A19" s="1">
        <v>0.05</v>
      </c>
      <c r="B19" s="1">
        <v>5.0</v>
      </c>
      <c r="C19" s="1">
        <v>902.0</v>
      </c>
      <c r="D19" s="1" t="s">
        <v>40</v>
      </c>
      <c r="E19" s="1">
        <v>0.0</v>
      </c>
      <c r="F19" s="1">
        <v>0.0</v>
      </c>
      <c r="G19" s="1">
        <v>0.0</v>
      </c>
      <c r="H19" s="12">
        <v>45722.467939814815</v>
      </c>
      <c r="I19" s="1">
        <v>0.051</v>
      </c>
      <c r="J19" s="1">
        <v>88.3</v>
      </c>
      <c r="K19" s="1">
        <v>0.045</v>
      </c>
      <c r="L19" s="1">
        <v>17.76</v>
      </c>
      <c r="M19" s="1">
        <v>1.0</v>
      </c>
      <c r="N19" s="13">
        <f t="shared" si="1"/>
        <v>0.051</v>
      </c>
      <c r="O19" s="13">
        <f t="shared" si="2"/>
        <v>0.045</v>
      </c>
      <c r="P19" s="13">
        <f t="shared" si="3"/>
        <v>0.051</v>
      </c>
      <c r="Q19" s="13">
        <f t="shared" si="4"/>
        <v>0.045</v>
      </c>
    </row>
    <row r="20">
      <c r="A20" s="1">
        <v>0.025</v>
      </c>
      <c r="B20" s="1">
        <v>6.0</v>
      </c>
      <c r="C20" s="1">
        <v>903.0</v>
      </c>
      <c r="D20" s="1" t="s">
        <v>40</v>
      </c>
      <c r="E20" s="1">
        <v>0.0</v>
      </c>
      <c r="F20" s="1">
        <v>0.0</v>
      </c>
      <c r="G20" s="1">
        <v>0.0</v>
      </c>
      <c r="H20" s="12">
        <v>45722.46875</v>
      </c>
      <c r="I20" s="1">
        <v>0.025</v>
      </c>
      <c r="J20" s="1">
        <v>46.83</v>
      </c>
      <c r="K20" s="1">
        <v>0.025</v>
      </c>
      <c r="L20" s="1">
        <v>9.62</v>
      </c>
      <c r="M20" s="1">
        <v>1.0</v>
      </c>
      <c r="N20" s="13">
        <f t="shared" si="1"/>
        <v>0.025</v>
      </c>
      <c r="O20" s="13">
        <f t="shared" si="2"/>
        <v>0.025</v>
      </c>
      <c r="P20" s="13">
        <f t="shared" si="3"/>
        <v>0.025</v>
      </c>
      <c r="Q20" s="13">
        <f t="shared" si="4"/>
        <v>0.025</v>
      </c>
    </row>
    <row r="21">
      <c r="A21" s="1">
        <v>0.01</v>
      </c>
      <c r="B21" s="1">
        <v>7.0</v>
      </c>
      <c r="C21" s="1">
        <v>904.0</v>
      </c>
      <c r="D21" s="1" t="s">
        <v>40</v>
      </c>
      <c r="E21" s="1">
        <v>0.0</v>
      </c>
      <c r="F21" s="1">
        <v>0.0</v>
      </c>
      <c r="G21" s="1">
        <v>0.0</v>
      </c>
      <c r="H21" s="12">
        <v>45722.469560185185</v>
      </c>
      <c r="I21" s="1">
        <v>0.01</v>
      </c>
      <c r="J21" s="1">
        <v>21.82</v>
      </c>
      <c r="K21" s="1">
        <v>0.011</v>
      </c>
      <c r="L21" s="1">
        <v>3.81</v>
      </c>
      <c r="M21" s="1">
        <v>1.0</v>
      </c>
      <c r="N21" s="13">
        <f t="shared" si="1"/>
        <v>0.01</v>
      </c>
      <c r="O21" s="13">
        <f t="shared" si="2"/>
        <v>0.011</v>
      </c>
      <c r="P21" s="13">
        <f t="shared" si="3"/>
        <v>0.01</v>
      </c>
      <c r="Q21" s="13">
        <f t="shared" si="4"/>
        <v>0.011</v>
      </c>
    </row>
    <row r="22">
      <c r="A22" s="1">
        <v>0.005</v>
      </c>
      <c r="B22" s="1">
        <v>8.0</v>
      </c>
      <c r="C22" s="1">
        <v>905.0</v>
      </c>
      <c r="D22" s="1" t="s">
        <v>40</v>
      </c>
      <c r="E22" s="1">
        <v>0.0</v>
      </c>
      <c r="F22" s="1">
        <v>0.0</v>
      </c>
      <c r="G22" s="1">
        <v>0.0</v>
      </c>
      <c r="H22" s="12">
        <v>45722.47037037037</v>
      </c>
      <c r="I22" s="1">
        <v>0.005</v>
      </c>
      <c r="J22" s="1">
        <v>15.02</v>
      </c>
      <c r="K22" s="1">
        <v>0.006</v>
      </c>
      <c r="L22" s="1">
        <v>1.78</v>
      </c>
      <c r="M22" s="1">
        <v>1.0</v>
      </c>
      <c r="N22" s="13">
        <f t="shared" si="1"/>
        <v>0.005</v>
      </c>
      <c r="O22" s="13">
        <f t="shared" si="2"/>
        <v>0.006</v>
      </c>
      <c r="P22" s="13">
        <f t="shared" si="3"/>
        <v>0.005</v>
      </c>
      <c r="Q22" s="13">
        <f t="shared" si="4"/>
        <v>0.006</v>
      </c>
    </row>
    <row r="23">
      <c r="A23" s="1" t="s">
        <v>41</v>
      </c>
      <c r="B23" s="1">
        <v>9.0</v>
      </c>
      <c r="C23" s="1">
        <v>906.0</v>
      </c>
      <c r="D23" s="1" t="s">
        <v>40</v>
      </c>
      <c r="E23" s="1">
        <v>0.0</v>
      </c>
      <c r="F23" s="1">
        <v>0.0</v>
      </c>
      <c r="G23" s="1">
        <v>0.0</v>
      </c>
      <c r="H23" s="12">
        <v>45722.471180555556</v>
      </c>
      <c r="I23" s="1">
        <v>-0.001</v>
      </c>
      <c r="J23" s="1">
        <v>5.09</v>
      </c>
      <c r="K23" s="1">
        <v>0.004</v>
      </c>
      <c r="L23" s="1">
        <v>0.62</v>
      </c>
      <c r="M23" s="1">
        <v>1.0</v>
      </c>
      <c r="N23" s="13">
        <f t="shared" si="1"/>
        <v>-0.001</v>
      </c>
      <c r="O23" s="13">
        <f t="shared" si="2"/>
        <v>0.004</v>
      </c>
      <c r="P23" s="13" t="str">
        <f t="shared" si="3"/>
        <v>&lt;0.000</v>
      </c>
      <c r="Q23" s="13">
        <f t="shared" si="4"/>
        <v>0.004</v>
      </c>
    </row>
    <row r="24">
      <c r="A24" s="1" t="s">
        <v>42</v>
      </c>
      <c r="B24" s="1">
        <v>10.0</v>
      </c>
      <c r="C24" s="1">
        <v>0.0</v>
      </c>
      <c r="D24" s="1" t="s">
        <v>43</v>
      </c>
      <c r="E24" s="1">
        <v>0.0</v>
      </c>
      <c r="F24" s="1">
        <v>0.0</v>
      </c>
      <c r="G24" s="1">
        <v>0.0</v>
      </c>
      <c r="H24" s="12">
        <v>45722.47199074074</v>
      </c>
      <c r="I24" s="1">
        <v>-0.004</v>
      </c>
      <c r="J24" s="1">
        <v>0.0</v>
      </c>
      <c r="K24" s="1">
        <v>0.002</v>
      </c>
      <c r="L24" s="1">
        <v>0.0</v>
      </c>
      <c r="M24" s="1">
        <v>1.0</v>
      </c>
      <c r="N24" s="13">
        <f t="shared" si="1"/>
        <v>-0.004</v>
      </c>
      <c r="O24" s="13">
        <f t="shared" si="2"/>
        <v>0.002</v>
      </c>
      <c r="P24" s="13" t="str">
        <f t="shared" si="3"/>
        <v>&lt;0.000</v>
      </c>
      <c r="Q24" s="13" t="str">
        <f t="shared" si="4"/>
        <v>&lt;0.003</v>
      </c>
    </row>
    <row r="25">
      <c r="A25" s="1" t="s">
        <v>44</v>
      </c>
      <c r="B25" s="1">
        <v>11.0</v>
      </c>
      <c r="C25" s="1">
        <v>921.0</v>
      </c>
      <c r="D25" s="1" t="s">
        <v>45</v>
      </c>
      <c r="E25" s="1">
        <v>0.0</v>
      </c>
      <c r="F25" s="1">
        <v>1.0</v>
      </c>
      <c r="G25" s="1">
        <v>1.0</v>
      </c>
      <c r="H25" s="12">
        <v>45722.4744212963</v>
      </c>
      <c r="I25" s="1">
        <v>0.201</v>
      </c>
      <c r="J25" s="1">
        <v>331.24</v>
      </c>
      <c r="K25" s="1">
        <v>0.203</v>
      </c>
      <c r="L25" s="1">
        <v>83.07</v>
      </c>
      <c r="M25" s="1">
        <v>1.0</v>
      </c>
      <c r="N25" s="13">
        <f t="shared" si="1"/>
        <v>0.201</v>
      </c>
      <c r="O25" s="13">
        <f t="shared" si="2"/>
        <v>0.203</v>
      </c>
      <c r="P25" s="13">
        <f t="shared" si="3"/>
        <v>0.201</v>
      </c>
      <c r="Q25" s="13">
        <f t="shared" si="4"/>
        <v>0.203</v>
      </c>
    </row>
    <row r="26">
      <c r="A26" s="1" t="s">
        <v>46</v>
      </c>
      <c r="B26" s="1">
        <v>12.0</v>
      </c>
      <c r="C26" s="1">
        <v>905.0</v>
      </c>
      <c r="D26" s="1" t="s">
        <v>47</v>
      </c>
      <c r="E26" s="1">
        <v>0.0</v>
      </c>
      <c r="F26" s="1">
        <v>1.0</v>
      </c>
      <c r="G26" s="1">
        <v>2.0</v>
      </c>
      <c r="H26" s="12">
        <v>45722.47523148148</v>
      </c>
      <c r="I26" s="1">
        <v>0.006</v>
      </c>
      <c r="J26" s="1">
        <v>15.26</v>
      </c>
      <c r="K26" s="1">
        <v>0.007</v>
      </c>
      <c r="L26" s="1">
        <v>1.88</v>
      </c>
      <c r="M26" s="1">
        <v>1.0</v>
      </c>
      <c r="N26" s="13">
        <f t="shared" si="1"/>
        <v>0.006</v>
      </c>
      <c r="O26" s="13">
        <f t="shared" si="2"/>
        <v>0.007</v>
      </c>
      <c r="P26" s="13">
        <f t="shared" si="3"/>
        <v>0.006</v>
      </c>
      <c r="Q26" s="13">
        <f t="shared" si="4"/>
        <v>0.007</v>
      </c>
    </row>
    <row r="27">
      <c r="A27" s="1" t="s">
        <v>46</v>
      </c>
      <c r="B27" s="1">
        <v>13.0</v>
      </c>
      <c r="C27" s="1">
        <v>905.0</v>
      </c>
      <c r="D27" s="1" t="s">
        <v>47</v>
      </c>
      <c r="E27" s="1">
        <v>0.0</v>
      </c>
      <c r="F27" s="1">
        <v>1.0</v>
      </c>
      <c r="G27" s="1">
        <v>3.0</v>
      </c>
      <c r="H27" s="12">
        <v>45722.47604166667</v>
      </c>
      <c r="I27" s="1">
        <v>0.006</v>
      </c>
      <c r="J27" s="1">
        <v>15.28</v>
      </c>
      <c r="K27" s="1">
        <v>0.007</v>
      </c>
      <c r="L27" s="1">
        <v>1.88</v>
      </c>
      <c r="M27" s="1">
        <v>1.0</v>
      </c>
      <c r="N27" s="13">
        <f t="shared" si="1"/>
        <v>0.006</v>
      </c>
      <c r="O27" s="13">
        <f t="shared" si="2"/>
        <v>0.007</v>
      </c>
      <c r="P27" s="13">
        <f t="shared" si="3"/>
        <v>0.006</v>
      </c>
      <c r="Q27" s="13">
        <f t="shared" si="4"/>
        <v>0.007</v>
      </c>
    </row>
    <row r="28">
      <c r="A28" s="1" t="s">
        <v>41</v>
      </c>
      <c r="B28" s="1">
        <v>14.0</v>
      </c>
      <c r="C28" s="1">
        <v>906.0</v>
      </c>
      <c r="D28" s="1" t="s">
        <v>48</v>
      </c>
      <c r="E28" s="1">
        <v>0.0</v>
      </c>
      <c r="F28" s="1">
        <v>0.0</v>
      </c>
      <c r="G28" s="1">
        <v>0.0</v>
      </c>
      <c r="H28" s="12">
        <v>45722.476851851854</v>
      </c>
      <c r="I28" s="1">
        <v>-0.001</v>
      </c>
      <c r="J28" s="1">
        <v>5.19</v>
      </c>
      <c r="K28" s="1">
        <v>0.004</v>
      </c>
      <c r="L28" s="1">
        <v>0.65</v>
      </c>
      <c r="M28" s="1">
        <v>1.0</v>
      </c>
      <c r="N28" s="13">
        <f t="shared" si="1"/>
        <v>-0.001</v>
      </c>
      <c r="O28" s="13">
        <f t="shared" si="2"/>
        <v>0.004</v>
      </c>
      <c r="P28" s="13" t="str">
        <f t="shared" si="3"/>
        <v>&lt;0.000</v>
      </c>
      <c r="Q28" s="13">
        <f t="shared" si="4"/>
        <v>0.004</v>
      </c>
    </row>
    <row r="29">
      <c r="A29" s="1" t="s">
        <v>49</v>
      </c>
      <c r="B29" s="1">
        <v>15.0</v>
      </c>
      <c r="C29" s="1">
        <v>907.0</v>
      </c>
      <c r="D29" s="1" t="s">
        <v>50</v>
      </c>
      <c r="E29" s="1">
        <v>0.0</v>
      </c>
      <c r="F29" s="1">
        <v>0.0</v>
      </c>
      <c r="G29" s="1">
        <v>1.0</v>
      </c>
      <c r="H29" s="12">
        <v>45722.47766203704</v>
      </c>
      <c r="I29" s="1">
        <v>0.151</v>
      </c>
      <c r="J29" s="1">
        <v>250.22</v>
      </c>
      <c r="K29" s="1">
        <v>0.154</v>
      </c>
      <c r="L29" s="1">
        <v>63.07</v>
      </c>
      <c r="M29" s="1">
        <v>1.0</v>
      </c>
      <c r="N29" s="13">
        <f t="shared" si="1"/>
        <v>0.151</v>
      </c>
      <c r="O29" s="13">
        <f t="shared" si="2"/>
        <v>0.154</v>
      </c>
      <c r="P29" s="13">
        <f t="shared" si="3"/>
        <v>0.151</v>
      </c>
      <c r="Q29" s="13">
        <f t="shared" si="4"/>
        <v>0.154</v>
      </c>
    </row>
    <row r="30">
      <c r="A30" s="1" t="s">
        <v>51</v>
      </c>
      <c r="B30" s="1">
        <v>16.0</v>
      </c>
      <c r="C30" s="1">
        <v>908.0</v>
      </c>
      <c r="D30" s="1" t="s">
        <v>52</v>
      </c>
      <c r="E30" s="1">
        <v>0.0</v>
      </c>
      <c r="F30" s="1">
        <v>0.0</v>
      </c>
      <c r="G30" s="1">
        <v>0.0</v>
      </c>
      <c r="H30" s="12">
        <v>45722.478472222225</v>
      </c>
      <c r="I30" s="1">
        <v>0.151</v>
      </c>
      <c r="J30" s="1">
        <v>251.29</v>
      </c>
      <c r="K30" s="1">
        <v>0.033</v>
      </c>
      <c r="L30" s="1">
        <v>12.71</v>
      </c>
      <c r="M30" s="1">
        <v>1.0</v>
      </c>
      <c r="N30" s="13">
        <f t="shared" si="1"/>
        <v>0.151</v>
      </c>
      <c r="O30" s="13">
        <f t="shared" si="2"/>
        <v>0.033</v>
      </c>
      <c r="P30" s="13">
        <f t="shared" si="3"/>
        <v>0.151</v>
      </c>
      <c r="Q30" s="13">
        <f t="shared" si="4"/>
        <v>0.033</v>
      </c>
    </row>
    <row r="31">
      <c r="A31" s="1" t="s">
        <v>42</v>
      </c>
      <c r="B31" s="1">
        <v>17.0</v>
      </c>
      <c r="C31" s="1">
        <v>0.0</v>
      </c>
      <c r="D31" s="1" t="s">
        <v>43</v>
      </c>
      <c r="E31" s="1">
        <v>0.0</v>
      </c>
      <c r="F31" s="1">
        <v>0.0</v>
      </c>
      <c r="G31" s="1">
        <v>0.0</v>
      </c>
      <c r="H31" s="12">
        <v>45722.47928240741</v>
      </c>
      <c r="I31" s="1">
        <v>-0.004</v>
      </c>
      <c r="J31" s="1">
        <v>0.0</v>
      </c>
      <c r="K31" s="1">
        <v>0.002</v>
      </c>
      <c r="L31" s="1">
        <v>0.0</v>
      </c>
      <c r="M31" s="1">
        <v>1.0</v>
      </c>
      <c r="N31" s="13">
        <f t="shared" si="1"/>
        <v>-0.004</v>
      </c>
      <c r="O31" s="13">
        <f t="shared" si="2"/>
        <v>0.002</v>
      </c>
      <c r="P31" s="13" t="str">
        <f t="shared" si="3"/>
        <v>&lt;0.000</v>
      </c>
      <c r="Q31" s="13" t="str">
        <f t="shared" si="4"/>
        <v>&lt;0.003</v>
      </c>
    </row>
    <row r="32">
      <c r="A32" s="1">
        <v>152.0</v>
      </c>
      <c r="B32" s="1">
        <v>18.0</v>
      </c>
      <c r="C32" s="1">
        <v>1.0</v>
      </c>
      <c r="D32" s="1" t="s">
        <v>48</v>
      </c>
      <c r="E32" s="1">
        <v>0.0</v>
      </c>
      <c r="F32" s="1">
        <v>0.0</v>
      </c>
      <c r="G32" s="1">
        <v>0.0</v>
      </c>
      <c r="H32" s="12">
        <v>45722.48171296297</v>
      </c>
      <c r="I32" s="1">
        <v>0.008</v>
      </c>
      <c r="J32" s="1">
        <v>19.35</v>
      </c>
      <c r="K32" s="1">
        <v>0.012</v>
      </c>
      <c r="L32" s="1">
        <v>4.02</v>
      </c>
      <c r="M32" s="1">
        <v>1.0</v>
      </c>
      <c r="N32" s="13">
        <f t="shared" si="1"/>
        <v>0.008</v>
      </c>
      <c r="O32" s="13">
        <f t="shared" si="2"/>
        <v>0.012</v>
      </c>
      <c r="P32" s="13">
        <f t="shared" si="3"/>
        <v>0.008</v>
      </c>
      <c r="Q32" s="13">
        <f t="shared" si="4"/>
        <v>0.012</v>
      </c>
    </row>
    <row r="33">
      <c r="A33" s="1">
        <v>48.0</v>
      </c>
      <c r="B33" s="1">
        <v>19.0</v>
      </c>
      <c r="C33" s="1">
        <v>2.0</v>
      </c>
      <c r="D33" s="1" t="s">
        <v>48</v>
      </c>
      <c r="E33" s="1">
        <v>0.0</v>
      </c>
      <c r="F33" s="1">
        <v>0.0</v>
      </c>
      <c r="G33" s="1">
        <v>0.0</v>
      </c>
      <c r="H33" s="12">
        <v>45722.482523148145</v>
      </c>
      <c r="I33" s="1">
        <v>0.007</v>
      </c>
      <c r="J33" s="1">
        <v>17.65</v>
      </c>
      <c r="K33" s="1">
        <v>0.016</v>
      </c>
      <c r="L33" s="1">
        <v>5.85</v>
      </c>
      <c r="M33" s="1">
        <v>1.0</v>
      </c>
      <c r="N33" s="13">
        <f t="shared" si="1"/>
        <v>0.007</v>
      </c>
      <c r="O33" s="13">
        <f t="shared" si="2"/>
        <v>0.016</v>
      </c>
      <c r="P33" s="13">
        <f t="shared" si="3"/>
        <v>0.007</v>
      </c>
      <c r="Q33" s="13">
        <f t="shared" si="4"/>
        <v>0.016</v>
      </c>
    </row>
    <row r="34">
      <c r="A34" s="1">
        <v>61.0</v>
      </c>
      <c r="B34" s="1">
        <v>20.0</v>
      </c>
      <c r="C34" s="1">
        <v>3.0</v>
      </c>
      <c r="D34" s="1" t="s">
        <v>48</v>
      </c>
      <c r="E34" s="1">
        <v>0.0</v>
      </c>
      <c r="F34" s="1">
        <v>0.0</v>
      </c>
      <c r="G34" s="1">
        <v>0.0</v>
      </c>
      <c r="H34" s="12">
        <v>45722.48333333333</v>
      </c>
      <c r="I34" s="1">
        <v>0.004</v>
      </c>
      <c r="J34" s="1">
        <v>12.76</v>
      </c>
      <c r="K34" s="1">
        <v>0.014</v>
      </c>
      <c r="L34" s="1">
        <v>4.94</v>
      </c>
      <c r="M34" s="1">
        <v>1.0</v>
      </c>
      <c r="N34" s="13">
        <f t="shared" si="1"/>
        <v>0.004</v>
      </c>
      <c r="O34" s="13">
        <f t="shared" si="2"/>
        <v>0.014</v>
      </c>
      <c r="P34" s="13">
        <f t="shared" si="3"/>
        <v>0.004</v>
      </c>
      <c r="Q34" s="13">
        <f t="shared" si="4"/>
        <v>0.014</v>
      </c>
    </row>
    <row r="35">
      <c r="A35" s="1">
        <v>204.0</v>
      </c>
      <c r="B35" s="1">
        <v>21.0</v>
      </c>
      <c r="C35" s="1">
        <v>4.0</v>
      </c>
      <c r="D35" s="1" t="s">
        <v>48</v>
      </c>
      <c r="E35" s="1">
        <v>0.0</v>
      </c>
      <c r="F35" s="1">
        <v>0.0</v>
      </c>
      <c r="G35" s="1">
        <v>0.0</v>
      </c>
      <c r="H35" s="12">
        <v>45722.484143518515</v>
      </c>
      <c r="I35" s="1">
        <v>0.009</v>
      </c>
      <c r="J35" s="1">
        <v>20.28</v>
      </c>
      <c r="K35" s="1">
        <v>0.003</v>
      </c>
      <c r="L35" s="1">
        <v>0.43</v>
      </c>
      <c r="M35" s="1">
        <v>1.0</v>
      </c>
      <c r="N35" s="13">
        <f t="shared" si="1"/>
        <v>0.009</v>
      </c>
      <c r="O35" s="13">
        <f t="shared" si="2"/>
        <v>0.003</v>
      </c>
      <c r="P35" s="13">
        <f t="shared" si="3"/>
        <v>0.009</v>
      </c>
      <c r="Q35" s="13">
        <f t="shared" si="4"/>
        <v>0.003</v>
      </c>
    </row>
    <row r="36">
      <c r="A36" s="1">
        <v>113.0</v>
      </c>
      <c r="B36" s="1">
        <v>22.0</v>
      </c>
      <c r="C36" s="1">
        <v>5.0</v>
      </c>
      <c r="D36" s="1" t="s">
        <v>48</v>
      </c>
      <c r="E36" s="1">
        <v>0.0</v>
      </c>
      <c r="F36" s="1">
        <v>0.0</v>
      </c>
      <c r="G36" s="1">
        <v>0.0</v>
      </c>
      <c r="H36" s="12">
        <v>45722.4849537037</v>
      </c>
      <c r="I36" s="1">
        <v>0.016</v>
      </c>
      <c r="J36" s="1">
        <v>32.01</v>
      </c>
      <c r="K36" s="1">
        <v>0.003</v>
      </c>
      <c r="L36" s="1">
        <v>0.33</v>
      </c>
      <c r="M36" s="1">
        <v>1.0</v>
      </c>
      <c r="N36" s="13">
        <f t="shared" si="1"/>
        <v>0.016</v>
      </c>
      <c r="O36" s="13">
        <f t="shared" si="2"/>
        <v>0.003</v>
      </c>
      <c r="P36" s="13">
        <f t="shared" si="3"/>
        <v>0.016</v>
      </c>
      <c r="Q36" s="13">
        <f t="shared" si="4"/>
        <v>0.003</v>
      </c>
    </row>
    <row r="37">
      <c r="A37" s="1">
        <v>87.0</v>
      </c>
      <c r="B37" s="1">
        <v>23.0</v>
      </c>
      <c r="C37" s="1">
        <v>6.0</v>
      </c>
      <c r="D37" s="1" t="s">
        <v>48</v>
      </c>
      <c r="E37" s="1">
        <v>0.0</v>
      </c>
      <c r="F37" s="1">
        <v>0.0</v>
      </c>
      <c r="G37" s="1">
        <v>0.0</v>
      </c>
      <c r="H37" s="12">
        <v>45722.485763888886</v>
      </c>
      <c r="I37" s="1">
        <v>0.003</v>
      </c>
      <c r="J37" s="1">
        <v>11.81</v>
      </c>
      <c r="K37" s="1">
        <v>0.011</v>
      </c>
      <c r="L37" s="1">
        <v>3.68</v>
      </c>
      <c r="M37" s="1">
        <v>1.0</v>
      </c>
      <c r="N37" s="13">
        <f t="shared" si="1"/>
        <v>0.003</v>
      </c>
      <c r="O37" s="13">
        <f t="shared" si="2"/>
        <v>0.011</v>
      </c>
      <c r="P37" s="13">
        <f t="shared" si="3"/>
        <v>0.003</v>
      </c>
      <c r="Q37" s="13">
        <f t="shared" si="4"/>
        <v>0.011</v>
      </c>
    </row>
    <row r="38">
      <c r="A38" s="1" t="s">
        <v>53</v>
      </c>
      <c r="B38" s="1">
        <v>24.0</v>
      </c>
      <c r="C38" s="1">
        <v>7.0</v>
      </c>
      <c r="D38" s="1" t="s">
        <v>50</v>
      </c>
      <c r="E38" s="1">
        <v>0.0</v>
      </c>
      <c r="F38" s="1">
        <v>0.0</v>
      </c>
      <c r="G38" s="1">
        <v>1.0</v>
      </c>
      <c r="H38" s="12">
        <v>45722.48657407407</v>
      </c>
      <c r="I38" s="1">
        <v>0.161</v>
      </c>
      <c r="J38" s="1">
        <v>265.93</v>
      </c>
      <c r="K38" s="1">
        <v>0.172</v>
      </c>
      <c r="L38" s="1">
        <v>70.46</v>
      </c>
      <c r="M38" s="1">
        <v>1.0</v>
      </c>
      <c r="N38" s="13">
        <f t="shared" si="1"/>
        <v>0.161</v>
      </c>
      <c r="O38" s="13">
        <f t="shared" si="2"/>
        <v>0.172</v>
      </c>
      <c r="P38" s="13">
        <f t="shared" si="3"/>
        <v>0.161</v>
      </c>
      <c r="Q38" s="13">
        <f t="shared" si="4"/>
        <v>0.172</v>
      </c>
    </row>
    <row r="39">
      <c r="A39" s="1" t="s">
        <v>51</v>
      </c>
      <c r="B39" s="1">
        <v>25.0</v>
      </c>
      <c r="C39" s="1">
        <v>908.0</v>
      </c>
      <c r="D39" s="1" t="s">
        <v>52</v>
      </c>
      <c r="E39" s="1">
        <v>0.0</v>
      </c>
      <c r="F39" s="1">
        <v>0.0</v>
      </c>
      <c r="G39" s="1">
        <v>0.0</v>
      </c>
      <c r="H39" s="12">
        <v>45722.48738425926</v>
      </c>
      <c r="I39" s="1">
        <v>0.151</v>
      </c>
      <c r="J39" s="1">
        <v>250.46</v>
      </c>
      <c r="K39" s="1">
        <v>0.032</v>
      </c>
      <c r="L39" s="1">
        <v>12.19</v>
      </c>
      <c r="M39" s="1">
        <v>1.0</v>
      </c>
      <c r="N39" s="13">
        <f t="shared" si="1"/>
        <v>0.151</v>
      </c>
      <c r="O39" s="13">
        <f t="shared" si="2"/>
        <v>0.032</v>
      </c>
      <c r="P39" s="13">
        <f t="shared" si="3"/>
        <v>0.151</v>
      </c>
      <c r="Q39" s="13">
        <f t="shared" si="4"/>
        <v>0.032</v>
      </c>
    </row>
    <row r="40">
      <c r="A40" s="1" t="s">
        <v>42</v>
      </c>
      <c r="B40" s="1">
        <v>26.0</v>
      </c>
      <c r="C40" s="1">
        <v>0.0</v>
      </c>
      <c r="D40" s="1" t="s">
        <v>43</v>
      </c>
      <c r="E40" s="1">
        <v>0.0</v>
      </c>
      <c r="F40" s="1">
        <v>0.0</v>
      </c>
      <c r="G40" s="1">
        <v>0.0</v>
      </c>
      <c r="H40" s="12">
        <v>45722.48819444444</v>
      </c>
      <c r="I40" s="1">
        <v>-0.004</v>
      </c>
      <c r="J40" s="1">
        <v>0.0</v>
      </c>
      <c r="K40" s="1">
        <v>0.002</v>
      </c>
      <c r="L40" s="1">
        <v>0.0</v>
      </c>
      <c r="M40" s="1">
        <v>1.0</v>
      </c>
      <c r="N40" s="13">
        <f t="shared" si="1"/>
        <v>-0.004</v>
      </c>
      <c r="O40" s="13">
        <f t="shared" si="2"/>
        <v>0.002</v>
      </c>
      <c r="P40" s="13" t="str">
        <f t="shared" si="3"/>
        <v>&lt;0.000</v>
      </c>
      <c r="Q40" s="13" t="str">
        <f t="shared" si="4"/>
        <v>&lt;0.003</v>
      </c>
    </row>
    <row r="41">
      <c r="A41" s="1">
        <v>22.0</v>
      </c>
      <c r="B41" s="1">
        <v>27.0</v>
      </c>
      <c r="C41" s="1">
        <v>8.0</v>
      </c>
      <c r="D41" s="1" t="s">
        <v>48</v>
      </c>
      <c r="E41" s="1">
        <v>0.0</v>
      </c>
      <c r="F41" s="1">
        <v>0.0</v>
      </c>
      <c r="G41" s="1">
        <v>0.0</v>
      </c>
      <c r="H41" s="12">
        <v>45722.490625</v>
      </c>
      <c r="I41" s="1">
        <v>0.003</v>
      </c>
      <c r="J41" s="1">
        <v>11.02</v>
      </c>
      <c r="K41" s="1">
        <v>0.013</v>
      </c>
      <c r="L41" s="1">
        <v>4.35</v>
      </c>
      <c r="M41" s="1">
        <v>1.0</v>
      </c>
      <c r="N41" s="13">
        <f t="shared" si="1"/>
        <v>0.003</v>
      </c>
      <c r="O41" s="13">
        <f t="shared" si="2"/>
        <v>0.013</v>
      </c>
      <c r="P41" s="13">
        <f t="shared" si="3"/>
        <v>0.003</v>
      </c>
      <c r="Q41" s="13">
        <f t="shared" si="4"/>
        <v>0.013</v>
      </c>
    </row>
    <row r="42">
      <c r="A42" s="1">
        <v>9.0</v>
      </c>
      <c r="B42" s="1">
        <v>28.0</v>
      </c>
      <c r="C42" s="1">
        <v>9.0</v>
      </c>
      <c r="D42" s="1" t="s">
        <v>48</v>
      </c>
      <c r="E42" s="1">
        <v>0.0</v>
      </c>
      <c r="F42" s="1">
        <v>0.0</v>
      </c>
      <c r="G42" s="1">
        <v>0.0</v>
      </c>
      <c r="H42" s="12">
        <v>45722.491435185184</v>
      </c>
      <c r="I42" s="1">
        <v>0.008</v>
      </c>
      <c r="J42" s="1">
        <v>19.62</v>
      </c>
      <c r="K42" s="1">
        <v>0.011</v>
      </c>
      <c r="L42" s="1">
        <v>3.83</v>
      </c>
      <c r="M42" s="1">
        <v>1.0</v>
      </c>
      <c r="N42" s="13">
        <f t="shared" si="1"/>
        <v>0.008</v>
      </c>
      <c r="O42" s="13">
        <f t="shared" si="2"/>
        <v>0.011</v>
      </c>
      <c r="P42" s="13">
        <f t="shared" si="3"/>
        <v>0.008</v>
      </c>
      <c r="Q42" s="13">
        <f t="shared" si="4"/>
        <v>0.011</v>
      </c>
    </row>
    <row r="43">
      <c r="A43" s="1">
        <v>74.0</v>
      </c>
      <c r="B43" s="1">
        <v>29.0</v>
      </c>
      <c r="C43" s="1">
        <v>10.0</v>
      </c>
      <c r="D43" s="1" t="s">
        <v>48</v>
      </c>
      <c r="E43" s="1">
        <v>0.0</v>
      </c>
      <c r="F43" s="1">
        <v>0.0</v>
      </c>
      <c r="G43" s="1">
        <v>0.0</v>
      </c>
      <c r="H43" s="12">
        <v>45722.49224537037</v>
      </c>
      <c r="I43" s="1">
        <v>0.003</v>
      </c>
      <c r="J43" s="1">
        <v>11.83</v>
      </c>
      <c r="K43" s="1">
        <v>0.02</v>
      </c>
      <c r="L43" s="1">
        <v>7.22</v>
      </c>
      <c r="M43" s="1">
        <v>1.0</v>
      </c>
      <c r="N43" s="13">
        <f t="shared" si="1"/>
        <v>0.003</v>
      </c>
      <c r="O43" s="13">
        <f t="shared" si="2"/>
        <v>0.02</v>
      </c>
      <c r="P43" s="13">
        <f t="shared" si="3"/>
        <v>0.003</v>
      </c>
      <c r="Q43" s="13">
        <f t="shared" si="4"/>
        <v>0.02</v>
      </c>
    </row>
    <row r="44">
      <c r="A44" s="1">
        <v>100.0</v>
      </c>
      <c r="B44" s="1">
        <v>30.0</v>
      </c>
      <c r="C44" s="1">
        <v>11.0</v>
      </c>
      <c r="D44" s="1" t="s">
        <v>48</v>
      </c>
      <c r="E44" s="1">
        <v>0.0</v>
      </c>
      <c r="F44" s="1">
        <v>0.0</v>
      </c>
      <c r="G44" s="1">
        <v>0.0</v>
      </c>
      <c r="H44" s="12">
        <v>45722.493055555555</v>
      </c>
      <c r="I44" s="1">
        <v>0.004</v>
      </c>
      <c r="J44" s="1">
        <v>13.1</v>
      </c>
      <c r="K44" s="1">
        <v>0.012</v>
      </c>
      <c r="L44" s="1">
        <v>4.23</v>
      </c>
      <c r="M44" s="1">
        <v>1.0</v>
      </c>
      <c r="N44" s="13">
        <f t="shared" si="1"/>
        <v>0.004</v>
      </c>
      <c r="O44" s="13">
        <f t="shared" si="2"/>
        <v>0.012</v>
      </c>
      <c r="P44" s="13">
        <f t="shared" si="3"/>
        <v>0.004</v>
      </c>
      <c r="Q44" s="13">
        <f t="shared" si="4"/>
        <v>0.012</v>
      </c>
    </row>
    <row r="45">
      <c r="A45" s="1">
        <v>139.0</v>
      </c>
      <c r="B45" s="1">
        <v>31.0</v>
      </c>
      <c r="C45" s="1">
        <v>12.0</v>
      </c>
      <c r="D45" s="1" t="s">
        <v>48</v>
      </c>
      <c r="E45" s="1">
        <v>0.0</v>
      </c>
      <c r="F45" s="1">
        <v>0.0</v>
      </c>
      <c r="G45" s="1">
        <v>0.0</v>
      </c>
      <c r="H45" s="12">
        <v>45722.49386574074</v>
      </c>
      <c r="I45" s="1">
        <v>0.004</v>
      </c>
      <c r="J45" s="1">
        <v>13.18</v>
      </c>
      <c r="K45" s="1">
        <v>0.011</v>
      </c>
      <c r="L45" s="1">
        <v>3.68</v>
      </c>
      <c r="M45" s="1">
        <v>1.0</v>
      </c>
      <c r="N45" s="13">
        <f t="shared" si="1"/>
        <v>0.004</v>
      </c>
      <c r="O45" s="13">
        <f t="shared" si="2"/>
        <v>0.011</v>
      </c>
      <c r="P45" s="13">
        <f t="shared" si="3"/>
        <v>0.004</v>
      </c>
      <c r="Q45" s="13">
        <f t="shared" si="4"/>
        <v>0.011</v>
      </c>
    </row>
    <row r="46">
      <c r="A46" s="1">
        <v>35.0</v>
      </c>
      <c r="B46" s="1">
        <v>32.0</v>
      </c>
      <c r="C46" s="1">
        <v>13.0</v>
      </c>
      <c r="D46" s="1" t="s">
        <v>48</v>
      </c>
      <c r="E46" s="1">
        <v>0.0</v>
      </c>
      <c r="F46" s="1">
        <v>0.0</v>
      </c>
      <c r="G46" s="1">
        <v>0.0</v>
      </c>
      <c r="H46" s="12">
        <v>45722.494675925926</v>
      </c>
      <c r="I46" s="1">
        <v>0.004</v>
      </c>
      <c r="J46" s="1">
        <v>12.74</v>
      </c>
      <c r="K46" s="1">
        <v>0.011</v>
      </c>
      <c r="L46" s="1">
        <v>3.58</v>
      </c>
      <c r="M46" s="1">
        <v>1.0</v>
      </c>
      <c r="N46" s="13">
        <f t="shared" si="1"/>
        <v>0.004</v>
      </c>
      <c r="O46" s="13">
        <f t="shared" si="2"/>
        <v>0.011</v>
      </c>
      <c r="P46" s="13">
        <f t="shared" si="3"/>
        <v>0.004</v>
      </c>
      <c r="Q46" s="13">
        <f t="shared" si="4"/>
        <v>0.011</v>
      </c>
    </row>
    <row r="47">
      <c r="A47" s="1" t="s">
        <v>54</v>
      </c>
      <c r="B47" s="1">
        <v>33.0</v>
      </c>
      <c r="C47" s="1">
        <v>14.0</v>
      </c>
      <c r="D47" s="1" t="s">
        <v>50</v>
      </c>
      <c r="E47" s="1">
        <v>0.0</v>
      </c>
      <c r="F47" s="1">
        <v>0.0</v>
      </c>
      <c r="G47" s="1">
        <v>1.0</v>
      </c>
      <c r="H47" s="12">
        <v>45722.49548611111</v>
      </c>
      <c r="I47" s="1">
        <v>0.163</v>
      </c>
      <c r="J47" s="1">
        <v>269.97</v>
      </c>
      <c r="K47" s="1">
        <v>0.152</v>
      </c>
      <c r="L47" s="1">
        <v>62.18</v>
      </c>
      <c r="M47" s="1">
        <v>1.0</v>
      </c>
      <c r="N47" s="13">
        <f t="shared" si="1"/>
        <v>0.163</v>
      </c>
      <c r="O47" s="13">
        <f t="shared" si="2"/>
        <v>0.152</v>
      </c>
      <c r="P47" s="13">
        <f t="shared" si="3"/>
        <v>0.163</v>
      </c>
      <c r="Q47" s="13">
        <f t="shared" si="4"/>
        <v>0.152</v>
      </c>
    </row>
    <row r="48">
      <c r="A48" s="1" t="s">
        <v>51</v>
      </c>
      <c r="B48" s="1">
        <v>34.0</v>
      </c>
      <c r="C48" s="1">
        <v>908.0</v>
      </c>
      <c r="D48" s="1" t="s">
        <v>52</v>
      </c>
      <c r="E48" s="1">
        <v>0.0</v>
      </c>
      <c r="F48" s="1">
        <v>0.0</v>
      </c>
      <c r="G48" s="1">
        <v>0.0</v>
      </c>
      <c r="H48" s="12">
        <v>45722.496296296296</v>
      </c>
      <c r="I48" s="1">
        <v>0.15</v>
      </c>
      <c r="J48" s="1">
        <v>249.18</v>
      </c>
      <c r="K48" s="1">
        <v>0.03</v>
      </c>
      <c r="L48" s="1">
        <v>11.61</v>
      </c>
      <c r="M48" s="1">
        <v>1.0</v>
      </c>
      <c r="N48" s="13">
        <f t="shared" si="1"/>
        <v>0.15</v>
      </c>
      <c r="O48" s="13">
        <f t="shared" si="2"/>
        <v>0.03</v>
      </c>
      <c r="P48" s="13">
        <f t="shared" si="3"/>
        <v>0.15</v>
      </c>
      <c r="Q48" s="13">
        <f t="shared" si="4"/>
        <v>0.03</v>
      </c>
    </row>
    <row r="49">
      <c r="A49" s="1" t="s">
        <v>42</v>
      </c>
      <c r="B49" s="1">
        <v>35.0</v>
      </c>
      <c r="C49" s="1">
        <v>0.0</v>
      </c>
      <c r="D49" s="1" t="s">
        <v>43</v>
      </c>
      <c r="E49" s="1">
        <v>0.0</v>
      </c>
      <c r="F49" s="1">
        <v>0.0</v>
      </c>
      <c r="G49" s="1">
        <v>0.0</v>
      </c>
      <c r="H49" s="12">
        <v>45722.49710648148</v>
      </c>
      <c r="I49" s="1">
        <v>-0.004</v>
      </c>
      <c r="J49" s="1">
        <v>0.0</v>
      </c>
      <c r="K49" s="1">
        <v>0.002</v>
      </c>
      <c r="L49" s="1">
        <v>0.0</v>
      </c>
      <c r="M49" s="1">
        <v>1.0</v>
      </c>
      <c r="N49" s="13">
        <f t="shared" si="1"/>
        <v>-0.004</v>
      </c>
      <c r="O49" s="13">
        <f t="shared" si="2"/>
        <v>0.002</v>
      </c>
      <c r="P49" s="13" t="str">
        <f t="shared" si="3"/>
        <v>&lt;0.000</v>
      </c>
      <c r="Q49" s="13" t="str">
        <f t="shared" si="4"/>
        <v>&lt;0.003</v>
      </c>
    </row>
    <row r="50">
      <c r="A50" s="1" t="s">
        <v>41</v>
      </c>
      <c r="B50" s="1">
        <v>36.0</v>
      </c>
      <c r="C50" s="1">
        <v>906.0</v>
      </c>
      <c r="D50" s="1" t="s">
        <v>48</v>
      </c>
      <c r="E50" s="1">
        <v>0.0</v>
      </c>
      <c r="F50" s="1">
        <v>0.0</v>
      </c>
      <c r="G50" s="1">
        <v>0.0</v>
      </c>
      <c r="H50" s="12">
        <v>45722.49953703704</v>
      </c>
      <c r="I50" s="1">
        <v>-0.001</v>
      </c>
      <c r="J50" s="1">
        <v>4.95</v>
      </c>
      <c r="K50" s="1">
        <v>0.003</v>
      </c>
      <c r="L50" s="1">
        <v>0.26</v>
      </c>
      <c r="M50" s="1">
        <v>1.0</v>
      </c>
      <c r="N50" s="13">
        <f t="shared" si="1"/>
        <v>-0.001</v>
      </c>
      <c r="O50" s="13">
        <f t="shared" si="2"/>
        <v>0.003</v>
      </c>
      <c r="P50" s="13" t="str">
        <f t="shared" si="3"/>
        <v>&lt;0.000</v>
      </c>
      <c r="Q50" s="13">
        <f t="shared" si="4"/>
        <v>0.003</v>
      </c>
    </row>
    <row r="51">
      <c r="A51" s="1" t="s">
        <v>41</v>
      </c>
      <c r="B51" s="1">
        <v>37.0</v>
      </c>
      <c r="C51" s="1">
        <v>906.0</v>
      </c>
      <c r="D51" s="1" t="s">
        <v>48</v>
      </c>
      <c r="E51" s="1">
        <v>0.0</v>
      </c>
      <c r="F51" s="1">
        <v>0.0</v>
      </c>
      <c r="G51" s="1">
        <v>0.0</v>
      </c>
      <c r="H51" s="12">
        <v>45722.50034722222</v>
      </c>
      <c r="I51" s="1">
        <v>-0.001</v>
      </c>
      <c r="J51" s="1">
        <v>4.87</v>
      </c>
      <c r="K51" s="1">
        <v>0.003</v>
      </c>
      <c r="L51" s="1">
        <v>0.26</v>
      </c>
      <c r="M51" s="1">
        <v>1.0</v>
      </c>
      <c r="N51" s="13">
        <f t="shared" si="1"/>
        <v>-0.001</v>
      </c>
      <c r="O51" s="13">
        <f t="shared" si="2"/>
        <v>0.003</v>
      </c>
      <c r="P51" s="13" t="str">
        <f t="shared" si="3"/>
        <v>&lt;0.000</v>
      </c>
      <c r="Q51" s="13">
        <f t="shared" si="4"/>
        <v>0.003</v>
      </c>
    </row>
    <row r="52">
      <c r="A52" s="1" t="s">
        <v>41</v>
      </c>
      <c r="B52" s="1">
        <v>38.0</v>
      </c>
      <c r="C52" s="1">
        <v>906.0</v>
      </c>
      <c r="D52" s="1" t="s">
        <v>48</v>
      </c>
      <c r="E52" s="1">
        <v>0.0</v>
      </c>
      <c r="F52" s="1">
        <v>0.0</v>
      </c>
      <c r="G52" s="1">
        <v>0.0</v>
      </c>
      <c r="H52" s="12">
        <v>45722.50115740741</v>
      </c>
      <c r="I52" s="1">
        <v>-0.001</v>
      </c>
      <c r="J52" s="1">
        <v>4.88</v>
      </c>
      <c r="K52" s="1">
        <v>0.003</v>
      </c>
      <c r="L52" s="1">
        <v>0.27</v>
      </c>
      <c r="M52" s="1">
        <v>1.0</v>
      </c>
      <c r="N52" s="13">
        <f t="shared" si="1"/>
        <v>-0.001</v>
      </c>
      <c r="O52" s="13">
        <f t="shared" si="2"/>
        <v>0.003</v>
      </c>
      <c r="P52" s="13" t="str">
        <f t="shared" si="3"/>
        <v>&lt;0.000</v>
      </c>
      <c r="Q52" s="13">
        <f t="shared" si="4"/>
        <v>0.003</v>
      </c>
    </row>
    <row r="53">
      <c r="A53" s="1" t="s">
        <v>41</v>
      </c>
      <c r="B53" s="1">
        <v>39.0</v>
      </c>
      <c r="C53" s="1">
        <v>906.0</v>
      </c>
      <c r="D53" s="1" t="s">
        <v>48</v>
      </c>
      <c r="E53" s="1">
        <v>0.0</v>
      </c>
      <c r="F53" s="1">
        <v>0.0</v>
      </c>
      <c r="G53" s="1">
        <v>0.0</v>
      </c>
      <c r="H53" s="12">
        <v>45722.501967592594</v>
      </c>
      <c r="I53" s="1">
        <v>-0.001</v>
      </c>
      <c r="J53" s="1">
        <v>4.82</v>
      </c>
      <c r="K53" s="1">
        <v>0.003</v>
      </c>
      <c r="L53" s="1">
        <v>0.19</v>
      </c>
      <c r="M53" s="1">
        <v>1.0</v>
      </c>
      <c r="N53" s="13">
        <f t="shared" si="1"/>
        <v>-0.001</v>
      </c>
      <c r="O53" s="13">
        <f t="shared" si="2"/>
        <v>0.003</v>
      </c>
      <c r="P53" s="13" t="str">
        <f t="shared" si="3"/>
        <v>&lt;0.000</v>
      </c>
      <c r="Q53" s="13">
        <f t="shared" si="4"/>
        <v>0.003</v>
      </c>
    </row>
    <row r="54">
      <c r="A54" s="1" t="s">
        <v>41</v>
      </c>
      <c r="B54" s="1">
        <v>40.0</v>
      </c>
      <c r="C54" s="1">
        <v>906.0</v>
      </c>
      <c r="D54" s="1" t="s">
        <v>48</v>
      </c>
      <c r="E54" s="1">
        <v>0.0</v>
      </c>
      <c r="F54" s="1">
        <v>0.0</v>
      </c>
      <c r="G54" s="1">
        <v>0.0</v>
      </c>
      <c r="H54" s="12">
        <v>45722.50277777778</v>
      </c>
      <c r="I54" s="1">
        <v>-0.001</v>
      </c>
      <c r="J54" s="1">
        <v>4.83</v>
      </c>
      <c r="K54" s="1">
        <v>0.003</v>
      </c>
      <c r="L54" s="1">
        <v>0.24</v>
      </c>
      <c r="M54" s="1">
        <v>1.0</v>
      </c>
      <c r="N54" s="13">
        <f t="shared" si="1"/>
        <v>-0.001</v>
      </c>
      <c r="O54" s="13">
        <f t="shared" si="2"/>
        <v>0.003</v>
      </c>
      <c r="P54" s="13" t="str">
        <f t="shared" si="3"/>
        <v>&lt;0.000</v>
      </c>
      <c r="Q54" s="13">
        <f t="shared" si="4"/>
        <v>0.003</v>
      </c>
    </row>
    <row r="55">
      <c r="A55" s="1" t="s">
        <v>41</v>
      </c>
      <c r="B55" s="1">
        <v>41.0</v>
      </c>
      <c r="C55" s="1">
        <v>906.0</v>
      </c>
      <c r="D55" s="1" t="s">
        <v>48</v>
      </c>
      <c r="E55" s="1">
        <v>0.0</v>
      </c>
      <c r="F55" s="1">
        <v>0.0</v>
      </c>
      <c r="G55" s="1">
        <v>0.0</v>
      </c>
      <c r="H55" s="12">
        <v>45722.503587962965</v>
      </c>
      <c r="I55" s="1">
        <v>-0.001</v>
      </c>
      <c r="J55" s="1">
        <v>4.81</v>
      </c>
      <c r="K55" s="1">
        <v>0.003</v>
      </c>
      <c r="L55" s="1">
        <v>0.49</v>
      </c>
      <c r="M55" s="1">
        <v>1.0</v>
      </c>
      <c r="N55" s="13">
        <f t="shared" si="1"/>
        <v>-0.001</v>
      </c>
      <c r="O55" s="13">
        <f t="shared" si="2"/>
        <v>0.003</v>
      </c>
      <c r="P55" s="13" t="str">
        <f t="shared" si="3"/>
        <v>&lt;0.000</v>
      </c>
      <c r="Q55" s="13">
        <f t="shared" si="4"/>
        <v>0.003</v>
      </c>
    </row>
    <row r="56">
      <c r="A56" s="1" t="s">
        <v>41</v>
      </c>
      <c r="B56" s="1">
        <v>42.0</v>
      </c>
      <c r="C56" s="1">
        <v>906.0</v>
      </c>
      <c r="D56" s="1" t="s">
        <v>48</v>
      </c>
      <c r="E56" s="1">
        <v>0.0</v>
      </c>
      <c r="F56" s="1">
        <v>0.0</v>
      </c>
      <c r="G56" s="1">
        <v>0.0</v>
      </c>
      <c r="H56" s="12">
        <v>45722.50439814815</v>
      </c>
      <c r="I56" s="1">
        <v>-0.001</v>
      </c>
      <c r="J56" s="1">
        <v>4.83</v>
      </c>
      <c r="K56" s="1">
        <v>0.003</v>
      </c>
      <c r="L56" s="1">
        <v>0.21</v>
      </c>
      <c r="M56" s="1">
        <v>1.0</v>
      </c>
      <c r="N56" s="13">
        <f t="shared" si="1"/>
        <v>-0.001</v>
      </c>
      <c r="O56" s="13">
        <f t="shared" si="2"/>
        <v>0.003</v>
      </c>
      <c r="P56" s="13" t="str">
        <f t="shared" si="3"/>
        <v>&lt;0.000</v>
      </c>
      <c r="Q56" s="13">
        <f t="shared" si="4"/>
        <v>0.003</v>
      </c>
    </row>
    <row r="57">
      <c r="A57" s="1" t="s">
        <v>41</v>
      </c>
      <c r="B57" s="1">
        <v>43.0</v>
      </c>
      <c r="C57" s="1">
        <v>906.0</v>
      </c>
      <c r="D57" s="1" t="s">
        <v>48</v>
      </c>
      <c r="E57" s="1">
        <v>0.0</v>
      </c>
      <c r="F57" s="1">
        <v>0.0</v>
      </c>
      <c r="G57" s="1">
        <v>0.0</v>
      </c>
      <c r="H57" s="12">
        <v>45722.505208333336</v>
      </c>
      <c r="I57" s="1">
        <v>-0.001</v>
      </c>
      <c r="J57" s="1">
        <v>4.85</v>
      </c>
      <c r="K57" s="1">
        <v>0.003</v>
      </c>
      <c r="L57" s="1">
        <v>0.27</v>
      </c>
      <c r="M57" s="1">
        <v>1.0</v>
      </c>
      <c r="N57" s="13">
        <f t="shared" si="1"/>
        <v>-0.001</v>
      </c>
      <c r="O57" s="13">
        <f t="shared" si="2"/>
        <v>0.003</v>
      </c>
      <c r="P57" s="13" t="str">
        <f t="shared" si="3"/>
        <v>&lt;0.000</v>
      </c>
      <c r="Q57" s="13">
        <f t="shared" si="4"/>
        <v>0.003</v>
      </c>
    </row>
    <row r="58">
      <c r="A58" s="1" t="s">
        <v>41</v>
      </c>
      <c r="B58" s="1">
        <v>44.0</v>
      </c>
      <c r="C58" s="1">
        <v>906.0</v>
      </c>
      <c r="D58" s="1" t="s">
        <v>48</v>
      </c>
      <c r="E58" s="1">
        <v>0.0</v>
      </c>
      <c r="F58" s="1">
        <v>0.0</v>
      </c>
      <c r="G58" s="1">
        <v>0.0</v>
      </c>
      <c r="H58" s="12">
        <v>45722.50601851852</v>
      </c>
      <c r="I58" s="1">
        <v>-0.001</v>
      </c>
      <c r="J58" s="1">
        <v>4.77</v>
      </c>
      <c r="K58" s="1">
        <v>0.003</v>
      </c>
      <c r="L58" s="1">
        <v>0.28</v>
      </c>
      <c r="M58" s="1">
        <v>1.0</v>
      </c>
      <c r="N58" s="13">
        <f t="shared" si="1"/>
        <v>-0.001</v>
      </c>
      <c r="O58" s="13">
        <f t="shared" si="2"/>
        <v>0.003</v>
      </c>
      <c r="P58" s="13" t="str">
        <f t="shared" si="3"/>
        <v>&lt;0.000</v>
      </c>
      <c r="Q58" s="13">
        <f t="shared" si="4"/>
        <v>0.003</v>
      </c>
    </row>
    <row r="59">
      <c r="A59" s="1" t="s">
        <v>41</v>
      </c>
      <c r="B59" s="1">
        <v>45.0</v>
      </c>
      <c r="C59" s="1">
        <v>906.0</v>
      </c>
      <c r="D59" s="1" t="s">
        <v>48</v>
      </c>
      <c r="E59" s="1">
        <v>0.0</v>
      </c>
      <c r="F59" s="1">
        <v>0.0</v>
      </c>
      <c r="G59" s="1">
        <v>0.0</v>
      </c>
      <c r="H59" s="12">
        <v>45722.50682870371</v>
      </c>
      <c r="I59" s="1">
        <v>-0.001</v>
      </c>
      <c r="J59" s="1">
        <v>4.79</v>
      </c>
      <c r="K59" s="1">
        <v>0.003</v>
      </c>
      <c r="L59" s="1">
        <v>0.27</v>
      </c>
      <c r="M59" s="1">
        <v>1.0</v>
      </c>
      <c r="N59" s="13">
        <f t="shared" si="1"/>
        <v>-0.001</v>
      </c>
      <c r="O59" s="13">
        <f t="shared" si="2"/>
        <v>0.003</v>
      </c>
      <c r="P59" s="13" t="str">
        <f t="shared" si="3"/>
        <v>&lt;0.000</v>
      </c>
      <c r="Q59" s="13">
        <f t="shared" si="4"/>
        <v>0.003</v>
      </c>
    </row>
    <row r="60">
      <c r="A60" s="1" t="s">
        <v>49</v>
      </c>
      <c r="B60" s="1">
        <v>46.0</v>
      </c>
      <c r="C60" s="1">
        <v>907.0</v>
      </c>
      <c r="D60" s="1" t="s">
        <v>50</v>
      </c>
      <c r="E60" s="1">
        <v>0.0</v>
      </c>
      <c r="F60" s="1">
        <v>0.0</v>
      </c>
      <c r="G60" s="1">
        <v>1.0</v>
      </c>
      <c r="H60" s="12">
        <v>45722.50763888889</v>
      </c>
      <c r="I60" s="1">
        <v>0.148</v>
      </c>
      <c r="J60" s="1">
        <v>245.69</v>
      </c>
      <c r="K60" s="1">
        <v>0.152</v>
      </c>
      <c r="L60" s="1">
        <v>62.07</v>
      </c>
      <c r="M60" s="1">
        <v>1.0</v>
      </c>
      <c r="N60" s="13">
        <f t="shared" si="1"/>
        <v>0.148</v>
      </c>
      <c r="O60" s="13">
        <f t="shared" si="2"/>
        <v>0.152</v>
      </c>
      <c r="P60" s="13">
        <f t="shared" si="3"/>
        <v>0.148</v>
      </c>
      <c r="Q60" s="13">
        <f t="shared" si="4"/>
        <v>0.152</v>
      </c>
    </row>
    <row r="61">
      <c r="A61" s="1" t="s">
        <v>51</v>
      </c>
      <c r="B61" s="1">
        <v>47.0</v>
      </c>
      <c r="C61" s="1">
        <v>908.0</v>
      </c>
      <c r="D61" s="1" t="s">
        <v>52</v>
      </c>
      <c r="E61" s="1">
        <v>0.0</v>
      </c>
      <c r="F61" s="1">
        <v>0.0</v>
      </c>
      <c r="G61" s="1">
        <v>0.0</v>
      </c>
      <c r="H61" s="12">
        <v>45722.50844907408</v>
      </c>
      <c r="I61" s="1">
        <v>0.15</v>
      </c>
      <c r="J61" s="1">
        <v>248.26</v>
      </c>
      <c r="K61" s="1">
        <v>0.033</v>
      </c>
      <c r="L61" s="1">
        <v>12.65</v>
      </c>
      <c r="M61" s="1">
        <v>1.0</v>
      </c>
      <c r="N61" s="13">
        <f t="shared" si="1"/>
        <v>0.15</v>
      </c>
      <c r="O61" s="13">
        <f t="shared" si="2"/>
        <v>0.033</v>
      </c>
      <c r="P61" s="13">
        <f t="shared" si="3"/>
        <v>0.15</v>
      </c>
      <c r="Q61" s="13">
        <f t="shared" si="4"/>
        <v>0.033</v>
      </c>
    </row>
    <row r="62">
      <c r="A62" s="1" t="s">
        <v>42</v>
      </c>
      <c r="B62" s="1">
        <v>48.0</v>
      </c>
      <c r="C62" s="1">
        <v>0.0</v>
      </c>
      <c r="D62" s="1" t="s">
        <v>43</v>
      </c>
      <c r="E62" s="1">
        <v>0.0</v>
      </c>
      <c r="F62" s="1">
        <v>0.0</v>
      </c>
      <c r="G62" s="1">
        <v>0.0</v>
      </c>
      <c r="H62" s="12">
        <v>45722.50925925926</v>
      </c>
      <c r="I62" s="1">
        <v>-0.004</v>
      </c>
      <c r="J62" s="1">
        <v>0.0</v>
      </c>
      <c r="K62" s="1">
        <v>0.002</v>
      </c>
      <c r="L62" s="1">
        <v>0.0</v>
      </c>
      <c r="M62" s="1">
        <v>1.0</v>
      </c>
      <c r="N62" s="13">
        <f t="shared" si="1"/>
        <v>-0.004</v>
      </c>
      <c r="O62" s="13">
        <f t="shared" si="2"/>
        <v>0.002</v>
      </c>
      <c r="P62" s="13" t="str">
        <f t="shared" si="3"/>
        <v>&lt;0.000</v>
      </c>
      <c r="Q62" s="13" t="str">
        <f t="shared" si="4"/>
        <v>&lt;0.003</v>
      </c>
    </row>
    <row r="63">
      <c r="A63" s="1" t="s">
        <v>38</v>
      </c>
      <c r="B63" s="1">
        <v>49.0</v>
      </c>
      <c r="C63" s="1">
        <v>921.0</v>
      </c>
      <c r="D63" s="1" t="s">
        <v>39</v>
      </c>
      <c r="E63" s="1">
        <v>0.0</v>
      </c>
      <c r="F63" s="1">
        <v>0.0</v>
      </c>
      <c r="G63" s="1">
        <v>0.0</v>
      </c>
      <c r="H63" s="12">
        <v>45722.51168981481</v>
      </c>
      <c r="I63" s="1">
        <v>0.199</v>
      </c>
      <c r="J63" s="1">
        <v>327.64</v>
      </c>
      <c r="K63" s="1">
        <v>0.204</v>
      </c>
      <c r="L63" s="1">
        <v>83.41</v>
      </c>
      <c r="M63" s="1">
        <v>1.0</v>
      </c>
      <c r="N63" s="13">
        <f t="shared" si="1"/>
        <v>0.199</v>
      </c>
      <c r="O63" s="13">
        <f t="shared" si="2"/>
        <v>0.204</v>
      </c>
      <c r="P63" s="13">
        <f t="shared" si="3"/>
        <v>0.199</v>
      </c>
      <c r="Q63" s="13">
        <f t="shared" si="4"/>
        <v>0.204</v>
      </c>
    </row>
    <row r="64">
      <c r="A64" s="1" t="s">
        <v>55</v>
      </c>
      <c r="B64" s="1">
        <v>50.0</v>
      </c>
      <c r="C64" s="1">
        <v>0.0</v>
      </c>
      <c r="D64" s="1" t="s">
        <v>56</v>
      </c>
      <c r="E64" s="1">
        <v>0.0</v>
      </c>
      <c r="F64" s="1">
        <v>0.0</v>
      </c>
      <c r="G64" s="1">
        <v>0.0</v>
      </c>
      <c r="H64" s="12">
        <v>45722.5125</v>
      </c>
      <c r="I64" s="1">
        <v>-0.004</v>
      </c>
      <c r="J64" s="1">
        <v>0.0</v>
      </c>
      <c r="K64" s="1">
        <v>0.002</v>
      </c>
      <c r="L64" s="1">
        <v>0.0</v>
      </c>
      <c r="M64" s="1">
        <v>1.0</v>
      </c>
      <c r="N64" s="13">
        <f t="shared" si="1"/>
        <v>-0.004</v>
      </c>
      <c r="O64" s="13">
        <f t="shared" si="2"/>
        <v>0.002</v>
      </c>
      <c r="P64" s="13" t="str">
        <f t="shared" si="3"/>
        <v>&lt;0.000</v>
      </c>
      <c r="Q64" s="13" t="str">
        <f t="shared" si="4"/>
        <v>&lt;0.003</v>
      </c>
    </row>
  </sheetData>
  <drawing r:id="rId1"/>
</worksheet>
</file>