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0925_Q6_TKN3" sheetId="1" r:id="rId4"/>
  </sheets>
  <definedNames/>
  <calcPr/>
</workbook>
</file>

<file path=xl/sharedStrings.xml><?xml version="1.0" encoding="utf-8"?>
<sst xmlns="http://schemas.openxmlformats.org/spreadsheetml/2006/main" count="127" uniqueCount="55">
  <si>
    <t>ANAL</t>
  </si>
  <si>
    <t>TKN.ANL</t>
  </si>
  <si>
    <t>RUN</t>
  </si>
  <si>
    <t>240925_Q6_TKN3.RUN</t>
  </si>
  <si>
    <t>DATE</t>
  </si>
  <si>
    <t>TKN</t>
  </si>
  <si>
    <t>TIME</t>
  </si>
  <si>
    <t>LOD</t>
  </si>
  <si>
    <t>OPER</t>
  </si>
  <si>
    <t>CLMR</t>
  </si>
  <si>
    <t>COMM</t>
  </si>
  <si>
    <t>2nd Batch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</si>
  <si>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</si>
  <si>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</si>
  <si>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</si>
  <si>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</si>
  <si>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</si>
  <si>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</si>
  <si>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</si>
  <si>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</si>
  <si>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</si>
  <si>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</si>
  <si>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</si>
  <si>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</si>
  <si>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</si>
  <si>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</si>
  <si>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</si>
  <si>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</si>
  <si>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</si>
  <si>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</si>
  <si>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</si>
  <si>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</si>
  <si>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</si>
  <si>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</si>
  <si>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</si>
  <si>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</si>
  <si>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</si>
  <si>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</si>
  <si>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Blank</t>
  </si>
  <si>
    <t>Baseline</t>
  </si>
  <si>
    <t>BASL</t>
  </si>
  <si>
    <t>High</t>
  </si>
  <si>
    <t>HIGH</t>
  </si>
  <si>
    <t>Low</t>
  </si>
  <si>
    <t>LOW</t>
  </si>
  <si>
    <t>SAMP</t>
  </si>
  <si>
    <t>Blank Spike</t>
  </si>
  <si>
    <t>SPIK</t>
  </si>
  <si>
    <t>CRM 9/24 [1.5 mg/L]</t>
  </si>
  <si>
    <t>QUAL</t>
  </si>
  <si>
    <t>387 spiked</t>
  </si>
  <si>
    <t>582 spiked</t>
  </si>
  <si>
    <t>Blank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</si>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</sst>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000000000000"/>
    <numFmt numFmtId="166" formatCode="h:mm:ss am/pm"/>
    <numFmt numFmtId="167" formatCode="0.000"/>
    <numFmt numFmtId="168" formatCode="m/d/yyyy h:mm:ss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9C5700"/>
      <name val="Arial"/>
    </font>
    <font>
      <sz val="11.0"/>
      <color rgb="FF9C5700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165" xfId="0" applyAlignment="1" applyBorder="1" applyFill="1" applyFont="1" applyNumberFormat="1">
      <alignment vertical="bottom"/>
    </xf>
    <xf borderId="2" fillId="2" fontId="3" numFmtId="165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readingOrder="0"/>
    </xf>
    <xf borderId="3" fillId="2" fontId="4" numFmtId="165" xfId="0" applyAlignment="1" applyBorder="1" applyFont="1" applyNumberFormat="1">
      <alignment horizontal="center" vertical="bottom"/>
    </xf>
    <xf borderId="4" fillId="2" fontId="4" numFmtId="167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45560.0</v>
      </c>
      <c r="F3" s="3"/>
      <c r="G3" s="4" t="s">
        <v>5</v>
      </c>
    </row>
    <row r="4">
      <c r="A4" s="1" t="s">
        <v>6</v>
      </c>
      <c r="B4" s="5">
        <v>0.5371412037037037</v>
      </c>
      <c r="F4" s="6" t="s">
        <v>7</v>
      </c>
      <c r="G4" s="7">
        <f>STDEV(I60:I69)*2.821+AVERAGE(I60:I69)</f>
        <v>0.03841637433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>
        <v>1.0</v>
      </c>
      <c r="C7" s="1">
        <v>2.0</v>
      </c>
    </row>
    <row r="8">
      <c r="A8" s="1" t="s">
        <v>13</v>
      </c>
      <c r="B8" s="1" t="s">
        <v>5</v>
      </c>
      <c r="C8" s="1" t="s">
        <v>14</v>
      </c>
    </row>
    <row r="9">
      <c r="A9" s="1" t="s">
        <v>15</v>
      </c>
      <c r="B9" s="1" t="s">
        <v>16</v>
      </c>
      <c r="C9" s="1" t="s">
        <v>16</v>
      </c>
    </row>
    <row r="10">
      <c r="A10" s="1" t="s">
        <v>17</v>
      </c>
      <c r="B10" s="1">
        <v>-2595.0</v>
      </c>
    </row>
    <row r="11">
      <c r="A11" s="1" t="s">
        <v>18</v>
      </c>
      <c r="J11" s="1">
        <v>69.0</v>
      </c>
    </row>
    <row r="12">
      <c r="A12" s="1" t="s">
        <v>19</v>
      </c>
      <c r="B12" s="1" t="s">
        <v>20</v>
      </c>
    </row>
    <row r="13">
      <c r="A13" s="1" t="s">
        <v>21</v>
      </c>
      <c r="B13" s="1">
        <v>0.9984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8" t="s">
        <v>31</v>
      </c>
      <c r="M14" s="9" t="s">
        <v>32</v>
      </c>
    </row>
    <row r="15">
      <c r="A15" s="1" t="s">
        <v>33</v>
      </c>
      <c r="B15" s="1">
        <v>1.0</v>
      </c>
      <c r="C15" s="1">
        <v>921.0</v>
      </c>
      <c r="D15" s="1" t="s">
        <v>34</v>
      </c>
      <c r="E15" s="1">
        <v>0.0</v>
      </c>
      <c r="F15" s="1">
        <v>0.0</v>
      </c>
      <c r="G15" s="1">
        <v>0.0</v>
      </c>
      <c r="H15" s="10">
        <v>45560.53769675926</v>
      </c>
      <c r="I15" s="1">
        <v>2.293</v>
      </c>
      <c r="J15" s="1">
        <v>114.65</v>
      </c>
      <c r="K15" s="1">
        <v>1.0</v>
      </c>
      <c r="L15" s="11">
        <f t="shared" ref="L15:L74" si="1">I15</f>
        <v>2.293</v>
      </c>
      <c r="M15" s="11">
        <f t="shared" ref="M15:M74" si="2">IF(L15&gt;G$4,L15,"&lt;0.038")</f>
        <v>2.293</v>
      </c>
    </row>
    <row r="16">
      <c r="A16" s="1" t="s">
        <v>35</v>
      </c>
      <c r="B16" s="1">
        <v>2.0</v>
      </c>
      <c r="C16" s="1">
        <v>921.0</v>
      </c>
      <c r="D16" s="1" t="s">
        <v>36</v>
      </c>
      <c r="E16" s="1">
        <v>0.0</v>
      </c>
      <c r="F16" s="1">
        <v>0.0</v>
      </c>
      <c r="G16" s="1">
        <v>0.0</v>
      </c>
      <c r="H16" s="10">
        <v>45560.538622685184</v>
      </c>
      <c r="I16" s="1">
        <v>2.275</v>
      </c>
      <c r="J16" s="1">
        <v>113.71</v>
      </c>
      <c r="K16" s="1">
        <v>1.0</v>
      </c>
      <c r="L16" s="11">
        <f t="shared" si="1"/>
        <v>2.275</v>
      </c>
      <c r="M16" s="11">
        <f t="shared" si="2"/>
        <v>2.275</v>
      </c>
    </row>
    <row r="17">
      <c r="A17" s="1">
        <v>2.22</v>
      </c>
      <c r="B17" s="1">
        <v>3.0</v>
      </c>
      <c r="C17" s="1">
        <v>921.0</v>
      </c>
      <c r="D17" s="1" t="s">
        <v>37</v>
      </c>
      <c r="E17" s="1">
        <v>0.0</v>
      </c>
      <c r="F17" s="1">
        <v>0.0</v>
      </c>
      <c r="G17" s="1">
        <v>0.0</v>
      </c>
      <c r="H17" s="10">
        <v>45560.53954861111</v>
      </c>
      <c r="I17" s="1">
        <v>2.276</v>
      </c>
      <c r="J17" s="1">
        <v>113.76</v>
      </c>
      <c r="K17" s="1">
        <v>1.0</v>
      </c>
      <c r="L17" s="11">
        <f t="shared" si="1"/>
        <v>2.276</v>
      </c>
      <c r="M17" s="11">
        <f t="shared" si="2"/>
        <v>2.276</v>
      </c>
    </row>
    <row r="18">
      <c r="A18" s="1">
        <v>1.66</v>
      </c>
      <c r="B18" s="1">
        <v>4.0</v>
      </c>
      <c r="C18" s="1">
        <v>901.0</v>
      </c>
      <c r="D18" s="1" t="s">
        <v>37</v>
      </c>
      <c r="E18" s="1">
        <v>0.0</v>
      </c>
      <c r="F18" s="1">
        <v>0.0</v>
      </c>
      <c r="G18" s="1">
        <v>0.0</v>
      </c>
      <c r="H18" s="10">
        <v>45560.54047453704</v>
      </c>
      <c r="I18" s="1">
        <v>1.578</v>
      </c>
      <c r="J18" s="1">
        <v>76.98</v>
      </c>
      <c r="K18" s="1">
        <v>1.0</v>
      </c>
      <c r="L18" s="11">
        <f t="shared" si="1"/>
        <v>1.578</v>
      </c>
      <c r="M18" s="11">
        <f t="shared" si="2"/>
        <v>1.578</v>
      </c>
    </row>
    <row r="19">
      <c r="A19" s="1">
        <v>1.11</v>
      </c>
      <c r="B19" s="1">
        <v>5.0</v>
      </c>
      <c r="C19" s="1">
        <v>902.0</v>
      </c>
      <c r="D19" s="1" t="s">
        <v>37</v>
      </c>
      <c r="E19" s="1">
        <v>0.0</v>
      </c>
      <c r="F19" s="1">
        <v>0.0</v>
      </c>
      <c r="G19" s="1">
        <v>0.0</v>
      </c>
      <c r="H19" s="10">
        <v>45560.541400462964</v>
      </c>
      <c r="I19" s="1">
        <v>1.128</v>
      </c>
      <c r="J19" s="1">
        <v>53.26</v>
      </c>
      <c r="K19" s="1">
        <v>1.0</v>
      </c>
      <c r="L19" s="11">
        <f t="shared" si="1"/>
        <v>1.128</v>
      </c>
      <c r="M19" s="11">
        <f t="shared" si="2"/>
        <v>1.128</v>
      </c>
    </row>
    <row r="20">
      <c r="A20" s="1">
        <v>0.55</v>
      </c>
      <c r="B20" s="1">
        <v>6.0</v>
      </c>
      <c r="C20" s="1">
        <v>903.0</v>
      </c>
      <c r="D20" s="1" t="s">
        <v>37</v>
      </c>
      <c r="E20" s="1">
        <v>0.0</v>
      </c>
      <c r="F20" s="1">
        <v>0.0</v>
      </c>
      <c r="G20" s="1">
        <v>0.0</v>
      </c>
      <c r="H20" s="10">
        <v>45560.54232638889</v>
      </c>
      <c r="I20" s="1">
        <v>0.523</v>
      </c>
      <c r="J20" s="1">
        <v>21.39</v>
      </c>
      <c r="K20" s="1">
        <v>1.0</v>
      </c>
      <c r="L20" s="11">
        <f t="shared" si="1"/>
        <v>0.523</v>
      </c>
      <c r="M20" s="11">
        <f t="shared" si="2"/>
        <v>0.523</v>
      </c>
    </row>
    <row r="21">
      <c r="A21" s="1">
        <v>0.22</v>
      </c>
      <c r="B21" s="1">
        <v>7.0</v>
      </c>
      <c r="C21" s="1">
        <v>904.0</v>
      </c>
      <c r="D21" s="1" t="s">
        <v>37</v>
      </c>
      <c r="E21" s="1">
        <v>0.0</v>
      </c>
      <c r="F21" s="1">
        <v>0.0</v>
      </c>
      <c r="G21" s="1">
        <v>0.0</v>
      </c>
      <c r="H21" s="10">
        <v>45560.54325231481</v>
      </c>
      <c r="I21" s="1">
        <v>0.251</v>
      </c>
      <c r="J21" s="1">
        <v>7.11</v>
      </c>
      <c r="K21" s="1">
        <v>1.0</v>
      </c>
      <c r="L21" s="11">
        <f t="shared" si="1"/>
        <v>0.251</v>
      </c>
      <c r="M21" s="11">
        <f t="shared" si="2"/>
        <v>0.251</v>
      </c>
    </row>
    <row r="22">
      <c r="A22" s="1" t="s">
        <v>38</v>
      </c>
      <c r="B22" s="1">
        <v>8.0</v>
      </c>
      <c r="C22" s="1">
        <v>905.0</v>
      </c>
      <c r="D22" s="1" t="s">
        <v>37</v>
      </c>
      <c r="E22" s="1">
        <v>0.0</v>
      </c>
      <c r="F22" s="1">
        <v>0.0</v>
      </c>
      <c r="G22" s="1">
        <v>0.0</v>
      </c>
      <c r="H22" s="10">
        <v>45560.54417824074</v>
      </c>
      <c r="I22" s="1">
        <v>0.004</v>
      </c>
      <c r="J22" s="1">
        <v>-5.9</v>
      </c>
      <c r="K22" s="1">
        <v>1.0</v>
      </c>
      <c r="L22" s="11">
        <f t="shared" si="1"/>
        <v>0.004</v>
      </c>
      <c r="M22" s="11" t="str">
        <f t="shared" si="2"/>
        <v>&lt;0.038</v>
      </c>
    </row>
    <row r="23">
      <c r="A23" s="1" t="s">
        <v>39</v>
      </c>
      <c r="B23" s="1">
        <v>9.0</v>
      </c>
      <c r="C23" s="1">
        <v>0.0</v>
      </c>
      <c r="D23" s="1" t="s">
        <v>40</v>
      </c>
      <c r="E23" s="1">
        <v>0.0</v>
      </c>
      <c r="F23" s="1">
        <v>0.0</v>
      </c>
      <c r="G23" s="1">
        <v>0.0</v>
      </c>
      <c r="H23" s="10">
        <v>45560.54510416667</v>
      </c>
      <c r="I23" s="1">
        <v>0.116</v>
      </c>
      <c r="J23" s="1">
        <v>0.0</v>
      </c>
      <c r="K23" s="1">
        <v>1.0</v>
      </c>
      <c r="L23" s="11">
        <f t="shared" si="1"/>
        <v>0.116</v>
      </c>
      <c r="M23" s="11">
        <f t="shared" si="2"/>
        <v>0.116</v>
      </c>
    </row>
    <row r="24">
      <c r="A24" s="1" t="s">
        <v>41</v>
      </c>
      <c r="B24" s="1">
        <v>10.0</v>
      </c>
      <c r="C24" s="1">
        <v>921.0</v>
      </c>
      <c r="D24" s="1" t="s">
        <v>42</v>
      </c>
      <c r="E24" s="1">
        <v>0.0</v>
      </c>
      <c r="F24" s="1">
        <v>1.0</v>
      </c>
      <c r="G24" s="1">
        <v>1.0</v>
      </c>
      <c r="H24" s="10">
        <v>45560.54788194445</v>
      </c>
      <c r="I24" s="1">
        <v>2.273</v>
      </c>
      <c r="J24" s="1">
        <v>113.58</v>
      </c>
      <c r="K24" s="1">
        <v>1.0</v>
      </c>
      <c r="L24" s="11">
        <f t="shared" si="1"/>
        <v>2.273</v>
      </c>
      <c r="M24" s="11">
        <f t="shared" si="2"/>
        <v>2.273</v>
      </c>
    </row>
    <row r="25">
      <c r="A25" s="1" t="s">
        <v>43</v>
      </c>
      <c r="B25" s="1">
        <v>11.0</v>
      </c>
      <c r="C25" s="1">
        <v>904.0</v>
      </c>
      <c r="D25" s="1" t="s">
        <v>44</v>
      </c>
      <c r="E25" s="1">
        <v>0.0</v>
      </c>
      <c r="F25" s="1">
        <v>1.0</v>
      </c>
      <c r="G25" s="1">
        <v>2.0</v>
      </c>
      <c r="H25" s="10">
        <v>45560.54880787037</v>
      </c>
      <c r="I25" s="1">
        <v>0.235</v>
      </c>
      <c r="J25" s="1">
        <v>6.27</v>
      </c>
      <c r="K25" s="1">
        <v>1.0</v>
      </c>
      <c r="L25" s="11">
        <f t="shared" si="1"/>
        <v>0.235</v>
      </c>
      <c r="M25" s="11">
        <f t="shared" si="2"/>
        <v>0.235</v>
      </c>
    </row>
    <row r="26">
      <c r="A26" s="1" t="s">
        <v>43</v>
      </c>
      <c r="B26" s="1">
        <v>12.0</v>
      </c>
      <c r="C26" s="1">
        <v>904.0</v>
      </c>
      <c r="D26" s="1" t="s">
        <v>44</v>
      </c>
      <c r="E26" s="1">
        <v>0.0</v>
      </c>
      <c r="F26" s="1">
        <v>1.0</v>
      </c>
      <c r="G26" s="1">
        <v>3.0</v>
      </c>
      <c r="H26" s="10">
        <v>45560.549733796295</v>
      </c>
      <c r="I26" s="1">
        <v>0.235</v>
      </c>
      <c r="J26" s="1">
        <v>6.27</v>
      </c>
      <c r="K26" s="1">
        <v>1.0</v>
      </c>
      <c r="L26" s="11">
        <f t="shared" si="1"/>
        <v>0.235</v>
      </c>
      <c r="M26" s="11">
        <f t="shared" si="2"/>
        <v>0.235</v>
      </c>
    </row>
    <row r="27">
      <c r="A27" s="1" t="s">
        <v>38</v>
      </c>
      <c r="B27" s="1">
        <v>13.0</v>
      </c>
      <c r="C27" s="1">
        <v>905.0</v>
      </c>
      <c r="D27" s="1" t="s">
        <v>45</v>
      </c>
      <c r="E27" s="1">
        <v>0.0</v>
      </c>
      <c r="F27" s="1">
        <v>0.0</v>
      </c>
      <c r="G27" s="1">
        <v>1.0</v>
      </c>
      <c r="H27" s="10">
        <v>45560.55065972222</v>
      </c>
      <c r="I27" s="1">
        <v>0.02</v>
      </c>
      <c r="J27" s="1">
        <v>-5.06</v>
      </c>
      <c r="K27" s="1">
        <v>1.0</v>
      </c>
      <c r="L27" s="11">
        <f t="shared" si="1"/>
        <v>0.02</v>
      </c>
      <c r="M27" s="11" t="str">
        <f t="shared" si="2"/>
        <v>&lt;0.038</v>
      </c>
    </row>
    <row r="28">
      <c r="A28" s="1" t="s">
        <v>46</v>
      </c>
      <c r="B28" s="1">
        <v>14.0</v>
      </c>
      <c r="C28" s="1">
        <v>906.0</v>
      </c>
      <c r="D28" s="1" t="s">
        <v>47</v>
      </c>
      <c r="E28" s="1">
        <v>0.0</v>
      </c>
      <c r="F28" s="1">
        <v>0.0</v>
      </c>
      <c r="G28" s="1">
        <v>2.0</v>
      </c>
      <c r="H28" s="10">
        <v>45560.55158564815</v>
      </c>
      <c r="I28" s="1">
        <v>0.978</v>
      </c>
      <c r="J28" s="1">
        <v>45.38</v>
      </c>
      <c r="K28" s="1">
        <v>1.0</v>
      </c>
      <c r="L28" s="11">
        <f t="shared" si="1"/>
        <v>0.978</v>
      </c>
      <c r="M28" s="11">
        <f t="shared" si="2"/>
        <v>0.978</v>
      </c>
    </row>
    <row r="29">
      <c r="A29" s="1" t="s">
        <v>48</v>
      </c>
      <c r="B29" s="1">
        <v>15.0</v>
      </c>
      <c r="C29" s="1">
        <v>908.0</v>
      </c>
      <c r="D29" s="1" t="s">
        <v>49</v>
      </c>
      <c r="E29" s="1">
        <v>0.0</v>
      </c>
      <c r="F29" s="1">
        <v>0.0</v>
      </c>
      <c r="G29" s="1">
        <v>0.0</v>
      </c>
      <c r="H29" s="10">
        <v>45560.552511574075</v>
      </c>
      <c r="I29" s="1">
        <v>1.338</v>
      </c>
      <c r="J29" s="1">
        <v>64.34</v>
      </c>
      <c r="K29" s="1">
        <v>1.0</v>
      </c>
      <c r="L29" s="11">
        <f t="shared" si="1"/>
        <v>1.338</v>
      </c>
      <c r="M29" s="11">
        <f t="shared" si="2"/>
        <v>1.338</v>
      </c>
    </row>
    <row r="30">
      <c r="A30" s="1" t="s">
        <v>39</v>
      </c>
      <c r="B30" s="1">
        <v>16.0</v>
      </c>
      <c r="C30" s="1">
        <v>0.0</v>
      </c>
      <c r="D30" s="1" t="s">
        <v>40</v>
      </c>
      <c r="E30" s="1">
        <v>0.0</v>
      </c>
      <c r="F30" s="1">
        <v>0.0</v>
      </c>
      <c r="G30" s="1">
        <v>0.0</v>
      </c>
      <c r="H30" s="10">
        <v>45560.5534375</v>
      </c>
      <c r="I30" s="1">
        <v>0.116</v>
      </c>
      <c r="J30" s="1">
        <v>0.0</v>
      </c>
      <c r="K30" s="1">
        <v>1.0</v>
      </c>
      <c r="L30" s="11">
        <f t="shared" si="1"/>
        <v>0.116</v>
      </c>
      <c r="M30" s="11">
        <f t="shared" si="2"/>
        <v>0.116</v>
      </c>
    </row>
    <row r="31">
      <c r="A31" s="1">
        <v>556.0</v>
      </c>
      <c r="B31" s="1">
        <v>17.0</v>
      </c>
      <c r="C31" s="1">
        <v>1.0</v>
      </c>
      <c r="D31" s="1" t="s">
        <v>45</v>
      </c>
      <c r="E31" s="1">
        <v>0.0</v>
      </c>
      <c r="F31" s="1">
        <v>0.0</v>
      </c>
      <c r="G31" s="1">
        <v>0.0</v>
      </c>
      <c r="H31" s="10">
        <v>45560.55621527778</v>
      </c>
      <c r="I31" s="1">
        <v>0.021</v>
      </c>
      <c r="J31" s="1">
        <v>-5.01</v>
      </c>
      <c r="K31" s="1">
        <v>1.0</v>
      </c>
      <c r="L31" s="11">
        <f t="shared" si="1"/>
        <v>0.021</v>
      </c>
      <c r="M31" s="11" t="str">
        <f t="shared" si="2"/>
        <v>&lt;0.038</v>
      </c>
    </row>
    <row r="32">
      <c r="A32" s="1">
        <v>452.0</v>
      </c>
      <c r="B32" s="1">
        <v>18.0</v>
      </c>
      <c r="C32" s="1">
        <v>2.0</v>
      </c>
      <c r="D32" s="1" t="s">
        <v>45</v>
      </c>
      <c r="E32" s="1">
        <v>0.0</v>
      </c>
      <c r="F32" s="1">
        <v>0.0</v>
      </c>
      <c r="G32" s="1">
        <v>0.0</v>
      </c>
      <c r="H32" s="10">
        <v>45560.5571412037</v>
      </c>
      <c r="I32" s="1">
        <v>0.168</v>
      </c>
      <c r="J32" s="1">
        <v>2.7</v>
      </c>
      <c r="K32" s="1">
        <v>1.0</v>
      </c>
      <c r="L32" s="11">
        <f t="shared" si="1"/>
        <v>0.168</v>
      </c>
      <c r="M32" s="11">
        <f t="shared" si="2"/>
        <v>0.168</v>
      </c>
    </row>
    <row r="33">
      <c r="A33" s="1">
        <v>426.0</v>
      </c>
      <c r="B33" s="1">
        <v>19.0</v>
      </c>
      <c r="C33" s="1">
        <v>3.0</v>
      </c>
      <c r="D33" s="1" t="s">
        <v>45</v>
      </c>
      <c r="E33" s="1">
        <v>0.0</v>
      </c>
      <c r="F33" s="1">
        <v>0.0</v>
      </c>
      <c r="G33" s="1">
        <v>0.0</v>
      </c>
      <c r="H33" s="10">
        <v>45560.55806712963</v>
      </c>
      <c r="I33" s="1">
        <v>-0.005</v>
      </c>
      <c r="J33" s="1">
        <v>-6.38</v>
      </c>
      <c r="K33" s="1">
        <v>1.0</v>
      </c>
      <c r="L33" s="11">
        <f t="shared" si="1"/>
        <v>-0.005</v>
      </c>
      <c r="M33" s="11" t="str">
        <f t="shared" si="2"/>
        <v>&lt;0.038</v>
      </c>
    </row>
    <row r="34">
      <c r="A34" s="1">
        <v>504.0</v>
      </c>
      <c r="B34" s="1">
        <v>20.0</v>
      </c>
      <c r="C34" s="1">
        <v>4.0</v>
      </c>
      <c r="D34" s="1" t="s">
        <v>45</v>
      </c>
      <c r="E34" s="1">
        <v>0.0</v>
      </c>
      <c r="F34" s="1">
        <v>0.0</v>
      </c>
      <c r="G34" s="1">
        <v>0.0</v>
      </c>
      <c r="H34" s="10">
        <v>45560.55899305556</v>
      </c>
      <c r="I34" s="1">
        <v>0.02</v>
      </c>
      <c r="J34" s="1">
        <v>-5.1</v>
      </c>
      <c r="K34" s="1">
        <v>1.0</v>
      </c>
      <c r="L34" s="11">
        <f t="shared" si="1"/>
        <v>0.02</v>
      </c>
      <c r="M34" s="11" t="str">
        <f t="shared" si="2"/>
        <v>&lt;0.038</v>
      </c>
    </row>
    <row r="35">
      <c r="A35" s="1">
        <v>517.0</v>
      </c>
      <c r="B35" s="1">
        <v>21.0</v>
      </c>
      <c r="C35" s="1">
        <v>5.0</v>
      </c>
      <c r="D35" s="1" t="s">
        <v>45</v>
      </c>
      <c r="E35" s="1">
        <v>0.0</v>
      </c>
      <c r="F35" s="1">
        <v>0.0</v>
      </c>
      <c r="G35" s="1">
        <v>1.0</v>
      </c>
      <c r="H35" s="10">
        <v>45560.55991898148</v>
      </c>
      <c r="I35" s="1">
        <v>0.02</v>
      </c>
      <c r="J35" s="1">
        <v>-5.08</v>
      </c>
      <c r="K35" s="1">
        <v>1.0</v>
      </c>
      <c r="L35" s="11">
        <f t="shared" si="1"/>
        <v>0.02</v>
      </c>
      <c r="M35" s="11" t="str">
        <f t="shared" si="2"/>
        <v>&lt;0.038</v>
      </c>
    </row>
    <row r="36">
      <c r="A36" s="1">
        <v>530.0</v>
      </c>
      <c r="B36" s="1">
        <v>22.0</v>
      </c>
      <c r="C36" s="1">
        <v>6.0</v>
      </c>
      <c r="D36" s="1" t="s">
        <v>45</v>
      </c>
      <c r="E36" s="1">
        <v>0.0</v>
      </c>
      <c r="F36" s="1">
        <v>0.0</v>
      </c>
      <c r="G36" s="1">
        <v>0.0</v>
      </c>
      <c r="H36" s="10">
        <v>45560.560844907406</v>
      </c>
      <c r="I36" s="1">
        <v>-0.007</v>
      </c>
      <c r="J36" s="1">
        <v>-6.51</v>
      </c>
      <c r="K36" s="1">
        <v>1.0</v>
      </c>
      <c r="L36" s="11">
        <f t="shared" si="1"/>
        <v>-0.007</v>
      </c>
      <c r="M36" s="11" t="str">
        <f t="shared" si="2"/>
        <v>&lt;0.038</v>
      </c>
    </row>
    <row r="37">
      <c r="A37" s="1">
        <v>595.0</v>
      </c>
      <c r="B37" s="1">
        <v>23.0</v>
      </c>
      <c r="C37" s="1">
        <v>7.0</v>
      </c>
      <c r="D37" s="1" t="s">
        <v>45</v>
      </c>
      <c r="E37" s="1">
        <v>0.0</v>
      </c>
      <c r="F37" s="1">
        <v>0.0</v>
      </c>
      <c r="G37" s="1">
        <v>0.0</v>
      </c>
      <c r="H37" s="10">
        <v>45560.56177083333</v>
      </c>
      <c r="I37" s="1">
        <v>0.099</v>
      </c>
      <c r="J37" s="1">
        <v>-0.93</v>
      </c>
      <c r="K37" s="1">
        <v>1.0</v>
      </c>
      <c r="L37" s="11">
        <f t="shared" si="1"/>
        <v>0.099</v>
      </c>
      <c r="M37" s="11">
        <f t="shared" si="2"/>
        <v>0.099</v>
      </c>
    </row>
    <row r="38">
      <c r="A38" s="1">
        <v>569.0</v>
      </c>
      <c r="B38" s="1">
        <v>24.0</v>
      </c>
      <c r="C38" s="1">
        <v>8.0</v>
      </c>
      <c r="D38" s="1" t="s">
        <v>45</v>
      </c>
      <c r="E38" s="1">
        <v>0.0</v>
      </c>
      <c r="F38" s="1">
        <v>0.0</v>
      </c>
      <c r="G38" s="1">
        <v>0.0</v>
      </c>
      <c r="H38" s="10">
        <v>45560.56269675926</v>
      </c>
      <c r="I38" s="1">
        <v>0.04</v>
      </c>
      <c r="J38" s="1">
        <v>-4.0</v>
      </c>
      <c r="K38" s="1">
        <v>1.0</v>
      </c>
      <c r="L38" s="11">
        <f t="shared" si="1"/>
        <v>0.04</v>
      </c>
      <c r="M38" s="11">
        <f t="shared" si="2"/>
        <v>0.04</v>
      </c>
    </row>
    <row r="39">
      <c r="A39" s="1">
        <v>400.0</v>
      </c>
      <c r="B39" s="1">
        <v>25.0</v>
      </c>
      <c r="C39" s="1">
        <v>9.0</v>
      </c>
      <c r="D39" s="1" t="s">
        <v>45</v>
      </c>
      <c r="E39" s="1">
        <v>0.0</v>
      </c>
      <c r="F39" s="1">
        <v>0.0</v>
      </c>
      <c r="G39" s="1">
        <v>0.0</v>
      </c>
      <c r="H39" s="10">
        <v>45560.563622685186</v>
      </c>
      <c r="I39" s="1">
        <v>0.027</v>
      </c>
      <c r="J39" s="1">
        <v>-4.72</v>
      </c>
      <c r="K39" s="1">
        <v>1.0</v>
      </c>
      <c r="L39" s="11">
        <f t="shared" si="1"/>
        <v>0.027</v>
      </c>
      <c r="M39" s="11" t="str">
        <f t="shared" si="2"/>
        <v>&lt;0.038</v>
      </c>
    </row>
    <row r="40">
      <c r="A40" s="1">
        <v>413.0</v>
      </c>
      <c r="B40" s="1">
        <v>26.0</v>
      </c>
      <c r="C40" s="1">
        <v>10.0</v>
      </c>
      <c r="D40" s="1" t="s">
        <v>45</v>
      </c>
      <c r="E40" s="1">
        <v>0.0</v>
      </c>
      <c r="F40" s="1">
        <v>0.0</v>
      </c>
      <c r="G40" s="1">
        <v>0.0</v>
      </c>
      <c r="H40" s="10">
        <v>45560.56454861111</v>
      </c>
      <c r="I40" s="1">
        <v>0.017</v>
      </c>
      <c r="J40" s="1">
        <v>-5.24</v>
      </c>
      <c r="K40" s="1">
        <v>1.0</v>
      </c>
      <c r="L40" s="11">
        <f t="shared" si="1"/>
        <v>0.017</v>
      </c>
      <c r="M40" s="11" t="str">
        <f t="shared" si="2"/>
        <v>&lt;0.038</v>
      </c>
    </row>
    <row r="41">
      <c r="A41" s="1">
        <v>543.0</v>
      </c>
      <c r="B41" s="1">
        <v>27.0</v>
      </c>
      <c r="C41" s="1">
        <v>11.0</v>
      </c>
      <c r="D41" s="1" t="s">
        <v>45</v>
      </c>
      <c r="E41" s="1">
        <v>0.0</v>
      </c>
      <c r="F41" s="1">
        <v>0.0</v>
      </c>
      <c r="G41" s="1">
        <v>0.0</v>
      </c>
      <c r="H41" s="10">
        <v>45560.565474537034</v>
      </c>
      <c r="I41" s="1">
        <v>0.02</v>
      </c>
      <c r="J41" s="1">
        <v>-5.09</v>
      </c>
      <c r="K41" s="1">
        <v>1.0</v>
      </c>
      <c r="L41" s="11">
        <f t="shared" si="1"/>
        <v>0.02</v>
      </c>
      <c r="M41" s="11" t="str">
        <f t="shared" si="2"/>
        <v>&lt;0.038</v>
      </c>
    </row>
    <row r="42">
      <c r="A42" s="1">
        <v>387.0</v>
      </c>
      <c r="B42" s="1">
        <v>28.0</v>
      </c>
      <c r="C42" s="1">
        <v>12.0</v>
      </c>
      <c r="D42" s="1" t="s">
        <v>45</v>
      </c>
      <c r="E42" s="1">
        <v>0.0</v>
      </c>
      <c r="F42" s="1">
        <v>0.0</v>
      </c>
      <c r="G42" s="1">
        <v>1.0</v>
      </c>
      <c r="H42" s="10">
        <v>45560.566400462965</v>
      </c>
      <c r="I42" s="1">
        <v>0.003</v>
      </c>
      <c r="J42" s="1">
        <v>-6.0</v>
      </c>
      <c r="K42" s="1">
        <v>1.0</v>
      </c>
      <c r="L42" s="11">
        <f t="shared" si="1"/>
        <v>0.003</v>
      </c>
      <c r="M42" s="11" t="str">
        <f t="shared" si="2"/>
        <v>&lt;0.038</v>
      </c>
    </row>
    <row r="43">
      <c r="A43" s="1" t="s">
        <v>50</v>
      </c>
      <c r="B43" s="1">
        <v>29.0</v>
      </c>
      <c r="C43" s="1">
        <v>13.0</v>
      </c>
      <c r="D43" s="1" t="s">
        <v>47</v>
      </c>
      <c r="E43" s="1">
        <v>0.0</v>
      </c>
      <c r="F43" s="1">
        <v>0.0</v>
      </c>
      <c r="G43" s="1">
        <v>2.0</v>
      </c>
      <c r="H43" s="10">
        <v>45560.56732638889</v>
      </c>
      <c r="I43" s="1">
        <v>1.094</v>
      </c>
      <c r="J43" s="1">
        <v>51.47</v>
      </c>
      <c r="K43" s="1">
        <v>1.0</v>
      </c>
      <c r="L43" s="11">
        <f t="shared" si="1"/>
        <v>1.094</v>
      </c>
      <c r="M43" s="11">
        <f t="shared" si="2"/>
        <v>1.094</v>
      </c>
    </row>
    <row r="44">
      <c r="A44" s="1" t="s">
        <v>48</v>
      </c>
      <c r="B44" s="1">
        <v>30.0</v>
      </c>
      <c r="C44" s="1">
        <v>908.0</v>
      </c>
      <c r="D44" s="1" t="s">
        <v>49</v>
      </c>
      <c r="E44" s="1">
        <v>0.0</v>
      </c>
      <c r="F44" s="1">
        <v>0.0</v>
      </c>
      <c r="G44" s="1">
        <v>0.0</v>
      </c>
      <c r="H44" s="10">
        <v>45560.56825231481</v>
      </c>
      <c r="I44" s="1">
        <v>1.347</v>
      </c>
      <c r="J44" s="1">
        <v>64.84</v>
      </c>
      <c r="K44" s="1">
        <v>1.0</v>
      </c>
      <c r="L44" s="11">
        <f t="shared" si="1"/>
        <v>1.347</v>
      </c>
      <c r="M44" s="11">
        <f t="shared" si="2"/>
        <v>1.347</v>
      </c>
    </row>
    <row r="45">
      <c r="A45" s="1" t="s">
        <v>39</v>
      </c>
      <c r="B45" s="1">
        <v>31.0</v>
      </c>
      <c r="C45" s="1">
        <v>0.0</v>
      </c>
      <c r="D45" s="1" t="s">
        <v>40</v>
      </c>
      <c r="E45" s="1">
        <v>0.0</v>
      </c>
      <c r="F45" s="1">
        <v>0.0</v>
      </c>
      <c r="G45" s="1">
        <v>0.0</v>
      </c>
      <c r="H45" s="10">
        <v>45560.56917824074</v>
      </c>
      <c r="I45" s="1">
        <v>0.116</v>
      </c>
      <c r="J45" s="1">
        <v>0.0</v>
      </c>
      <c r="K45" s="1">
        <v>1.0</v>
      </c>
      <c r="L45" s="11">
        <f t="shared" si="1"/>
        <v>0.116</v>
      </c>
      <c r="M45" s="11">
        <f t="shared" si="2"/>
        <v>0.116</v>
      </c>
    </row>
    <row r="46">
      <c r="A46" s="1">
        <v>309.0</v>
      </c>
      <c r="B46" s="1">
        <v>32.0</v>
      </c>
      <c r="C46" s="1">
        <v>14.0</v>
      </c>
      <c r="D46" s="1" t="s">
        <v>45</v>
      </c>
      <c r="E46" s="1">
        <v>0.0</v>
      </c>
      <c r="F46" s="1">
        <v>0.0</v>
      </c>
      <c r="G46" s="1">
        <v>0.0</v>
      </c>
      <c r="H46" s="10">
        <v>45560.57195601852</v>
      </c>
      <c r="I46" s="1">
        <v>-0.02</v>
      </c>
      <c r="J46" s="1">
        <v>-7.16</v>
      </c>
      <c r="K46" s="1">
        <v>1.0</v>
      </c>
      <c r="L46" s="11">
        <f t="shared" si="1"/>
        <v>-0.02</v>
      </c>
      <c r="M46" s="11" t="str">
        <f t="shared" si="2"/>
        <v>&lt;0.038</v>
      </c>
    </row>
    <row r="47">
      <c r="A47" s="1">
        <v>374.0</v>
      </c>
      <c r="B47" s="1">
        <v>33.0</v>
      </c>
      <c r="C47" s="1">
        <v>15.0</v>
      </c>
      <c r="D47" s="1" t="s">
        <v>45</v>
      </c>
      <c r="E47" s="1">
        <v>0.0</v>
      </c>
      <c r="F47" s="1">
        <v>0.0</v>
      </c>
      <c r="G47" s="1">
        <v>0.0</v>
      </c>
      <c r="H47" s="10">
        <v>45560.57288194444</v>
      </c>
      <c r="I47" s="1">
        <v>-0.008</v>
      </c>
      <c r="J47" s="1">
        <v>-6.53</v>
      </c>
      <c r="K47" s="1">
        <v>1.0</v>
      </c>
      <c r="L47" s="11">
        <f t="shared" si="1"/>
        <v>-0.008</v>
      </c>
      <c r="M47" s="11" t="str">
        <f t="shared" si="2"/>
        <v>&lt;0.038</v>
      </c>
    </row>
    <row r="48">
      <c r="A48" s="1">
        <v>465.0</v>
      </c>
      <c r="B48" s="1">
        <v>34.0</v>
      </c>
      <c r="C48" s="1">
        <v>16.0</v>
      </c>
      <c r="D48" s="1" t="s">
        <v>45</v>
      </c>
      <c r="E48" s="1">
        <v>0.0</v>
      </c>
      <c r="F48" s="1">
        <v>0.0</v>
      </c>
      <c r="G48" s="1">
        <v>0.0</v>
      </c>
      <c r="H48" s="10">
        <v>45560.57380787037</v>
      </c>
      <c r="I48" s="1">
        <v>-0.041</v>
      </c>
      <c r="J48" s="1">
        <v>-8.32</v>
      </c>
      <c r="K48" s="1">
        <v>1.0</v>
      </c>
      <c r="L48" s="11">
        <f t="shared" si="1"/>
        <v>-0.041</v>
      </c>
      <c r="M48" s="11" t="str">
        <f t="shared" si="2"/>
        <v>&lt;0.038</v>
      </c>
    </row>
    <row r="49">
      <c r="A49" s="1">
        <v>348.0</v>
      </c>
      <c r="B49" s="1">
        <v>35.0</v>
      </c>
      <c r="C49" s="1">
        <v>17.0</v>
      </c>
      <c r="D49" s="1" t="s">
        <v>45</v>
      </c>
      <c r="E49" s="1">
        <v>0.0</v>
      </c>
      <c r="F49" s="1">
        <v>0.0</v>
      </c>
      <c r="G49" s="1">
        <v>0.0</v>
      </c>
      <c r="H49" s="10">
        <v>45560.5747337963</v>
      </c>
      <c r="I49" s="1">
        <v>-0.064</v>
      </c>
      <c r="J49" s="1">
        <v>-9.49</v>
      </c>
      <c r="K49" s="1">
        <v>1.0</v>
      </c>
      <c r="L49" s="11">
        <f t="shared" si="1"/>
        <v>-0.064</v>
      </c>
      <c r="M49" s="11" t="str">
        <f t="shared" si="2"/>
        <v>&lt;0.038</v>
      </c>
    </row>
    <row r="50">
      <c r="A50" s="1">
        <v>361.0</v>
      </c>
      <c r="B50" s="1">
        <v>36.0</v>
      </c>
      <c r="C50" s="1">
        <v>18.0</v>
      </c>
      <c r="D50" s="1" t="s">
        <v>45</v>
      </c>
      <c r="E50" s="1">
        <v>0.0</v>
      </c>
      <c r="F50" s="1">
        <v>0.0</v>
      </c>
      <c r="G50" s="1">
        <v>1.0</v>
      </c>
      <c r="H50" s="10">
        <v>45560.57565972222</v>
      </c>
      <c r="I50" s="1">
        <v>-0.011</v>
      </c>
      <c r="J50" s="1">
        <v>-6.73</v>
      </c>
      <c r="K50" s="1">
        <v>1.0</v>
      </c>
      <c r="L50" s="11">
        <f t="shared" si="1"/>
        <v>-0.011</v>
      </c>
      <c r="M50" s="11" t="str">
        <f t="shared" si="2"/>
        <v>&lt;0.038</v>
      </c>
    </row>
    <row r="51">
      <c r="A51" s="1">
        <v>491.0</v>
      </c>
      <c r="B51" s="1">
        <v>37.0</v>
      </c>
      <c r="C51" s="1">
        <v>19.0</v>
      </c>
      <c r="D51" s="1" t="s">
        <v>45</v>
      </c>
      <c r="E51" s="1">
        <v>0.0</v>
      </c>
      <c r="F51" s="1">
        <v>0.0</v>
      </c>
      <c r="G51" s="1">
        <v>0.0</v>
      </c>
      <c r="H51" s="10">
        <v>45560.576585648145</v>
      </c>
      <c r="I51" s="1">
        <v>0.033</v>
      </c>
      <c r="J51" s="1">
        <v>-4.41</v>
      </c>
      <c r="K51" s="1">
        <v>1.0</v>
      </c>
      <c r="L51" s="11">
        <f t="shared" si="1"/>
        <v>0.033</v>
      </c>
      <c r="M51" s="11" t="str">
        <f t="shared" si="2"/>
        <v>&lt;0.038</v>
      </c>
    </row>
    <row r="52">
      <c r="A52" s="1">
        <v>231.0</v>
      </c>
      <c r="B52" s="1">
        <v>38.0</v>
      </c>
      <c r="C52" s="1">
        <v>20.0</v>
      </c>
      <c r="D52" s="1" t="s">
        <v>45</v>
      </c>
      <c r="E52" s="1">
        <v>0.0</v>
      </c>
      <c r="F52" s="1">
        <v>0.0</v>
      </c>
      <c r="G52" s="1">
        <v>0.0</v>
      </c>
      <c r="H52" s="10">
        <v>45560.577511574076</v>
      </c>
      <c r="I52" s="1">
        <v>-0.001</v>
      </c>
      <c r="J52" s="1">
        <v>-6.16</v>
      </c>
      <c r="K52" s="1">
        <v>1.0</v>
      </c>
      <c r="L52" s="11">
        <f t="shared" si="1"/>
        <v>-0.001</v>
      </c>
      <c r="M52" s="11" t="str">
        <f t="shared" si="2"/>
        <v>&lt;0.038</v>
      </c>
    </row>
    <row r="53">
      <c r="A53" s="1">
        <v>439.0</v>
      </c>
      <c r="B53" s="1">
        <v>39.0</v>
      </c>
      <c r="C53" s="1">
        <v>21.0</v>
      </c>
      <c r="D53" s="1" t="s">
        <v>45</v>
      </c>
      <c r="E53" s="1">
        <v>0.0</v>
      </c>
      <c r="F53" s="1">
        <v>0.0</v>
      </c>
      <c r="G53" s="1">
        <v>0.0</v>
      </c>
      <c r="H53" s="10">
        <v>45560.5784375</v>
      </c>
      <c r="I53" s="1">
        <v>-0.053</v>
      </c>
      <c r="J53" s="1">
        <v>-8.91</v>
      </c>
      <c r="K53" s="1">
        <v>1.0</v>
      </c>
      <c r="L53" s="11">
        <f t="shared" si="1"/>
        <v>-0.053</v>
      </c>
      <c r="M53" s="11" t="str">
        <f t="shared" si="2"/>
        <v>&lt;0.038</v>
      </c>
    </row>
    <row r="54">
      <c r="A54" s="1">
        <v>478.0</v>
      </c>
      <c r="B54" s="1">
        <v>40.0</v>
      </c>
      <c r="C54" s="1">
        <v>22.0</v>
      </c>
      <c r="D54" s="1" t="s">
        <v>45</v>
      </c>
      <c r="E54" s="1">
        <v>0.0</v>
      </c>
      <c r="F54" s="1">
        <v>0.0</v>
      </c>
      <c r="G54" s="1">
        <v>0.0</v>
      </c>
      <c r="H54" s="10">
        <v>45560.579363425924</v>
      </c>
      <c r="I54" s="1">
        <v>-0.053</v>
      </c>
      <c r="J54" s="1">
        <v>-8.93</v>
      </c>
      <c r="K54" s="1">
        <v>1.0</v>
      </c>
      <c r="L54" s="11">
        <f t="shared" si="1"/>
        <v>-0.053</v>
      </c>
      <c r="M54" s="11" t="str">
        <f t="shared" si="2"/>
        <v>&lt;0.038</v>
      </c>
    </row>
    <row r="55">
      <c r="A55" s="1">
        <v>608.0</v>
      </c>
      <c r="B55" s="1">
        <v>41.0</v>
      </c>
      <c r="C55" s="1">
        <v>23.0</v>
      </c>
      <c r="D55" s="1" t="s">
        <v>45</v>
      </c>
      <c r="E55" s="1">
        <v>0.0</v>
      </c>
      <c r="F55" s="1">
        <v>0.0</v>
      </c>
      <c r="G55" s="1">
        <v>0.0</v>
      </c>
      <c r="H55" s="10">
        <v>45560.58028935185</v>
      </c>
      <c r="I55" s="1">
        <v>0.218</v>
      </c>
      <c r="J55" s="1">
        <v>5.35</v>
      </c>
      <c r="K55" s="1">
        <v>1.0</v>
      </c>
      <c r="L55" s="11">
        <f t="shared" si="1"/>
        <v>0.218</v>
      </c>
      <c r="M55" s="11">
        <f t="shared" si="2"/>
        <v>0.218</v>
      </c>
    </row>
    <row r="56">
      <c r="A56" s="1">
        <v>582.0</v>
      </c>
      <c r="B56" s="1">
        <v>42.0</v>
      </c>
      <c r="C56" s="1">
        <v>24.0</v>
      </c>
      <c r="D56" s="1" t="s">
        <v>45</v>
      </c>
      <c r="E56" s="1">
        <v>0.0</v>
      </c>
      <c r="F56" s="1">
        <v>0.0</v>
      </c>
      <c r="G56" s="1">
        <v>0.0</v>
      </c>
      <c r="H56" s="10">
        <v>45560.58121527778</v>
      </c>
      <c r="I56" s="1">
        <v>-0.046</v>
      </c>
      <c r="J56" s="1">
        <v>-8.58</v>
      </c>
      <c r="K56" s="1">
        <v>1.0</v>
      </c>
      <c r="L56" s="11">
        <f t="shared" si="1"/>
        <v>-0.046</v>
      </c>
      <c r="M56" s="11" t="str">
        <f t="shared" si="2"/>
        <v>&lt;0.038</v>
      </c>
    </row>
    <row r="57">
      <c r="A57" s="1" t="s">
        <v>51</v>
      </c>
      <c r="B57" s="1">
        <v>43.0</v>
      </c>
      <c r="C57" s="1">
        <v>25.0</v>
      </c>
      <c r="D57" s="1" t="s">
        <v>47</v>
      </c>
      <c r="E57" s="1">
        <v>0.0</v>
      </c>
      <c r="F57" s="1">
        <v>0.0</v>
      </c>
      <c r="G57" s="1">
        <v>1.0</v>
      </c>
      <c r="H57" s="10">
        <v>45560.582141203704</v>
      </c>
      <c r="I57" s="1">
        <v>0.702</v>
      </c>
      <c r="J57" s="1">
        <v>30.83</v>
      </c>
      <c r="K57" s="1">
        <v>1.0</v>
      </c>
      <c r="L57" s="11">
        <f t="shared" si="1"/>
        <v>0.702</v>
      </c>
      <c r="M57" s="11">
        <f t="shared" si="2"/>
        <v>0.702</v>
      </c>
    </row>
    <row r="58">
      <c r="A58" s="1" t="s">
        <v>48</v>
      </c>
      <c r="B58" s="1">
        <v>44.0</v>
      </c>
      <c r="C58" s="1">
        <v>908.0</v>
      </c>
      <c r="D58" s="1" t="s">
        <v>49</v>
      </c>
      <c r="E58" s="1">
        <v>0.0</v>
      </c>
      <c r="F58" s="1">
        <v>0.0</v>
      </c>
      <c r="G58" s="1">
        <v>0.0</v>
      </c>
      <c r="H58" s="10">
        <v>45560.58306712963</v>
      </c>
      <c r="I58" s="1">
        <v>1.326</v>
      </c>
      <c r="J58" s="1">
        <v>63.73</v>
      </c>
      <c r="K58" s="1">
        <v>1.0</v>
      </c>
      <c r="L58" s="11">
        <f t="shared" si="1"/>
        <v>1.326</v>
      </c>
      <c r="M58" s="11">
        <f t="shared" si="2"/>
        <v>1.326</v>
      </c>
    </row>
    <row r="59">
      <c r="A59" s="1" t="s">
        <v>39</v>
      </c>
      <c r="B59" s="1">
        <v>45.0</v>
      </c>
      <c r="C59" s="1">
        <v>0.0</v>
      </c>
      <c r="D59" s="1" t="s">
        <v>40</v>
      </c>
      <c r="E59" s="1">
        <v>0.0</v>
      </c>
      <c r="F59" s="1">
        <v>0.0</v>
      </c>
      <c r="G59" s="1">
        <v>0.0</v>
      </c>
      <c r="H59" s="10">
        <v>45560.58399305555</v>
      </c>
      <c r="I59" s="1">
        <v>0.116</v>
      </c>
      <c r="J59" s="1">
        <v>0.0</v>
      </c>
      <c r="K59" s="1">
        <v>1.0</v>
      </c>
      <c r="L59" s="11">
        <f t="shared" si="1"/>
        <v>0.116</v>
      </c>
      <c r="M59" s="11">
        <f t="shared" si="2"/>
        <v>0.116</v>
      </c>
    </row>
    <row r="60">
      <c r="A60" s="1" t="s">
        <v>38</v>
      </c>
      <c r="B60" s="1">
        <v>46.0</v>
      </c>
      <c r="C60" s="1">
        <v>905.0</v>
      </c>
      <c r="D60" s="1" t="s">
        <v>45</v>
      </c>
      <c r="E60" s="1">
        <v>0.0</v>
      </c>
      <c r="F60" s="1">
        <v>0.0</v>
      </c>
      <c r="G60" s="1">
        <v>0.0</v>
      </c>
      <c r="H60" s="10">
        <v>45560.58677083333</v>
      </c>
      <c r="I60" s="1">
        <v>0.02</v>
      </c>
      <c r="J60" s="1">
        <v>-5.1</v>
      </c>
      <c r="K60" s="1">
        <v>1.0</v>
      </c>
      <c r="L60" s="11">
        <f t="shared" si="1"/>
        <v>0.02</v>
      </c>
      <c r="M60" s="11" t="str">
        <f t="shared" si="2"/>
        <v>&lt;0.038</v>
      </c>
    </row>
    <row r="61">
      <c r="A61" s="1" t="s">
        <v>38</v>
      </c>
      <c r="B61" s="1">
        <v>47.0</v>
      </c>
      <c r="C61" s="1">
        <v>905.0</v>
      </c>
      <c r="D61" s="1" t="s">
        <v>45</v>
      </c>
      <c r="E61" s="1">
        <v>0.0</v>
      </c>
      <c r="F61" s="1">
        <v>0.0</v>
      </c>
      <c r="G61" s="1">
        <v>0.0</v>
      </c>
      <c r="H61" s="10">
        <v>45560.587696759256</v>
      </c>
      <c r="I61" s="1">
        <v>0.027</v>
      </c>
      <c r="J61" s="1">
        <v>-4.72</v>
      </c>
      <c r="K61" s="1">
        <v>1.0</v>
      </c>
      <c r="L61" s="11">
        <f t="shared" si="1"/>
        <v>0.027</v>
      </c>
      <c r="M61" s="11" t="str">
        <f t="shared" si="2"/>
        <v>&lt;0.038</v>
      </c>
    </row>
    <row r="62">
      <c r="A62" s="1" t="s">
        <v>38</v>
      </c>
      <c r="B62" s="1">
        <v>48.0</v>
      </c>
      <c r="C62" s="1">
        <v>905.0</v>
      </c>
      <c r="D62" s="1" t="s">
        <v>45</v>
      </c>
      <c r="E62" s="1">
        <v>0.0</v>
      </c>
      <c r="F62" s="1">
        <v>0.0</v>
      </c>
      <c r="G62" s="1">
        <v>0.0</v>
      </c>
      <c r="H62" s="10">
        <v>45560.58862268519</v>
      </c>
      <c r="I62" s="1">
        <v>0.022</v>
      </c>
      <c r="J62" s="1">
        <v>-5.0</v>
      </c>
      <c r="K62" s="1">
        <v>1.0</v>
      </c>
      <c r="L62" s="11">
        <f t="shared" si="1"/>
        <v>0.022</v>
      </c>
      <c r="M62" s="11" t="str">
        <f t="shared" si="2"/>
        <v>&lt;0.038</v>
      </c>
    </row>
    <row r="63">
      <c r="A63" s="1" t="s">
        <v>38</v>
      </c>
      <c r="B63" s="1">
        <v>49.0</v>
      </c>
      <c r="C63" s="1">
        <v>905.0</v>
      </c>
      <c r="D63" s="1" t="s">
        <v>45</v>
      </c>
      <c r="E63" s="1">
        <v>0.0</v>
      </c>
      <c r="F63" s="1">
        <v>0.0</v>
      </c>
      <c r="G63" s="1">
        <v>0.0</v>
      </c>
      <c r="H63" s="10">
        <v>45560.58954861111</v>
      </c>
      <c r="I63" s="1">
        <v>0.022</v>
      </c>
      <c r="J63" s="1">
        <v>-4.96</v>
      </c>
      <c r="K63" s="1">
        <v>1.0</v>
      </c>
      <c r="L63" s="11">
        <f t="shared" si="1"/>
        <v>0.022</v>
      </c>
      <c r="M63" s="11" t="str">
        <f t="shared" si="2"/>
        <v>&lt;0.038</v>
      </c>
    </row>
    <row r="64">
      <c r="A64" s="1" t="s">
        <v>38</v>
      </c>
      <c r="B64" s="1">
        <v>50.0</v>
      </c>
      <c r="C64" s="1">
        <v>905.0</v>
      </c>
      <c r="D64" s="1" t="s">
        <v>45</v>
      </c>
      <c r="E64" s="1">
        <v>0.0</v>
      </c>
      <c r="F64" s="1">
        <v>0.0</v>
      </c>
      <c r="G64" s="1">
        <v>0.0</v>
      </c>
      <c r="H64" s="10">
        <v>45560.590474537035</v>
      </c>
      <c r="I64" s="1">
        <v>0.025</v>
      </c>
      <c r="J64" s="1">
        <v>-4.81</v>
      </c>
      <c r="K64" s="1">
        <v>1.0</v>
      </c>
      <c r="L64" s="11">
        <f t="shared" si="1"/>
        <v>0.025</v>
      </c>
      <c r="M64" s="11" t="str">
        <f t="shared" si="2"/>
        <v>&lt;0.038</v>
      </c>
    </row>
    <row r="65">
      <c r="A65" s="1" t="s">
        <v>38</v>
      </c>
      <c r="B65" s="1">
        <v>51.0</v>
      </c>
      <c r="C65" s="1">
        <v>905.0</v>
      </c>
      <c r="D65" s="1" t="s">
        <v>45</v>
      </c>
      <c r="E65" s="1">
        <v>0.0</v>
      </c>
      <c r="F65" s="1">
        <v>0.0</v>
      </c>
      <c r="G65" s="1">
        <v>0.0</v>
      </c>
      <c r="H65" s="10">
        <v>45560.59140046296</v>
      </c>
      <c r="I65" s="1">
        <v>0.021</v>
      </c>
      <c r="J65" s="1">
        <v>-5.0</v>
      </c>
      <c r="K65" s="1">
        <v>1.0</v>
      </c>
      <c r="L65" s="11">
        <f t="shared" si="1"/>
        <v>0.021</v>
      </c>
      <c r="M65" s="11" t="str">
        <f t="shared" si="2"/>
        <v>&lt;0.038</v>
      </c>
    </row>
    <row r="66">
      <c r="A66" s="1" t="s">
        <v>38</v>
      </c>
      <c r="B66" s="1">
        <v>52.0</v>
      </c>
      <c r="C66" s="1">
        <v>905.0</v>
      </c>
      <c r="D66" s="1" t="s">
        <v>45</v>
      </c>
      <c r="E66" s="1">
        <v>0.0</v>
      </c>
      <c r="F66" s="1">
        <v>0.0</v>
      </c>
      <c r="G66" s="1">
        <v>0.0</v>
      </c>
      <c r="H66" s="10">
        <v>45560.59232638889</v>
      </c>
      <c r="I66" s="1">
        <v>0.021</v>
      </c>
      <c r="J66" s="1">
        <v>-5.04</v>
      </c>
      <c r="K66" s="1">
        <v>1.0</v>
      </c>
      <c r="L66" s="11">
        <f t="shared" si="1"/>
        <v>0.021</v>
      </c>
      <c r="M66" s="11" t="str">
        <f t="shared" si="2"/>
        <v>&lt;0.038</v>
      </c>
    </row>
    <row r="67">
      <c r="A67" s="1" t="s">
        <v>38</v>
      </c>
      <c r="B67" s="1">
        <v>53.0</v>
      </c>
      <c r="C67" s="1">
        <v>905.0</v>
      </c>
      <c r="D67" s="1" t="s">
        <v>45</v>
      </c>
      <c r="E67" s="1">
        <v>0.0</v>
      </c>
      <c r="F67" s="1">
        <v>0.0</v>
      </c>
      <c r="G67" s="1">
        <v>0.0</v>
      </c>
      <c r="H67" s="10">
        <v>45560.593252314815</v>
      </c>
      <c r="I67" s="1">
        <v>0.014</v>
      </c>
      <c r="J67" s="1">
        <v>-5.38</v>
      </c>
      <c r="K67" s="1">
        <v>1.0</v>
      </c>
      <c r="L67" s="11">
        <f t="shared" si="1"/>
        <v>0.014</v>
      </c>
      <c r="M67" s="11" t="str">
        <f t="shared" si="2"/>
        <v>&lt;0.038</v>
      </c>
    </row>
    <row r="68">
      <c r="A68" s="1" t="s">
        <v>38</v>
      </c>
      <c r="B68" s="1">
        <v>54.0</v>
      </c>
      <c r="C68" s="1">
        <v>905.0</v>
      </c>
      <c r="D68" s="1" t="s">
        <v>45</v>
      </c>
      <c r="E68" s="1">
        <v>0.0</v>
      </c>
      <c r="F68" s="1">
        <v>0.0</v>
      </c>
      <c r="G68" s="1">
        <v>0.0</v>
      </c>
      <c r="H68" s="10">
        <v>45560.59417824074</v>
      </c>
      <c r="I68" s="1">
        <v>0.018</v>
      </c>
      <c r="J68" s="1">
        <v>-5.16</v>
      </c>
      <c r="K68" s="1">
        <v>1.0</v>
      </c>
      <c r="L68" s="11">
        <f t="shared" si="1"/>
        <v>0.018</v>
      </c>
      <c r="M68" s="11" t="str">
        <f t="shared" si="2"/>
        <v>&lt;0.038</v>
      </c>
    </row>
    <row r="69">
      <c r="A69" s="1" t="s">
        <v>38</v>
      </c>
      <c r="B69" s="1">
        <v>55.0</v>
      </c>
      <c r="C69" s="1">
        <v>905.0</v>
      </c>
      <c r="D69" s="1" t="s">
        <v>45</v>
      </c>
      <c r="E69" s="1">
        <v>0.0</v>
      </c>
      <c r="F69" s="1">
        <v>0.0</v>
      </c>
      <c r="G69" s="1">
        <v>0.0</v>
      </c>
      <c r="H69" s="10">
        <v>45560.59510416666</v>
      </c>
      <c r="I69" s="1">
        <v>0.035</v>
      </c>
      <c r="J69" s="1">
        <v>-4.3</v>
      </c>
      <c r="K69" s="1">
        <v>1.0</v>
      </c>
      <c r="L69" s="11">
        <f t="shared" si="1"/>
        <v>0.035</v>
      </c>
      <c r="M69" s="11" t="str">
        <f t="shared" si="2"/>
        <v>&lt;0.038</v>
      </c>
    </row>
    <row r="70">
      <c r="A70" s="1" t="s">
        <v>52</v>
      </c>
      <c r="B70" s="1">
        <v>56.0</v>
      </c>
      <c r="C70" s="1">
        <v>906.0</v>
      </c>
      <c r="D70" s="1" t="s">
        <v>47</v>
      </c>
      <c r="E70" s="1">
        <v>0.0</v>
      </c>
      <c r="F70" s="1">
        <v>0.0</v>
      </c>
      <c r="G70" s="1">
        <v>1.0</v>
      </c>
      <c r="H70" s="10">
        <v>45560.596030092594</v>
      </c>
      <c r="I70" s="1">
        <v>0.942</v>
      </c>
      <c r="J70" s="1">
        <v>43.46</v>
      </c>
      <c r="K70" s="1">
        <v>1.0</v>
      </c>
      <c r="L70" s="11">
        <f t="shared" si="1"/>
        <v>0.942</v>
      </c>
      <c r="M70" s="11">
        <f t="shared" si="2"/>
        <v>0.942</v>
      </c>
    </row>
    <row r="71">
      <c r="A71" s="1" t="s">
        <v>48</v>
      </c>
      <c r="B71" s="1">
        <v>57.0</v>
      </c>
      <c r="C71" s="1">
        <v>908.0</v>
      </c>
      <c r="D71" s="1" t="s">
        <v>49</v>
      </c>
      <c r="E71" s="1">
        <v>0.0</v>
      </c>
      <c r="F71" s="1">
        <v>0.0</v>
      </c>
      <c r="G71" s="1">
        <v>0.0</v>
      </c>
      <c r="H71" s="10">
        <v>45560.59695601852</v>
      </c>
      <c r="I71" s="1">
        <v>1.269</v>
      </c>
      <c r="J71" s="1">
        <v>60.69</v>
      </c>
      <c r="K71" s="1">
        <v>1.0</v>
      </c>
      <c r="L71" s="11">
        <f t="shared" si="1"/>
        <v>1.269</v>
      </c>
      <c r="M71" s="11">
        <f t="shared" si="2"/>
        <v>1.269</v>
      </c>
    </row>
    <row r="72">
      <c r="A72" s="1" t="s">
        <v>39</v>
      </c>
      <c r="B72" s="1">
        <v>58.0</v>
      </c>
      <c r="C72" s="1">
        <v>0.0</v>
      </c>
      <c r="D72" s="1" t="s">
        <v>40</v>
      </c>
      <c r="E72" s="1">
        <v>0.0</v>
      </c>
      <c r="F72" s="1">
        <v>0.0</v>
      </c>
      <c r="G72" s="1">
        <v>0.0</v>
      </c>
      <c r="H72" s="10">
        <v>45560.59788194444</v>
      </c>
      <c r="I72" s="1">
        <v>0.116</v>
      </c>
      <c r="J72" s="1">
        <v>0.0</v>
      </c>
      <c r="K72" s="1">
        <v>1.0</v>
      </c>
      <c r="L72" s="11">
        <f t="shared" si="1"/>
        <v>0.116</v>
      </c>
      <c r="M72" s="11">
        <f t="shared" si="2"/>
        <v>0.116</v>
      </c>
    </row>
    <row r="73">
      <c r="A73" s="1" t="s">
        <v>35</v>
      </c>
      <c r="B73" s="1">
        <v>59.0</v>
      </c>
      <c r="C73" s="1">
        <v>921.0</v>
      </c>
      <c r="D73" s="1" t="s">
        <v>36</v>
      </c>
      <c r="E73" s="1">
        <v>0.0</v>
      </c>
      <c r="F73" s="1">
        <v>0.0</v>
      </c>
      <c r="G73" s="1">
        <v>0.0</v>
      </c>
      <c r="H73" s="10">
        <v>45560.60065972222</v>
      </c>
      <c r="I73" s="1">
        <v>2.264</v>
      </c>
      <c r="J73" s="1">
        <v>113.14</v>
      </c>
      <c r="K73" s="1">
        <v>1.0</v>
      </c>
      <c r="L73" s="11">
        <f t="shared" si="1"/>
        <v>2.264</v>
      </c>
      <c r="M73" s="11">
        <f t="shared" si="2"/>
        <v>2.264</v>
      </c>
    </row>
    <row r="74">
      <c r="A74" s="1" t="s">
        <v>53</v>
      </c>
      <c r="B74" s="1">
        <v>60.0</v>
      </c>
      <c r="C74" s="1">
        <v>0.0</v>
      </c>
      <c r="D74" s="1" t="s">
        <v>54</v>
      </c>
      <c r="E74" s="1">
        <v>0.0</v>
      </c>
      <c r="F74" s="1">
        <v>0.0</v>
      </c>
      <c r="G74" s="1">
        <v>0.0</v>
      </c>
      <c r="H74" s="10">
        <v>45560.601585648146</v>
      </c>
      <c r="I74" s="1">
        <v>0.116</v>
      </c>
      <c r="J74" s="1">
        <v>0.0</v>
      </c>
      <c r="K74" s="1">
        <v>1.0</v>
      </c>
      <c r="L74" s="11">
        <f t="shared" si="1"/>
        <v>0.116</v>
      </c>
      <c r="M74" s="11">
        <f t="shared" si="2"/>
        <v>0.116</v>
      </c>
    </row>
  </sheetData>
  <drawing r:id="rId1"/>
</worksheet>
</file>