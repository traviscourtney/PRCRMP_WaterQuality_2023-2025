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visACourtney\Desktop\"/>
    </mc:Choice>
  </mc:AlternateContent>
  <xr:revisionPtr revIDLastSave="0" documentId="8_{0186E614-A0CB-4F31-A46D-8EAA35BB2962}" xr6:coauthVersionLast="47" xr6:coauthVersionMax="47" xr10:uidLastSave="{00000000-0000-0000-0000-000000000000}"/>
  <bookViews>
    <workbookView xWindow="-120" yWindow="-120" windowWidth="29040" windowHeight="15720" xr2:uid="{EA7EE79B-E4D8-4A5F-AC2A-850C1806912E}"/>
  </bookViews>
  <sheets>
    <sheet name="241002_Q6_TKN6" sheetId="1" r:id="rId1"/>
  </sheets>
  <calcPr calcId="0"/>
</workbook>
</file>

<file path=xl/calcChain.xml><?xml version="1.0" encoding="utf-8"?>
<calcChain xmlns="http://schemas.openxmlformats.org/spreadsheetml/2006/main">
  <c r="M16" i="1" l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15" i="1"/>
  <c r="G4" i="1"/>
</calcChain>
</file>

<file path=xl/sharedStrings.xml><?xml version="1.0" encoding="utf-8"?>
<sst xmlns="http://schemas.openxmlformats.org/spreadsheetml/2006/main" count="113" uniqueCount="55">
  <si>
    <t>ANAL</t>
  </si>
  <si>
    <t>TKN.ANL</t>
  </si>
  <si>
    <t xml:space="preserve">RUN </t>
  </si>
  <si>
    <t>241002_Q6_TKN6.RUN</t>
  </si>
  <si>
    <t>DATE</t>
  </si>
  <si>
    <t>TIME</t>
  </si>
  <si>
    <t>OPER</t>
  </si>
  <si>
    <t>CLMR</t>
  </si>
  <si>
    <t>COMM</t>
  </si>
  <si>
    <t xml:space="preserve">2nd Batch </t>
  </si>
  <si>
    <t>CHAN</t>
  </si>
  <si>
    <t>METH</t>
  </si>
  <si>
    <t>TKN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</si>
  <si>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</si>
  <si>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</si>
  <si>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</si>
  <si>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</si>
  <si>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</si>
  <si>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</si>
  <si>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</si>
  <si>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</si>
  <si>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</si>
  <si>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</si>
  <si>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</si>
  <si>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</si>
  <si>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</si>
  <si>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</si>
  <si>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</si>
  <si>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</si>
  <si>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2</t>
  </si>
  <si>
    <t>Primer</t>
  </si>
  <si>
    <t>PRIM</t>
  </si>
  <si>
    <t>Drift</t>
  </si>
  <si>
    <t>DRIF</t>
  </si>
  <si>
    <t>Blank</t>
  </si>
  <si>
    <t>CALB</t>
  </si>
  <si>
    <t>Baseline</t>
  </si>
  <si>
    <t>BASL</t>
  </si>
  <si>
    <t>High</t>
  </si>
  <si>
    <t>HIGH</t>
  </si>
  <si>
    <t>Low</t>
  </si>
  <si>
    <t xml:space="preserve">LOW </t>
  </si>
  <si>
    <t>SAMP</t>
  </si>
  <si>
    <t>Blank Spike</t>
  </si>
  <si>
    <t>SPIK</t>
  </si>
  <si>
    <t>CRM 9/24 [1.5 mg/L]</t>
  </si>
  <si>
    <t>QUAL</t>
  </si>
  <si>
    <t>387 spiked</t>
  </si>
  <si>
    <t>582 spiked</t>
  </si>
  <si>
    <t>Blank spiked</t>
  </si>
  <si>
    <t>End</t>
  </si>
  <si>
    <t xml:space="preserve">END </t>
  </si>
  <si>
    <t>LOD</t>
  </si>
  <si>
    <t>TKN_mg_L</t>
  </si>
  <si>
    <t>TKN_LOD_mg_L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</si>
</sst>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9" fontId="0" fillId="0" borderId="0" xfId="0" applyNumberFormat="1"/>
    <xf numFmtId="22" fontId="0" fillId="0" borderId="0" xfId="0" applyNumberFormat="1"/>
    <xf numFmtId="0" fontId="0" fillId="33" borderId="10" xfId="0" applyFill="1" applyBorder="1"/>
    <xf numFmtId="0" fontId="0" fillId="33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DA63-8C78-43F1-A27C-BD666D500A5B}">
  <dimension ref="A1:M65"/>
  <sheetViews>
    <sheetView tabSelected="1" workbookViewId="0">
      <selection activeCell="K6" sqref="K6"/>
    </sheetView>
  </sheetViews>
  <sheetFormatPr defaultRowHeight="15" x14ac:dyDescent="0.25"/>
  <cols>
    <col min="12" max="12" width="9.85546875" bestFit="1" customWidth="1"/>
    <col min="13" max="13" width="14.42578125" bestFit="1" customWidth="1"/>
  </cols>
  <sheetData>
    <row r="1" spans="1:13" x14ac:dyDescent="0.25">
      <c r="A1" t="s">
        <v>0</v>
      </c>
      <c r="B1" t="s">
        <v>1</v>
      </c>
    </row>
    <row r="2" spans="1:13" x14ac:dyDescent="0.25">
      <c r="A2" t="s">
        <v>2</v>
      </c>
      <c r="B2" t="s">
        <v>3</v>
      </c>
    </row>
    <row r="3" spans="1:13" ht="15.75" thickBot="1" x14ac:dyDescent="0.3">
      <c r="A3" t="s">
        <v>4</v>
      </c>
      <c r="B3" s="1">
        <v>45567</v>
      </c>
    </row>
    <row r="4" spans="1:13" ht="15.75" thickBot="1" x14ac:dyDescent="0.3">
      <c r="A4" t="s">
        <v>5</v>
      </c>
      <c r="B4" s="2">
        <v>0.63207175925925929</v>
      </c>
      <c r="F4" s="4" t="s">
        <v>52</v>
      </c>
      <c r="G4" s="5">
        <f>STDEV(I56:I60)*3.747</f>
        <v>5.1825222833095458E-2</v>
      </c>
    </row>
    <row r="5" spans="1:13" x14ac:dyDescent="0.25">
      <c r="A5" t="s">
        <v>6</v>
      </c>
      <c r="B5" t="s">
        <v>7</v>
      </c>
    </row>
    <row r="6" spans="1:13" x14ac:dyDescent="0.25">
      <c r="A6" t="s">
        <v>8</v>
      </c>
      <c r="B6" t="s">
        <v>9</v>
      </c>
    </row>
    <row r="7" spans="1:13" x14ac:dyDescent="0.25">
      <c r="A7" t="s">
        <v>10</v>
      </c>
      <c r="B7">
        <v>1</v>
      </c>
      <c r="C7">
        <v>2</v>
      </c>
    </row>
    <row r="8" spans="1:13" x14ac:dyDescent="0.25">
      <c r="A8" t="s">
        <v>11</v>
      </c>
      <c r="B8" t="s">
        <v>12</v>
      </c>
      <c r="C8" t="s">
        <v>13</v>
      </c>
    </row>
    <row r="9" spans="1:13" x14ac:dyDescent="0.25">
      <c r="A9" t="s">
        <v>14</v>
      </c>
      <c r="B9" t="s">
        <v>15</v>
      </c>
      <c r="C9" t="s">
        <v>15</v>
      </c>
    </row>
    <row r="10" spans="1:13" x14ac:dyDescent="0.25">
      <c r="A10" t="s">
        <v>16</v>
      </c>
      <c r="B10">
        <v>-1395</v>
      </c>
    </row>
    <row r="11" spans="1:13" x14ac:dyDescent="0.25">
      <c r="A11" t="s">
        <v>17</v>
      </c>
      <c r="J11">
        <v>73</v>
      </c>
    </row>
    <row r="12" spans="1:13" x14ac:dyDescent="0.25">
      <c r="A12" t="s">
        <v>18</v>
      </c>
      <c r="B12" t="s">
        <v>19</v>
      </c>
    </row>
    <row r="13" spans="1:13" x14ac:dyDescent="0.25">
      <c r="A13" t="s">
        <v>20</v>
      </c>
      <c r="B13">
        <v>0.99850000000000005</v>
      </c>
    </row>
    <row r="14" spans="1:13" x14ac:dyDescent="0.2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53</v>
      </c>
      <c r="M14" t="s">
        <v>54</v>
      </c>
    </row>
    <row r="15" spans="1:13" x14ac:dyDescent="0.25">
      <c r="A15" t="s">
        <v>30</v>
      </c>
      <c r="B15">
        <v>1</v>
      </c>
      <c r="C15">
        <v>921</v>
      </c>
      <c r="D15" t="s">
        <v>31</v>
      </c>
      <c r="E15">
        <v>0</v>
      </c>
      <c r="F15">
        <v>0</v>
      </c>
      <c r="G15">
        <v>0</v>
      </c>
      <c r="H15" s="3">
        <v>45567.632673611108</v>
      </c>
      <c r="I15">
        <v>2.2570000000000001</v>
      </c>
      <c r="J15">
        <v>115.6</v>
      </c>
      <c r="K15">
        <v>1</v>
      </c>
      <c r="L15">
        <f>I15</f>
        <v>2.2570000000000001</v>
      </c>
      <c r="M15">
        <f>IF(L15&gt;G$4,L15,"&lt;0.05")</f>
        <v>2.2570000000000001</v>
      </c>
    </row>
    <row r="16" spans="1:13" x14ac:dyDescent="0.25">
      <c r="A16" t="s">
        <v>32</v>
      </c>
      <c r="B16">
        <v>2</v>
      </c>
      <c r="C16">
        <v>921</v>
      </c>
      <c r="D16" t="s">
        <v>33</v>
      </c>
      <c r="E16">
        <v>0</v>
      </c>
      <c r="F16">
        <v>0</v>
      </c>
      <c r="G16">
        <v>0</v>
      </c>
      <c r="H16" s="3">
        <v>45567.633599537039</v>
      </c>
      <c r="I16">
        <v>2.2570000000000001</v>
      </c>
      <c r="J16">
        <v>115.57</v>
      </c>
      <c r="K16">
        <v>1</v>
      </c>
      <c r="L16">
        <f t="shared" ref="L16:L65" si="0">I16</f>
        <v>2.2570000000000001</v>
      </c>
      <c r="M16">
        <f t="shared" ref="M16:M65" si="1">IF(L16&gt;G$4,L16,"&lt;0.05")</f>
        <v>2.2570000000000001</v>
      </c>
    </row>
    <row r="17" spans="1:13" x14ac:dyDescent="0.25">
      <c r="A17" t="s">
        <v>34</v>
      </c>
      <c r="B17">
        <v>3</v>
      </c>
      <c r="C17">
        <v>905</v>
      </c>
      <c r="D17" t="s">
        <v>35</v>
      </c>
      <c r="E17">
        <v>0</v>
      </c>
      <c r="F17">
        <v>0</v>
      </c>
      <c r="G17">
        <v>0</v>
      </c>
      <c r="H17" s="3">
        <v>45567.634525462963</v>
      </c>
      <c r="I17">
        <v>-0.107</v>
      </c>
      <c r="J17">
        <v>9.75</v>
      </c>
      <c r="K17">
        <v>1</v>
      </c>
      <c r="L17">
        <f t="shared" si="0"/>
        <v>-0.107</v>
      </c>
      <c r="M17" t="str">
        <f t="shared" si="1"/>
        <v>&lt;0.05</v>
      </c>
    </row>
    <row r="18" spans="1:13" x14ac:dyDescent="0.25">
      <c r="A18" t="s">
        <v>36</v>
      </c>
      <c r="B18">
        <v>4</v>
      </c>
      <c r="C18">
        <v>0</v>
      </c>
      <c r="D18" t="s">
        <v>37</v>
      </c>
      <c r="E18">
        <v>0</v>
      </c>
      <c r="F18">
        <v>0</v>
      </c>
      <c r="G18">
        <v>0</v>
      </c>
      <c r="H18" s="3">
        <v>45567.635451388887</v>
      </c>
      <c r="I18">
        <v>-0.32500000000000001</v>
      </c>
      <c r="J18">
        <v>0</v>
      </c>
      <c r="K18">
        <v>1</v>
      </c>
      <c r="L18">
        <f t="shared" si="0"/>
        <v>-0.32500000000000001</v>
      </c>
      <c r="M18" t="str">
        <f t="shared" si="1"/>
        <v>&lt;0.05</v>
      </c>
    </row>
    <row r="19" spans="1:13" x14ac:dyDescent="0.25">
      <c r="A19" t="s">
        <v>38</v>
      </c>
      <c r="B19">
        <v>5</v>
      </c>
      <c r="C19">
        <v>921</v>
      </c>
      <c r="D19" t="s">
        <v>39</v>
      </c>
      <c r="E19">
        <v>0</v>
      </c>
      <c r="F19">
        <v>1</v>
      </c>
      <c r="G19">
        <v>1</v>
      </c>
      <c r="H19" s="3">
        <v>45567.638229166667</v>
      </c>
      <c r="I19">
        <v>2.2530000000000001</v>
      </c>
      <c r="J19">
        <v>115.43</v>
      </c>
      <c r="K19">
        <v>1</v>
      </c>
      <c r="L19">
        <f t="shared" si="0"/>
        <v>2.2530000000000001</v>
      </c>
      <c r="M19">
        <f t="shared" si="1"/>
        <v>2.2530000000000001</v>
      </c>
    </row>
    <row r="20" spans="1:13" x14ac:dyDescent="0.25">
      <c r="A20" t="s">
        <v>40</v>
      </c>
      <c r="B20">
        <v>6</v>
      </c>
      <c r="C20">
        <v>904</v>
      </c>
      <c r="D20" t="s">
        <v>41</v>
      </c>
      <c r="E20">
        <v>0</v>
      </c>
      <c r="F20">
        <v>1</v>
      </c>
      <c r="G20">
        <v>2</v>
      </c>
      <c r="H20" s="3">
        <v>45567.639155092591</v>
      </c>
      <c r="I20">
        <v>0.57999999999999996</v>
      </c>
      <c r="J20">
        <v>40.5</v>
      </c>
      <c r="K20">
        <v>1</v>
      </c>
      <c r="L20">
        <f t="shared" si="0"/>
        <v>0.57999999999999996</v>
      </c>
      <c r="M20">
        <f t="shared" si="1"/>
        <v>0.57999999999999996</v>
      </c>
    </row>
    <row r="21" spans="1:13" x14ac:dyDescent="0.25">
      <c r="A21" t="s">
        <v>40</v>
      </c>
      <c r="B21">
        <v>7</v>
      </c>
      <c r="C21">
        <v>904</v>
      </c>
      <c r="D21" t="s">
        <v>41</v>
      </c>
      <c r="E21">
        <v>0</v>
      </c>
      <c r="F21">
        <v>1</v>
      </c>
      <c r="G21">
        <v>3</v>
      </c>
      <c r="H21" s="3">
        <v>45567.640081018515</v>
      </c>
      <c r="I21">
        <v>0.57999999999999996</v>
      </c>
      <c r="J21">
        <v>40.51</v>
      </c>
      <c r="K21">
        <v>1</v>
      </c>
      <c r="L21">
        <f t="shared" si="0"/>
        <v>0.57999999999999996</v>
      </c>
      <c r="M21">
        <f t="shared" si="1"/>
        <v>0.57999999999999996</v>
      </c>
    </row>
    <row r="22" spans="1:13" x14ac:dyDescent="0.25">
      <c r="A22" t="s">
        <v>34</v>
      </c>
      <c r="B22">
        <v>8</v>
      </c>
      <c r="C22">
        <v>905</v>
      </c>
      <c r="D22" t="s">
        <v>42</v>
      </c>
      <c r="E22">
        <v>0</v>
      </c>
      <c r="F22">
        <v>0</v>
      </c>
      <c r="G22">
        <v>1</v>
      </c>
      <c r="H22" s="3">
        <v>45567.641006944446</v>
      </c>
      <c r="I22">
        <v>-0.10100000000000001</v>
      </c>
      <c r="J22">
        <v>10.050000000000001</v>
      </c>
      <c r="K22">
        <v>1</v>
      </c>
      <c r="L22">
        <f t="shared" si="0"/>
        <v>-0.10100000000000001</v>
      </c>
      <c r="M22" t="str">
        <f t="shared" si="1"/>
        <v>&lt;0.05</v>
      </c>
    </row>
    <row r="23" spans="1:13" x14ac:dyDescent="0.25">
      <c r="A23" t="s">
        <v>43</v>
      </c>
      <c r="B23">
        <v>9</v>
      </c>
      <c r="C23">
        <v>906</v>
      </c>
      <c r="D23" t="s">
        <v>44</v>
      </c>
      <c r="E23">
        <v>0</v>
      </c>
      <c r="F23">
        <v>0</v>
      </c>
      <c r="G23">
        <v>2</v>
      </c>
      <c r="H23" s="3">
        <v>45567.641932870371</v>
      </c>
      <c r="I23">
        <v>0.96199999999999997</v>
      </c>
      <c r="J23">
        <v>57.62</v>
      </c>
      <c r="K23">
        <v>1</v>
      </c>
      <c r="L23">
        <f t="shared" si="0"/>
        <v>0.96199999999999997</v>
      </c>
      <c r="M23">
        <f t="shared" si="1"/>
        <v>0.96199999999999997</v>
      </c>
    </row>
    <row r="24" spans="1:13" x14ac:dyDescent="0.25">
      <c r="A24" t="s">
        <v>45</v>
      </c>
      <c r="B24">
        <v>10</v>
      </c>
      <c r="C24">
        <v>908</v>
      </c>
      <c r="D24" t="s">
        <v>46</v>
      </c>
      <c r="E24">
        <v>0</v>
      </c>
      <c r="F24">
        <v>0</v>
      </c>
      <c r="G24">
        <v>0</v>
      </c>
      <c r="H24" s="3">
        <v>45567.642858796295</v>
      </c>
      <c r="I24">
        <v>1.635</v>
      </c>
      <c r="J24">
        <v>87.75</v>
      </c>
      <c r="K24">
        <v>1</v>
      </c>
      <c r="L24">
        <f t="shared" si="0"/>
        <v>1.635</v>
      </c>
      <c r="M24">
        <f t="shared" si="1"/>
        <v>1.635</v>
      </c>
    </row>
    <row r="25" spans="1:13" x14ac:dyDescent="0.25">
      <c r="A25" t="s">
        <v>36</v>
      </c>
      <c r="B25">
        <v>11</v>
      </c>
      <c r="C25">
        <v>0</v>
      </c>
      <c r="D25" t="s">
        <v>37</v>
      </c>
      <c r="E25">
        <v>0</v>
      </c>
      <c r="F25">
        <v>0</v>
      </c>
      <c r="G25">
        <v>0</v>
      </c>
      <c r="H25" s="3">
        <v>45567.643784722219</v>
      </c>
      <c r="I25">
        <v>-0.32500000000000001</v>
      </c>
      <c r="J25">
        <v>0</v>
      </c>
      <c r="K25">
        <v>1</v>
      </c>
      <c r="L25">
        <f t="shared" si="0"/>
        <v>-0.32500000000000001</v>
      </c>
      <c r="M25" t="str">
        <f t="shared" si="1"/>
        <v>&lt;0.05</v>
      </c>
    </row>
    <row r="26" spans="1:13" x14ac:dyDescent="0.25">
      <c r="A26">
        <v>556</v>
      </c>
      <c r="B26">
        <v>12</v>
      </c>
      <c r="C26">
        <v>1</v>
      </c>
      <c r="D26" t="s">
        <v>42</v>
      </c>
      <c r="E26">
        <v>0</v>
      </c>
      <c r="F26">
        <v>0</v>
      </c>
      <c r="G26">
        <v>0</v>
      </c>
      <c r="H26" s="3">
        <v>45567.646562499998</v>
      </c>
      <c r="I26">
        <v>-0.153</v>
      </c>
      <c r="J26">
        <v>7.7</v>
      </c>
      <c r="K26">
        <v>1</v>
      </c>
      <c r="L26">
        <f t="shared" si="0"/>
        <v>-0.153</v>
      </c>
      <c r="M26" t="str">
        <f t="shared" si="1"/>
        <v>&lt;0.05</v>
      </c>
    </row>
    <row r="27" spans="1:13" x14ac:dyDescent="0.25">
      <c r="A27">
        <v>452</v>
      </c>
      <c r="B27">
        <v>13</v>
      </c>
      <c r="C27">
        <v>2</v>
      </c>
      <c r="D27" t="s">
        <v>42</v>
      </c>
      <c r="E27">
        <v>0</v>
      </c>
      <c r="F27">
        <v>0</v>
      </c>
      <c r="G27">
        <v>0</v>
      </c>
      <c r="H27" s="3">
        <v>45567.647488425922</v>
      </c>
      <c r="I27">
        <v>8.9999999999999993E-3</v>
      </c>
      <c r="J27">
        <v>14.96</v>
      </c>
      <c r="K27">
        <v>1</v>
      </c>
      <c r="L27">
        <f t="shared" si="0"/>
        <v>8.9999999999999993E-3</v>
      </c>
      <c r="M27" t="str">
        <f t="shared" si="1"/>
        <v>&lt;0.05</v>
      </c>
    </row>
    <row r="28" spans="1:13" x14ac:dyDescent="0.25">
      <c r="A28">
        <v>426</v>
      </c>
      <c r="B28">
        <v>14</v>
      </c>
      <c r="C28">
        <v>3</v>
      </c>
      <c r="D28" t="s">
        <v>42</v>
      </c>
      <c r="E28">
        <v>0</v>
      </c>
      <c r="F28">
        <v>0</v>
      </c>
      <c r="G28">
        <v>0</v>
      </c>
      <c r="H28" s="3">
        <v>45567.648414351854</v>
      </c>
      <c r="I28">
        <v>-0.17299999999999999</v>
      </c>
      <c r="J28">
        <v>6.82</v>
      </c>
      <c r="K28">
        <v>1</v>
      </c>
      <c r="L28">
        <f t="shared" si="0"/>
        <v>-0.17299999999999999</v>
      </c>
      <c r="M28" t="str">
        <f t="shared" si="1"/>
        <v>&lt;0.05</v>
      </c>
    </row>
    <row r="29" spans="1:13" x14ac:dyDescent="0.25">
      <c r="A29">
        <v>504</v>
      </c>
      <c r="B29">
        <v>15</v>
      </c>
      <c r="C29">
        <v>4</v>
      </c>
      <c r="D29" t="s">
        <v>42</v>
      </c>
      <c r="E29">
        <v>0</v>
      </c>
      <c r="F29">
        <v>0</v>
      </c>
      <c r="G29">
        <v>0</v>
      </c>
      <c r="H29" s="3">
        <v>45567.649340277778</v>
      </c>
      <c r="I29">
        <v>-0.14399999999999999</v>
      </c>
      <c r="J29">
        <v>8.1</v>
      </c>
      <c r="K29">
        <v>1</v>
      </c>
      <c r="L29">
        <f t="shared" si="0"/>
        <v>-0.14399999999999999</v>
      </c>
      <c r="M29" t="str">
        <f t="shared" si="1"/>
        <v>&lt;0.05</v>
      </c>
    </row>
    <row r="30" spans="1:13" x14ac:dyDescent="0.25">
      <c r="A30">
        <v>517</v>
      </c>
      <c r="B30">
        <v>16</v>
      </c>
      <c r="C30">
        <v>5</v>
      </c>
      <c r="D30" t="s">
        <v>42</v>
      </c>
      <c r="E30">
        <v>0</v>
      </c>
      <c r="F30">
        <v>0</v>
      </c>
      <c r="G30">
        <v>1</v>
      </c>
      <c r="H30" s="3">
        <v>45567.650266203702</v>
      </c>
      <c r="I30">
        <v>-0.154</v>
      </c>
      <c r="J30">
        <v>7.65</v>
      </c>
      <c r="K30">
        <v>1</v>
      </c>
      <c r="L30">
        <f t="shared" si="0"/>
        <v>-0.154</v>
      </c>
      <c r="M30" t="str">
        <f t="shared" si="1"/>
        <v>&lt;0.05</v>
      </c>
    </row>
    <row r="31" spans="1:13" x14ac:dyDescent="0.25">
      <c r="A31">
        <v>530</v>
      </c>
      <c r="B31">
        <v>17</v>
      </c>
      <c r="C31">
        <v>6</v>
      </c>
      <c r="D31" t="s">
        <v>42</v>
      </c>
      <c r="E31">
        <v>0</v>
      </c>
      <c r="F31">
        <v>0</v>
      </c>
      <c r="G31">
        <v>0</v>
      </c>
      <c r="H31" s="3">
        <v>45567.651192129626</v>
      </c>
      <c r="I31">
        <v>-0.19700000000000001</v>
      </c>
      <c r="J31">
        <v>5.74</v>
      </c>
      <c r="K31">
        <v>1</v>
      </c>
      <c r="L31">
        <f t="shared" si="0"/>
        <v>-0.19700000000000001</v>
      </c>
      <c r="M31" t="str">
        <f t="shared" si="1"/>
        <v>&lt;0.05</v>
      </c>
    </row>
    <row r="32" spans="1:13" x14ac:dyDescent="0.25">
      <c r="A32">
        <v>595</v>
      </c>
      <c r="B32">
        <v>18</v>
      </c>
      <c r="C32">
        <v>7</v>
      </c>
      <c r="D32" t="s">
        <v>42</v>
      </c>
      <c r="E32">
        <v>0</v>
      </c>
      <c r="F32">
        <v>0</v>
      </c>
      <c r="G32">
        <v>0</v>
      </c>
      <c r="H32" s="3">
        <v>45567.652118055557</v>
      </c>
      <c r="I32">
        <v>-6.0999999999999999E-2</v>
      </c>
      <c r="J32">
        <v>11.82</v>
      </c>
      <c r="K32">
        <v>1</v>
      </c>
      <c r="L32">
        <f t="shared" si="0"/>
        <v>-6.0999999999999999E-2</v>
      </c>
      <c r="M32" t="str">
        <f t="shared" si="1"/>
        <v>&lt;0.05</v>
      </c>
    </row>
    <row r="33" spans="1:13" x14ac:dyDescent="0.25">
      <c r="A33">
        <v>569</v>
      </c>
      <c r="B33">
        <v>19</v>
      </c>
      <c r="C33">
        <v>8</v>
      </c>
      <c r="D33" t="s">
        <v>42</v>
      </c>
      <c r="E33">
        <v>0</v>
      </c>
      <c r="F33">
        <v>0</v>
      </c>
      <c r="G33">
        <v>0</v>
      </c>
      <c r="H33" s="3">
        <v>45567.653043981481</v>
      </c>
      <c r="I33">
        <v>-0.14099999999999999</v>
      </c>
      <c r="J33">
        <v>8.26</v>
      </c>
      <c r="K33">
        <v>1</v>
      </c>
      <c r="L33">
        <f t="shared" si="0"/>
        <v>-0.14099999999999999</v>
      </c>
      <c r="M33" t="str">
        <f t="shared" si="1"/>
        <v>&lt;0.05</v>
      </c>
    </row>
    <row r="34" spans="1:13" x14ac:dyDescent="0.25">
      <c r="A34">
        <v>400</v>
      </c>
      <c r="B34">
        <v>20</v>
      </c>
      <c r="C34">
        <v>9</v>
      </c>
      <c r="D34" t="s">
        <v>42</v>
      </c>
      <c r="E34">
        <v>0</v>
      </c>
      <c r="F34">
        <v>0</v>
      </c>
      <c r="G34">
        <v>0</v>
      </c>
      <c r="H34" s="3">
        <v>45567.653969907406</v>
      </c>
      <c r="I34">
        <v>-0.14199999999999999</v>
      </c>
      <c r="J34">
        <v>8.2200000000000006</v>
      </c>
      <c r="K34">
        <v>1</v>
      </c>
      <c r="L34">
        <f t="shared" si="0"/>
        <v>-0.14199999999999999</v>
      </c>
      <c r="M34" t="str">
        <f t="shared" si="1"/>
        <v>&lt;0.05</v>
      </c>
    </row>
    <row r="35" spans="1:13" x14ac:dyDescent="0.25">
      <c r="A35">
        <v>413</v>
      </c>
      <c r="B35">
        <v>21</v>
      </c>
      <c r="C35">
        <v>10</v>
      </c>
      <c r="D35" t="s">
        <v>42</v>
      </c>
      <c r="E35">
        <v>0</v>
      </c>
      <c r="F35">
        <v>0</v>
      </c>
      <c r="G35">
        <v>0</v>
      </c>
      <c r="H35" s="3">
        <v>45567.654895833337</v>
      </c>
      <c r="I35">
        <v>-0.14499999999999999</v>
      </c>
      <c r="J35">
        <v>8.0500000000000007</v>
      </c>
      <c r="K35">
        <v>1</v>
      </c>
      <c r="L35">
        <f t="shared" si="0"/>
        <v>-0.14499999999999999</v>
      </c>
      <c r="M35" t="str">
        <f t="shared" si="1"/>
        <v>&lt;0.05</v>
      </c>
    </row>
    <row r="36" spans="1:13" x14ac:dyDescent="0.25">
      <c r="A36">
        <v>543</v>
      </c>
      <c r="B36">
        <v>22</v>
      </c>
      <c r="C36">
        <v>11</v>
      </c>
      <c r="D36" t="s">
        <v>42</v>
      </c>
      <c r="E36">
        <v>0</v>
      </c>
      <c r="F36">
        <v>0</v>
      </c>
      <c r="G36">
        <v>0</v>
      </c>
      <c r="H36" s="3">
        <v>45567.655821759261</v>
      </c>
      <c r="I36">
        <v>-0.14499999999999999</v>
      </c>
      <c r="J36">
        <v>8.07</v>
      </c>
      <c r="K36">
        <v>1</v>
      </c>
      <c r="L36">
        <f t="shared" si="0"/>
        <v>-0.14499999999999999</v>
      </c>
      <c r="M36" t="str">
        <f t="shared" si="1"/>
        <v>&lt;0.05</v>
      </c>
    </row>
    <row r="37" spans="1:13" x14ac:dyDescent="0.25">
      <c r="A37">
        <v>387</v>
      </c>
      <c r="B37">
        <v>23</v>
      </c>
      <c r="C37">
        <v>12</v>
      </c>
      <c r="D37" t="s">
        <v>42</v>
      </c>
      <c r="E37">
        <v>0</v>
      </c>
      <c r="F37">
        <v>0</v>
      </c>
      <c r="G37">
        <v>1</v>
      </c>
      <c r="H37" s="3">
        <v>45567.656747685185</v>
      </c>
      <c r="I37">
        <v>-0.16400000000000001</v>
      </c>
      <c r="J37">
        <v>7.21</v>
      </c>
      <c r="K37">
        <v>1</v>
      </c>
      <c r="L37">
        <f t="shared" si="0"/>
        <v>-0.16400000000000001</v>
      </c>
      <c r="M37" t="str">
        <f t="shared" si="1"/>
        <v>&lt;0.05</v>
      </c>
    </row>
    <row r="38" spans="1:13" x14ac:dyDescent="0.25">
      <c r="A38" t="s">
        <v>47</v>
      </c>
      <c r="B38">
        <v>24</v>
      </c>
      <c r="C38">
        <v>13</v>
      </c>
      <c r="D38" t="s">
        <v>44</v>
      </c>
      <c r="E38">
        <v>0</v>
      </c>
      <c r="F38">
        <v>0</v>
      </c>
      <c r="G38">
        <v>2</v>
      </c>
      <c r="H38" s="3">
        <v>45567.657673611109</v>
      </c>
      <c r="I38">
        <v>1.1100000000000001</v>
      </c>
      <c r="J38">
        <v>64.23</v>
      </c>
      <c r="K38">
        <v>1</v>
      </c>
      <c r="L38">
        <f t="shared" si="0"/>
        <v>1.1100000000000001</v>
      </c>
      <c r="M38">
        <f t="shared" si="1"/>
        <v>1.1100000000000001</v>
      </c>
    </row>
    <row r="39" spans="1:13" x14ac:dyDescent="0.25">
      <c r="A39" t="s">
        <v>45</v>
      </c>
      <c r="B39">
        <v>25</v>
      </c>
      <c r="C39">
        <v>908</v>
      </c>
      <c r="D39" t="s">
        <v>46</v>
      </c>
      <c r="E39">
        <v>0</v>
      </c>
      <c r="F39">
        <v>0</v>
      </c>
      <c r="G39">
        <v>0</v>
      </c>
      <c r="H39" s="3">
        <v>45567.658599537041</v>
      </c>
      <c r="I39">
        <v>1.6140000000000001</v>
      </c>
      <c r="J39">
        <v>86.81</v>
      </c>
      <c r="K39">
        <v>1</v>
      </c>
      <c r="L39">
        <f t="shared" si="0"/>
        <v>1.6140000000000001</v>
      </c>
      <c r="M39">
        <f t="shared" si="1"/>
        <v>1.6140000000000001</v>
      </c>
    </row>
    <row r="40" spans="1:13" x14ac:dyDescent="0.25">
      <c r="A40" t="s">
        <v>36</v>
      </c>
      <c r="B40">
        <v>26</v>
      </c>
      <c r="C40">
        <v>0</v>
      </c>
      <c r="D40" t="s">
        <v>37</v>
      </c>
      <c r="E40">
        <v>0</v>
      </c>
      <c r="F40">
        <v>0</v>
      </c>
      <c r="G40">
        <v>0</v>
      </c>
      <c r="H40" s="3">
        <v>45567.659525462965</v>
      </c>
      <c r="I40">
        <v>-0.32500000000000001</v>
      </c>
      <c r="J40">
        <v>0</v>
      </c>
      <c r="K40">
        <v>1</v>
      </c>
      <c r="L40">
        <f t="shared" si="0"/>
        <v>-0.32500000000000001</v>
      </c>
      <c r="M40" t="str">
        <f t="shared" si="1"/>
        <v>&lt;0.05</v>
      </c>
    </row>
    <row r="41" spans="1:13" x14ac:dyDescent="0.25">
      <c r="A41">
        <v>309</v>
      </c>
      <c r="B41">
        <v>27</v>
      </c>
      <c r="C41">
        <v>14</v>
      </c>
      <c r="D41" t="s">
        <v>42</v>
      </c>
      <c r="E41">
        <v>0</v>
      </c>
      <c r="F41">
        <v>0</v>
      </c>
      <c r="G41">
        <v>0</v>
      </c>
      <c r="H41" s="3">
        <v>45567.662303240744</v>
      </c>
      <c r="I41">
        <v>-0.20899999999999999</v>
      </c>
      <c r="J41">
        <v>5.2</v>
      </c>
      <c r="K41">
        <v>1</v>
      </c>
      <c r="L41">
        <f t="shared" si="0"/>
        <v>-0.20899999999999999</v>
      </c>
      <c r="M41" t="str">
        <f t="shared" si="1"/>
        <v>&lt;0.05</v>
      </c>
    </row>
    <row r="42" spans="1:13" x14ac:dyDescent="0.25">
      <c r="A42">
        <v>374</v>
      </c>
      <c r="B42">
        <v>28</v>
      </c>
      <c r="C42">
        <v>15</v>
      </c>
      <c r="D42" t="s">
        <v>42</v>
      </c>
      <c r="E42">
        <v>0</v>
      </c>
      <c r="F42">
        <v>0</v>
      </c>
      <c r="G42">
        <v>0</v>
      </c>
      <c r="H42" s="3">
        <v>45567.663229166668</v>
      </c>
      <c r="I42">
        <v>-0.16300000000000001</v>
      </c>
      <c r="J42">
        <v>7.24</v>
      </c>
      <c r="K42">
        <v>1</v>
      </c>
      <c r="L42">
        <f t="shared" si="0"/>
        <v>-0.16300000000000001</v>
      </c>
      <c r="M42" t="str">
        <f t="shared" si="1"/>
        <v>&lt;0.05</v>
      </c>
    </row>
    <row r="43" spans="1:13" x14ac:dyDescent="0.25">
      <c r="A43">
        <v>465</v>
      </c>
      <c r="B43">
        <v>29</v>
      </c>
      <c r="C43">
        <v>16</v>
      </c>
      <c r="D43" t="s">
        <v>42</v>
      </c>
      <c r="E43">
        <v>0</v>
      </c>
      <c r="F43">
        <v>0</v>
      </c>
      <c r="G43">
        <v>0</v>
      </c>
      <c r="H43" s="3">
        <v>45567.664155092592</v>
      </c>
      <c r="I43">
        <v>-0.20599999999999999</v>
      </c>
      <c r="J43">
        <v>5.35</v>
      </c>
      <c r="K43">
        <v>1</v>
      </c>
      <c r="L43">
        <f t="shared" si="0"/>
        <v>-0.20599999999999999</v>
      </c>
      <c r="M43" t="str">
        <f t="shared" si="1"/>
        <v>&lt;0.05</v>
      </c>
    </row>
    <row r="44" spans="1:13" x14ac:dyDescent="0.25">
      <c r="A44">
        <v>348</v>
      </c>
      <c r="B44">
        <v>30</v>
      </c>
      <c r="C44">
        <v>17</v>
      </c>
      <c r="D44" t="s">
        <v>42</v>
      </c>
      <c r="E44">
        <v>0</v>
      </c>
      <c r="F44">
        <v>0</v>
      </c>
      <c r="G44">
        <v>0</v>
      </c>
      <c r="H44" s="3">
        <v>45567.665081018517</v>
      </c>
      <c r="I44">
        <v>-0.22500000000000001</v>
      </c>
      <c r="J44">
        <v>4.49</v>
      </c>
      <c r="K44">
        <v>1</v>
      </c>
      <c r="L44">
        <f t="shared" si="0"/>
        <v>-0.22500000000000001</v>
      </c>
      <c r="M44" t="str">
        <f t="shared" si="1"/>
        <v>&lt;0.05</v>
      </c>
    </row>
    <row r="45" spans="1:13" x14ac:dyDescent="0.25">
      <c r="A45">
        <v>361</v>
      </c>
      <c r="B45">
        <v>31</v>
      </c>
      <c r="C45">
        <v>18</v>
      </c>
      <c r="D45" t="s">
        <v>42</v>
      </c>
      <c r="E45">
        <v>0</v>
      </c>
      <c r="F45">
        <v>0</v>
      </c>
      <c r="G45">
        <v>1</v>
      </c>
      <c r="H45" s="3">
        <v>45567.666006944448</v>
      </c>
      <c r="I45">
        <v>-0.16700000000000001</v>
      </c>
      <c r="J45">
        <v>7.07</v>
      </c>
      <c r="K45">
        <v>1</v>
      </c>
      <c r="L45">
        <f t="shared" si="0"/>
        <v>-0.16700000000000001</v>
      </c>
      <c r="M45" t="str">
        <f t="shared" si="1"/>
        <v>&lt;0.05</v>
      </c>
    </row>
    <row r="46" spans="1:13" x14ac:dyDescent="0.25">
      <c r="A46">
        <v>491</v>
      </c>
      <c r="B46">
        <v>32</v>
      </c>
      <c r="C46">
        <v>19</v>
      </c>
      <c r="D46" t="s">
        <v>42</v>
      </c>
      <c r="E46">
        <v>0</v>
      </c>
      <c r="F46">
        <v>0</v>
      </c>
      <c r="G46">
        <v>0</v>
      </c>
      <c r="H46" s="3">
        <v>45567.666932870372</v>
      </c>
      <c r="I46">
        <v>-0.13600000000000001</v>
      </c>
      <c r="J46">
        <v>8.4499999999999993</v>
      </c>
      <c r="K46">
        <v>1</v>
      </c>
      <c r="L46">
        <f t="shared" si="0"/>
        <v>-0.13600000000000001</v>
      </c>
      <c r="M46" t="str">
        <f t="shared" si="1"/>
        <v>&lt;0.05</v>
      </c>
    </row>
    <row r="47" spans="1:13" x14ac:dyDescent="0.25">
      <c r="A47">
        <v>231</v>
      </c>
      <c r="B47">
        <v>33</v>
      </c>
      <c r="C47">
        <v>20</v>
      </c>
      <c r="D47" t="s">
        <v>42</v>
      </c>
      <c r="E47">
        <v>0</v>
      </c>
      <c r="F47">
        <v>0</v>
      </c>
      <c r="G47">
        <v>0</v>
      </c>
      <c r="H47" s="3">
        <v>45567.667858796296</v>
      </c>
      <c r="I47">
        <v>-0.17199999999999999</v>
      </c>
      <c r="J47">
        <v>6.85</v>
      </c>
      <c r="K47">
        <v>1</v>
      </c>
      <c r="L47">
        <f t="shared" si="0"/>
        <v>-0.17199999999999999</v>
      </c>
      <c r="M47" t="str">
        <f t="shared" si="1"/>
        <v>&lt;0.05</v>
      </c>
    </row>
    <row r="48" spans="1:13" x14ac:dyDescent="0.25">
      <c r="A48">
        <v>439</v>
      </c>
      <c r="B48">
        <v>34</v>
      </c>
      <c r="C48">
        <v>21</v>
      </c>
      <c r="D48" t="s">
        <v>42</v>
      </c>
      <c r="E48">
        <v>0</v>
      </c>
      <c r="F48">
        <v>0</v>
      </c>
      <c r="G48">
        <v>0</v>
      </c>
      <c r="H48" s="3">
        <v>45567.66878472222</v>
      </c>
      <c r="I48">
        <v>-0.23499999999999999</v>
      </c>
      <c r="J48">
        <v>4.05</v>
      </c>
      <c r="K48">
        <v>1</v>
      </c>
      <c r="L48">
        <f t="shared" si="0"/>
        <v>-0.23499999999999999</v>
      </c>
      <c r="M48" t="str">
        <f t="shared" si="1"/>
        <v>&lt;0.05</v>
      </c>
    </row>
    <row r="49" spans="1:13" x14ac:dyDescent="0.25">
      <c r="A49">
        <v>478</v>
      </c>
      <c r="B49">
        <v>35</v>
      </c>
      <c r="C49">
        <v>22</v>
      </c>
      <c r="D49" t="s">
        <v>42</v>
      </c>
      <c r="E49">
        <v>0</v>
      </c>
      <c r="F49">
        <v>0</v>
      </c>
      <c r="G49">
        <v>0</v>
      </c>
      <c r="H49" s="3">
        <v>45567.669710648152</v>
      </c>
      <c r="I49">
        <v>-0.221</v>
      </c>
      <c r="J49">
        <v>4.67</v>
      </c>
      <c r="K49">
        <v>1</v>
      </c>
      <c r="L49">
        <f t="shared" si="0"/>
        <v>-0.221</v>
      </c>
      <c r="M49" t="str">
        <f t="shared" si="1"/>
        <v>&lt;0.05</v>
      </c>
    </row>
    <row r="50" spans="1:13" x14ac:dyDescent="0.25">
      <c r="A50">
        <v>608</v>
      </c>
      <c r="B50">
        <v>36</v>
      </c>
      <c r="C50">
        <v>23</v>
      </c>
      <c r="D50" t="s">
        <v>42</v>
      </c>
      <c r="E50">
        <v>0</v>
      </c>
      <c r="F50">
        <v>0</v>
      </c>
      <c r="G50">
        <v>0</v>
      </c>
      <c r="H50" s="3">
        <v>45567.670636574076</v>
      </c>
      <c r="I50">
        <v>0.104</v>
      </c>
      <c r="J50">
        <v>19.23</v>
      </c>
      <c r="K50">
        <v>1</v>
      </c>
      <c r="L50">
        <f t="shared" si="0"/>
        <v>0.104</v>
      </c>
      <c r="M50">
        <f t="shared" si="1"/>
        <v>0.104</v>
      </c>
    </row>
    <row r="51" spans="1:13" x14ac:dyDescent="0.25">
      <c r="A51">
        <v>582</v>
      </c>
      <c r="B51">
        <v>37</v>
      </c>
      <c r="C51">
        <v>24</v>
      </c>
      <c r="D51" t="s">
        <v>42</v>
      </c>
      <c r="E51">
        <v>0</v>
      </c>
      <c r="F51">
        <v>0</v>
      </c>
      <c r="G51">
        <v>0</v>
      </c>
      <c r="H51" s="3">
        <v>45567.6715625</v>
      </c>
      <c r="I51">
        <v>-0.246</v>
      </c>
      <c r="J51">
        <v>3.56</v>
      </c>
      <c r="K51">
        <v>1</v>
      </c>
      <c r="L51">
        <f t="shared" si="0"/>
        <v>-0.246</v>
      </c>
      <c r="M51" t="str">
        <f t="shared" si="1"/>
        <v>&lt;0.05</v>
      </c>
    </row>
    <row r="52" spans="1:13" x14ac:dyDescent="0.25">
      <c r="A52" t="s">
        <v>48</v>
      </c>
      <c r="B52">
        <v>38</v>
      </c>
      <c r="C52">
        <v>25</v>
      </c>
      <c r="D52" t="s">
        <v>44</v>
      </c>
      <c r="E52">
        <v>0</v>
      </c>
      <c r="F52">
        <v>0</v>
      </c>
      <c r="G52">
        <v>1</v>
      </c>
      <c r="H52" s="3">
        <v>45567.672488425924</v>
      </c>
      <c r="I52">
        <v>0.68</v>
      </c>
      <c r="J52">
        <v>45.01</v>
      </c>
      <c r="K52">
        <v>1</v>
      </c>
      <c r="L52">
        <f t="shared" si="0"/>
        <v>0.68</v>
      </c>
      <c r="M52">
        <f t="shared" si="1"/>
        <v>0.68</v>
      </c>
    </row>
    <row r="53" spans="1:13" x14ac:dyDescent="0.25">
      <c r="A53" t="s">
        <v>45</v>
      </c>
      <c r="B53">
        <v>39</v>
      </c>
      <c r="C53">
        <v>908</v>
      </c>
      <c r="D53" t="s">
        <v>46</v>
      </c>
      <c r="E53">
        <v>0</v>
      </c>
      <c r="F53">
        <v>0</v>
      </c>
      <c r="G53">
        <v>0</v>
      </c>
      <c r="H53" s="3">
        <v>45567.673414351855</v>
      </c>
      <c r="I53">
        <v>1.6060000000000001</v>
      </c>
      <c r="J53">
        <v>86.45</v>
      </c>
      <c r="K53">
        <v>1</v>
      </c>
      <c r="L53">
        <f t="shared" si="0"/>
        <v>1.6060000000000001</v>
      </c>
      <c r="M53">
        <f t="shared" si="1"/>
        <v>1.6060000000000001</v>
      </c>
    </row>
    <row r="54" spans="1:13" x14ac:dyDescent="0.25">
      <c r="A54" t="s">
        <v>36</v>
      </c>
      <c r="B54">
        <v>40</v>
      </c>
      <c r="C54">
        <v>0</v>
      </c>
      <c r="D54" t="s">
        <v>37</v>
      </c>
      <c r="E54">
        <v>0</v>
      </c>
      <c r="F54">
        <v>0</v>
      </c>
      <c r="G54">
        <v>0</v>
      </c>
      <c r="H54" s="3">
        <v>45567.674340277779</v>
      </c>
      <c r="I54">
        <v>-0.32500000000000001</v>
      </c>
      <c r="J54">
        <v>0</v>
      </c>
      <c r="K54">
        <v>1</v>
      </c>
      <c r="L54">
        <f t="shared" si="0"/>
        <v>-0.32500000000000001</v>
      </c>
      <c r="M54" t="str">
        <f t="shared" si="1"/>
        <v>&lt;0.05</v>
      </c>
    </row>
    <row r="55" spans="1:13" x14ac:dyDescent="0.25">
      <c r="A55" t="s">
        <v>32</v>
      </c>
      <c r="B55">
        <v>41</v>
      </c>
      <c r="C55">
        <v>921</v>
      </c>
      <c r="D55" t="s">
        <v>33</v>
      </c>
      <c r="E55">
        <v>0</v>
      </c>
      <c r="F55">
        <v>0</v>
      </c>
      <c r="G55">
        <v>0</v>
      </c>
      <c r="H55" s="3">
        <v>45567.677118055559</v>
      </c>
      <c r="I55">
        <v>2.2570000000000001</v>
      </c>
      <c r="J55">
        <v>115.57</v>
      </c>
      <c r="K55">
        <v>1</v>
      </c>
      <c r="L55">
        <f t="shared" si="0"/>
        <v>2.2570000000000001</v>
      </c>
      <c r="M55">
        <f t="shared" si="1"/>
        <v>2.2570000000000001</v>
      </c>
    </row>
    <row r="56" spans="1:13" x14ac:dyDescent="0.25">
      <c r="A56" t="s">
        <v>34</v>
      </c>
      <c r="B56">
        <v>42</v>
      </c>
      <c r="C56">
        <v>905</v>
      </c>
      <c r="D56" t="s">
        <v>42</v>
      </c>
      <c r="E56">
        <v>0</v>
      </c>
      <c r="F56">
        <v>0</v>
      </c>
      <c r="G56">
        <v>0</v>
      </c>
      <c r="H56" s="3">
        <v>45567.678043981483</v>
      </c>
      <c r="I56">
        <v>-0.106</v>
      </c>
      <c r="J56">
        <v>9.7899999999999991</v>
      </c>
      <c r="K56">
        <v>1</v>
      </c>
      <c r="L56">
        <f t="shared" si="0"/>
        <v>-0.106</v>
      </c>
      <c r="M56" t="str">
        <f t="shared" si="1"/>
        <v>&lt;0.05</v>
      </c>
    </row>
    <row r="57" spans="1:13" x14ac:dyDescent="0.25">
      <c r="A57" t="s">
        <v>34</v>
      </c>
      <c r="B57">
        <v>43</v>
      </c>
      <c r="C57">
        <v>905</v>
      </c>
      <c r="D57" t="s">
        <v>42</v>
      </c>
      <c r="E57">
        <v>0</v>
      </c>
      <c r="F57">
        <v>0</v>
      </c>
      <c r="G57">
        <v>0</v>
      </c>
      <c r="H57" s="3">
        <v>45567.678969907407</v>
      </c>
      <c r="I57">
        <v>-0.11600000000000001</v>
      </c>
      <c r="J57">
        <v>9.3800000000000008</v>
      </c>
      <c r="K57">
        <v>1</v>
      </c>
      <c r="L57">
        <f t="shared" si="0"/>
        <v>-0.11600000000000001</v>
      </c>
      <c r="M57" t="str">
        <f t="shared" si="1"/>
        <v>&lt;0.05</v>
      </c>
    </row>
    <row r="58" spans="1:13" x14ac:dyDescent="0.25">
      <c r="A58" t="s">
        <v>34</v>
      </c>
      <c r="B58">
        <v>44</v>
      </c>
      <c r="C58">
        <v>905</v>
      </c>
      <c r="D58" t="s">
        <v>42</v>
      </c>
      <c r="E58">
        <v>0</v>
      </c>
      <c r="F58">
        <v>0</v>
      </c>
      <c r="G58">
        <v>0</v>
      </c>
      <c r="H58" s="3">
        <v>45567.679895833331</v>
      </c>
      <c r="I58">
        <v>-0.127</v>
      </c>
      <c r="J58">
        <v>8.85</v>
      </c>
      <c r="K58">
        <v>1</v>
      </c>
      <c r="L58">
        <f t="shared" si="0"/>
        <v>-0.127</v>
      </c>
      <c r="M58" t="str">
        <f t="shared" si="1"/>
        <v>&lt;0.05</v>
      </c>
    </row>
    <row r="59" spans="1:13" x14ac:dyDescent="0.25">
      <c r="A59" t="s">
        <v>34</v>
      </c>
      <c r="B59">
        <v>45</v>
      </c>
      <c r="C59">
        <v>905</v>
      </c>
      <c r="D59" t="s">
        <v>42</v>
      </c>
      <c r="E59">
        <v>0</v>
      </c>
      <c r="F59">
        <v>0</v>
      </c>
      <c r="G59">
        <v>0</v>
      </c>
      <c r="H59" s="3">
        <v>45567.680821759262</v>
      </c>
      <c r="I59">
        <v>-0.13300000000000001</v>
      </c>
      <c r="J59">
        <v>8.58</v>
      </c>
      <c r="K59">
        <v>1</v>
      </c>
      <c r="L59">
        <f t="shared" si="0"/>
        <v>-0.13300000000000001</v>
      </c>
      <c r="M59" t="str">
        <f t="shared" si="1"/>
        <v>&lt;0.05</v>
      </c>
    </row>
    <row r="60" spans="1:13" x14ac:dyDescent="0.25">
      <c r="A60" t="s">
        <v>34</v>
      </c>
      <c r="B60">
        <v>46</v>
      </c>
      <c r="C60">
        <v>905</v>
      </c>
      <c r="D60" t="s">
        <v>42</v>
      </c>
      <c r="E60">
        <v>0</v>
      </c>
      <c r="F60">
        <v>0</v>
      </c>
      <c r="G60">
        <v>0</v>
      </c>
      <c r="H60" s="3">
        <v>45567.681747685187</v>
      </c>
      <c r="I60">
        <v>-0.14099999999999999</v>
      </c>
      <c r="J60">
        <v>8.26</v>
      </c>
      <c r="K60">
        <v>1</v>
      </c>
      <c r="L60">
        <f t="shared" si="0"/>
        <v>-0.14099999999999999</v>
      </c>
      <c r="M60" t="str">
        <f t="shared" si="1"/>
        <v>&lt;0.05</v>
      </c>
    </row>
    <row r="61" spans="1:13" x14ac:dyDescent="0.25">
      <c r="A61" t="s">
        <v>49</v>
      </c>
      <c r="B61">
        <v>47</v>
      </c>
      <c r="C61">
        <v>906</v>
      </c>
      <c r="D61" t="s">
        <v>44</v>
      </c>
      <c r="E61">
        <v>0</v>
      </c>
      <c r="F61">
        <v>0</v>
      </c>
      <c r="G61">
        <v>1</v>
      </c>
      <c r="H61" s="3">
        <v>45567.682673611111</v>
      </c>
      <c r="I61">
        <v>0.96699999999999997</v>
      </c>
      <c r="J61">
        <v>57.85</v>
      </c>
      <c r="K61">
        <v>1</v>
      </c>
      <c r="L61">
        <f t="shared" si="0"/>
        <v>0.96699999999999997</v>
      </c>
      <c r="M61">
        <f t="shared" si="1"/>
        <v>0.96699999999999997</v>
      </c>
    </row>
    <row r="62" spans="1:13" x14ac:dyDescent="0.25">
      <c r="A62" t="s">
        <v>45</v>
      </c>
      <c r="B62">
        <v>48</v>
      </c>
      <c r="C62">
        <v>908</v>
      </c>
      <c r="D62" t="s">
        <v>46</v>
      </c>
      <c r="E62">
        <v>0</v>
      </c>
      <c r="F62">
        <v>0</v>
      </c>
      <c r="G62">
        <v>0</v>
      </c>
      <c r="H62" s="3">
        <v>45567.683599537035</v>
      </c>
      <c r="I62">
        <v>1.5940000000000001</v>
      </c>
      <c r="J62">
        <v>85.9</v>
      </c>
      <c r="K62">
        <v>1</v>
      </c>
      <c r="L62">
        <f t="shared" si="0"/>
        <v>1.5940000000000001</v>
      </c>
      <c r="M62">
        <f t="shared" si="1"/>
        <v>1.5940000000000001</v>
      </c>
    </row>
    <row r="63" spans="1:13" x14ac:dyDescent="0.25">
      <c r="A63" t="s">
        <v>36</v>
      </c>
      <c r="B63">
        <v>49</v>
      </c>
      <c r="C63">
        <v>0</v>
      </c>
      <c r="D63" t="s">
        <v>37</v>
      </c>
      <c r="E63">
        <v>0</v>
      </c>
      <c r="F63">
        <v>0</v>
      </c>
      <c r="G63">
        <v>0</v>
      </c>
      <c r="H63" s="3">
        <v>45567.684525462966</v>
      </c>
      <c r="I63">
        <v>-0.32500000000000001</v>
      </c>
      <c r="J63">
        <v>0</v>
      </c>
      <c r="K63">
        <v>1</v>
      </c>
      <c r="L63">
        <f t="shared" si="0"/>
        <v>-0.32500000000000001</v>
      </c>
      <c r="M63" t="str">
        <f t="shared" si="1"/>
        <v>&lt;0.05</v>
      </c>
    </row>
    <row r="64" spans="1:13" x14ac:dyDescent="0.25">
      <c r="A64" t="s">
        <v>32</v>
      </c>
      <c r="B64">
        <v>50</v>
      </c>
      <c r="C64">
        <v>921</v>
      </c>
      <c r="D64" t="s">
        <v>33</v>
      </c>
      <c r="E64">
        <v>0</v>
      </c>
      <c r="F64">
        <v>0</v>
      </c>
      <c r="G64">
        <v>0</v>
      </c>
      <c r="H64" s="3">
        <v>45567.687303240738</v>
      </c>
      <c r="I64">
        <v>2.2570000000000001</v>
      </c>
      <c r="J64">
        <v>115.57</v>
      </c>
      <c r="K64">
        <v>1</v>
      </c>
      <c r="L64">
        <f t="shared" si="0"/>
        <v>2.2570000000000001</v>
      </c>
      <c r="M64">
        <f t="shared" si="1"/>
        <v>2.2570000000000001</v>
      </c>
    </row>
    <row r="65" spans="1:13" x14ac:dyDescent="0.25">
      <c r="A65" t="s">
        <v>50</v>
      </c>
      <c r="B65">
        <v>51</v>
      </c>
      <c r="C65">
        <v>0</v>
      </c>
      <c r="D65" t="s">
        <v>51</v>
      </c>
      <c r="E65">
        <v>0</v>
      </c>
      <c r="F65">
        <v>0</v>
      </c>
      <c r="G65">
        <v>0</v>
      </c>
      <c r="H65" s="3">
        <v>45567.68822916667</v>
      </c>
      <c r="I65">
        <v>-0.32500000000000001</v>
      </c>
      <c r="J65">
        <v>0</v>
      </c>
      <c r="K65">
        <v>1</v>
      </c>
      <c r="L65">
        <f t="shared" si="0"/>
        <v>-0.32500000000000001</v>
      </c>
      <c r="M65" t="str">
        <f t="shared" si="1"/>
        <v>&lt;0.05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241002_Q6_TKN6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2024-10-03T21:02:30Z</dcterms:created>
  <dcterms:modified xsi:type="dcterms:W3CDTF">2024-10-03T21:02:30Z</dcterms:modified>
</cp:coreProperties>
</file>