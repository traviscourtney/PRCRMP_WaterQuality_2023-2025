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6/"/>
    </mc:Choice>
  </mc:AlternateContent>
  <xr:revisionPtr revIDLastSave="37" documentId="8_{87172FD8-D98F-400D-B756-C5AE7E8812FF}" xr6:coauthVersionLast="47" xr6:coauthVersionMax="47" xr10:uidLastSave="{E0B35A9B-8F9F-44AF-9F54-8FA0A364DA6C}"/>
  <bookViews>
    <workbookView xWindow="-120" yWindow="-120" windowWidth="29040" windowHeight="15720" xr2:uid="{8ABD287F-6178-4DC7-8513-7ED4A0B2611C}"/>
  </bookViews>
  <sheets>
    <sheet name="Quarter_5_Replicat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Q17" i="1"/>
  <c r="R17" i="1"/>
  <c r="S17" i="1"/>
  <c r="T17" i="1"/>
  <c r="U17" i="1"/>
  <c r="V17" i="1"/>
  <c r="W17" i="1"/>
  <c r="X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B18" i="1"/>
  <c r="B17" i="1"/>
  <c r="W25" i="1"/>
  <c r="Q25" i="1"/>
  <c r="O25" i="1"/>
  <c r="I25" i="1"/>
  <c r="G25" i="1"/>
  <c r="X26" i="1"/>
  <c r="V26" i="1"/>
  <c r="P25" i="1"/>
  <c r="N26" i="1"/>
  <c r="J26" i="1"/>
  <c r="H25" i="1"/>
  <c r="F26" i="1"/>
  <c r="W23" i="1"/>
  <c r="U24" i="1"/>
  <c r="O23" i="1"/>
  <c r="M23" i="1"/>
  <c r="I24" i="1"/>
  <c r="G23" i="1"/>
  <c r="E23" i="1"/>
  <c r="T23" i="1"/>
  <c r="N23" i="1"/>
  <c r="L24" i="1"/>
  <c r="H23" i="1"/>
  <c r="F23" i="1"/>
  <c r="D24" i="1"/>
  <c r="U22" i="1"/>
  <c r="S22" i="1"/>
  <c r="O22" i="1"/>
  <c r="M21" i="1"/>
  <c r="K22" i="1"/>
  <c r="E21" i="1"/>
  <c r="C21" i="1"/>
  <c r="R21" i="1"/>
  <c r="N21" i="1"/>
  <c r="L21" i="1"/>
  <c r="J21" i="1"/>
  <c r="B21" i="1"/>
  <c r="Q20" i="1"/>
  <c r="M20" i="1"/>
  <c r="L19" i="1"/>
  <c r="K19" i="1"/>
  <c r="D19" i="1"/>
  <c r="X20" i="1"/>
  <c r="T19" i="1"/>
  <c r="S20" i="1"/>
  <c r="R19" i="1"/>
  <c r="Q19" i="1"/>
  <c r="P20" i="1"/>
  <c r="L20" i="1"/>
  <c r="K20" i="1"/>
  <c r="J19" i="1"/>
  <c r="I20" i="1"/>
  <c r="H19" i="1"/>
  <c r="C20" i="1"/>
  <c r="Q26" i="1"/>
  <c r="U25" i="1"/>
  <c r="R26" i="1"/>
  <c r="M25" i="1"/>
  <c r="E25" i="1"/>
  <c r="B26" i="1"/>
  <c r="T24" i="1"/>
  <c r="Q24" i="1"/>
  <c r="O24" i="1"/>
  <c r="X23" i="1"/>
  <c r="V23" i="1"/>
  <c r="S23" i="1"/>
  <c r="P23" i="1"/>
  <c r="K23" i="1"/>
  <c r="C23" i="1"/>
  <c r="W22" i="1"/>
  <c r="R22" i="1"/>
  <c r="G22" i="1"/>
  <c r="B22" i="1"/>
  <c r="V21" i="1"/>
  <c r="T21" i="1"/>
  <c r="Q21" i="1"/>
  <c r="I21" i="1"/>
  <c r="F21" i="1"/>
  <c r="D21" i="1"/>
  <c r="U20" i="1"/>
  <c r="E20" i="1"/>
  <c r="W19" i="1"/>
  <c r="O19" i="1"/>
  <c r="G19" i="1"/>
  <c r="B19" i="1"/>
  <c r="U26" i="1"/>
  <c r="T26" i="1"/>
  <c r="S26" i="1"/>
  <c r="O26" i="1"/>
  <c r="M26" i="1"/>
  <c r="L26" i="1"/>
  <c r="K26" i="1"/>
  <c r="E26" i="1"/>
  <c r="D26" i="1"/>
  <c r="C26" i="1"/>
  <c r="T25" i="1"/>
  <c r="S25" i="1"/>
  <c r="N25" i="1"/>
  <c r="L25" i="1"/>
  <c r="K25" i="1"/>
  <c r="D25" i="1"/>
  <c r="C25" i="1"/>
  <c r="X24" i="1"/>
  <c r="R24" i="1"/>
  <c r="P24" i="1"/>
  <c r="J24" i="1"/>
  <c r="H24" i="1"/>
  <c r="B24" i="1"/>
  <c r="U23" i="1"/>
  <c r="R23" i="1"/>
  <c r="Q23" i="1"/>
  <c r="L23" i="1"/>
  <c r="J23" i="1"/>
  <c r="I23" i="1"/>
  <c r="B23" i="1"/>
  <c r="X22" i="1"/>
  <c r="V22" i="1"/>
  <c r="P22" i="1"/>
  <c r="N22" i="1"/>
  <c r="H22" i="1"/>
  <c r="F22" i="1"/>
  <c r="X21" i="1"/>
  <c r="W21" i="1"/>
  <c r="U21" i="1"/>
  <c r="P21" i="1"/>
  <c r="O21" i="1"/>
  <c r="K21" i="1"/>
  <c r="H21" i="1"/>
  <c r="G21" i="1"/>
  <c r="V20" i="1"/>
  <c r="T20" i="1"/>
  <c r="N20" i="1"/>
  <c r="F20" i="1"/>
  <c r="V19" i="1"/>
  <c r="U19" i="1"/>
  <c r="S19" i="1"/>
  <c r="N19" i="1"/>
  <c r="M19" i="1"/>
  <c r="I19" i="1"/>
  <c r="F19" i="1"/>
  <c r="E19" i="1"/>
  <c r="E24" i="1" l="1"/>
  <c r="G26" i="1"/>
  <c r="H20" i="1"/>
  <c r="E22" i="1"/>
  <c r="X25" i="1"/>
  <c r="X19" i="1"/>
  <c r="C22" i="1"/>
  <c r="W24" i="1"/>
  <c r="H26" i="1"/>
  <c r="D23" i="1"/>
  <c r="F25" i="1"/>
  <c r="W26" i="1"/>
  <c r="J22" i="1"/>
  <c r="G24" i="1"/>
  <c r="D20" i="1"/>
  <c r="C19" i="1"/>
  <c r="P19" i="1"/>
  <c r="M24" i="1"/>
  <c r="M22" i="1"/>
  <c r="I26" i="1"/>
  <c r="S21" i="1"/>
  <c r="V25" i="1"/>
  <c r="P26" i="1"/>
  <c r="B25" i="1"/>
  <c r="J25" i="1"/>
  <c r="R25" i="1"/>
  <c r="G20" i="1"/>
  <c r="O20" i="1"/>
  <c r="W20" i="1"/>
  <c r="I22" i="1"/>
  <c r="Q22" i="1"/>
  <c r="C24" i="1"/>
  <c r="K24" i="1"/>
  <c r="S24" i="1"/>
  <c r="B20" i="1"/>
  <c r="J20" i="1"/>
  <c r="R20" i="1"/>
  <c r="D22" i="1"/>
  <c r="L22" i="1"/>
  <c r="T22" i="1"/>
  <c r="F24" i="1"/>
  <c r="N24" i="1"/>
  <c r="V24" i="1"/>
</calcChain>
</file>

<file path=xl/sharedStrings.xml><?xml version="1.0" encoding="utf-8"?>
<sst xmlns="http://schemas.openxmlformats.org/spreadsheetml/2006/main" count="108" uniqueCount="52">
  <si>
    <t>Site_Code</t>
  </si>
  <si>
    <t>Surface_Temp_C</t>
  </si>
  <si>
    <t>Surface_Sal_psu</t>
  </si>
  <si>
    <t>Surface_DO_mg_L</t>
  </si>
  <si>
    <t>Surface_pH</t>
  </si>
  <si>
    <t>Bottom_Temp_C</t>
  </si>
  <si>
    <t>Bottom_Sal_psu</t>
  </si>
  <si>
    <t>Bottom_DO_mg_L</t>
  </si>
  <si>
    <t>Bottom_pH</t>
  </si>
  <si>
    <t>Secchi_Avg_Depth</t>
  </si>
  <si>
    <t>TSS (mg/L)</t>
  </si>
  <si>
    <t>Enterococcus (MPN)</t>
  </si>
  <si>
    <t>SS (ml/L)</t>
  </si>
  <si>
    <t>Surface BOD (mg/L)</t>
  </si>
  <si>
    <t>Bottom BOD (mg/L)</t>
  </si>
  <si>
    <t>Chl-a (Âµg/L)</t>
  </si>
  <si>
    <t>Turbidity (NTU)</t>
  </si>
  <si>
    <t>Surface DIC (Âµmol/kg)</t>
  </si>
  <si>
    <t>Bottom DIC (Âµmol/kg)</t>
  </si>
  <si>
    <t>Surface TA (Âµmol/kg)</t>
  </si>
  <si>
    <t>Bottom TA (Âµmol/kg)</t>
  </si>
  <si>
    <t>NOx LOD (mg/L)</t>
  </si>
  <si>
    <t>PO4 LOD (mg/L)</t>
  </si>
  <si>
    <t>TKN LOD (mg/L)</t>
  </si>
  <si>
    <t>DOMI05</t>
  </si>
  <si>
    <t>&gt;3</t>
  </si>
  <si>
    <t>&lt; 0.1</t>
  </si>
  <si>
    <t>DOMI05-R</t>
  </si>
  <si>
    <t>MLUN05</t>
  </si>
  <si>
    <t>&lt; 10</t>
  </si>
  <si>
    <t>MLUN05-R</t>
  </si>
  <si>
    <t>NEGR05</t>
  </si>
  <si>
    <t>&gt;5</t>
  </si>
  <si>
    <t>NEGR05-R</t>
  </si>
  <si>
    <t>RESU10</t>
  </si>
  <si>
    <t>RESU10-R</t>
  </si>
  <si>
    <t>Agrees within 20% RPD</t>
  </si>
  <si>
    <t>Agrees within Accuracy</t>
  </si>
  <si>
    <t>Outside 20% RPD &amp; Accuracy</t>
  </si>
  <si>
    <t>CIBU10</t>
  </si>
  <si>
    <t>CIBU10-R</t>
  </si>
  <si>
    <t>BOYA20</t>
  </si>
  <si>
    <t>&gt;20</t>
  </si>
  <si>
    <t>BOYA20-R</t>
  </si>
  <si>
    <t>CIBU05</t>
  </si>
  <si>
    <t>NA</t>
  </si>
  <si>
    <t>CIBU05-R</t>
  </si>
  <si>
    <t>EWAL20</t>
  </si>
  <si>
    <t>EWAL20-R</t>
  </si>
  <si>
    <t>MLAN05</t>
  </si>
  <si>
    <t>MLAN05-R</t>
  </si>
  <si>
    <t>&lt;0.038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</si>
</sst>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6100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9C0006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1" fontId="18" fillId="0" borderId="0" xfId="0" applyNumberFormat="1" applyFont="1"/>
    <xf numFmtId="1" fontId="19" fillId="2" borderId="0" xfId="6" applyNumberFormat="1" applyFont="1"/>
    <xf numFmtId="1" fontId="21" fillId="3" borderId="0" xfId="7" applyNumberFormat="1" applyFont="1"/>
    <xf numFmtId="0" fontId="8" fillId="4" borderId="0" xfId="8"/>
    <xf numFmtId="1" fontId="6" fillId="2" borderId="0" xfId="6" applyNumberFormat="1"/>
    <xf numFmtId="0" fontId="6" fillId="2" borderId="0" xfId="6"/>
    <xf numFmtId="0" fontId="7" fillId="3" borderId="0" xfId="7"/>
    <xf numFmtId="0" fontId="20" fillId="4" borderId="0" xfId="8" applyFont="1" applyAlignment="1">
      <alignment horizontal="center"/>
    </xf>
    <xf numFmtId="0" fontId="19" fillId="2" borderId="0" xfId="6" applyFont="1" applyAlignment="1">
      <alignment horizontal="center"/>
    </xf>
    <xf numFmtId="0" fontId="21" fillId="3" borderId="0" xfId="7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0583-C098-4C31-8448-269F00C19E7E}">
  <dimension ref="A2:X26"/>
  <sheetViews>
    <sheetView tabSelected="1" zoomScale="80" zoomScaleNormal="80" workbookViewId="0">
      <selection activeCell="U33" sqref="U33"/>
    </sheetView>
  </sheetViews>
  <sheetFormatPr defaultRowHeight="15" x14ac:dyDescent="0.25"/>
  <cols>
    <col min="1" max="1" width="9.85546875" style="1" bestFit="1" customWidth="1"/>
    <col min="2" max="2" width="14.85546875" style="1" bestFit="1" customWidth="1"/>
    <col min="3" max="3" width="14.5703125" style="1" bestFit="1" customWidth="1"/>
    <col min="4" max="4" width="15.85546875" style="1" bestFit="1" customWidth="1"/>
    <col min="5" max="5" width="10.28515625" style="1" bestFit="1" customWidth="1"/>
    <col min="6" max="6" width="14.85546875" style="1" bestFit="1" customWidth="1"/>
    <col min="7" max="7" width="14.5703125" style="1" bestFit="1" customWidth="1"/>
    <col min="8" max="8" width="15.85546875" style="1" bestFit="1" customWidth="1"/>
    <col min="9" max="9" width="10.28515625" style="1" bestFit="1" customWidth="1"/>
    <col min="10" max="10" width="16" style="1" bestFit="1" customWidth="1"/>
    <col min="11" max="11" width="9.5703125" style="1" bestFit="1" customWidth="1"/>
    <col min="12" max="12" width="17.42578125" style="1" bestFit="1" customWidth="1"/>
    <col min="13" max="13" width="8.42578125" style="1" bestFit="1" customWidth="1"/>
    <col min="14" max="15" width="16.5703125" style="1" bestFit="1" customWidth="1"/>
    <col min="16" max="16" width="11.42578125" style="1" bestFit="1" customWidth="1"/>
    <col min="17" max="17" width="12.85546875" style="1" bestFit="1" customWidth="1"/>
    <col min="18" max="19" width="20" style="1" bestFit="1" customWidth="1"/>
    <col min="20" max="21" width="18.85546875" style="1" bestFit="1" customWidth="1"/>
    <col min="22" max="22" width="13.5703125" style="1" bestFit="1" customWidth="1"/>
    <col min="23" max="23" width="13.7109375" style="1" bestFit="1" customWidth="1"/>
    <col min="24" max="24" width="13.5703125" style="1" bestFit="1" customWidth="1"/>
  </cols>
  <sheetData>
    <row r="2" spans="1:24" x14ac:dyDescent="0.25">
      <c r="J2" s="10" t="s">
        <v>36</v>
      </c>
      <c r="K2" s="10"/>
      <c r="L2" s="10"/>
      <c r="M2" s="9" t="s">
        <v>37</v>
      </c>
      <c r="N2" s="9"/>
      <c r="O2" s="9"/>
      <c r="P2" s="11" t="s">
        <v>38</v>
      </c>
      <c r="Q2" s="11"/>
      <c r="R2" s="11"/>
    </row>
    <row r="4" spans="1:24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</row>
    <row r="5" spans="1:24" x14ac:dyDescent="0.25">
      <c r="A5" t="s">
        <v>41</v>
      </c>
      <c r="B5" s="7">
        <v>30.08</v>
      </c>
      <c r="C5" s="7">
        <v>35.76</v>
      </c>
      <c r="D5" s="7">
        <v>6.28</v>
      </c>
      <c r="E5" s="7">
        <v>8.18</v>
      </c>
      <c r="F5" s="7">
        <v>30.11</v>
      </c>
      <c r="G5" s="7">
        <v>35.909999999999997</v>
      </c>
      <c r="H5" s="7">
        <v>6.03</v>
      </c>
      <c r="I5" s="7">
        <v>8.16</v>
      </c>
      <c r="J5" s="7" t="s">
        <v>42</v>
      </c>
      <c r="K5" s="5">
        <v>5.5</v>
      </c>
      <c r="L5" s="5">
        <v>31</v>
      </c>
      <c r="M5" s="7" t="s">
        <v>26</v>
      </c>
      <c r="N5" s="5">
        <v>0.05</v>
      </c>
      <c r="O5" s="5">
        <v>0.25</v>
      </c>
      <c r="P5" s="5">
        <v>0.37</v>
      </c>
      <c r="Q5" s="7">
        <v>0</v>
      </c>
      <c r="R5" s="7">
        <v>1969</v>
      </c>
      <c r="S5" s="7">
        <v>1966</v>
      </c>
      <c r="T5" s="7">
        <v>2295</v>
      </c>
      <c r="U5" s="7">
        <v>2287</v>
      </c>
      <c r="V5" s="7">
        <v>1.0999999999999999E-2</v>
      </c>
      <c r="W5" s="5">
        <v>8.0000000000000002E-3</v>
      </c>
      <c r="X5" s="7">
        <v>7.3999999999999996E-2</v>
      </c>
    </row>
    <row r="6" spans="1:24" x14ac:dyDescent="0.25">
      <c r="A6" t="s">
        <v>43</v>
      </c>
      <c r="B6" s="7">
        <v>30.09</v>
      </c>
      <c r="C6" s="7">
        <v>35.770000000000003</v>
      </c>
      <c r="D6" s="7">
        <v>6.22</v>
      </c>
      <c r="E6" s="7">
        <v>8.18</v>
      </c>
      <c r="F6" s="7">
        <v>30.11</v>
      </c>
      <c r="G6" s="7">
        <v>35.770000000000003</v>
      </c>
      <c r="H6" s="7">
        <v>6.09</v>
      </c>
      <c r="I6" s="7">
        <v>8.17</v>
      </c>
      <c r="J6" s="7" t="s">
        <v>42</v>
      </c>
      <c r="K6" s="5">
        <v>9.4</v>
      </c>
      <c r="L6" s="5">
        <v>10</v>
      </c>
      <c r="M6" s="7" t="s">
        <v>26</v>
      </c>
      <c r="N6" s="5">
        <v>0.1</v>
      </c>
      <c r="O6" s="5">
        <v>0.06</v>
      </c>
      <c r="P6" s="5">
        <v>0.2</v>
      </c>
      <c r="Q6" s="7">
        <v>0</v>
      </c>
      <c r="R6" s="7">
        <v>1972</v>
      </c>
      <c r="S6" s="7">
        <v>1975</v>
      </c>
      <c r="T6" s="7">
        <v>2292</v>
      </c>
      <c r="U6" s="7">
        <v>2292</v>
      </c>
      <c r="V6" s="7">
        <v>1.0999999999999999E-2</v>
      </c>
      <c r="W6" s="5">
        <v>6.0000000000000001E-3</v>
      </c>
      <c r="X6" s="7">
        <v>7.0999999999999994E-2</v>
      </c>
    </row>
    <row r="7" spans="1:24" x14ac:dyDescent="0.25">
      <c r="A7" t="s">
        <v>44</v>
      </c>
      <c r="B7" s="7">
        <v>30.21</v>
      </c>
      <c r="C7" s="7">
        <v>35.75</v>
      </c>
      <c r="D7" s="7">
        <v>5.36</v>
      </c>
      <c r="E7" s="7" t="s">
        <v>45</v>
      </c>
      <c r="F7" s="7">
        <v>30.15</v>
      </c>
      <c r="G7" s="7">
        <v>35.71</v>
      </c>
      <c r="H7" s="7">
        <v>5.41</v>
      </c>
      <c r="I7" t="s">
        <v>45</v>
      </c>
      <c r="J7" s="7" t="s">
        <v>25</v>
      </c>
      <c r="K7" s="5">
        <v>7.6</v>
      </c>
      <c r="L7" s="7" t="s">
        <v>29</v>
      </c>
      <c r="M7" s="7" t="s">
        <v>26</v>
      </c>
      <c r="N7" s="8">
        <v>0.03</v>
      </c>
      <c r="O7" s="5">
        <v>0.2</v>
      </c>
      <c r="P7" s="5">
        <v>0.49</v>
      </c>
      <c r="Q7" s="7">
        <v>0.15</v>
      </c>
      <c r="R7" s="7">
        <v>2034</v>
      </c>
      <c r="S7" s="7">
        <v>2043</v>
      </c>
      <c r="T7" s="7">
        <v>2324</v>
      </c>
      <c r="U7" s="7">
        <v>2326</v>
      </c>
      <c r="V7" s="5">
        <v>1.2E-2</v>
      </c>
      <c r="W7" s="5">
        <v>6.0000000000000001E-3</v>
      </c>
      <c r="X7" s="5">
        <v>9.9000000000000005E-2</v>
      </c>
    </row>
    <row r="8" spans="1:24" x14ac:dyDescent="0.25">
      <c r="A8" t="s">
        <v>46</v>
      </c>
      <c r="B8" s="7">
        <v>30.16</v>
      </c>
      <c r="C8" s="7">
        <v>35.74</v>
      </c>
      <c r="D8" s="7">
        <v>5.57</v>
      </c>
      <c r="E8" s="7" t="s">
        <v>45</v>
      </c>
      <c r="F8" s="7">
        <v>30.14</v>
      </c>
      <c r="G8" s="7">
        <v>35.76</v>
      </c>
      <c r="H8" s="7">
        <v>5.24</v>
      </c>
      <c r="I8" t="s">
        <v>45</v>
      </c>
      <c r="J8" s="7" t="s">
        <v>32</v>
      </c>
      <c r="K8" s="5">
        <v>6</v>
      </c>
      <c r="L8" s="7" t="s">
        <v>29</v>
      </c>
      <c r="M8" s="7" t="s">
        <v>26</v>
      </c>
      <c r="N8" s="8">
        <v>0.9</v>
      </c>
      <c r="O8" s="5">
        <v>0.1</v>
      </c>
      <c r="P8" s="5">
        <v>0.16</v>
      </c>
      <c r="Q8" s="7">
        <v>0.15</v>
      </c>
      <c r="R8" s="7">
        <v>2033</v>
      </c>
      <c r="S8" s="7">
        <v>2036</v>
      </c>
      <c r="T8" s="7">
        <v>2329</v>
      </c>
      <c r="U8" s="7">
        <v>2326</v>
      </c>
      <c r="V8" s="5">
        <v>1.4999999999999999E-2</v>
      </c>
      <c r="W8" s="5">
        <v>8.0000000000000002E-3</v>
      </c>
      <c r="X8" s="5" t="s">
        <v>51</v>
      </c>
    </row>
    <row r="9" spans="1:24" x14ac:dyDescent="0.25">
      <c r="A9" t="s">
        <v>24</v>
      </c>
      <c r="B9" s="7">
        <v>30.56</v>
      </c>
      <c r="C9" s="7">
        <v>35.81</v>
      </c>
      <c r="D9" s="7">
        <v>6.11</v>
      </c>
      <c r="E9" s="7" t="s">
        <v>45</v>
      </c>
      <c r="F9" s="7">
        <v>30.55</v>
      </c>
      <c r="G9" s="7">
        <v>35.880000000000003</v>
      </c>
      <c r="H9" s="7">
        <v>5.99</v>
      </c>
      <c r="I9" t="s">
        <v>45</v>
      </c>
      <c r="J9" s="7" t="s">
        <v>32</v>
      </c>
      <c r="K9" s="5">
        <v>6.6</v>
      </c>
      <c r="L9" s="7" t="s">
        <v>29</v>
      </c>
      <c r="M9" s="7" t="s">
        <v>26</v>
      </c>
      <c r="N9" s="5">
        <v>0.26</v>
      </c>
      <c r="O9" s="5">
        <v>0.12</v>
      </c>
      <c r="P9" s="7">
        <v>0.37</v>
      </c>
      <c r="Q9" s="7">
        <v>0.05</v>
      </c>
      <c r="R9" s="7">
        <v>1982</v>
      </c>
      <c r="S9" s="7">
        <v>1986</v>
      </c>
      <c r="T9" s="7">
        <v>2294</v>
      </c>
      <c r="U9" s="7">
        <v>2296</v>
      </c>
      <c r="V9" s="5">
        <v>1.7000000000000001E-2</v>
      </c>
      <c r="W9" s="5">
        <v>0.01</v>
      </c>
      <c r="X9" s="5">
        <v>0.218</v>
      </c>
    </row>
    <row r="10" spans="1:24" x14ac:dyDescent="0.25">
      <c r="A10" t="s">
        <v>27</v>
      </c>
      <c r="B10" s="7">
        <v>30.57</v>
      </c>
      <c r="C10" s="7">
        <v>35.81</v>
      </c>
      <c r="D10" s="7">
        <v>6.18</v>
      </c>
      <c r="E10" s="7" t="s">
        <v>45</v>
      </c>
      <c r="F10" s="7">
        <v>30.59</v>
      </c>
      <c r="G10" s="7">
        <v>35.86</v>
      </c>
      <c r="H10" s="7">
        <v>6.14</v>
      </c>
      <c r="I10" t="s">
        <v>45</v>
      </c>
      <c r="J10" s="7" t="s">
        <v>32</v>
      </c>
      <c r="K10" s="5">
        <v>5</v>
      </c>
      <c r="L10" s="7" t="s">
        <v>29</v>
      </c>
      <c r="M10" s="7" t="s">
        <v>26</v>
      </c>
      <c r="N10" s="5">
        <v>0.41</v>
      </c>
      <c r="O10" s="5">
        <v>0.43</v>
      </c>
      <c r="P10" s="7">
        <v>0.41</v>
      </c>
      <c r="Q10" s="7">
        <v>0.05</v>
      </c>
      <c r="R10" s="7">
        <v>1982</v>
      </c>
      <c r="S10" s="7">
        <v>1987</v>
      </c>
      <c r="T10" s="7">
        <v>2306</v>
      </c>
      <c r="U10" s="7">
        <v>2312</v>
      </c>
      <c r="V10" s="5">
        <v>0.01</v>
      </c>
      <c r="W10" s="5">
        <v>6.0000000000000001E-3</v>
      </c>
      <c r="X10" s="5" t="s">
        <v>51</v>
      </c>
    </row>
    <row r="11" spans="1:24" x14ac:dyDescent="0.25">
      <c r="A11" t="s">
        <v>47</v>
      </c>
      <c r="B11" s="7">
        <v>30.1</v>
      </c>
      <c r="C11" s="7">
        <v>35.74</v>
      </c>
      <c r="D11" s="7">
        <v>6.32</v>
      </c>
      <c r="E11" s="7">
        <v>8.19</v>
      </c>
      <c r="F11" s="7">
        <v>30.1</v>
      </c>
      <c r="G11" s="7">
        <v>35.76</v>
      </c>
      <c r="H11" s="7">
        <v>6.07</v>
      </c>
      <c r="I11" s="7">
        <v>8.17</v>
      </c>
      <c r="J11" s="7" t="s">
        <v>42</v>
      </c>
      <c r="K11" s="7">
        <v>5.4</v>
      </c>
      <c r="L11" s="5">
        <v>63</v>
      </c>
      <c r="M11" s="7" t="s">
        <v>26</v>
      </c>
      <c r="N11" s="5">
        <v>0.81</v>
      </c>
      <c r="O11" s="8">
        <v>0.33</v>
      </c>
      <c r="P11" s="5">
        <v>0.38</v>
      </c>
      <c r="Q11" s="7">
        <v>0.05</v>
      </c>
      <c r="R11" s="7">
        <v>1977</v>
      </c>
      <c r="S11" s="7">
        <v>1980</v>
      </c>
      <c r="T11" s="7">
        <v>2295</v>
      </c>
      <c r="U11" s="7">
        <v>2284</v>
      </c>
      <c r="V11" s="5">
        <v>8.9999999999999993E-3</v>
      </c>
      <c r="W11" s="5">
        <v>5.0000000000000001E-3</v>
      </c>
      <c r="X11" s="5">
        <v>9.1999999999999998E-2</v>
      </c>
    </row>
    <row r="12" spans="1:24" x14ac:dyDescent="0.25">
      <c r="A12" t="s">
        <v>48</v>
      </c>
      <c r="B12" s="7">
        <v>30.1</v>
      </c>
      <c r="C12" s="7">
        <v>35.71</v>
      </c>
      <c r="D12" s="7">
        <v>6.26</v>
      </c>
      <c r="E12" s="7">
        <v>8.18</v>
      </c>
      <c r="F12" s="7">
        <v>30.11</v>
      </c>
      <c r="G12" s="7">
        <v>35.76</v>
      </c>
      <c r="H12" s="7">
        <v>6.11</v>
      </c>
      <c r="I12" s="7">
        <v>8.18</v>
      </c>
      <c r="J12" s="7" t="s">
        <v>42</v>
      </c>
      <c r="K12" s="7">
        <v>4.7</v>
      </c>
      <c r="L12" s="5">
        <v>10</v>
      </c>
      <c r="M12" s="7" t="s">
        <v>26</v>
      </c>
      <c r="N12" s="5">
        <v>0.47</v>
      </c>
      <c r="O12" s="8">
        <v>0.87</v>
      </c>
      <c r="P12" s="5">
        <v>0.28000000000000003</v>
      </c>
      <c r="Q12" s="7">
        <v>0.05</v>
      </c>
      <c r="R12" s="7">
        <v>1968</v>
      </c>
      <c r="S12" s="7">
        <v>1967</v>
      </c>
      <c r="T12" s="7">
        <v>2303</v>
      </c>
      <c r="U12" s="7">
        <v>2296</v>
      </c>
      <c r="V12" s="5">
        <v>1.4E-2</v>
      </c>
      <c r="W12" s="5">
        <v>7.0000000000000001E-3</v>
      </c>
      <c r="X12" s="5">
        <v>5.0999999999999997E-2</v>
      </c>
    </row>
    <row r="13" spans="1:24" x14ac:dyDescent="0.25">
      <c r="A13" t="s">
        <v>49</v>
      </c>
      <c r="B13" s="7">
        <v>30.43</v>
      </c>
      <c r="C13" s="7">
        <v>35.53</v>
      </c>
      <c r="D13" s="7">
        <v>5.35</v>
      </c>
      <c r="E13" s="7">
        <v>8.0500000000000007</v>
      </c>
      <c r="F13" s="7">
        <v>30.43</v>
      </c>
      <c r="G13" s="7">
        <v>35.6</v>
      </c>
      <c r="H13" s="7">
        <v>5.18</v>
      </c>
      <c r="I13" s="7">
        <v>8.0500000000000007</v>
      </c>
      <c r="J13" s="7" t="s">
        <v>32</v>
      </c>
      <c r="K13" s="5">
        <v>5.0999999999999996</v>
      </c>
      <c r="L13" s="7" t="s">
        <v>29</v>
      </c>
      <c r="M13" s="7" t="s">
        <v>26</v>
      </c>
      <c r="N13" s="5">
        <v>0.32</v>
      </c>
      <c r="O13" s="8">
        <v>-0.12</v>
      </c>
      <c r="P13" s="7">
        <v>0.37</v>
      </c>
      <c r="Q13" s="8">
        <v>0.25</v>
      </c>
      <c r="R13" s="7">
        <v>2042</v>
      </c>
      <c r="S13" s="7">
        <v>2042</v>
      </c>
      <c r="T13" s="7">
        <v>2319</v>
      </c>
      <c r="U13" s="7">
        <v>2321</v>
      </c>
      <c r="V13" s="7">
        <v>1.4999999999999999E-2</v>
      </c>
      <c r="W13" s="7">
        <v>8.0000000000000002E-3</v>
      </c>
      <c r="X13" s="5">
        <v>0.04</v>
      </c>
    </row>
    <row r="14" spans="1:24" x14ac:dyDescent="0.25">
      <c r="A14" t="s">
        <v>50</v>
      </c>
      <c r="B14" s="7">
        <v>30.48</v>
      </c>
      <c r="C14" s="7">
        <v>35.479999999999997</v>
      </c>
      <c r="D14" s="7">
        <v>5.47</v>
      </c>
      <c r="E14" s="7">
        <v>8.0500000000000007</v>
      </c>
      <c r="F14" s="7">
        <v>30.47</v>
      </c>
      <c r="G14" s="7">
        <v>35.549999999999997</v>
      </c>
      <c r="H14" s="7">
        <v>5.25</v>
      </c>
      <c r="I14" s="7">
        <v>8.07</v>
      </c>
      <c r="J14" s="7" t="s">
        <v>32</v>
      </c>
      <c r="K14" s="5">
        <v>7.4</v>
      </c>
      <c r="L14" s="7" t="s">
        <v>29</v>
      </c>
      <c r="M14" s="7" t="s">
        <v>26</v>
      </c>
      <c r="N14" s="5">
        <v>0.53</v>
      </c>
      <c r="O14" s="8">
        <v>0.83</v>
      </c>
      <c r="P14" s="7">
        <v>0.37</v>
      </c>
      <c r="Q14" s="8">
        <v>0.2</v>
      </c>
      <c r="R14" s="7">
        <v>2041</v>
      </c>
      <c r="S14" s="7">
        <v>2037</v>
      </c>
      <c r="T14" s="7">
        <v>2321</v>
      </c>
      <c r="U14" s="7">
        <v>2319</v>
      </c>
      <c r="V14" s="7">
        <v>1.7000000000000001E-2</v>
      </c>
      <c r="W14" s="7">
        <v>7.0000000000000001E-3</v>
      </c>
      <c r="X14" s="5" t="s">
        <v>51</v>
      </c>
    </row>
    <row r="16" spans="1:24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13</v>
      </c>
      <c r="O16" s="1" t="s">
        <v>14</v>
      </c>
      <c r="P16" s="1" t="s">
        <v>15</v>
      </c>
      <c r="Q16" s="1" t="s">
        <v>16</v>
      </c>
      <c r="R16" s="1" t="s">
        <v>17</v>
      </c>
      <c r="S16" s="1" t="s">
        <v>18</v>
      </c>
      <c r="T16" s="1" t="s">
        <v>19</v>
      </c>
      <c r="U16" s="1" t="s">
        <v>20</v>
      </c>
      <c r="V16" s="1" t="s">
        <v>21</v>
      </c>
      <c r="W16" s="1" t="s">
        <v>22</v>
      </c>
      <c r="X16" s="1" t="s">
        <v>23</v>
      </c>
    </row>
    <row r="17" spans="1:24" x14ac:dyDescent="0.25">
      <c r="A17" s="1" t="s">
        <v>39</v>
      </c>
      <c r="B17" s="2">
        <f>ABS(B5-B6)/(AVERAGE(B5:B6))*100</f>
        <v>3.3239155725449769E-2</v>
      </c>
      <c r="C17" s="2">
        <f t="shared" ref="C17:X17" si="0">ABS(C5-C6)/(AVERAGE(C5:C6))*100</f>
        <v>2.7960296379155924E-2</v>
      </c>
      <c r="D17" s="2">
        <f t="shared" si="0"/>
        <v>0.96000000000000785</v>
      </c>
      <c r="E17" s="2">
        <f t="shared" si="0"/>
        <v>0</v>
      </c>
      <c r="F17" s="2">
        <f t="shared" si="0"/>
        <v>0</v>
      </c>
      <c r="G17" s="2">
        <f t="shared" si="0"/>
        <v>0.39062499999998174</v>
      </c>
      <c r="H17" s="2">
        <f t="shared" si="0"/>
        <v>0.99009900990098354</v>
      </c>
      <c r="I17" s="2">
        <f t="shared" si="0"/>
        <v>0.12247397428046281</v>
      </c>
      <c r="J17" s="6" t="e">
        <f t="shared" si="0"/>
        <v>#VALUE!</v>
      </c>
      <c r="K17" s="2">
        <f t="shared" si="0"/>
        <v>52.348993288590606</v>
      </c>
      <c r="L17" s="6">
        <f t="shared" si="0"/>
        <v>102.4390243902439</v>
      </c>
      <c r="M17" s="6" t="e">
        <f t="shared" si="0"/>
        <v>#VALUE!</v>
      </c>
      <c r="N17" s="2">
        <f t="shared" si="0"/>
        <v>66.666666666666657</v>
      </c>
      <c r="O17" s="2">
        <f t="shared" si="0"/>
        <v>122.58064516129032</v>
      </c>
      <c r="P17" s="2">
        <f>(ABS(P5-P6)/AVERAGE(P5:P6))*100</f>
        <v>59.649122807017527</v>
      </c>
      <c r="Q17" s="2" t="e">
        <f t="shared" si="0"/>
        <v>#DIV/0!</v>
      </c>
      <c r="R17" s="2">
        <f t="shared" si="0"/>
        <v>0.15224562293834051</v>
      </c>
      <c r="S17" s="2">
        <f t="shared" si="0"/>
        <v>0.45673686881502162</v>
      </c>
      <c r="T17" s="2">
        <f t="shared" si="0"/>
        <v>0.13080444735120994</v>
      </c>
      <c r="U17" s="2">
        <f t="shared" si="0"/>
        <v>0.21838829438742083</v>
      </c>
      <c r="V17" s="2">
        <f t="shared" si="0"/>
        <v>0</v>
      </c>
      <c r="W17" s="2">
        <f t="shared" si="0"/>
        <v>28.571428571428569</v>
      </c>
      <c r="X17" s="2">
        <f t="shared" si="0"/>
        <v>4.1379310344827624</v>
      </c>
    </row>
    <row r="18" spans="1:24" x14ac:dyDescent="0.25">
      <c r="A18" s="1" t="s">
        <v>40</v>
      </c>
      <c r="B18" s="2">
        <f>ABS(B5-B6)/(AVERAGE(B5:B6))*100</f>
        <v>3.3239155725449769E-2</v>
      </c>
      <c r="C18" s="2">
        <f t="shared" ref="C18:X18" si="1">ABS(C5-C6)/(AVERAGE(C5:C6))*100</f>
        <v>2.7960296379155924E-2</v>
      </c>
      <c r="D18" s="2">
        <f t="shared" si="1"/>
        <v>0.96000000000000785</v>
      </c>
      <c r="E18" s="2">
        <f t="shared" si="1"/>
        <v>0</v>
      </c>
      <c r="F18" s="2">
        <f t="shared" si="1"/>
        <v>0</v>
      </c>
      <c r="G18" s="2">
        <f t="shared" si="1"/>
        <v>0.39062499999998174</v>
      </c>
      <c r="H18" s="2">
        <f t="shared" si="1"/>
        <v>0.99009900990098354</v>
      </c>
      <c r="I18" s="2">
        <f t="shared" si="1"/>
        <v>0.12247397428046281</v>
      </c>
      <c r="J18" s="6" t="e">
        <f t="shared" si="1"/>
        <v>#VALUE!</v>
      </c>
      <c r="K18" s="2">
        <f t="shared" si="1"/>
        <v>52.348993288590606</v>
      </c>
      <c r="L18" s="6">
        <f t="shared" si="1"/>
        <v>102.4390243902439</v>
      </c>
      <c r="M18" s="6" t="e">
        <f t="shared" si="1"/>
        <v>#VALUE!</v>
      </c>
      <c r="N18" s="2">
        <f t="shared" si="1"/>
        <v>66.666666666666657</v>
      </c>
      <c r="O18" s="2">
        <f t="shared" si="1"/>
        <v>122.58064516129032</v>
      </c>
      <c r="P18" s="2">
        <f t="shared" si="1"/>
        <v>59.649122807017527</v>
      </c>
      <c r="Q18" s="2" t="e">
        <f t="shared" si="1"/>
        <v>#DIV/0!</v>
      </c>
      <c r="R18" s="2">
        <f t="shared" si="1"/>
        <v>0.15224562293834051</v>
      </c>
      <c r="S18" s="2">
        <f t="shared" si="1"/>
        <v>0.45673686881502162</v>
      </c>
      <c r="T18" s="2">
        <f t="shared" si="1"/>
        <v>0.13080444735120994</v>
      </c>
      <c r="U18" s="2">
        <f t="shared" si="1"/>
        <v>0.21838829438742083</v>
      </c>
      <c r="V18" s="2">
        <f t="shared" si="1"/>
        <v>0</v>
      </c>
      <c r="W18" s="2">
        <f t="shared" si="1"/>
        <v>28.571428571428569</v>
      </c>
      <c r="X18" s="2">
        <f t="shared" si="1"/>
        <v>4.1379310344827624</v>
      </c>
    </row>
    <row r="19" spans="1:24" x14ac:dyDescent="0.25">
      <c r="A19" s="1" t="s">
        <v>24</v>
      </c>
      <c r="B19" s="2">
        <f>ABS(B7-B8)/(AVERAGE(B7:B8))*100</f>
        <v>0.16564518800729072</v>
      </c>
      <c r="C19" s="2">
        <f t="shared" ref="C19:X19" si="2">ABS(C7-C8)/(AVERAGE(C7:C8))*100</f>
        <v>2.7975940691000165E-2</v>
      </c>
      <c r="D19" s="2">
        <f t="shared" si="2"/>
        <v>3.8426349496797796</v>
      </c>
      <c r="E19" s="2" t="e">
        <f t="shared" si="2"/>
        <v>#VALUE!</v>
      </c>
      <c r="F19" s="2">
        <f t="shared" si="2"/>
        <v>3.3172997180288641E-2</v>
      </c>
      <c r="G19" s="2">
        <f t="shared" si="2"/>
        <v>0.1399188470686922</v>
      </c>
      <c r="H19" s="2">
        <f t="shared" si="2"/>
        <v>3.1924882629107967</v>
      </c>
      <c r="I19" s="2" t="e">
        <f t="shared" si="2"/>
        <v>#VALUE!</v>
      </c>
      <c r="J19" s="3" t="e">
        <f t="shared" si="2"/>
        <v>#VALUE!</v>
      </c>
      <c r="K19" s="2">
        <f t="shared" si="2"/>
        <v>23.529411764705877</v>
      </c>
      <c r="L19" s="2" t="e">
        <f t="shared" si="2"/>
        <v>#VALUE!</v>
      </c>
      <c r="M19" s="3" t="e">
        <f t="shared" si="2"/>
        <v>#VALUE!</v>
      </c>
      <c r="N19" s="2">
        <f t="shared" si="2"/>
        <v>187.09677419354838</v>
      </c>
      <c r="O19" s="2">
        <f t="shared" si="2"/>
        <v>66.666666666666657</v>
      </c>
      <c r="P19" s="2">
        <f t="shared" si="2"/>
        <v>101.53846153846153</v>
      </c>
      <c r="Q19" s="2">
        <f t="shared" si="2"/>
        <v>0</v>
      </c>
      <c r="R19" s="2">
        <f t="shared" si="2"/>
        <v>4.9176297024834031E-2</v>
      </c>
      <c r="S19" s="2">
        <f t="shared" si="2"/>
        <v>0.34322137778867373</v>
      </c>
      <c r="T19" s="2">
        <f t="shared" si="2"/>
        <v>0.21491510853212981</v>
      </c>
      <c r="U19" s="2">
        <f t="shared" si="2"/>
        <v>0</v>
      </c>
      <c r="V19" s="2">
        <f t="shared" si="2"/>
        <v>22.222222222222214</v>
      </c>
      <c r="W19" s="4">
        <f t="shared" si="2"/>
        <v>28.571428571428569</v>
      </c>
      <c r="X19" s="4" t="e">
        <f t="shared" si="2"/>
        <v>#VALUE!</v>
      </c>
    </row>
    <row r="20" spans="1:24" x14ac:dyDescent="0.25">
      <c r="A20" s="1" t="s">
        <v>27</v>
      </c>
      <c r="B20" s="2">
        <f>ABS(B7-B8)/(AVERAGE(B7:B8))*100</f>
        <v>0.16564518800729072</v>
      </c>
      <c r="C20" s="2">
        <f t="shared" ref="C20:X20" si="3">ABS(C7-C8)/(AVERAGE(C7:C8))*100</f>
        <v>2.7975940691000165E-2</v>
      </c>
      <c r="D20" s="2">
        <f t="shared" si="3"/>
        <v>3.8426349496797796</v>
      </c>
      <c r="E20" s="2" t="e">
        <f t="shared" si="3"/>
        <v>#VALUE!</v>
      </c>
      <c r="F20" s="2">
        <f t="shared" si="3"/>
        <v>3.3172997180288641E-2</v>
      </c>
      <c r="G20" s="2">
        <f t="shared" si="3"/>
        <v>0.1399188470686922</v>
      </c>
      <c r="H20" s="2">
        <f t="shared" si="3"/>
        <v>3.1924882629107967</v>
      </c>
      <c r="I20" s="2" t="e">
        <f t="shared" si="3"/>
        <v>#VALUE!</v>
      </c>
      <c r="J20" s="3" t="e">
        <f t="shared" si="3"/>
        <v>#VALUE!</v>
      </c>
      <c r="K20" s="2">
        <f t="shared" si="3"/>
        <v>23.529411764705877</v>
      </c>
      <c r="L20" s="2" t="e">
        <f t="shared" si="3"/>
        <v>#VALUE!</v>
      </c>
      <c r="M20" s="3" t="e">
        <f t="shared" si="3"/>
        <v>#VALUE!</v>
      </c>
      <c r="N20" s="2">
        <f t="shared" si="3"/>
        <v>187.09677419354838</v>
      </c>
      <c r="O20" s="2">
        <f t="shared" si="3"/>
        <v>66.666666666666657</v>
      </c>
      <c r="P20" s="2">
        <f t="shared" si="3"/>
        <v>101.53846153846153</v>
      </c>
      <c r="Q20" s="2">
        <f t="shared" si="3"/>
        <v>0</v>
      </c>
      <c r="R20" s="2">
        <f t="shared" si="3"/>
        <v>4.9176297024834031E-2</v>
      </c>
      <c r="S20" s="2">
        <f t="shared" si="3"/>
        <v>0.34322137778867373</v>
      </c>
      <c r="T20" s="2">
        <f t="shared" si="3"/>
        <v>0.21491510853212981</v>
      </c>
      <c r="U20" s="2">
        <f t="shared" si="3"/>
        <v>0</v>
      </c>
      <c r="V20" s="2">
        <f t="shared" si="3"/>
        <v>22.222222222222214</v>
      </c>
      <c r="W20" s="4">
        <f t="shared" si="3"/>
        <v>28.571428571428569</v>
      </c>
      <c r="X20" s="4" t="e">
        <f t="shared" si="3"/>
        <v>#VALUE!</v>
      </c>
    </row>
    <row r="21" spans="1:24" x14ac:dyDescent="0.25">
      <c r="A21" s="1" t="s">
        <v>28</v>
      </c>
      <c r="B21" s="2">
        <f>ABS(B9-B10)/(AVERAGE(B9:B10))*100</f>
        <v>3.2717160150504049E-2</v>
      </c>
      <c r="C21" s="2">
        <f t="shared" ref="C21:X21" si="4">ABS(C9-C10)/(AVERAGE(C9:C10))*100</f>
        <v>0</v>
      </c>
      <c r="D21" s="2">
        <f t="shared" si="4"/>
        <v>1.139137510170861</v>
      </c>
      <c r="E21" s="2" t="e">
        <f t="shared" si="4"/>
        <v>#VALUE!</v>
      </c>
      <c r="F21" s="2">
        <f t="shared" si="4"/>
        <v>0.13084723585213984</v>
      </c>
      <c r="G21" s="2">
        <f t="shared" si="4"/>
        <v>5.5756899916373358E-2</v>
      </c>
      <c r="H21" s="2">
        <f t="shared" si="4"/>
        <v>2.4732069249793813</v>
      </c>
      <c r="I21" s="2" t="e">
        <f t="shared" si="4"/>
        <v>#VALUE!</v>
      </c>
      <c r="J21" s="3" t="e">
        <f t="shared" si="4"/>
        <v>#VALUE!</v>
      </c>
      <c r="K21" s="2">
        <f t="shared" si="4"/>
        <v>27.586206896551719</v>
      </c>
      <c r="L21" s="3" t="e">
        <f t="shared" si="4"/>
        <v>#VALUE!</v>
      </c>
      <c r="M21" s="3" t="e">
        <f t="shared" si="4"/>
        <v>#VALUE!</v>
      </c>
      <c r="N21" s="2">
        <f t="shared" si="4"/>
        <v>44.776119402985074</v>
      </c>
      <c r="O21" s="2">
        <f t="shared" si="4"/>
        <v>112.72727272727272</v>
      </c>
      <c r="P21" s="2">
        <f t="shared" si="4"/>
        <v>10.25641025641025</v>
      </c>
      <c r="Q21" s="2">
        <f t="shared" si="4"/>
        <v>0</v>
      </c>
      <c r="R21" s="2">
        <f t="shared" si="4"/>
        <v>0</v>
      </c>
      <c r="S21" s="2">
        <f t="shared" si="4"/>
        <v>5.0339793606846213E-2</v>
      </c>
      <c r="T21" s="2">
        <f t="shared" si="4"/>
        <v>0.52173913043478271</v>
      </c>
      <c r="U21" s="2">
        <f t="shared" si="4"/>
        <v>0.69444444444444442</v>
      </c>
      <c r="V21" s="2">
        <f t="shared" si="4"/>
        <v>51.851851851851848</v>
      </c>
      <c r="W21" s="3">
        <f t="shared" si="4"/>
        <v>50</v>
      </c>
      <c r="X21" s="2" t="e">
        <f t="shared" si="4"/>
        <v>#VALUE!</v>
      </c>
    </row>
    <row r="22" spans="1:24" x14ac:dyDescent="0.25">
      <c r="A22" s="1" t="s">
        <v>30</v>
      </c>
      <c r="B22" s="2">
        <f>ABS(B9-B10)/(AVERAGE(B9:B10))*100</f>
        <v>3.2717160150504049E-2</v>
      </c>
      <c r="C22" s="2">
        <f t="shared" ref="C22:X22" si="5">ABS(C9-C10)/(AVERAGE(C9:C10))*100</f>
        <v>0</v>
      </c>
      <c r="D22" s="2">
        <f t="shared" si="5"/>
        <v>1.139137510170861</v>
      </c>
      <c r="E22" s="2" t="e">
        <f t="shared" si="5"/>
        <v>#VALUE!</v>
      </c>
      <c r="F22" s="2">
        <f t="shared" si="5"/>
        <v>0.13084723585213984</v>
      </c>
      <c r="G22" s="2">
        <f t="shared" si="5"/>
        <v>5.5756899916373358E-2</v>
      </c>
      <c r="H22" s="2">
        <f t="shared" si="5"/>
        <v>2.4732069249793813</v>
      </c>
      <c r="I22" s="2" t="e">
        <f t="shared" si="5"/>
        <v>#VALUE!</v>
      </c>
      <c r="J22" s="3" t="e">
        <f t="shared" si="5"/>
        <v>#VALUE!</v>
      </c>
      <c r="K22" s="2">
        <f t="shared" si="5"/>
        <v>27.586206896551719</v>
      </c>
      <c r="L22" s="3" t="e">
        <f t="shared" si="5"/>
        <v>#VALUE!</v>
      </c>
      <c r="M22" s="3" t="e">
        <f t="shared" si="5"/>
        <v>#VALUE!</v>
      </c>
      <c r="N22" s="2">
        <f t="shared" si="5"/>
        <v>44.776119402985074</v>
      </c>
      <c r="O22" s="2">
        <f t="shared" si="5"/>
        <v>112.72727272727272</v>
      </c>
      <c r="P22" s="2">
        <f t="shared" si="5"/>
        <v>10.25641025641025</v>
      </c>
      <c r="Q22" s="2">
        <f t="shared" si="5"/>
        <v>0</v>
      </c>
      <c r="R22" s="2">
        <f t="shared" si="5"/>
        <v>0</v>
      </c>
      <c r="S22" s="2">
        <f t="shared" si="5"/>
        <v>5.0339793606846213E-2</v>
      </c>
      <c r="T22" s="2">
        <f t="shared" si="5"/>
        <v>0.52173913043478271</v>
      </c>
      <c r="U22" s="2">
        <f t="shared" si="5"/>
        <v>0.69444444444444442</v>
      </c>
      <c r="V22" s="2">
        <f t="shared" si="5"/>
        <v>51.851851851851848</v>
      </c>
      <c r="W22" s="3">
        <f t="shared" si="5"/>
        <v>50</v>
      </c>
      <c r="X22" s="2" t="e">
        <f t="shared" si="5"/>
        <v>#VALUE!</v>
      </c>
    </row>
    <row r="23" spans="1:24" x14ac:dyDescent="0.25">
      <c r="A23" s="1" t="s">
        <v>31</v>
      </c>
      <c r="B23" s="2">
        <f>ABS(B11-B12)/(AVERAGE(B11:B12))*100</f>
        <v>0</v>
      </c>
      <c r="C23" s="2">
        <f t="shared" ref="C23:X23" si="6">ABS(C11-C12)/(AVERAGE(C11:C12))*100</f>
        <v>8.3974807557735856E-2</v>
      </c>
      <c r="D23" s="2">
        <f t="shared" si="6"/>
        <v>0.95389507154213826</v>
      </c>
      <c r="E23" s="2">
        <f t="shared" si="6"/>
        <v>0.12217470983506157</v>
      </c>
      <c r="F23" s="2">
        <f t="shared" si="6"/>
        <v>3.3217073575811364E-2</v>
      </c>
      <c r="G23" s="2">
        <f t="shared" si="6"/>
        <v>0</v>
      </c>
      <c r="H23" s="2">
        <f t="shared" si="6"/>
        <v>0.65681444991789872</v>
      </c>
      <c r="I23" s="2">
        <f t="shared" si="6"/>
        <v>0.12232415902140412</v>
      </c>
      <c r="J23" s="3" t="e">
        <f t="shared" si="6"/>
        <v>#VALUE!</v>
      </c>
      <c r="K23" s="2">
        <f t="shared" si="6"/>
        <v>13.861386138613863</v>
      </c>
      <c r="L23" s="3">
        <f t="shared" si="6"/>
        <v>145.20547945205479</v>
      </c>
      <c r="M23" s="3" t="e">
        <f t="shared" si="6"/>
        <v>#VALUE!</v>
      </c>
      <c r="N23" s="2">
        <f t="shared" si="6"/>
        <v>53.125000000000014</v>
      </c>
      <c r="O23" s="2">
        <f t="shared" si="6"/>
        <v>90.000000000000014</v>
      </c>
      <c r="P23" s="2">
        <f t="shared" si="6"/>
        <v>30.303030303030294</v>
      </c>
      <c r="Q23" s="2">
        <f t="shared" si="6"/>
        <v>0</v>
      </c>
      <c r="R23" s="2">
        <f t="shared" si="6"/>
        <v>0.45627376425855515</v>
      </c>
      <c r="S23" s="2">
        <f t="shared" si="6"/>
        <v>0.6587281479604763</v>
      </c>
      <c r="T23" s="2">
        <f t="shared" si="6"/>
        <v>0.34797738147020446</v>
      </c>
      <c r="U23" s="2">
        <f t="shared" si="6"/>
        <v>0.5240174672489083</v>
      </c>
      <c r="V23" s="2">
        <f t="shared" si="6"/>
        <v>43.478260869565226</v>
      </c>
      <c r="W23" s="4">
        <f t="shared" si="6"/>
        <v>33.333333333333329</v>
      </c>
      <c r="X23" s="2">
        <f t="shared" si="6"/>
        <v>57.342657342657354</v>
      </c>
    </row>
    <row r="24" spans="1:24" x14ac:dyDescent="0.25">
      <c r="A24" s="1" t="s">
        <v>33</v>
      </c>
      <c r="B24" s="2">
        <f>ABS(B11-B12)/(AVERAGE(B11:B12))*100</f>
        <v>0</v>
      </c>
      <c r="C24" s="2">
        <f t="shared" ref="C24:X24" si="7">ABS(C11-C12)/(AVERAGE(C11:C12))*100</f>
        <v>8.3974807557735856E-2</v>
      </c>
      <c r="D24" s="2">
        <f t="shared" si="7"/>
        <v>0.95389507154213826</v>
      </c>
      <c r="E24" s="2">
        <f t="shared" si="7"/>
        <v>0.12217470983506157</v>
      </c>
      <c r="F24" s="2">
        <f t="shared" si="7"/>
        <v>3.3217073575811364E-2</v>
      </c>
      <c r="G24" s="2">
        <f t="shared" si="7"/>
        <v>0</v>
      </c>
      <c r="H24" s="2">
        <f t="shared" si="7"/>
        <v>0.65681444991789872</v>
      </c>
      <c r="I24" s="2">
        <f t="shared" si="7"/>
        <v>0.12232415902140412</v>
      </c>
      <c r="J24" s="3" t="e">
        <f t="shared" si="7"/>
        <v>#VALUE!</v>
      </c>
      <c r="K24" s="2">
        <f t="shared" si="7"/>
        <v>13.861386138613863</v>
      </c>
      <c r="L24" s="3">
        <f t="shared" si="7"/>
        <v>145.20547945205479</v>
      </c>
      <c r="M24" s="3" t="e">
        <f t="shared" si="7"/>
        <v>#VALUE!</v>
      </c>
      <c r="N24" s="2">
        <f t="shared" si="7"/>
        <v>53.125000000000014</v>
      </c>
      <c r="O24" s="2">
        <f t="shared" si="7"/>
        <v>90.000000000000014</v>
      </c>
      <c r="P24" s="2">
        <f t="shared" si="7"/>
        <v>30.303030303030294</v>
      </c>
      <c r="Q24" s="2">
        <f t="shared" si="7"/>
        <v>0</v>
      </c>
      <c r="R24" s="2">
        <f t="shared" si="7"/>
        <v>0.45627376425855515</v>
      </c>
      <c r="S24" s="2">
        <f t="shared" si="7"/>
        <v>0.6587281479604763</v>
      </c>
      <c r="T24" s="2">
        <f t="shared" si="7"/>
        <v>0.34797738147020446</v>
      </c>
      <c r="U24" s="2">
        <f t="shared" si="7"/>
        <v>0.5240174672489083</v>
      </c>
      <c r="V24" s="2">
        <f t="shared" si="7"/>
        <v>43.478260869565226</v>
      </c>
      <c r="W24" s="4">
        <f t="shared" si="7"/>
        <v>33.333333333333329</v>
      </c>
      <c r="X24" s="2">
        <f t="shared" si="7"/>
        <v>57.342657342657354</v>
      </c>
    </row>
    <row r="25" spans="1:24" x14ac:dyDescent="0.25">
      <c r="A25" s="1" t="s">
        <v>34</v>
      </c>
      <c r="B25" s="2">
        <f>ABS(B13-B14)/(AVERAGE(B13:B14))*100</f>
        <v>0.16417665407979218</v>
      </c>
      <c r="C25" s="2">
        <f t="shared" ref="C25:X25" si="8">ABS(C13-C14)/(AVERAGE(C13:C14))*100</f>
        <v>0.14082523588228213</v>
      </c>
      <c r="D25" s="2">
        <f t="shared" si="8"/>
        <v>2.2181146025878022</v>
      </c>
      <c r="E25" s="2">
        <f t="shared" si="8"/>
        <v>0</v>
      </c>
      <c r="F25" s="2">
        <f t="shared" si="8"/>
        <v>0.13136288998357684</v>
      </c>
      <c r="G25" s="2">
        <f t="shared" si="8"/>
        <v>0.14054813773718694</v>
      </c>
      <c r="H25" s="2">
        <f t="shared" si="8"/>
        <v>1.3422818791946365</v>
      </c>
      <c r="I25" s="2">
        <f t="shared" si="8"/>
        <v>0.24813895781637188</v>
      </c>
      <c r="J25" s="3" t="e">
        <f t="shared" si="8"/>
        <v>#VALUE!</v>
      </c>
      <c r="K25" s="2">
        <f t="shared" si="8"/>
        <v>36.800000000000011</v>
      </c>
      <c r="L25" s="3" t="e">
        <f t="shared" si="8"/>
        <v>#VALUE!</v>
      </c>
      <c r="M25" s="3" t="e">
        <f t="shared" si="8"/>
        <v>#VALUE!</v>
      </c>
      <c r="N25" s="2">
        <f t="shared" si="8"/>
        <v>49.411764705882355</v>
      </c>
      <c r="O25" s="2">
        <f t="shared" si="8"/>
        <v>267.6056338028169</v>
      </c>
      <c r="P25" s="2">
        <f t="shared" si="8"/>
        <v>0</v>
      </c>
      <c r="Q25" s="2">
        <f t="shared" si="8"/>
        <v>22.222222222222214</v>
      </c>
      <c r="R25" s="2">
        <f t="shared" si="8"/>
        <v>4.8983590497183441E-2</v>
      </c>
      <c r="S25" s="2">
        <f t="shared" si="8"/>
        <v>0.24515812699190978</v>
      </c>
      <c r="T25" s="2">
        <f t="shared" si="8"/>
        <v>8.6206896551724144E-2</v>
      </c>
      <c r="U25" s="2">
        <f t="shared" si="8"/>
        <v>8.6206896551724144E-2</v>
      </c>
      <c r="V25" s="2">
        <f t="shared" si="8"/>
        <v>12.500000000000011</v>
      </c>
      <c r="W25" s="3">
        <f>ABS(W13-W14)/(AVERAGE(W13:W14))*100</f>
        <v>13.333333333333334</v>
      </c>
      <c r="X25" s="2" t="e">
        <f t="shared" si="8"/>
        <v>#VALUE!</v>
      </c>
    </row>
    <row r="26" spans="1:24" x14ac:dyDescent="0.25">
      <c r="A26" s="1" t="s">
        <v>35</v>
      </c>
      <c r="B26" s="2">
        <f>ABS(B13-B14)/(AVERAGE(B13:B14))*100</f>
        <v>0.16417665407979218</v>
      </c>
      <c r="C26" s="2">
        <f t="shared" ref="C26:X26" si="9">ABS(C13-C14)/(AVERAGE(C13:C14))*100</f>
        <v>0.14082523588228213</v>
      </c>
      <c r="D26" s="2">
        <f t="shared" si="9"/>
        <v>2.2181146025878022</v>
      </c>
      <c r="E26" s="2">
        <f t="shared" si="9"/>
        <v>0</v>
      </c>
      <c r="F26" s="2">
        <f t="shared" si="9"/>
        <v>0.13136288998357684</v>
      </c>
      <c r="G26" s="2">
        <f t="shared" si="9"/>
        <v>0.14054813773718694</v>
      </c>
      <c r="H26" s="2">
        <f t="shared" si="9"/>
        <v>1.3422818791946365</v>
      </c>
      <c r="I26" s="2">
        <f t="shared" si="9"/>
        <v>0.24813895781637188</v>
      </c>
      <c r="J26" s="3" t="e">
        <f t="shared" si="9"/>
        <v>#VALUE!</v>
      </c>
      <c r="K26" s="2">
        <f t="shared" si="9"/>
        <v>36.800000000000011</v>
      </c>
      <c r="L26" s="3" t="e">
        <f t="shared" si="9"/>
        <v>#VALUE!</v>
      </c>
      <c r="M26" s="3" t="e">
        <f t="shared" si="9"/>
        <v>#VALUE!</v>
      </c>
      <c r="N26" s="2">
        <f t="shared" si="9"/>
        <v>49.411764705882355</v>
      </c>
      <c r="O26" s="2">
        <f t="shared" si="9"/>
        <v>267.6056338028169</v>
      </c>
      <c r="P26" s="2">
        <f t="shared" si="9"/>
        <v>0</v>
      </c>
      <c r="Q26" s="2">
        <f t="shared" si="9"/>
        <v>22.222222222222214</v>
      </c>
      <c r="R26" s="2">
        <f t="shared" si="9"/>
        <v>4.8983590497183441E-2</v>
      </c>
      <c r="S26" s="2">
        <f t="shared" si="9"/>
        <v>0.24515812699190978</v>
      </c>
      <c r="T26" s="2">
        <f t="shared" si="9"/>
        <v>8.6206896551724144E-2</v>
      </c>
      <c r="U26" s="2">
        <f t="shared" si="9"/>
        <v>8.6206896551724144E-2</v>
      </c>
      <c r="V26" s="2">
        <f t="shared" si="9"/>
        <v>12.500000000000011</v>
      </c>
      <c r="W26" s="3">
        <f t="shared" si="9"/>
        <v>13.333333333333334</v>
      </c>
      <c r="X26" s="2" t="e">
        <f t="shared" si="9"/>
        <v>#VALUE!</v>
      </c>
    </row>
  </sheetData>
  <mergeCells count="3">
    <mergeCell ref="M2:O2"/>
    <mergeCell ref="J2:L2"/>
    <mergeCell ref="P2:R2"/>
  </mergeCells>
  <conditionalFormatting sqref="B17:X26">
    <cfRule type="cellIs" dxfId="1" priority="1" operator="lessThan">
      <formula>20</formula>
    </cfRule>
    <cfRule type="cellIs" dxfId="0" priority="2" operator="greater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Quarter_5_Replicate_data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2024-08-13T20:43:56Z</dcterms:created>
  <dcterms:modified xsi:type="dcterms:W3CDTF">2024-10-03T21:08:12Z</dcterms:modified>
</cp:coreProperties>
</file>