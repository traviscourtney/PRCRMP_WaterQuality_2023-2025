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DRNA Water Quality Project/"/>
    </mc:Choice>
  </mc:AlternateContent>
  <xr:revisionPtr revIDLastSave="136" documentId="8_{8D98C002-22D2-45D5-B9BD-C07F3C54D714}" xr6:coauthVersionLast="47" xr6:coauthVersionMax="47" xr10:uidLastSave="{A3461184-B9B5-4DB5-8180-03176F6174DD}"/>
  <bookViews>
    <workbookView xWindow="-120" yWindow="-120" windowWidth="29040" windowHeight="15720" activeTab="3" xr2:uid="{6F25A0DD-2A9B-481B-89D3-A8F4062547B8}"/>
  </bookViews>
  <sheets>
    <sheet name="Q1_NOx_PO4" sheetId="4" r:id="rId1"/>
    <sheet name="Q1_TKN" sheetId="3" r:id="rId2"/>
    <sheet name="Q2_NOx_PO4" sheetId="1" r:id="rId3"/>
    <sheet name="Q2_TK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2" i="2"/>
</calcChain>
</file>

<file path=xl/sharedStrings.xml><?xml version="1.0" encoding="utf-8"?>
<sst xmlns="http://schemas.openxmlformats.org/spreadsheetml/2006/main" count="297" uniqueCount="110">
  <si>
    <t>243</t>
  </si>
  <si>
    <t>254</t>
  </si>
  <si>
    <t>265</t>
  </si>
  <si>
    <t>276</t>
  </si>
  <si>
    <t>287</t>
  </si>
  <si>
    <t>298</t>
  </si>
  <si>
    <t>309</t>
  </si>
  <si>
    <t>221</t>
  </si>
  <si>
    <t>232</t>
  </si>
  <si>
    <t>210</t>
  </si>
  <si>
    <t>331</t>
  </si>
  <si>
    <t>342</t>
  </si>
  <si>
    <t>397</t>
  </si>
  <si>
    <t>320</t>
  </si>
  <si>
    <t>364</t>
  </si>
  <si>
    <t>386</t>
  </si>
  <si>
    <t>463</t>
  </si>
  <si>
    <t>353</t>
  </si>
  <si>
    <t>452</t>
  </si>
  <si>
    <t>408</t>
  </si>
  <si>
    <t>419</t>
  </si>
  <si>
    <t>430</t>
  </si>
  <si>
    <t>441</t>
  </si>
  <si>
    <t>474</t>
  </si>
  <si>
    <t>518</t>
  </si>
  <si>
    <t>529</t>
  </si>
  <si>
    <t>540</t>
  </si>
  <si>
    <t>507</t>
  </si>
  <si>
    <t>562</t>
  </si>
  <si>
    <t>551</t>
  </si>
  <si>
    <t>573</t>
  </si>
  <si>
    <t>584</t>
  </si>
  <si>
    <t>485</t>
  </si>
  <si>
    <t>617</t>
  </si>
  <si>
    <t>375</t>
  </si>
  <si>
    <t>595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</si>
  <si>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</si>
  <si>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</si>
  <si>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</si>
  <si>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</si>
  <si>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</si>
  <si>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</si>
  <si>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</si>
  <si>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</si>
  <si>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</si>
  <si>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</si>
  <si>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81</t>
  </si>
  <si>
    <t>80</t>
  </si>
  <si>
    <t>83</t>
  </si>
  <si>
    <t>84</t>
  </si>
  <si>
    <t>79</t>
  </si>
  <si>
    <t>87</t>
  </si>
  <si>
    <t>82</t>
  </si>
  <si>
    <t>244</t>
  </si>
  <si>
    <t>255</t>
  </si>
  <si>
    <t>266</t>
  </si>
  <si>
    <t>277</t>
  </si>
  <si>
    <t>299</t>
  </si>
  <si>
    <t>288</t>
  </si>
  <si>
    <t>211</t>
  </si>
  <si>
    <t>222</t>
  </si>
  <si>
    <t>233</t>
  </si>
  <si>
    <t>332</t>
  </si>
  <si>
    <t>310</t>
  </si>
  <si>
    <t>398</t>
  </si>
  <si>
    <t>321</t>
  </si>
  <si>
    <t>585</t>
  </si>
  <si>
    <t>387</t>
  </si>
  <si>
    <t>365</t>
  </si>
  <si>
    <t>464</t>
  </si>
  <si>
    <t>409</t>
  </si>
  <si>
    <t>453</t>
  </si>
  <si>
    <t>376</t>
  </si>
  <si>
    <t>431</t>
  </si>
  <si>
    <t>442</t>
  </si>
  <si>
    <t>552</t>
  </si>
  <si>
    <t>475</t>
  </si>
  <si>
    <t>541</t>
  </si>
  <si>
    <t>530</t>
  </si>
  <si>
    <t>519</t>
  </si>
  <si>
    <t>508</t>
  </si>
  <si>
    <t>354</t>
  </si>
  <si>
    <t>563</t>
  </si>
  <si>
    <t>574</t>
  </si>
  <si>
    <t>486</t>
  </si>
  <si>
    <t>618</t>
  </si>
  <si>
    <t>596</t>
  </si>
  <si>
    <t>420</t>
  </si>
  <si>
    <t>TKN</t>
  </si>
  <si>
    <t>R1_Dilution_Correction</t>
  </si>
  <si>
    <t>Q2_Stds_Correction</t>
  </si>
  <si>
    <t>TKN_mg_L</t>
  </si>
  <si>
    <t>NOx_mg_L</t>
  </si>
  <si>
    <t>PO4_mg_L</t>
  </si>
  <si>
    <t>&lt;0.254</t>
  </si>
  <si>
    <t>&lt;0.005</t>
  </si>
  <si>
    <t>NO3_5</t>
  </si>
  <si>
    <t>NO3_6</t>
  </si>
  <si>
    <t>PO4_3</t>
  </si>
  <si>
    <t>PO4_4</t>
  </si>
  <si>
    <t>PO4_5</t>
  </si>
  <si>
    <t>NO3_3</t>
  </si>
  <si>
    <t>Sample</t>
  </si>
  <si>
    <t>TKN_LOD_mg_L</t>
  </si>
  <si>
    <t>NOx_LOD_mg_L</t>
  </si>
  <si>
    <t>NOX_mg_L</t>
  </si>
  <si>
    <t>PO4_LOD_mg_L</t>
  </si>
  <si>
    <t>&lt;0.09</t>
  </si>
  <si>
    <t>&lt;0.003</t>
  </si>
  <si>
    <t>&lt;0.006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</si>
</sst>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77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7083-9352-4722-84BB-9E3CC5CAEAA9}">
  <dimension ref="A1:E48"/>
  <sheetViews>
    <sheetView workbookViewId="0">
      <selection activeCell="E5" sqref="E5"/>
    </sheetView>
  </sheetViews>
  <sheetFormatPr defaultRowHeight="15" x14ac:dyDescent="0.25"/>
  <cols>
    <col min="1" max="1" width="20.28515625" bestFit="1" customWidth="1"/>
    <col min="2" max="2" width="10.28515625" bestFit="1" customWidth="1"/>
    <col min="3" max="3" width="14.5703125" bestFit="1" customWidth="1"/>
    <col min="4" max="4" width="9.85546875" bestFit="1" customWidth="1"/>
    <col min="5" max="5" width="14.42578125" bestFit="1" customWidth="1"/>
  </cols>
  <sheetData>
    <row r="1" spans="1:5" x14ac:dyDescent="0.25">
      <c r="A1" t="s">
        <v>102</v>
      </c>
      <c r="B1" t="s">
        <v>105</v>
      </c>
      <c r="C1" t="s">
        <v>104</v>
      </c>
      <c r="D1" t="s">
        <v>93</v>
      </c>
      <c r="E1" t="s">
        <v>106</v>
      </c>
    </row>
    <row r="2" spans="1:5" x14ac:dyDescent="0.25">
      <c r="A2">
        <v>37</v>
      </c>
      <c r="B2">
        <v>1E-3</v>
      </c>
      <c r="C2" t="s">
        <v>108</v>
      </c>
      <c r="D2">
        <v>3.0000000000000001E-3</v>
      </c>
      <c r="E2" t="s">
        <v>109</v>
      </c>
    </row>
    <row r="3" spans="1:5" x14ac:dyDescent="0.25">
      <c r="A3" t="s">
        <v>96</v>
      </c>
      <c r="B3">
        <v>1E-3</v>
      </c>
      <c r="C3" t="s">
        <v>108</v>
      </c>
      <c r="D3">
        <v>1E-3</v>
      </c>
      <c r="E3" t="s">
        <v>109</v>
      </c>
    </row>
    <row r="4" spans="1:5" x14ac:dyDescent="0.25">
      <c r="A4" t="s">
        <v>97</v>
      </c>
      <c r="B4">
        <v>6.0000000000000001E-3</v>
      </c>
      <c r="C4">
        <v>6.0000000000000001E-3</v>
      </c>
      <c r="D4">
        <v>1E-3</v>
      </c>
      <c r="E4" t="s">
        <v>109</v>
      </c>
    </row>
    <row r="5" spans="1:5" x14ac:dyDescent="0.25">
      <c r="A5" t="s">
        <v>98</v>
      </c>
      <c r="B5">
        <v>-4.0000000000000001E-3</v>
      </c>
      <c r="C5" t="s">
        <v>108</v>
      </c>
      <c r="D5">
        <v>1E-3</v>
      </c>
      <c r="E5" t="s">
        <v>109</v>
      </c>
    </row>
    <row r="6" spans="1:5" x14ac:dyDescent="0.25">
      <c r="A6" t="s">
        <v>99</v>
      </c>
      <c r="B6">
        <v>-4.0000000000000001E-3</v>
      </c>
      <c r="C6" t="s">
        <v>108</v>
      </c>
      <c r="D6">
        <v>6.0000000000000001E-3</v>
      </c>
      <c r="E6">
        <v>6.0000000000000001E-3</v>
      </c>
    </row>
    <row r="7" spans="1:5" x14ac:dyDescent="0.25">
      <c r="A7" t="s">
        <v>100</v>
      </c>
      <c r="B7">
        <v>0</v>
      </c>
      <c r="C7" t="s">
        <v>108</v>
      </c>
      <c r="D7">
        <v>1E-3</v>
      </c>
      <c r="E7" t="s">
        <v>109</v>
      </c>
    </row>
    <row r="8" spans="1:5" x14ac:dyDescent="0.25">
      <c r="A8">
        <v>43</v>
      </c>
      <c r="B8">
        <v>3.0000000000000001E-3</v>
      </c>
      <c r="C8">
        <v>3.0000000000000001E-3</v>
      </c>
      <c r="D8">
        <v>3.0000000000000001E-3</v>
      </c>
      <c r="E8" t="s">
        <v>109</v>
      </c>
    </row>
    <row r="9" spans="1:5" x14ac:dyDescent="0.25">
      <c r="A9">
        <v>23</v>
      </c>
      <c r="B9">
        <v>0</v>
      </c>
      <c r="C9" t="s">
        <v>108</v>
      </c>
      <c r="D9">
        <v>6.0000000000000001E-3</v>
      </c>
      <c r="E9">
        <v>6.0000000000000001E-3</v>
      </c>
    </row>
    <row r="10" spans="1:5" x14ac:dyDescent="0.25">
      <c r="A10">
        <v>32</v>
      </c>
      <c r="B10">
        <v>-1.0999999999999999E-2</v>
      </c>
      <c r="C10" t="s">
        <v>108</v>
      </c>
      <c r="D10">
        <v>2E-3</v>
      </c>
      <c r="E10" t="s">
        <v>109</v>
      </c>
    </row>
    <row r="11" spans="1:5" x14ac:dyDescent="0.25">
      <c r="A11">
        <v>29</v>
      </c>
      <c r="B11">
        <v>0</v>
      </c>
      <c r="C11" t="s">
        <v>108</v>
      </c>
      <c r="D11">
        <v>7.0000000000000001E-3</v>
      </c>
      <c r="E11">
        <v>7.0000000000000001E-3</v>
      </c>
    </row>
    <row r="12" spans="1:5" x14ac:dyDescent="0.25">
      <c r="A12">
        <v>21</v>
      </c>
      <c r="B12">
        <v>0</v>
      </c>
      <c r="C12" t="s">
        <v>108</v>
      </c>
      <c r="D12">
        <v>2E-3</v>
      </c>
      <c r="E12" t="s">
        <v>109</v>
      </c>
    </row>
    <row r="13" spans="1:5" x14ac:dyDescent="0.25">
      <c r="A13">
        <v>31</v>
      </c>
      <c r="B13">
        <v>0</v>
      </c>
      <c r="C13" t="s">
        <v>108</v>
      </c>
      <c r="D13">
        <v>2E-3</v>
      </c>
      <c r="E13" t="s">
        <v>109</v>
      </c>
    </row>
    <row r="14" spans="1:5" x14ac:dyDescent="0.25">
      <c r="A14">
        <v>27</v>
      </c>
      <c r="B14">
        <v>0</v>
      </c>
      <c r="C14" t="s">
        <v>108</v>
      </c>
      <c r="D14">
        <v>1E-3</v>
      </c>
      <c r="E14" t="s">
        <v>109</v>
      </c>
    </row>
    <row r="15" spans="1:5" x14ac:dyDescent="0.25">
      <c r="A15">
        <v>35</v>
      </c>
      <c r="B15">
        <v>0</v>
      </c>
      <c r="C15" t="s">
        <v>108</v>
      </c>
      <c r="D15">
        <v>2E-3</v>
      </c>
      <c r="E15" t="s">
        <v>109</v>
      </c>
    </row>
    <row r="16" spans="1:5" x14ac:dyDescent="0.25">
      <c r="A16">
        <v>36</v>
      </c>
      <c r="B16">
        <v>0</v>
      </c>
      <c r="C16" t="s">
        <v>108</v>
      </c>
      <c r="D16">
        <v>4.0000000000000001E-3</v>
      </c>
      <c r="E16" t="s">
        <v>109</v>
      </c>
    </row>
    <row r="17" spans="1:5" x14ac:dyDescent="0.25">
      <c r="A17">
        <v>33</v>
      </c>
      <c r="B17">
        <v>0</v>
      </c>
      <c r="C17" t="s">
        <v>108</v>
      </c>
      <c r="D17">
        <v>1E-3</v>
      </c>
      <c r="E17" t="s">
        <v>109</v>
      </c>
    </row>
    <row r="18" spans="1:5" x14ac:dyDescent="0.25">
      <c r="A18">
        <v>34</v>
      </c>
      <c r="B18">
        <v>6.0000000000000001E-3</v>
      </c>
      <c r="C18">
        <v>6.0000000000000001E-3</v>
      </c>
      <c r="D18">
        <v>2E-3</v>
      </c>
      <c r="E18" t="s">
        <v>109</v>
      </c>
    </row>
    <row r="19" spans="1:5" x14ac:dyDescent="0.25">
      <c r="A19">
        <v>40</v>
      </c>
      <c r="B19">
        <v>0.01</v>
      </c>
      <c r="C19">
        <v>0.01</v>
      </c>
      <c r="D19">
        <v>3.0000000000000001E-3</v>
      </c>
      <c r="E19" t="s">
        <v>109</v>
      </c>
    </row>
    <row r="20" spans="1:5" x14ac:dyDescent="0.25">
      <c r="A20">
        <v>52</v>
      </c>
      <c r="B20">
        <v>0</v>
      </c>
      <c r="C20" t="s">
        <v>95</v>
      </c>
      <c r="D20">
        <v>3.0000000000000001E-3</v>
      </c>
      <c r="E20" t="s">
        <v>109</v>
      </c>
    </row>
    <row r="21" spans="1:5" x14ac:dyDescent="0.25">
      <c r="A21" t="s">
        <v>101</v>
      </c>
      <c r="B21">
        <v>-0.01</v>
      </c>
      <c r="C21" t="s">
        <v>95</v>
      </c>
      <c r="D21">
        <v>2E-3</v>
      </c>
      <c r="E21" t="s">
        <v>109</v>
      </c>
    </row>
    <row r="22" spans="1:5" x14ac:dyDescent="0.25">
      <c r="A22">
        <v>38</v>
      </c>
      <c r="B22">
        <v>8.9999999999999993E-3</v>
      </c>
      <c r="C22">
        <v>8.9999999999999993E-3</v>
      </c>
      <c r="D22">
        <v>5.0000000000000001E-3</v>
      </c>
      <c r="E22" t="s">
        <v>109</v>
      </c>
    </row>
    <row r="23" spans="1:5" x14ac:dyDescent="0.25">
      <c r="A23">
        <v>39</v>
      </c>
      <c r="B23">
        <v>1.6E-2</v>
      </c>
      <c r="C23">
        <v>1.6E-2</v>
      </c>
      <c r="D23">
        <v>1E-3</v>
      </c>
      <c r="E23" t="s">
        <v>109</v>
      </c>
    </row>
    <row r="24" spans="1:5" x14ac:dyDescent="0.25">
      <c r="A24">
        <v>44</v>
      </c>
      <c r="B24">
        <v>0</v>
      </c>
      <c r="C24" t="s">
        <v>108</v>
      </c>
      <c r="D24">
        <v>6.0000000000000001E-3</v>
      </c>
      <c r="E24">
        <v>6.0000000000000001E-3</v>
      </c>
    </row>
    <row r="25" spans="1:5" x14ac:dyDescent="0.25">
      <c r="A25">
        <v>45</v>
      </c>
      <c r="B25">
        <v>-7.0000000000000001E-3</v>
      </c>
      <c r="C25" t="s">
        <v>108</v>
      </c>
      <c r="D25">
        <v>1E-3</v>
      </c>
      <c r="E25" t="s">
        <v>109</v>
      </c>
    </row>
    <row r="26" spans="1:5" x14ac:dyDescent="0.25">
      <c r="A26">
        <v>41</v>
      </c>
      <c r="B26">
        <v>-8.9999999999999993E-3</v>
      </c>
      <c r="C26" t="s">
        <v>108</v>
      </c>
      <c r="D26">
        <v>1E-3</v>
      </c>
      <c r="E26" t="s">
        <v>109</v>
      </c>
    </row>
    <row r="27" spans="1:5" x14ac:dyDescent="0.25">
      <c r="A27">
        <v>47</v>
      </c>
      <c r="B27">
        <v>-2E-3</v>
      </c>
      <c r="C27" t="s">
        <v>108</v>
      </c>
      <c r="D27">
        <v>2E-3</v>
      </c>
      <c r="E27" t="s">
        <v>109</v>
      </c>
    </row>
    <row r="28" spans="1:5" x14ac:dyDescent="0.25">
      <c r="A28">
        <v>25</v>
      </c>
      <c r="B28">
        <v>-8.9999999999999993E-3</v>
      </c>
      <c r="C28" t="s">
        <v>108</v>
      </c>
      <c r="D28">
        <v>1E-3</v>
      </c>
      <c r="E28" t="s">
        <v>109</v>
      </c>
    </row>
    <row r="29" spans="1:5" x14ac:dyDescent="0.25">
      <c r="A29">
        <v>49</v>
      </c>
      <c r="B29">
        <v>3.7999999999999999E-2</v>
      </c>
      <c r="C29">
        <v>3.7999999999999999E-2</v>
      </c>
      <c r="D29">
        <v>1E-3</v>
      </c>
      <c r="E29" t="s">
        <v>109</v>
      </c>
    </row>
    <row r="30" spans="1:5" x14ac:dyDescent="0.25">
      <c r="A30">
        <v>46</v>
      </c>
      <c r="B30">
        <v>0.01</v>
      </c>
      <c r="C30">
        <v>0.01</v>
      </c>
      <c r="D30">
        <v>2E-3</v>
      </c>
      <c r="E30" t="s">
        <v>109</v>
      </c>
    </row>
    <row r="31" spans="1:5" x14ac:dyDescent="0.25">
      <c r="A31">
        <v>42</v>
      </c>
      <c r="B31">
        <v>5.0000000000000001E-3</v>
      </c>
      <c r="C31">
        <v>5.0000000000000001E-3</v>
      </c>
      <c r="D31">
        <v>4.0000000000000001E-3</v>
      </c>
      <c r="E31" t="s">
        <v>109</v>
      </c>
    </row>
    <row r="32" spans="1:5" x14ac:dyDescent="0.25">
      <c r="A32">
        <v>50</v>
      </c>
      <c r="B32">
        <v>2E-3</v>
      </c>
      <c r="C32" t="s">
        <v>108</v>
      </c>
      <c r="D32">
        <v>3.0000000000000001E-3</v>
      </c>
      <c r="E32" t="s">
        <v>109</v>
      </c>
    </row>
    <row r="33" spans="1:5" x14ac:dyDescent="0.25">
      <c r="A33">
        <v>51</v>
      </c>
      <c r="B33">
        <v>0</v>
      </c>
      <c r="C33" t="s">
        <v>108</v>
      </c>
      <c r="D33">
        <v>3.0000000000000001E-3</v>
      </c>
      <c r="E33" t="s">
        <v>109</v>
      </c>
    </row>
    <row r="34" spans="1:5" x14ac:dyDescent="0.25">
      <c r="A34">
        <v>55</v>
      </c>
      <c r="B34">
        <v>0</v>
      </c>
      <c r="C34" t="s">
        <v>108</v>
      </c>
      <c r="D34">
        <v>4.0000000000000001E-3</v>
      </c>
      <c r="E34" t="s">
        <v>109</v>
      </c>
    </row>
    <row r="35" spans="1:5" x14ac:dyDescent="0.25">
      <c r="A35">
        <v>68</v>
      </c>
      <c r="B35">
        <v>0</v>
      </c>
      <c r="C35" t="s">
        <v>108</v>
      </c>
      <c r="D35">
        <v>1E-3</v>
      </c>
      <c r="E35" t="s">
        <v>109</v>
      </c>
    </row>
    <row r="36" spans="1:5" x14ac:dyDescent="0.25">
      <c r="A36">
        <v>59</v>
      </c>
      <c r="B36">
        <v>-8.0000000000000002E-3</v>
      </c>
      <c r="C36" t="s">
        <v>108</v>
      </c>
      <c r="D36">
        <v>6.0000000000000001E-3</v>
      </c>
      <c r="E36">
        <v>6.0000000000000001E-3</v>
      </c>
    </row>
    <row r="37" spans="1:5" x14ac:dyDescent="0.25">
      <c r="A37">
        <v>65</v>
      </c>
      <c r="B37">
        <v>0</v>
      </c>
      <c r="C37" t="s">
        <v>108</v>
      </c>
      <c r="D37">
        <v>4.0000000000000001E-3</v>
      </c>
      <c r="E37" t="s">
        <v>109</v>
      </c>
    </row>
    <row r="38" spans="1:5" x14ac:dyDescent="0.25">
      <c r="A38">
        <v>67</v>
      </c>
      <c r="B38">
        <v>0</v>
      </c>
      <c r="C38" t="s">
        <v>108</v>
      </c>
      <c r="D38">
        <v>4.0000000000000001E-3</v>
      </c>
      <c r="E38" t="s">
        <v>109</v>
      </c>
    </row>
    <row r="39" spans="1:5" x14ac:dyDescent="0.25">
      <c r="A39">
        <v>58</v>
      </c>
      <c r="B39">
        <v>0</v>
      </c>
      <c r="C39" t="s">
        <v>108</v>
      </c>
      <c r="D39">
        <v>5.0000000000000001E-3</v>
      </c>
      <c r="E39" t="s">
        <v>109</v>
      </c>
    </row>
    <row r="40" spans="1:5" x14ac:dyDescent="0.25">
      <c r="A40">
        <v>54</v>
      </c>
      <c r="B40">
        <v>3.0000000000000001E-3</v>
      </c>
      <c r="C40">
        <v>3.0000000000000001E-3</v>
      </c>
      <c r="D40">
        <v>2E-3</v>
      </c>
      <c r="E40" t="s">
        <v>109</v>
      </c>
    </row>
    <row r="41" spans="1:5" x14ac:dyDescent="0.25">
      <c r="A41">
        <v>64</v>
      </c>
      <c r="B41">
        <v>5.0999999999999997E-2</v>
      </c>
      <c r="C41">
        <v>5.0999999999999997E-2</v>
      </c>
      <c r="D41">
        <v>4.0000000000000001E-3</v>
      </c>
      <c r="E41" t="s">
        <v>109</v>
      </c>
    </row>
    <row r="42" spans="1:5" x14ac:dyDescent="0.25">
      <c r="A42">
        <v>61</v>
      </c>
      <c r="B42">
        <v>-7.0000000000000001E-3</v>
      </c>
      <c r="C42" t="s">
        <v>108</v>
      </c>
      <c r="D42">
        <v>5.0000000000000001E-3</v>
      </c>
      <c r="E42" t="s">
        <v>109</v>
      </c>
    </row>
    <row r="43" spans="1:5" x14ac:dyDescent="0.25">
      <c r="A43">
        <v>62</v>
      </c>
      <c r="B43">
        <v>0</v>
      </c>
      <c r="C43" t="s">
        <v>108</v>
      </c>
      <c r="D43">
        <v>6.0000000000000001E-3</v>
      </c>
      <c r="E43">
        <v>6.0000000000000001E-3</v>
      </c>
    </row>
    <row r="44" spans="1:5" x14ac:dyDescent="0.25">
      <c r="A44">
        <v>56</v>
      </c>
      <c r="B44">
        <v>-3.0000000000000001E-3</v>
      </c>
      <c r="C44" t="s">
        <v>108</v>
      </c>
      <c r="D44">
        <v>3.0000000000000001E-3</v>
      </c>
      <c r="E44" t="s">
        <v>109</v>
      </c>
    </row>
    <row r="45" spans="1:5" x14ac:dyDescent="0.25">
      <c r="A45">
        <v>66</v>
      </c>
      <c r="B45">
        <v>0</v>
      </c>
      <c r="C45" t="s">
        <v>108</v>
      </c>
      <c r="D45">
        <v>5.0000000000000001E-3</v>
      </c>
      <c r="E45" t="s">
        <v>109</v>
      </c>
    </row>
    <row r="46" spans="1:5" x14ac:dyDescent="0.25">
      <c r="A46">
        <v>48</v>
      </c>
      <c r="B46">
        <v>-5.0000000000000001E-3</v>
      </c>
      <c r="C46" t="s">
        <v>108</v>
      </c>
      <c r="D46">
        <v>2E-3</v>
      </c>
      <c r="E46" t="s">
        <v>109</v>
      </c>
    </row>
    <row r="47" spans="1:5" x14ac:dyDescent="0.25">
      <c r="A47">
        <v>57</v>
      </c>
      <c r="B47">
        <v>1E-3</v>
      </c>
      <c r="C47" t="s">
        <v>108</v>
      </c>
      <c r="D47">
        <v>2E-3</v>
      </c>
      <c r="E47" t="s">
        <v>109</v>
      </c>
    </row>
    <row r="48" spans="1:5" x14ac:dyDescent="0.25">
      <c r="A48">
        <v>53</v>
      </c>
      <c r="B48">
        <v>2.1000000000000001E-2</v>
      </c>
      <c r="C48">
        <v>2.1000000000000001E-2</v>
      </c>
      <c r="D48">
        <v>4.0000000000000001E-3</v>
      </c>
      <c r="E48" t="s">
        <v>109</v>
      </c>
    </row>
  </sheetData>
  <conditionalFormatting sqref="B1:B1048576">
    <cfRule type="cellIs" dxfId="4" priority="2" operator="lessThan">
      <formula>0.003</formula>
    </cfRule>
  </conditionalFormatting>
  <conditionalFormatting sqref="D1:D1048576">
    <cfRule type="cellIs" dxfId="3" priority="1" operator="lessThan">
      <formula>0.006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897B-A5B4-4BF9-8A03-AEAEA637946D}">
  <dimension ref="A1:C47"/>
  <sheetViews>
    <sheetView zoomScaleNormal="100" workbookViewId="0">
      <selection activeCell="E18" sqref="E18"/>
    </sheetView>
  </sheetViews>
  <sheetFormatPr defaultRowHeight="15" x14ac:dyDescent="0.25"/>
  <cols>
    <col min="2" max="2" width="9.85546875" bestFit="1" customWidth="1"/>
    <col min="3" max="3" width="14.42578125" bestFit="1" customWidth="1"/>
  </cols>
  <sheetData>
    <row r="1" spans="1:3" x14ac:dyDescent="0.25">
      <c r="A1" t="s">
        <v>102</v>
      </c>
      <c r="B1" t="s">
        <v>91</v>
      </c>
      <c r="C1" t="s">
        <v>103</v>
      </c>
    </row>
    <row r="2" spans="1:3" x14ac:dyDescent="0.25">
      <c r="A2">
        <v>1</v>
      </c>
      <c r="B2">
        <v>0.33900000000000002</v>
      </c>
      <c r="C2">
        <v>0.33900000000000002</v>
      </c>
    </row>
    <row r="3" spans="1:3" x14ac:dyDescent="0.25">
      <c r="A3">
        <v>3</v>
      </c>
      <c r="B3">
        <v>0.47399999999999998</v>
      </c>
      <c r="C3">
        <v>0.47399999999999998</v>
      </c>
    </row>
    <row r="4" spans="1:3" x14ac:dyDescent="0.25">
      <c r="A4">
        <v>4</v>
      </c>
      <c r="B4">
        <v>0.45400000000000001</v>
      </c>
      <c r="C4">
        <v>0.45400000000000001</v>
      </c>
    </row>
    <row r="5" spans="1:3" x14ac:dyDescent="0.25">
      <c r="A5">
        <v>5</v>
      </c>
      <c r="B5">
        <v>0.13600000000000001</v>
      </c>
      <c r="C5" t="s">
        <v>94</v>
      </c>
    </row>
    <row r="6" spans="1:3" x14ac:dyDescent="0.25">
      <c r="A6">
        <v>6</v>
      </c>
      <c r="B6">
        <v>0.53100000000000003</v>
      </c>
      <c r="C6">
        <v>0.53100000000000003</v>
      </c>
    </row>
    <row r="7" spans="1:3" x14ac:dyDescent="0.25">
      <c r="A7">
        <v>20</v>
      </c>
      <c r="B7">
        <v>0.46899999999999997</v>
      </c>
      <c r="C7">
        <v>0.46899999999999997</v>
      </c>
    </row>
    <row r="8" spans="1:3" x14ac:dyDescent="0.25">
      <c r="A8">
        <v>22</v>
      </c>
      <c r="B8">
        <v>0.38900000000000001</v>
      </c>
      <c r="C8">
        <v>0.38900000000000001</v>
      </c>
    </row>
    <row r="9" spans="1:3" x14ac:dyDescent="0.25">
      <c r="A9">
        <v>26</v>
      </c>
      <c r="B9">
        <v>0.33</v>
      </c>
      <c r="C9">
        <v>0.33</v>
      </c>
    </row>
    <row r="10" spans="1:3" x14ac:dyDescent="0.25">
      <c r="A10">
        <v>24</v>
      </c>
      <c r="B10">
        <v>0.45300000000000001</v>
      </c>
      <c r="C10">
        <v>0.45300000000000001</v>
      </c>
    </row>
    <row r="11" spans="1:3" x14ac:dyDescent="0.25">
      <c r="A11">
        <v>28</v>
      </c>
      <c r="B11">
        <v>0.22700000000000001</v>
      </c>
      <c r="C11" t="s">
        <v>94</v>
      </c>
    </row>
    <row r="12" spans="1:3" x14ac:dyDescent="0.25">
      <c r="A12">
        <v>30</v>
      </c>
      <c r="B12">
        <v>0.247</v>
      </c>
      <c r="C12" t="s">
        <v>94</v>
      </c>
    </row>
    <row r="13" spans="1:3" x14ac:dyDescent="0.25">
      <c r="A13">
        <v>38</v>
      </c>
      <c r="B13">
        <v>0.34200000000000003</v>
      </c>
      <c r="C13">
        <v>0.34200000000000003</v>
      </c>
    </row>
    <row r="14" spans="1:3" x14ac:dyDescent="0.25">
      <c r="A14">
        <v>39</v>
      </c>
      <c r="B14">
        <v>0.32200000000000001</v>
      </c>
      <c r="C14">
        <v>0.32200000000000001</v>
      </c>
    </row>
    <row r="15" spans="1:3" x14ac:dyDescent="0.25">
      <c r="A15">
        <v>40</v>
      </c>
      <c r="B15">
        <v>0.44500000000000001</v>
      </c>
      <c r="C15">
        <v>0.44500000000000001</v>
      </c>
    </row>
    <row r="16" spans="1:3" x14ac:dyDescent="0.25">
      <c r="A16">
        <v>41</v>
      </c>
      <c r="B16">
        <v>0.4</v>
      </c>
      <c r="C16">
        <v>0.4</v>
      </c>
    </row>
    <row r="17" spans="1:3" x14ac:dyDescent="0.25">
      <c r="A17">
        <v>42</v>
      </c>
      <c r="B17">
        <v>0.45</v>
      </c>
      <c r="C17">
        <v>0.45</v>
      </c>
    </row>
    <row r="18" spans="1:3" x14ac:dyDescent="0.25">
      <c r="A18">
        <v>43</v>
      </c>
      <c r="B18">
        <v>0.39500000000000002</v>
      </c>
      <c r="C18">
        <v>0.39500000000000002</v>
      </c>
    </row>
    <row r="19" spans="1:3" x14ac:dyDescent="0.25">
      <c r="A19">
        <v>44</v>
      </c>
      <c r="B19">
        <v>0.41499999999999998</v>
      </c>
      <c r="C19">
        <v>0.41499999999999998</v>
      </c>
    </row>
    <row r="20" spans="1:3" x14ac:dyDescent="0.25">
      <c r="A20">
        <v>45</v>
      </c>
      <c r="B20">
        <v>0.39600000000000002</v>
      </c>
      <c r="C20">
        <v>0.39600000000000002</v>
      </c>
    </row>
    <row r="21" spans="1:3" x14ac:dyDescent="0.25">
      <c r="A21">
        <v>46</v>
      </c>
      <c r="B21">
        <v>0.38300000000000001</v>
      </c>
      <c r="C21">
        <v>0.38300000000000001</v>
      </c>
    </row>
    <row r="22" spans="1:3" x14ac:dyDescent="0.25">
      <c r="A22">
        <v>47</v>
      </c>
      <c r="B22">
        <v>0.28000000000000003</v>
      </c>
      <c r="C22">
        <v>0.28000000000000003</v>
      </c>
    </row>
    <row r="23" spans="1:3" x14ac:dyDescent="0.25">
      <c r="A23">
        <v>48</v>
      </c>
      <c r="B23">
        <v>0.308</v>
      </c>
      <c r="C23">
        <v>0.308</v>
      </c>
    </row>
    <row r="24" spans="1:3" x14ac:dyDescent="0.25">
      <c r="A24">
        <v>50</v>
      </c>
      <c r="B24">
        <v>7.5999999999999998E-2</v>
      </c>
      <c r="C24" t="s">
        <v>94</v>
      </c>
    </row>
    <row r="25" spans="1:3" x14ac:dyDescent="0.25">
      <c r="A25">
        <v>51</v>
      </c>
      <c r="B25">
        <v>0.29499999999999998</v>
      </c>
      <c r="C25">
        <v>0.29499999999999998</v>
      </c>
    </row>
    <row r="26" spans="1:3" x14ac:dyDescent="0.25">
      <c r="A26">
        <v>52</v>
      </c>
      <c r="B26">
        <v>0.30399999999999999</v>
      </c>
      <c r="C26">
        <v>0.30399999999999999</v>
      </c>
    </row>
    <row r="27" spans="1:3" x14ac:dyDescent="0.25">
      <c r="A27">
        <v>53</v>
      </c>
      <c r="B27">
        <v>0.28100000000000003</v>
      </c>
      <c r="C27">
        <v>0.28100000000000003</v>
      </c>
    </row>
    <row r="28" spans="1:3" x14ac:dyDescent="0.25">
      <c r="A28">
        <v>54</v>
      </c>
      <c r="B28">
        <v>0.253</v>
      </c>
      <c r="C28" t="s">
        <v>94</v>
      </c>
    </row>
    <row r="29" spans="1:3" x14ac:dyDescent="0.25">
      <c r="A29">
        <v>55</v>
      </c>
      <c r="B29">
        <v>0.24099999999999999</v>
      </c>
      <c r="C29" t="s">
        <v>94</v>
      </c>
    </row>
    <row r="30" spans="1:3" x14ac:dyDescent="0.25">
      <c r="A30">
        <v>49</v>
      </c>
      <c r="B30">
        <v>0.31900000000000001</v>
      </c>
      <c r="C30">
        <v>0.31900000000000001</v>
      </c>
    </row>
    <row r="31" spans="1:3" x14ac:dyDescent="0.25">
      <c r="A31">
        <v>56</v>
      </c>
      <c r="B31">
        <v>0.26400000000000001</v>
      </c>
      <c r="C31">
        <v>0.26400000000000001</v>
      </c>
    </row>
    <row r="32" spans="1:3" x14ac:dyDescent="0.25">
      <c r="A32">
        <v>57</v>
      </c>
      <c r="B32">
        <v>0.27500000000000002</v>
      </c>
      <c r="C32">
        <v>0.27500000000000002</v>
      </c>
    </row>
    <row r="33" spans="1:3" x14ac:dyDescent="0.25">
      <c r="A33">
        <v>58</v>
      </c>
      <c r="B33">
        <v>0.28000000000000003</v>
      </c>
      <c r="C33">
        <v>0.28000000000000003</v>
      </c>
    </row>
    <row r="34" spans="1:3" x14ac:dyDescent="0.25">
      <c r="A34">
        <v>59</v>
      </c>
      <c r="B34">
        <v>0.27400000000000002</v>
      </c>
      <c r="C34">
        <v>0.27400000000000002</v>
      </c>
    </row>
    <row r="35" spans="1:3" x14ac:dyDescent="0.25">
      <c r="A35">
        <v>60</v>
      </c>
      <c r="B35">
        <v>0.24099999999999999</v>
      </c>
      <c r="C35" t="s">
        <v>94</v>
      </c>
    </row>
    <row r="36" spans="1:3" x14ac:dyDescent="0.25">
      <c r="A36">
        <v>61</v>
      </c>
      <c r="B36">
        <v>0.316</v>
      </c>
      <c r="C36">
        <v>0.316</v>
      </c>
    </row>
    <row r="37" spans="1:3" x14ac:dyDescent="0.25">
      <c r="A37">
        <v>62</v>
      </c>
      <c r="B37">
        <v>0.309</v>
      </c>
      <c r="C37">
        <v>0.309</v>
      </c>
    </row>
    <row r="38" spans="1:3" x14ac:dyDescent="0.25">
      <c r="A38">
        <v>63</v>
      </c>
      <c r="B38">
        <v>0.28299999999999997</v>
      </c>
      <c r="C38">
        <v>0.28299999999999997</v>
      </c>
    </row>
    <row r="39" spans="1:3" x14ac:dyDescent="0.25">
      <c r="A39">
        <v>64</v>
      </c>
      <c r="B39">
        <v>0.27300000000000002</v>
      </c>
      <c r="C39">
        <v>0.27300000000000002</v>
      </c>
    </row>
    <row r="40" spans="1:3" x14ac:dyDescent="0.25">
      <c r="A40">
        <v>65</v>
      </c>
      <c r="B40">
        <v>0.309</v>
      </c>
      <c r="C40">
        <v>0.309</v>
      </c>
    </row>
    <row r="41" spans="1:3" x14ac:dyDescent="0.25">
      <c r="A41">
        <v>67</v>
      </c>
      <c r="B41">
        <v>0.30399999999999999</v>
      </c>
      <c r="C41">
        <v>0.30399999999999999</v>
      </c>
    </row>
    <row r="42" spans="1:3" x14ac:dyDescent="0.25">
      <c r="A42">
        <v>68</v>
      </c>
      <c r="B42">
        <v>0.34899999999999998</v>
      </c>
      <c r="C42">
        <v>0.34899999999999998</v>
      </c>
    </row>
    <row r="43" spans="1:3" x14ac:dyDescent="0.25">
      <c r="A43">
        <v>70</v>
      </c>
      <c r="B43">
        <v>0.25700000000000001</v>
      </c>
      <c r="C43">
        <v>0.25700000000000001</v>
      </c>
    </row>
    <row r="44" spans="1:3" x14ac:dyDescent="0.25">
      <c r="A44">
        <v>71</v>
      </c>
      <c r="B44">
        <v>0.247</v>
      </c>
      <c r="C44" t="s">
        <v>94</v>
      </c>
    </row>
    <row r="45" spans="1:3" x14ac:dyDescent="0.25">
      <c r="A45">
        <v>72</v>
      </c>
      <c r="B45">
        <v>0.33</v>
      </c>
      <c r="C45">
        <v>0.33</v>
      </c>
    </row>
    <row r="46" spans="1:3" x14ac:dyDescent="0.25">
      <c r="A46">
        <v>73</v>
      </c>
      <c r="B46">
        <v>0.254</v>
      </c>
      <c r="C46" t="s">
        <v>94</v>
      </c>
    </row>
    <row r="47" spans="1:3" x14ac:dyDescent="0.25">
      <c r="A47">
        <v>74</v>
      </c>
      <c r="B47">
        <v>0.26500000000000001</v>
      </c>
      <c r="C47">
        <v>0.26500000000000001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9086-DC21-4D75-B0CA-E79A2C9F394F}">
  <dimension ref="A1:E48"/>
  <sheetViews>
    <sheetView workbookViewId="0">
      <selection activeCell="C2" sqref="C2"/>
    </sheetView>
  </sheetViews>
  <sheetFormatPr defaultRowHeight="15" x14ac:dyDescent="0.25"/>
  <cols>
    <col min="2" max="2" width="10" bestFit="1" customWidth="1"/>
    <col min="3" max="3" width="14.85546875" bestFit="1" customWidth="1"/>
    <col min="4" max="4" width="9.85546875" bestFit="1" customWidth="1"/>
    <col min="5" max="5" width="14.42578125" bestFit="1" customWidth="1"/>
  </cols>
  <sheetData>
    <row r="1" spans="1:5" x14ac:dyDescent="0.25">
      <c r="A1" t="s">
        <v>102</v>
      </c>
      <c r="B1" s="1" t="s">
        <v>92</v>
      </c>
      <c r="C1" s="1" t="s">
        <v>104</v>
      </c>
      <c r="D1" s="1" t="s">
        <v>93</v>
      </c>
      <c r="E1" t="s">
        <v>106</v>
      </c>
    </row>
    <row r="2" spans="1:5" x14ac:dyDescent="0.25">
      <c r="A2" t="s">
        <v>0</v>
      </c>
      <c r="B2">
        <v>4.0000000000000001E-3</v>
      </c>
      <c r="C2">
        <v>4.0000000000000001E-3</v>
      </c>
      <c r="D2">
        <v>2E-3</v>
      </c>
      <c r="E2" t="s">
        <v>109</v>
      </c>
    </row>
    <row r="3" spans="1:5" x14ac:dyDescent="0.25">
      <c r="A3" t="s">
        <v>1</v>
      </c>
      <c r="B3">
        <v>6.0000000000000001E-3</v>
      </c>
      <c r="C3">
        <v>6.0000000000000001E-3</v>
      </c>
      <c r="D3">
        <v>2E-3</v>
      </c>
      <c r="E3" t="s">
        <v>109</v>
      </c>
    </row>
    <row r="4" spans="1:5" x14ac:dyDescent="0.25">
      <c r="A4" t="s">
        <v>2</v>
      </c>
      <c r="B4">
        <v>7.0000000000000001E-3</v>
      </c>
      <c r="C4">
        <v>7.0000000000000001E-3</v>
      </c>
      <c r="D4">
        <v>3.0000000000000001E-3</v>
      </c>
      <c r="E4" t="s">
        <v>109</v>
      </c>
    </row>
    <row r="5" spans="1:5" x14ac:dyDescent="0.25">
      <c r="A5" t="s">
        <v>3</v>
      </c>
      <c r="B5">
        <v>7.0000000000000001E-3</v>
      </c>
      <c r="C5">
        <v>7.0000000000000001E-3</v>
      </c>
      <c r="D5">
        <v>2E-3</v>
      </c>
      <c r="E5" t="s">
        <v>109</v>
      </c>
    </row>
    <row r="6" spans="1:5" x14ac:dyDescent="0.25">
      <c r="A6" t="s">
        <v>4</v>
      </c>
      <c r="B6">
        <v>1.2E-2</v>
      </c>
      <c r="C6">
        <v>1.2E-2</v>
      </c>
      <c r="D6">
        <v>2E-3</v>
      </c>
      <c r="E6" t="s">
        <v>109</v>
      </c>
    </row>
    <row r="7" spans="1:5" x14ac:dyDescent="0.25">
      <c r="A7" t="s">
        <v>5</v>
      </c>
      <c r="B7">
        <v>1.4E-2</v>
      </c>
      <c r="C7">
        <v>1.4E-2</v>
      </c>
      <c r="D7">
        <v>3.0000000000000001E-3</v>
      </c>
      <c r="E7" t="s">
        <v>109</v>
      </c>
    </row>
    <row r="8" spans="1:5" x14ac:dyDescent="0.25">
      <c r="A8" t="s">
        <v>6</v>
      </c>
      <c r="B8">
        <v>5.0000000000000001E-3</v>
      </c>
      <c r="C8">
        <v>5.0000000000000001E-3</v>
      </c>
      <c r="D8">
        <v>1E-3</v>
      </c>
      <c r="E8" t="s">
        <v>109</v>
      </c>
    </row>
    <row r="9" spans="1:5" x14ac:dyDescent="0.25">
      <c r="A9" t="s">
        <v>7</v>
      </c>
      <c r="B9">
        <v>2E-3</v>
      </c>
      <c r="C9" t="s">
        <v>108</v>
      </c>
      <c r="D9">
        <v>1.1220000000000001</v>
      </c>
      <c r="E9">
        <v>1.1220000000000001</v>
      </c>
    </row>
    <row r="10" spans="1:5" x14ac:dyDescent="0.25">
      <c r="A10" t="s">
        <v>8</v>
      </c>
      <c r="B10">
        <v>-2E-3</v>
      </c>
      <c r="C10" t="s">
        <v>108</v>
      </c>
      <c r="D10">
        <v>0</v>
      </c>
      <c r="E10" t="s">
        <v>109</v>
      </c>
    </row>
    <row r="11" spans="1:5" x14ac:dyDescent="0.25">
      <c r="A11" t="s">
        <v>9</v>
      </c>
      <c r="B11">
        <v>2E-3</v>
      </c>
      <c r="C11" t="s">
        <v>108</v>
      </c>
      <c r="D11">
        <v>1E-3</v>
      </c>
      <c r="E11" t="s">
        <v>109</v>
      </c>
    </row>
    <row r="12" spans="1:5" x14ac:dyDescent="0.25">
      <c r="A12" t="s">
        <v>10</v>
      </c>
      <c r="B12">
        <v>4.0000000000000001E-3</v>
      </c>
      <c r="C12">
        <v>4.0000000000000001E-3</v>
      </c>
      <c r="D12">
        <v>1E-3</v>
      </c>
      <c r="E12" t="s">
        <v>109</v>
      </c>
    </row>
    <row r="13" spans="1:5" x14ac:dyDescent="0.25">
      <c r="A13" t="s">
        <v>11</v>
      </c>
      <c r="B13">
        <v>5.0000000000000001E-3</v>
      </c>
      <c r="C13">
        <v>5.0000000000000001E-3</v>
      </c>
      <c r="D13">
        <v>1E-3</v>
      </c>
      <c r="E13" t="s">
        <v>109</v>
      </c>
    </row>
    <row r="14" spans="1:5" x14ac:dyDescent="0.25">
      <c r="A14" t="s">
        <v>12</v>
      </c>
      <c r="B14">
        <v>1E-3</v>
      </c>
      <c r="C14" t="s">
        <v>108</v>
      </c>
      <c r="D14">
        <v>1E-3</v>
      </c>
      <c r="E14" t="s">
        <v>109</v>
      </c>
    </row>
    <row r="15" spans="1:5" x14ac:dyDescent="0.25">
      <c r="A15" t="s">
        <v>13</v>
      </c>
      <c r="B15">
        <v>3.0000000000000001E-3</v>
      </c>
      <c r="C15">
        <v>3.0000000000000001E-3</v>
      </c>
      <c r="D15">
        <v>1E-3</v>
      </c>
      <c r="E15" t="s">
        <v>109</v>
      </c>
    </row>
    <row r="16" spans="1:5" x14ac:dyDescent="0.25">
      <c r="A16" t="s">
        <v>14</v>
      </c>
      <c r="B16">
        <v>1E-3</v>
      </c>
      <c r="C16" t="s">
        <v>108</v>
      </c>
      <c r="D16">
        <v>0</v>
      </c>
      <c r="E16" t="s">
        <v>109</v>
      </c>
    </row>
    <row r="17" spans="1:5" x14ac:dyDescent="0.25">
      <c r="A17" t="s">
        <v>15</v>
      </c>
      <c r="B17">
        <v>3.0000000000000001E-3</v>
      </c>
      <c r="C17">
        <v>3.0000000000000001E-3</v>
      </c>
      <c r="D17">
        <v>0</v>
      </c>
      <c r="E17" t="s">
        <v>109</v>
      </c>
    </row>
    <row r="18" spans="1:5" x14ac:dyDescent="0.25">
      <c r="A18" t="s">
        <v>16</v>
      </c>
      <c r="B18">
        <v>6.0000000000000001E-3</v>
      </c>
      <c r="C18">
        <v>6.0000000000000001E-3</v>
      </c>
      <c r="D18">
        <v>1E-3</v>
      </c>
      <c r="E18" t="s">
        <v>109</v>
      </c>
    </row>
    <row r="19" spans="1:5" x14ac:dyDescent="0.25">
      <c r="A19" t="s">
        <v>17</v>
      </c>
      <c r="B19">
        <v>0</v>
      </c>
      <c r="C19" t="s">
        <v>108</v>
      </c>
      <c r="D19">
        <v>0</v>
      </c>
      <c r="E19" t="s">
        <v>109</v>
      </c>
    </row>
    <row r="20" spans="1:5" x14ac:dyDescent="0.25">
      <c r="A20" t="s">
        <v>18</v>
      </c>
      <c r="B20">
        <v>5.0000000000000001E-3</v>
      </c>
      <c r="C20">
        <v>5.0000000000000001E-3</v>
      </c>
      <c r="D20">
        <v>2E-3</v>
      </c>
      <c r="E20" t="s">
        <v>109</v>
      </c>
    </row>
    <row r="21" spans="1:5" x14ac:dyDescent="0.25">
      <c r="A21" t="s">
        <v>19</v>
      </c>
      <c r="B21">
        <v>-2E-3</v>
      </c>
      <c r="C21" t="s">
        <v>108</v>
      </c>
      <c r="D21">
        <v>1E-3</v>
      </c>
      <c r="E21" t="s">
        <v>109</v>
      </c>
    </row>
    <row r="22" spans="1:5" x14ac:dyDescent="0.25">
      <c r="A22" t="s">
        <v>20</v>
      </c>
      <c r="B22">
        <v>-2E-3</v>
      </c>
      <c r="C22" t="s">
        <v>108</v>
      </c>
      <c r="D22">
        <v>1E-3</v>
      </c>
      <c r="E22" t="s">
        <v>109</v>
      </c>
    </row>
    <row r="23" spans="1:5" x14ac:dyDescent="0.25">
      <c r="A23" t="s">
        <v>21</v>
      </c>
      <c r="B23">
        <v>-3.0000000000000001E-3</v>
      </c>
      <c r="C23" t="s">
        <v>108</v>
      </c>
      <c r="D23">
        <v>0</v>
      </c>
      <c r="E23" t="s">
        <v>109</v>
      </c>
    </row>
    <row r="24" spans="1:5" x14ac:dyDescent="0.25">
      <c r="A24" t="s">
        <v>22</v>
      </c>
      <c r="B24">
        <v>0</v>
      </c>
      <c r="C24" t="s">
        <v>108</v>
      </c>
      <c r="D24">
        <v>1E-3</v>
      </c>
      <c r="E24" t="s">
        <v>109</v>
      </c>
    </row>
    <row r="25" spans="1:5" x14ac:dyDescent="0.25">
      <c r="A25" t="s">
        <v>23</v>
      </c>
      <c r="B25">
        <v>1E-3</v>
      </c>
      <c r="C25" t="s">
        <v>108</v>
      </c>
      <c r="D25">
        <v>5.1999999999999998E-2</v>
      </c>
      <c r="E25">
        <v>5.1999999999999998E-2</v>
      </c>
    </row>
    <row r="26" spans="1:5" x14ac:dyDescent="0.25">
      <c r="A26" t="s">
        <v>24</v>
      </c>
      <c r="B26">
        <v>1E-3</v>
      </c>
      <c r="C26" t="s">
        <v>108</v>
      </c>
      <c r="D26">
        <v>1E-3</v>
      </c>
      <c r="E26" t="s">
        <v>109</v>
      </c>
    </row>
    <row r="27" spans="1:5" x14ac:dyDescent="0.25">
      <c r="A27" t="s">
        <v>25</v>
      </c>
      <c r="B27">
        <v>1E-3</v>
      </c>
      <c r="C27" t="s">
        <v>108</v>
      </c>
      <c r="D27">
        <v>1E-3</v>
      </c>
      <c r="E27" t="s">
        <v>109</v>
      </c>
    </row>
    <row r="28" spans="1:5" x14ac:dyDescent="0.25">
      <c r="A28" t="s">
        <v>26</v>
      </c>
      <c r="B28">
        <v>1E-3</v>
      </c>
      <c r="C28" t="s">
        <v>108</v>
      </c>
      <c r="D28">
        <v>3.0000000000000001E-3</v>
      </c>
      <c r="E28" t="s">
        <v>109</v>
      </c>
    </row>
    <row r="29" spans="1:5" x14ac:dyDescent="0.25">
      <c r="A29" t="s">
        <v>27</v>
      </c>
      <c r="B29">
        <v>-1E-3</v>
      </c>
      <c r="C29" t="s">
        <v>108</v>
      </c>
      <c r="D29">
        <v>1E-3</v>
      </c>
      <c r="E29" t="s">
        <v>109</v>
      </c>
    </row>
    <row r="30" spans="1:5" x14ac:dyDescent="0.25">
      <c r="A30" t="s">
        <v>28</v>
      </c>
      <c r="B30">
        <v>2E-3</v>
      </c>
      <c r="C30" t="s">
        <v>108</v>
      </c>
      <c r="D30">
        <v>0</v>
      </c>
      <c r="E30" t="s">
        <v>109</v>
      </c>
    </row>
    <row r="31" spans="1:5" x14ac:dyDescent="0.25">
      <c r="A31" t="s">
        <v>29</v>
      </c>
      <c r="B31">
        <v>2E-3</v>
      </c>
      <c r="C31" t="s">
        <v>108</v>
      </c>
      <c r="D31">
        <v>1E-3</v>
      </c>
      <c r="E31" t="s">
        <v>109</v>
      </c>
    </row>
    <row r="32" spans="1:5" x14ac:dyDescent="0.25">
      <c r="A32" t="s">
        <v>30</v>
      </c>
      <c r="B32">
        <v>-3.0000000000000001E-3</v>
      </c>
      <c r="C32" t="s">
        <v>108</v>
      </c>
      <c r="D32">
        <v>0</v>
      </c>
      <c r="E32" t="s">
        <v>109</v>
      </c>
    </row>
    <row r="33" spans="1:5" x14ac:dyDescent="0.25">
      <c r="A33" t="s">
        <v>31</v>
      </c>
      <c r="B33">
        <v>2E-3</v>
      </c>
      <c r="C33" t="s">
        <v>108</v>
      </c>
      <c r="D33">
        <v>1E-3</v>
      </c>
      <c r="E33" t="s">
        <v>109</v>
      </c>
    </row>
    <row r="34" spans="1:5" x14ac:dyDescent="0.25">
      <c r="A34" t="s">
        <v>32</v>
      </c>
      <c r="B34">
        <v>2E-3</v>
      </c>
      <c r="C34" t="s">
        <v>108</v>
      </c>
      <c r="D34">
        <v>1E-3</v>
      </c>
      <c r="E34" t="s">
        <v>109</v>
      </c>
    </row>
    <row r="35" spans="1:5" x14ac:dyDescent="0.25">
      <c r="A35" t="s">
        <v>33</v>
      </c>
      <c r="B35">
        <v>1E-3</v>
      </c>
      <c r="C35" t="s">
        <v>108</v>
      </c>
      <c r="D35">
        <v>1E-3</v>
      </c>
      <c r="E35" t="s">
        <v>109</v>
      </c>
    </row>
    <row r="36" spans="1:5" x14ac:dyDescent="0.25">
      <c r="A36" t="s">
        <v>34</v>
      </c>
      <c r="B36">
        <v>3.0000000000000001E-3</v>
      </c>
      <c r="C36">
        <v>3.0000000000000001E-3</v>
      </c>
      <c r="D36">
        <v>2E-3</v>
      </c>
      <c r="E36" t="s">
        <v>109</v>
      </c>
    </row>
    <row r="37" spans="1:5" x14ac:dyDescent="0.25">
      <c r="A37" t="s">
        <v>35</v>
      </c>
      <c r="B37">
        <v>1E-3</v>
      </c>
      <c r="C37" t="s">
        <v>108</v>
      </c>
      <c r="D37">
        <v>1E-3</v>
      </c>
      <c r="E37" t="s">
        <v>109</v>
      </c>
    </row>
    <row r="38" spans="1:5" x14ac:dyDescent="0.25">
      <c r="A38" t="s">
        <v>36</v>
      </c>
      <c r="B38">
        <v>4.1000000000000002E-2</v>
      </c>
      <c r="C38">
        <v>4.1000000000000002E-2</v>
      </c>
      <c r="D38">
        <v>8.9999999999999993E-3</v>
      </c>
      <c r="E38">
        <v>8.9999999999999993E-3</v>
      </c>
    </row>
    <row r="39" spans="1:5" x14ac:dyDescent="0.25">
      <c r="A39" t="s">
        <v>37</v>
      </c>
      <c r="B39">
        <v>4.0000000000000001E-3</v>
      </c>
      <c r="C39">
        <v>4.0000000000000001E-3</v>
      </c>
      <c r="D39">
        <v>3.2000000000000001E-2</v>
      </c>
      <c r="E39">
        <v>3.2000000000000001E-2</v>
      </c>
    </row>
    <row r="40" spans="1:5" x14ac:dyDescent="0.25">
      <c r="A40" t="s">
        <v>38</v>
      </c>
      <c r="B40">
        <v>5.0000000000000001E-3</v>
      </c>
      <c r="C40">
        <v>5.0000000000000001E-3</v>
      </c>
      <c r="D40">
        <v>7.0000000000000001E-3</v>
      </c>
      <c r="E40">
        <v>7.0000000000000001E-3</v>
      </c>
    </row>
    <row r="41" spans="1:5" x14ac:dyDescent="0.25">
      <c r="A41" t="s">
        <v>39</v>
      </c>
      <c r="B41">
        <v>1.6E-2</v>
      </c>
      <c r="C41">
        <v>1.6E-2</v>
      </c>
      <c r="D41">
        <v>2.1000000000000001E-2</v>
      </c>
      <c r="E41">
        <v>2.1000000000000001E-2</v>
      </c>
    </row>
    <row r="42" spans="1:5" x14ac:dyDescent="0.25">
      <c r="A42" t="s">
        <v>40</v>
      </c>
      <c r="B42">
        <v>0.01</v>
      </c>
      <c r="C42">
        <v>0.01</v>
      </c>
      <c r="D42">
        <v>4.2000000000000003E-2</v>
      </c>
      <c r="E42">
        <v>4.2000000000000003E-2</v>
      </c>
    </row>
    <row r="43" spans="1:5" x14ac:dyDescent="0.25">
      <c r="A43" t="s">
        <v>41</v>
      </c>
      <c r="B43">
        <v>6.0000000000000001E-3</v>
      </c>
      <c r="C43">
        <v>6.0000000000000001E-3</v>
      </c>
      <c r="D43">
        <v>1.4999999999999999E-2</v>
      </c>
      <c r="E43">
        <v>1.4999999999999999E-2</v>
      </c>
    </row>
    <row r="44" spans="1:5" x14ac:dyDescent="0.25">
      <c r="A44" t="s">
        <v>42</v>
      </c>
      <c r="B44">
        <v>4.0000000000000001E-3</v>
      </c>
      <c r="C44">
        <v>4.0000000000000001E-3</v>
      </c>
      <c r="D44">
        <v>7.0000000000000001E-3</v>
      </c>
      <c r="E44">
        <v>7.0000000000000001E-3</v>
      </c>
    </row>
    <row r="45" spans="1:5" x14ac:dyDescent="0.25">
      <c r="A45" t="s">
        <v>43</v>
      </c>
      <c r="B45">
        <v>1E-3</v>
      </c>
      <c r="C45" t="s">
        <v>108</v>
      </c>
      <c r="D45">
        <v>5.0000000000000001E-3</v>
      </c>
      <c r="E45" t="s">
        <v>109</v>
      </c>
    </row>
    <row r="46" spans="1:5" x14ac:dyDescent="0.25">
      <c r="A46" t="s">
        <v>44</v>
      </c>
      <c r="B46">
        <v>-2E-3</v>
      </c>
      <c r="C46" t="s">
        <v>108</v>
      </c>
      <c r="D46">
        <v>1.2E-2</v>
      </c>
      <c r="E46">
        <v>1.2E-2</v>
      </c>
    </row>
    <row r="47" spans="1:5" x14ac:dyDescent="0.25">
      <c r="A47" t="s">
        <v>45</v>
      </c>
      <c r="B47">
        <v>1E-3</v>
      </c>
      <c r="C47" t="s">
        <v>108</v>
      </c>
      <c r="D47">
        <v>1.4E-2</v>
      </c>
      <c r="E47">
        <v>1.4E-2</v>
      </c>
    </row>
    <row r="48" spans="1:5" x14ac:dyDescent="0.25">
      <c r="A48" t="s">
        <v>46</v>
      </c>
      <c r="B48">
        <v>1E-3</v>
      </c>
      <c r="C48" t="s">
        <v>108</v>
      </c>
      <c r="D48">
        <v>1.6E-2</v>
      </c>
      <c r="E48">
        <v>1.6E-2</v>
      </c>
    </row>
  </sheetData>
  <conditionalFormatting sqref="B1:C8 B12:C13 B9:B11 B15:C15 B14 B17:C18 B16 B20:C20 B19 B36:C36 B21:B35 B38:C44 B37 B49:C1048576 B45:B48">
    <cfRule type="cellIs" dxfId="2" priority="3" operator="lessThan">
      <formula>0.003</formula>
    </cfRule>
  </conditionalFormatting>
  <conditionalFormatting sqref="D1:D1048576">
    <cfRule type="cellIs" dxfId="1" priority="2" operator="lessThan">
      <formula>0.006</formula>
    </cfRule>
  </conditionalFormatting>
  <conditionalFormatting sqref="E9 E25 E38:E44 E46:E48">
    <cfRule type="cellIs" dxfId="0" priority="1" operator="lessThan">
      <formula>0.006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B0AC-8D7B-40F7-9A40-4E3601E79F42}">
  <dimension ref="A1:F47"/>
  <sheetViews>
    <sheetView tabSelected="1" workbookViewId="0">
      <selection activeCell="M19" sqref="M19"/>
    </sheetView>
  </sheetViews>
  <sheetFormatPr defaultRowHeight="15" x14ac:dyDescent="0.25"/>
  <cols>
    <col min="1" max="2" width="9.85546875" bestFit="1" customWidth="1"/>
    <col min="3" max="3" width="21.42578125" bestFit="1" customWidth="1"/>
    <col min="4" max="4" width="18.28515625" bestFit="1" customWidth="1"/>
    <col min="5" max="5" width="9.85546875" bestFit="1" customWidth="1"/>
    <col min="6" max="6" width="14.42578125" bestFit="1" customWidth="1"/>
  </cols>
  <sheetData>
    <row r="1" spans="1:6" x14ac:dyDescent="0.25">
      <c r="A1" t="s">
        <v>102</v>
      </c>
      <c r="B1" s="1" t="s">
        <v>88</v>
      </c>
      <c r="C1" t="s">
        <v>89</v>
      </c>
      <c r="D1" t="s">
        <v>90</v>
      </c>
      <c r="E1" t="s">
        <v>91</v>
      </c>
      <c r="F1" t="s">
        <v>103</v>
      </c>
    </row>
    <row r="2" spans="1:6" x14ac:dyDescent="0.25">
      <c r="A2" t="s">
        <v>45</v>
      </c>
      <c r="B2">
        <v>0.20100000000000001</v>
      </c>
      <c r="C2">
        <v>1</v>
      </c>
      <c r="D2">
        <f>2.22/10.57</f>
        <v>0.2100283822138127</v>
      </c>
      <c r="E2" s="2">
        <f>B2*C2*D2</f>
        <v>4.2215704824976358E-2</v>
      </c>
      <c r="F2" t="s">
        <v>107</v>
      </c>
    </row>
    <row r="3" spans="1:6" x14ac:dyDescent="0.25">
      <c r="A3" t="s">
        <v>43</v>
      </c>
      <c r="B3">
        <v>-2.3860000000000001</v>
      </c>
      <c r="C3">
        <v>1</v>
      </c>
      <c r="D3">
        <f t="shared" ref="D3:D47" si="0">2.22/10.57</f>
        <v>0.2100283822138127</v>
      </c>
      <c r="E3" s="2">
        <f t="shared" ref="E3:F47" si="1">B3*C3*D3</f>
        <v>-0.5011277199621571</v>
      </c>
      <c r="F3" t="s">
        <v>107</v>
      </c>
    </row>
    <row r="4" spans="1:6" x14ac:dyDescent="0.25">
      <c r="A4" t="s">
        <v>44</v>
      </c>
      <c r="B4">
        <v>2.9769999999999999</v>
      </c>
      <c r="C4">
        <v>0.6</v>
      </c>
      <c r="D4">
        <f t="shared" si="0"/>
        <v>0.2100283822138127</v>
      </c>
      <c r="E4" s="2">
        <f t="shared" si="1"/>
        <v>0.37515269631031223</v>
      </c>
      <c r="F4">
        <v>0.37515269631031223</v>
      </c>
    </row>
    <row r="5" spans="1:6" x14ac:dyDescent="0.25">
      <c r="A5" t="s">
        <v>42</v>
      </c>
      <c r="B5">
        <v>-2.649</v>
      </c>
      <c r="C5">
        <v>1</v>
      </c>
      <c r="D5">
        <f t="shared" si="0"/>
        <v>0.2100283822138127</v>
      </c>
      <c r="E5" s="2">
        <f t="shared" si="1"/>
        <v>-0.55636518448438987</v>
      </c>
      <c r="F5" t="s">
        <v>107</v>
      </c>
    </row>
    <row r="6" spans="1:6" x14ac:dyDescent="0.25">
      <c r="A6" t="s">
        <v>47</v>
      </c>
      <c r="B6">
        <v>-1.9870000000000001</v>
      </c>
      <c r="C6">
        <v>1</v>
      </c>
      <c r="D6">
        <f t="shared" si="0"/>
        <v>0.2100283822138127</v>
      </c>
      <c r="E6" s="2">
        <f t="shared" si="1"/>
        <v>-0.41732639545884587</v>
      </c>
      <c r="F6" t="s">
        <v>107</v>
      </c>
    </row>
    <row r="7" spans="1:6" x14ac:dyDescent="0.25">
      <c r="A7" t="s">
        <v>48</v>
      </c>
      <c r="B7">
        <v>2.3570000000000002</v>
      </c>
      <c r="C7">
        <v>0.6</v>
      </c>
      <c r="D7">
        <f t="shared" si="0"/>
        <v>0.2100283822138127</v>
      </c>
      <c r="E7" s="2">
        <f t="shared" si="1"/>
        <v>0.29702213812677397</v>
      </c>
      <c r="F7">
        <v>0.29699999999999999</v>
      </c>
    </row>
    <row r="8" spans="1:6" x14ac:dyDescent="0.25">
      <c r="A8" t="s">
        <v>49</v>
      </c>
      <c r="B8">
        <v>2.2149999999999999</v>
      </c>
      <c r="C8">
        <v>1</v>
      </c>
      <c r="D8">
        <f t="shared" si="0"/>
        <v>0.2100283822138127</v>
      </c>
      <c r="E8" s="2">
        <f t="shared" si="1"/>
        <v>0.46521286660359512</v>
      </c>
      <c r="F8">
        <v>0.46500000000000002</v>
      </c>
    </row>
    <row r="9" spans="1:6" x14ac:dyDescent="0.25">
      <c r="A9" t="s">
        <v>50</v>
      </c>
      <c r="B9">
        <v>-1.048</v>
      </c>
      <c r="C9">
        <v>1</v>
      </c>
      <c r="D9">
        <f t="shared" si="0"/>
        <v>0.2100283822138127</v>
      </c>
      <c r="E9" s="2">
        <f t="shared" si="1"/>
        <v>-0.22010974456007573</v>
      </c>
      <c r="F9" t="s">
        <v>107</v>
      </c>
    </row>
    <row r="10" spans="1:6" x14ac:dyDescent="0.25">
      <c r="A10" t="s">
        <v>46</v>
      </c>
      <c r="B10">
        <v>-2.2799999999999998</v>
      </c>
      <c r="C10">
        <v>1</v>
      </c>
      <c r="D10">
        <f t="shared" si="0"/>
        <v>0.2100283822138127</v>
      </c>
      <c r="E10" s="2">
        <f t="shared" si="1"/>
        <v>-0.47886471144749293</v>
      </c>
      <c r="F10" t="s">
        <v>107</v>
      </c>
    </row>
    <row r="11" spans="1:6" x14ac:dyDescent="0.25">
      <c r="A11" t="s">
        <v>51</v>
      </c>
      <c r="B11">
        <v>-1.4279999999999999</v>
      </c>
      <c r="C11">
        <v>1</v>
      </c>
      <c r="D11">
        <f t="shared" si="0"/>
        <v>0.2100283822138127</v>
      </c>
      <c r="E11" s="2">
        <f t="shared" si="1"/>
        <v>-0.29992052980132455</v>
      </c>
      <c r="F11" t="s">
        <v>107</v>
      </c>
    </row>
    <row r="12" spans="1:6" x14ac:dyDescent="0.25">
      <c r="A12" t="s">
        <v>52</v>
      </c>
      <c r="B12">
        <v>-1.61</v>
      </c>
      <c r="C12">
        <v>1</v>
      </c>
      <c r="D12">
        <f t="shared" si="0"/>
        <v>0.2100283822138127</v>
      </c>
      <c r="E12" s="2">
        <f t="shared" si="1"/>
        <v>-0.3381456953642385</v>
      </c>
      <c r="F12" t="s">
        <v>107</v>
      </c>
    </row>
    <row r="13" spans="1:6" x14ac:dyDescent="0.25">
      <c r="A13" t="s">
        <v>53</v>
      </c>
      <c r="B13">
        <v>-2.6379999999999999</v>
      </c>
      <c r="C13">
        <v>1</v>
      </c>
      <c r="D13">
        <f t="shared" si="0"/>
        <v>0.2100283822138127</v>
      </c>
      <c r="E13" s="2">
        <f t="shared" si="1"/>
        <v>-0.55405487228003791</v>
      </c>
      <c r="F13" t="s">
        <v>107</v>
      </c>
    </row>
    <row r="14" spans="1:6" x14ac:dyDescent="0.25">
      <c r="A14" t="s">
        <v>54</v>
      </c>
      <c r="B14">
        <v>-2.4129999999999998</v>
      </c>
      <c r="C14">
        <v>1</v>
      </c>
      <c r="D14">
        <f t="shared" si="0"/>
        <v>0.2100283822138127</v>
      </c>
      <c r="E14" s="2">
        <f t="shared" si="1"/>
        <v>-0.50679848628193003</v>
      </c>
      <c r="F14" t="s">
        <v>107</v>
      </c>
    </row>
    <row r="15" spans="1:6" x14ac:dyDescent="0.25">
      <c r="A15" t="s">
        <v>55</v>
      </c>
      <c r="B15">
        <v>-2.2959999999999998</v>
      </c>
      <c r="C15">
        <v>1</v>
      </c>
      <c r="D15">
        <f t="shared" si="0"/>
        <v>0.2100283822138127</v>
      </c>
      <c r="E15" s="2">
        <f t="shared" si="1"/>
        <v>-0.48222516556291395</v>
      </c>
      <c r="F15" t="s">
        <v>107</v>
      </c>
    </row>
    <row r="16" spans="1:6" x14ac:dyDescent="0.25">
      <c r="A16" t="s">
        <v>56</v>
      </c>
      <c r="B16">
        <v>-2.609</v>
      </c>
      <c r="C16">
        <v>1</v>
      </c>
      <c r="D16">
        <f t="shared" si="0"/>
        <v>0.2100283822138127</v>
      </c>
      <c r="E16" s="2">
        <f t="shared" si="1"/>
        <v>-0.5479640491958373</v>
      </c>
      <c r="F16" t="s">
        <v>107</v>
      </c>
    </row>
    <row r="17" spans="1:6" x14ac:dyDescent="0.25">
      <c r="A17" t="s">
        <v>57</v>
      </c>
      <c r="B17">
        <v>-2.65</v>
      </c>
      <c r="C17">
        <v>1</v>
      </c>
      <c r="D17">
        <f t="shared" si="0"/>
        <v>0.2100283822138127</v>
      </c>
      <c r="E17" s="2">
        <f t="shared" si="1"/>
        <v>-0.55657521286660361</v>
      </c>
      <c r="F17" t="s">
        <v>107</v>
      </c>
    </row>
    <row r="18" spans="1:6" x14ac:dyDescent="0.25">
      <c r="A18" t="s">
        <v>58</v>
      </c>
      <c r="B18">
        <v>-0.157</v>
      </c>
      <c r="C18">
        <v>1</v>
      </c>
      <c r="D18">
        <f t="shared" si="0"/>
        <v>0.2100283822138127</v>
      </c>
      <c r="E18" s="2">
        <f t="shared" si="1"/>
        <v>-3.2974456007568598E-2</v>
      </c>
      <c r="F18" t="s">
        <v>107</v>
      </c>
    </row>
    <row r="19" spans="1:6" x14ac:dyDescent="0.25">
      <c r="A19" t="s">
        <v>59</v>
      </c>
      <c r="B19">
        <v>-0.85099999999999998</v>
      </c>
      <c r="C19">
        <v>1</v>
      </c>
      <c r="D19">
        <f t="shared" si="0"/>
        <v>0.2100283822138127</v>
      </c>
      <c r="E19" s="2">
        <f t="shared" si="1"/>
        <v>-0.17873415326395461</v>
      </c>
      <c r="F19" t="s">
        <v>107</v>
      </c>
    </row>
    <row r="20" spans="1:6" x14ac:dyDescent="0.25">
      <c r="A20" t="s">
        <v>60</v>
      </c>
      <c r="B20">
        <v>-2.4980000000000002</v>
      </c>
      <c r="C20">
        <v>1</v>
      </c>
      <c r="D20">
        <f t="shared" si="0"/>
        <v>0.2100283822138127</v>
      </c>
      <c r="E20" s="2">
        <f t="shared" si="1"/>
        <v>-0.52465089877010418</v>
      </c>
      <c r="F20" t="s">
        <v>107</v>
      </c>
    </row>
    <row r="21" spans="1:6" x14ac:dyDescent="0.25">
      <c r="A21" t="s">
        <v>61</v>
      </c>
      <c r="B21">
        <v>-1.8560000000000001</v>
      </c>
      <c r="C21">
        <v>1</v>
      </c>
      <c r="D21">
        <f t="shared" si="0"/>
        <v>0.2100283822138127</v>
      </c>
      <c r="E21" s="2">
        <f t="shared" si="1"/>
        <v>-0.3898126773888364</v>
      </c>
      <c r="F21" t="s">
        <v>107</v>
      </c>
    </row>
    <row r="22" spans="1:6" x14ac:dyDescent="0.25">
      <c r="A22" t="s">
        <v>62</v>
      </c>
      <c r="B22">
        <v>-3.044</v>
      </c>
      <c r="C22">
        <v>1</v>
      </c>
      <c r="D22">
        <f t="shared" si="0"/>
        <v>0.2100283822138127</v>
      </c>
      <c r="E22" s="2">
        <f t="shared" si="1"/>
        <v>-0.63932639545884584</v>
      </c>
      <c r="F22" t="s">
        <v>107</v>
      </c>
    </row>
    <row r="23" spans="1:6" x14ac:dyDescent="0.25">
      <c r="A23" t="s">
        <v>63</v>
      </c>
      <c r="B23">
        <v>-3.2770000000000001</v>
      </c>
      <c r="C23">
        <v>1</v>
      </c>
      <c r="D23">
        <f t="shared" si="0"/>
        <v>0.2100283822138127</v>
      </c>
      <c r="E23" s="2">
        <f t="shared" si="1"/>
        <v>-0.68826300851466427</v>
      </c>
      <c r="F23" t="s">
        <v>107</v>
      </c>
    </row>
    <row r="24" spans="1:6" x14ac:dyDescent="0.25">
      <c r="A24" t="s">
        <v>64</v>
      </c>
      <c r="B24">
        <v>-3.105</v>
      </c>
      <c r="C24">
        <v>1</v>
      </c>
      <c r="D24">
        <f t="shared" si="0"/>
        <v>0.2100283822138127</v>
      </c>
      <c r="E24" s="2">
        <f t="shared" si="1"/>
        <v>-0.65213812677388849</v>
      </c>
      <c r="F24" t="s">
        <v>107</v>
      </c>
    </row>
    <row r="25" spans="1:6" x14ac:dyDescent="0.25">
      <c r="A25" t="s">
        <v>65</v>
      </c>
      <c r="B25">
        <v>-3.2669999999999999</v>
      </c>
      <c r="C25">
        <v>1</v>
      </c>
      <c r="D25">
        <f t="shared" si="0"/>
        <v>0.2100283822138127</v>
      </c>
      <c r="E25" s="2">
        <f t="shared" si="1"/>
        <v>-0.68616272469252604</v>
      </c>
      <c r="F25" t="s">
        <v>107</v>
      </c>
    </row>
    <row r="26" spans="1:6" x14ac:dyDescent="0.25">
      <c r="A26" t="s">
        <v>66</v>
      </c>
      <c r="B26">
        <v>3.8780000000000001</v>
      </c>
      <c r="C26">
        <v>0.6</v>
      </c>
      <c r="D26">
        <f t="shared" si="0"/>
        <v>0.2100283822138127</v>
      </c>
      <c r="E26" s="2">
        <f t="shared" si="1"/>
        <v>0.48869403973509939</v>
      </c>
      <c r="F26">
        <v>0.48899999999999999</v>
      </c>
    </row>
    <row r="27" spans="1:6" x14ac:dyDescent="0.25">
      <c r="A27" t="s">
        <v>67</v>
      </c>
      <c r="B27">
        <v>-3.59</v>
      </c>
      <c r="C27">
        <v>1</v>
      </c>
      <c r="D27">
        <f t="shared" si="0"/>
        <v>0.2100283822138127</v>
      </c>
      <c r="E27" s="2">
        <f t="shared" si="1"/>
        <v>-0.75400189214758762</v>
      </c>
      <c r="F27" t="s">
        <v>107</v>
      </c>
    </row>
    <row r="28" spans="1:6" x14ac:dyDescent="0.25">
      <c r="A28" t="s">
        <v>68</v>
      </c>
      <c r="B28">
        <v>-3.4220000000000002</v>
      </c>
      <c r="C28">
        <v>1</v>
      </c>
      <c r="D28">
        <f t="shared" si="0"/>
        <v>0.2100283822138127</v>
      </c>
      <c r="E28" s="2">
        <f t="shared" si="1"/>
        <v>-0.71871712393566711</v>
      </c>
      <c r="F28" t="s">
        <v>107</v>
      </c>
    </row>
    <row r="29" spans="1:6" x14ac:dyDescent="0.25">
      <c r="A29" t="s">
        <v>69</v>
      </c>
      <c r="B29">
        <v>-3.2690000000000001</v>
      </c>
      <c r="C29">
        <v>1</v>
      </c>
      <c r="D29">
        <f t="shared" si="0"/>
        <v>0.2100283822138127</v>
      </c>
      <c r="E29" s="2">
        <f t="shared" si="1"/>
        <v>-0.68658278145695373</v>
      </c>
      <c r="F29" t="s">
        <v>107</v>
      </c>
    </row>
    <row r="30" spans="1:6" x14ac:dyDescent="0.25">
      <c r="A30" t="s">
        <v>70</v>
      </c>
      <c r="B30">
        <v>-2.4889999999999999</v>
      </c>
      <c r="C30">
        <v>1</v>
      </c>
      <c r="D30">
        <f t="shared" si="0"/>
        <v>0.2100283822138127</v>
      </c>
      <c r="E30" s="2">
        <f t="shared" si="1"/>
        <v>-0.5227606433301798</v>
      </c>
      <c r="F30" t="s">
        <v>107</v>
      </c>
    </row>
    <row r="31" spans="1:6" x14ac:dyDescent="0.25">
      <c r="A31" t="s">
        <v>71</v>
      </c>
      <c r="B31">
        <v>-3.3170000000000002</v>
      </c>
      <c r="C31">
        <v>1</v>
      </c>
      <c r="D31">
        <f t="shared" si="0"/>
        <v>0.2100283822138127</v>
      </c>
      <c r="E31" s="2">
        <f t="shared" si="1"/>
        <v>-0.69666414380321673</v>
      </c>
      <c r="F31" t="s">
        <v>107</v>
      </c>
    </row>
    <row r="32" spans="1:6" x14ac:dyDescent="0.25">
      <c r="A32" t="s">
        <v>72</v>
      </c>
      <c r="B32">
        <v>1.54</v>
      </c>
      <c r="C32">
        <v>0.6</v>
      </c>
      <c r="D32">
        <f t="shared" si="0"/>
        <v>0.2100283822138127</v>
      </c>
      <c r="E32" s="2">
        <f t="shared" si="1"/>
        <v>0.19406622516556293</v>
      </c>
      <c r="F32">
        <v>0.19400000000000001</v>
      </c>
    </row>
    <row r="33" spans="1:6" x14ac:dyDescent="0.25">
      <c r="A33" t="s">
        <v>73</v>
      </c>
      <c r="B33">
        <v>-2.5209999999999999</v>
      </c>
      <c r="C33">
        <v>1</v>
      </c>
      <c r="D33">
        <f t="shared" si="0"/>
        <v>0.2100283822138127</v>
      </c>
      <c r="E33" s="2">
        <f t="shared" si="1"/>
        <v>-0.52948155156102183</v>
      </c>
      <c r="F33" t="s">
        <v>107</v>
      </c>
    </row>
    <row r="34" spans="1:6" x14ac:dyDescent="0.25">
      <c r="A34" t="s">
        <v>74</v>
      </c>
      <c r="B34">
        <v>-2.214</v>
      </c>
      <c r="C34">
        <v>1</v>
      </c>
      <c r="D34">
        <f t="shared" si="0"/>
        <v>0.2100283822138127</v>
      </c>
      <c r="E34" s="2">
        <f t="shared" si="1"/>
        <v>-0.46500283822138133</v>
      </c>
      <c r="F34" t="s">
        <v>107</v>
      </c>
    </row>
    <row r="35" spans="1:6" x14ac:dyDescent="0.25">
      <c r="A35" t="s">
        <v>75</v>
      </c>
      <c r="B35">
        <v>2.4780000000000002</v>
      </c>
      <c r="C35">
        <v>0.6</v>
      </c>
      <c r="D35">
        <f t="shared" si="0"/>
        <v>0.2100283822138127</v>
      </c>
      <c r="E35" s="2">
        <f t="shared" si="1"/>
        <v>0.31227019867549677</v>
      </c>
      <c r="F35">
        <v>0.312</v>
      </c>
    </row>
    <row r="36" spans="1:6" x14ac:dyDescent="0.25">
      <c r="A36" t="s">
        <v>76</v>
      </c>
      <c r="B36">
        <v>2.8140000000000001</v>
      </c>
      <c r="C36">
        <v>0.6</v>
      </c>
      <c r="D36">
        <f t="shared" si="0"/>
        <v>0.2100283822138127</v>
      </c>
      <c r="E36" s="2">
        <f t="shared" si="1"/>
        <v>0.35461192052980134</v>
      </c>
      <c r="F36">
        <v>0.35499999999999998</v>
      </c>
    </row>
    <row r="37" spans="1:6" x14ac:dyDescent="0.25">
      <c r="A37" t="s">
        <v>77</v>
      </c>
      <c r="B37">
        <v>-1.865</v>
      </c>
      <c r="C37">
        <v>0.6</v>
      </c>
      <c r="D37">
        <f t="shared" si="0"/>
        <v>0.2100283822138127</v>
      </c>
      <c r="E37" s="2">
        <f t="shared" si="1"/>
        <v>-0.23502175969725642</v>
      </c>
      <c r="F37" t="s">
        <v>107</v>
      </c>
    </row>
    <row r="38" spans="1:6" x14ac:dyDescent="0.25">
      <c r="A38" t="s">
        <v>78</v>
      </c>
      <c r="B38">
        <v>2.762</v>
      </c>
      <c r="C38">
        <v>0.6</v>
      </c>
      <c r="D38">
        <f t="shared" si="0"/>
        <v>0.2100283822138127</v>
      </c>
      <c r="E38" s="2">
        <f t="shared" si="1"/>
        <v>0.3480590350047304</v>
      </c>
      <c r="F38">
        <v>0.34799999999999998</v>
      </c>
    </row>
    <row r="39" spans="1:6" x14ac:dyDescent="0.25">
      <c r="A39" t="s">
        <v>79</v>
      </c>
      <c r="B39">
        <v>-1.9139999999999999</v>
      </c>
      <c r="C39">
        <v>0.6</v>
      </c>
      <c r="D39">
        <f t="shared" si="0"/>
        <v>0.2100283822138127</v>
      </c>
      <c r="E39" s="2">
        <f t="shared" si="1"/>
        <v>-0.24119659413434247</v>
      </c>
      <c r="F39" t="s">
        <v>107</v>
      </c>
    </row>
    <row r="40" spans="1:6" x14ac:dyDescent="0.25">
      <c r="A40" t="s">
        <v>80</v>
      </c>
      <c r="B40">
        <v>2.65</v>
      </c>
      <c r="C40">
        <v>0.6</v>
      </c>
      <c r="D40">
        <f t="shared" si="0"/>
        <v>0.2100283822138127</v>
      </c>
      <c r="E40" s="2">
        <f t="shared" si="1"/>
        <v>0.33394512771996215</v>
      </c>
      <c r="F40">
        <v>0.33400000000000002</v>
      </c>
    </row>
    <row r="41" spans="1:6" x14ac:dyDescent="0.25">
      <c r="A41" t="s">
        <v>81</v>
      </c>
      <c r="B41">
        <v>-3.4420000000000002</v>
      </c>
      <c r="C41">
        <v>1</v>
      </c>
      <c r="D41">
        <f t="shared" si="0"/>
        <v>0.2100283822138127</v>
      </c>
      <c r="E41" s="2">
        <f t="shared" si="1"/>
        <v>-0.72291769157994334</v>
      </c>
      <c r="F41" t="s">
        <v>107</v>
      </c>
    </row>
    <row r="42" spans="1:6" x14ac:dyDescent="0.25">
      <c r="A42" t="s">
        <v>82</v>
      </c>
      <c r="B42">
        <v>2.4769999999999999</v>
      </c>
      <c r="C42">
        <v>0.6</v>
      </c>
      <c r="D42">
        <f t="shared" si="0"/>
        <v>0.2100283822138127</v>
      </c>
      <c r="E42" s="2">
        <f t="shared" si="1"/>
        <v>0.31214418164616842</v>
      </c>
      <c r="F42">
        <v>0.312</v>
      </c>
    </row>
    <row r="43" spans="1:6" x14ac:dyDescent="0.25">
      <c r="A43" t="s">
        <v>83</v>
      </c>
      <c r="B43">
        <v>-1.3220000000000001</v>
      </c>
      <c r="C43">
        <v>0.6</v>
      </c>
      <c r="D43">
        <f t="shared" si="0"/>
        <v>0.2100283822138127</v>
      </c>
      <c r="E43" s="2">
        <f t="shared" si="1"/>
        <v>-0.16659451277199624</v>
      </c>
      <c r="F43" t="s">
        <v>107</v>
      </c>
    </row>
    <row r="44" spans="1:6" x14ac:dyDescent="0.25">
      <c r="A44" t="s">
        <v>84</v>
      </c>
      <c r="B44">
        <v>2.1579999999999999</v>
      </c>
      <c r="C44">
        <v>0.6</v>
      </c>
      <c r="D44">
        <f t="shared" si="0"/>
        <v>0.2100283822138127</v>
      </c>
      <c r="E44" s="2">
        <f t="shared" si="1"/>
        <v>0.27194474929044465</v>
      </c>
      <c r="F44">
        <v>0.27200000000000002</v>
      </c>
    </row>
    <row r="45" spans="1:6" x14ac:dyDescent="0.25">
      <c r="A45" t="s">
        <v>85</v>
      </c>
      <c r="B45">
        <v>2.9689999999999999</v>
      </c>
      <c r="C45">
        <v>0.6</v>
      </c>
      <c r="D45">
        <f t="shared" si="0"/>
        <v>0.2100283822138127</v>
      </c>
      <c r="E45" s="2">
        <f t="shared" si="1"/>
        <v>0.37414456007568592</v>
      </c>
      <c r="F45">
        <v>0.374</v>
      </c>
    </row>
    <row r="46" spans="1:6" x14ac:dyDescent="0.25">
      <c r="A46" t="s">
        <v>86</v>
      </c>
      <c r="B46">
        <v>2.262</v>
      </c>
      <c r="C46">
        <v>0.6</v>
      </c>
      <c r="D46">
        <f t="shared" si="0"/>
        <v>0.2100283822138127</v>
      </c>
      <c r="E46" s="2">
        <f t="shared" si="1"/>
        <v>0.28505052034058659</v>
      </c>
      <c r="F46">
        <v>0.28499999999999998</v>
      </c>
    </row>
    <row r="47" spans="1:6" x14ac:dyDescent="0.25">
      <c r="A47" t="s">
        <v>87</v>
      </c>
      <c r="B47">
        <v>-3.4609999999999999</v>
      </c>
      <c r="C47">
        <v>1</v>
      </c>
      <c r="D47">
        <f t="shared" si="0"/>
        <v>0.2100283822138127</v>
      </c>
      <c r="E47" s="2">
        <f t="shared" si="1"/>
        <v>-0.72690823084200573</v>
      </c>
      <c r="F4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Q1_NOx_PO4</vt:lpstr>
      <vt:lpstr>Q1_TKN</vt:lpstr>
      <vt:lpstr>Q2_NOx_PO4</vt:lpstr>
      <vt:lpstr>Q2_TKN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2024-05-24T20:39:59Z</dcterms:created>
  <dcterms:modified xsi:type="dcterms:W3CDTF">2024-05-24T21:19:48Z</dcterms:modified>
</cp:coreProperties>
</file>