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"/>
    </mc:Choice>
  </mc:AlternateContent>
  <xr:revisionPtr revIDLastSave="109" documentId="8_{FED410A1-4686-435F-9EC5-7C41629B69AB}" xr6:coauthVersionLast="47" xr6:coauthVersionMax="47" xr10:uidLastSave="{8B34E836-7C9F-45B8-BB6E-9D33A407B2A0}"/>
  <bookViews>
    <workbookView xWindow="-120" yWindow="-120" windowWidth="29040" windowHeight="15720" xr2:uid="{1778CF3A-6603-4354-B64E-549ACA12D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2" i="1" l="1"/>
  <c r="P140" i="1"/>
  <c r="P138" i="1"/>
  <c r="P136" i="1"/>
  <c r="P134" i="1"/>
  <c r="P132" i="1"/>
  <c r="P130" i="1"/>
  <c r="P128" i="1"/>
  <c r="P126" i="1"/>
  <c r="P124" i="1"/>
  <c r="P122" i="1"/>
  <c r="P120" i="1"/>
  <c r="P118" i="1"/>
  <c r="P116" i="1"/>
  <c r="P114" i="1"/>
  <c r="P112" i="1"/>
  <c r="P110" i="1"/>
  <c r="P108" i="1"/>
  <c r="P106" i="1"/>
  <c r="P104" i="1"/>
  <c r="P102" i="1"/>
  <c r="P100" i="1"/>
  <c r="P98" i="1"/>
  <c r="P96" i="1"/>
  <c r="P94" i="1"/>
  <c r="P92" i="1"/>
  <c r="P90" i="1"/>
  <c r="P88" i="1"/>
  <c r="P86" i="1"/>
  <c r="P84" i="1"/>
  <c r="P82" i="1"/>
  <c r="P80" i="1"/>
  <c r="P78" i="1"/>
  <c r="P76" i="1"/>
  <c r="P74" i="1"/>
  <c r="P72" i="1"/>
  <c r="P70" i="1"/>
  <c r="P68" i="1"/>
  <c r="P66" i="1"/>
  <c r="P64" i="1"/>
  <c r="P48" i="1"/>
  <c r="P46" i="1"/>
  <c r="P44" i="1"/>
  <c r="P42" i="1"/>
  <c r="P40" i="1"/>
  <c r="P38" i="1"/>
  <c r="P36" i="1"/>
  <c r="P34" i="1"/>
  <c r="P32" i="1"/>
  <c r="P30" i="1"/>
  <c r="P28" i="1"/>
  <c r="M29" i="1"/>
  <c r="M2" i="1"/>
  <c r="P2" i="1" s="1"/>
  <c r="M3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P62" i="1" s="1"/>
  <c r="M61" i="1"/>
  <c r="M60" i="1"/>
  <c r="M59" i="1"/>
  <c r="M58" i="1"/>
  <c r="M57" i="1"/>
  <c r="M56" i="1"/>
  <c r="M55" i="1"/>
  <c r="M54" i="1"/>
  <c r="M53" i="1"/>
  <c r="M52" i="1"/>
  <c r="P52" i="1" s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8" i="1"/>
  <c r="M27" i="1"/>
  <c r="M26" i="1"/>
  <c r="P26" i="1" s="1"/>
  <c r="M25" i="1"/>
  <c r="M24" i="1"/>
  <c r="P24" i="1" s="1"/>
  <c r="M23" i="1"/>
  <c r="P23" i="1" s="1"/>
  <c r="M22" i="1"/>
  <c r="M21" i="1"/>
  <c r="P21" i="1" s="1"/>
  <c r="M20" i="1"/>
  <c r="M19" i="1"/>
  <c r="P19" i="1" s="1"/>
  <c r="M18" i="1"/>
  <c r="M17" i="1"/>
  <c r="P17" i="1" s="1"/>
  <c r="M16" i="1"/>
  <c r="M15" i="1"/>
  <c r="P15" i="1" s="1"/>
  <c r="M14" i="1"/>
  <c r="M13" i="1"/>
  <c r="P13" i="1" s="1"/>
  <c r="M12" i="1"/>
  <c r="M11" i="1"/>
  <c r="P10" i="1" s="1"/>
  <c r="M10" i="1"/>
  <c r="M9" i="1"/>
  <c r="M8" i="1"/>
  <c r="P8" i="1" s="1"/>
  <c r="M7" i="1"/>
  <c r="M6" i="1"/>
  <c r="P6" i="1" s="1"/>
  <c r="M5" i="1"/>
  <c r="M4" i="1"/>
  <c r="P4" i="1" s="1"/>
  <c r="P58" i="1" l="1"/>
  <c r="P50" i="1"/>
  <c r="P60" i="1"/>
  <c r="P54" i="1"/>
  <c r="P56" i="1"/>
</calcChain>
</file>

<file path=xl/sharedStrings.xml><?xml version="1.0" encoding="utf-8"?>
<sst xmlns="http://schemas.openxmlformats.org/spreadsheetml/2006/main" count="405" uniqueCount="142">
  <si>
    <t>Sample ID</t>
  </si>
  <si>
    <t>Date collected</t>
  </si>
  <si>
    <t>Time collected</t>
  </si>
  <si>
    <t>Date/Initial DO</t>
  </si>
  <si>
    <t>Time Initial DO measure</t>
  </si>
  <si>
    <t>Initial DO  mg/L</t>
  </si>
  <si>
    <t>Initial Temperature</t>
  </si>
  <si>
    <t>Date End</t>
  </si>
  <si>
    <t>Time Final DO</t>
  </si>
  <si>
    <t>Final DOr mg/L</t>
  </si>
  <si>
    <t>Final Temperature</t>
  </si>
  <si>
    <t>BOD in mg/L</t>
  </si>
  <si>
    <t>QA Flag</t>
  </si>
  <si>
    <t>Analyst</t>
  </si>
  <si>
    <t>A</t>
  </si>
  <si>
    <t>MR</t>
  </si>
  <si>
    <t>BOD_107+GGAn_Surface</t>
  </si>
  <si>
    <t>R</t>
  </si>
  <si>
    <t>BOD_107n_Surface</t>
  </si>
  <si>
    <t>BOD_108+GGAn_bottom</t>
  </si>
  <si>
    <t>MR and JC</t>
  </si>
  <si>
    <t>BOD_108n_bottom</t>
  </si>
  <si>
    <t>BOD_121+GGAn_surface</t>
  </si>
  <si>
    <t>BOD_121n_surface</t>
  </si>
  <si>
    <t>BOD_260+GGAn_bottom</t>
  </si>
  <si>
    <t>BOD_260n_bottom</t>
  </si>
  <si>
    <t>BOD_216n_bottom</t>
  </si>
  <si>
    <t>BOD_216+GGAn_bottom</t>
  </si>
  <si>
    <t>BOD_325n_surface</t>
  </si>
  <si>
    <t>BOD_325+GGAn_surface</t>
  </si>
  <si>
    <t>BOD_359n_bottom</t>
  </si>
  <si>
    <t>BOD_359+GGAn_bottom</t>
  </si>
  <si>
    <t>BOD_447n_bottom</t>
  </si>
  <si>
    <t>BOD_447+GGAn_bottom</t>
  </si>
  <si>
    <t>BOD_436n_bottom</t>
  </si>
  <si>
    <t>BOD_436+GGAn_bottom</t>
  </si>
  <si>
    <t>BOD_545n_surface</t>
  </si>
  <si>
    <t>BOD_545+GGAn_surface</t>
  </si>
  <si>
    <t>BOD_611n_surface</t>
  </si>
  <si>
    <t>BOD_611+GGAn_surface</t>
  </si>
  <si>
    <t>Quarter</t>
  </si>
  <si>
    <t>BOD_25+GGAn_surface</t>
  </si>
  <si>
    <t>BOD_25n_surface</t>
  </si>
  <si>
    <t>BOD_3+GGAn_surface</t>
  </si>
  <si>
    <t>BOD_3n_surface</t>
  </si>
  <si>
    <t>BOD_81+GGAn_bottom</t>
  </si>
  <si>
    <t>BOD_81n_bottom</t>
  </si>
  <si>
    <t>BOD_185+GGAn_surface</t>
  </si>
  <si>
    <t>BOD_185n_surface</t>
  </si>
  <si>
    <t>BOD_290+GGAn_bottom</t>
  </si>
  <si>
    <t>BOD_290n_bottom</t>
  </si>
  <si>
    <t>BOD_159_GGAn_surface
BOD_159_bottom</t>
  </si>
  <si>
    <t>BOD_159n_surface</t>
  </si>
  <si>
    <t>BOD_341_GGAn_surface</t>
  </si>
  <si>
    <t>BOD_341_n_surface</t>
  </si>
  <si>
    <t>BOD_497_GGAn_surface</t>
  </si>
  <si>
    <t>BOD_497_n _surface</t>
  </si>
  <si>
    <t>BOD_ 523_GGAn_surface</t>
  </si>
  <si>
    <t>BOD_ 523_n_surface</t>
  </si>
  <si>
    <t>BOD_614_GGAn_surface</t>
  </si>
  <si>
    <t>BOD_614n _surface</t>
  </si>
  <si>
    <t>BOD_42+GGAn_surface</t>
  </si>
  <si>
    <t>BOD_42n_surface</t>
  </si>
  <si>
    <t>BOD_29+GGAn_surface</t>
  </si>
  <si>
    <t>BOD_29n_surface</t>
  </si>
  <si>
    <t>BOD_133+GGAn_surface</t>
  </si>
  <si>
    <t>BOD_133n_surface</t>
  </si>
  <si>
    <t>BOD_238+GGAn_bottom</t>
  </si>
  <si>
    <t>BOD_238n_bottom</t>
  </si>
  <si>
    <t>BOD_107+GGAn_surface</t>
  </si>
  <si>
    <t>BOD_107n_surface</t>
  </si>
  <si>
    <t>BOD_172+GGAn_surface</t>
  </si>
  <si>
    <t>BOD_172n_surface</t>
  </si>
  <si>
    <t>BOD_354+GGAn_surface</t>
  </si>
  <si>
    <t>BOD_354n_surface</t>
  </si>
  <si>
    <t>BOD_432+GGAn_surface</t>
  </si>
  <si>
    <t>BOD_432n_surface</t>
  </si>
  <si>
    <t>BOD_523+GGAn_surface</t>
  </si>
  <si>
    <t>BOD_523n_surface</t>
  </si>
  <si>
    <t>BOD_627+GGAn_surface</t>
  </si>
  <si>
    <t>BOD_627n_surface</t>
  </si>
  <si>
    <t>MG/MR</t>
  </si>
  <si>
    <t>BOD_68+GGAn_surface</t>
  </si>
  <si>
    <t>BOD_68n_surface</t>
  </si>
  <si>
    <t>MR/MG</t>
  </si>
  <si>
    <t>BOD_159+GGAn_surface</t>
  </si>
  <si>
    <t>BOD_212+GGAn_bottom</t>
  </si>
  <si>
    <t>BOD_212n_bottom</t>
  </si>
  <si>
    <t>BOD_264+GGAn_bottom</t>
  </si>
  <si>
    <t>BOD_264n_bottom</t>
  </si>
  <si>
    <t>BOD_315+GGAn_surface</t>
  </si>
  <si>
    <t>BOD_315n_surface</t>
  </si>
  <si>
    <t>BOD_445+GGAn_surface</t>
  </si>
  <si>
    <t>BOD_445n_surface</t>
  </si>
  <si>
    <t>BOD_380+GGAn_surface</t>
  </si>
  <si>
    <t>BOD_380n_surface</t>
  </si>
  <si>
    <t>MR/JC</t>
  </si>
  <si>
    <t>Start MT, End TAC, JM</t>
  </si>
  <si>
    <t>BOD_601+GGAn_surface</t>
  </si>
  <si>
    <t>BOD_601n_surface</t>
  </si>
  <si>
    <t>BOD_549+GGAn_surface</t>
  </si>
  <si>
    <t>BOD_549n_surface</t>
  </si>
  <si>
    <t>BOD_120+GGAn_surface</t>
  </si>
  <si>
    <t>BOD_120n_surface</t>
  </si>
  <si>
    <t>BOD_146+GGAn_surface</t>
  </si>
  <si>
    <t>BOD_146n_surface</t>
  </si>
  <si>
    <t>BOD_406+GGAn_surface</t>
  </si>
  <si>
    <t>BOD_406n_surface</t>
  </si>
  <si>
    <t>BOD_458+GGAn_surface</t>
  </si>
  <si>
    <t>BOD_458n_surface</t>
  </si>
  <si>
    <t>BOD_81+GGAn_surface</t>
  </si>
  <si>
    <t>BOD_81n_surface</t>
  </si>
  <si>
    <t>BOD_250+GGAn_surface</t>
  </si>
  <si>
    <t>BOD_250n_surface</t>
  </si>
  <si>
    <t>BOD_471+GGAn_surface</t>
  </si>
  <si>
    <t>BOD_471n_surface</t>
  </si>
  <si>
    <t>BOD_393+GGAn_surface</t>
  </si>
  <si>
    <t>BOD_393n_surface</t>
  </si>
  <si>
    <t>BOD_615+GGAn_surface</t>
  </si>
  <si>
    <t>BOD_615n_surface</t>
  </si>
  <si>
    <t>MR/AM</t>
  </si>
  <si>
    <t>BOD_198+GGAn_surface</t>
  </si>
  <si>
    <t>BOD_198n_surface</t>
  </si>
  <si>
    <t>BOD_94+GGAn_surface</t>
  </si>
  <si>
    <t>BOD_94n_surface</t>
  </si>
  <si>
    <t>BOD_588+GGAn_surface</t>
  </si>
  <si>
    <t>BOD_588n_surface</t>
  </si>
  <si>
    <t>BOD_497+GGAn_surface</t>
  </si>
  <si>
    <t>BOD_497n_surface</t>
  </si>
  <si>
    <t>BOD_328+GGAn_surface</t>
  </si>
  <si>
    <t>5:18 pm PM</t>
  </si>
  <si>
    <t>BOD_328n_surface</t>
  </si>
  <si>
    <t>BOD_276+GGAn_surface</t>
  </si>
  <si>
    <t>BOD_276n_surface</t>
  </si>
  <si>
    <t>BOD_640+GGAn_surface</t>
  </si>
  <si>
    <t>BOD_640n_surface</t>
  </si>
  <si>
    <t>BOD_614+GGAn_surface</t>
  </si>
  <si>
    <t>BOD_614n_surface</t>
  </si>
  <si>
    <t>AM/VM</t>
  </si>
  <si>
    <t>BOD_719+GGAn_bottom</t>
  </si>
  <si>
    <t>BOD_719n_bottom</t>
  </si>
  <si>
    <t>GGA Spike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</si>
</sst>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&quot;/&quot;d&quot;/&quot;yy"/>
    <numFmt numFmtId="165" formatCode="h&quot;:&quot;mm&quot; &quot;AM/PM"/>
    <numFmt numFmtId="166" formatCode="m/d/yy"/>
    <numFmt numFmtId="167" formatCode="00000"/>
  </numFmts>
  <fonts count="10" x14ac:knownFonts="1">
    <font>
      <sz val="11"/>
      <color theme="1"/>
      <name val="Aptos Narrow"/>
      <family val="2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rgb="FF000000"/>
      <name val="Calibri"/>
    </font>
    <font>
      <sz val="12"/>
      <color theme="1"/>
      <name val="Calibri"/>
    </font>
    <font>
      <sz val="10"/>
      <color rgb="FF1F1F1F"/>
      <name val="Calibri"/>
    </font>
    <font>
      <sz val="10"/>
      <color theme="1"/>
      <name val="Aptos Narrow"/>
      <scheme val="minor"/>
    </font>
    <font>
      <sz val="9"/>
      <color rgb="FFF7981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167" fontId="4" fillId="0" borderId="2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8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67" fontId="4" fillId="3" borderId="2" xfId="0" applyNumberFormat="1" applyFont="1" applyFill="1" applyBorder="1" applyAlignment="1">
      <alignment horizontal="center" vertical="center" wrapText="1"/>
    </xf>
    <xf numFmtId="167" fontId="4" fillId="2" borderId="2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8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5" fontId="3" fillId="3" borderId="1" xfId="0" applyNumberFormat="1" applyFont="1" applyFill="1" applyBorder="1" applyAlignment="1">
      <alignment horizontal="center" vertical="center"/>
    </xf>
    <xf numFmtId="19" fontId="3" fillId="0" borderId="1" xfId="0" applyNumberFormat="1" applyFont="1" applyBorder="1" applyAlignment="1">
      <alignment horizontal="center"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19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9" fontId="3" fillId="4" borderId="1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 wrapText="1"/>
    </xf>
    <xf numFmtId="167" fontId="3" fillId="4" borderId="2" xfId="0" applyNumberFormat="1" applyFont="1" applyFill="1" applyBorder="1" applyAlignment="1">
      <alignment horizontal="center" vertical="center" wrapText="1"/>
    </xf>
    <xf numFmtId="18" fontId="3" fillId="0" borderId="1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19" fontId="3" fillId="0" borderId="3" xfId="0" applyNumberFormat="1" applyFont="1" applyBorder="1" applyAlignment="1">
      <alignment horizontal="center"/>
    </xf>
    <xf numFmtId="18" fontId="3" fillId="0" borderId="3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167" fontId="3" fillId="0" borderId="3" xfId="0" applyNumberFormat="1" applyFont="1" applyBorder="1" applyAlignment="1">
      <alignment horizontal="center"/>
    </xf>
    <xf numFmtId="167" fontId="6" fillId="0" borderId="5" xfId="0" applyNumberFormat="1" applyFont="1" applyBorder="1"/>
    <xf numFmtId="0" fontId="3" fillId="0" borderId="6" xfId="0" applyFont="1" applyBorder="1" applyAlignment="1">
      <alignment horizontal="center"/>
    </xf>
    <xf numFmtId="19" fontId="3" fillId="0" borderId="4" xfId="0" applyNumberFormat="1" applyFont="1" applyBorder="1" applyAlignment="1">
      <alignment horizontal="center"/>
    </xf>
    <xf numFmtId="18" fontId="3" fillId="0" borderId="4" xfId="0" applyNumberFormat="1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167" fontId="6" fillId="0" borderId="7" xfId="0" applyNumberFormat="1" applyFont="1" applyBorder="1"/>
    <xf numFmtId="164" fontId="3" fillId="0" borderId="4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 wrapText="1"/>
    </xf>
    <xf numFmtId="19" fontId="3" fillId="5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4" fontId="5" fillId="5" borderId="3" xfId="0" applyNumberFormat="1" applyFont="1" applyFill="1" applyBorder="1" applyAlignment="1">
      <alignment horizontal="center" vertical="center"/>
    </xf>
    <xf numFmtId="4" fontId="3" fillId="5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9" fontId="3" fillId="5" borderId="1" xfId="0" applyNumberFormat="1" applyFont="1" applyFill="1" applyBorder="1" applyAlignment="1">
      <alignment horizontal="center" vertical="center"/>
    </xf>
    <xf numFmtId="19" fontId="8" fillId="5" borderId="0" xfId="0" applyNumberFormat="1" applyFont="1" applyFill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/>
    </xf>
    <xf numFmtId="4" fontId="3" fillId="5" borderId="1" xfId="0" applyNumberFormat="1" applyFont="1" applyFill="1" applyBorder="1" applyAlignment="1">
      <alignment horizontal="center"/>
    </xf>
    <xf numFmtId="167" fontId="3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4" fontId="5" fillId="5" borderId="6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7068-E23D-4350-9E04-9A3652E6BE17}">
  <dimension ref="A1:P143"/>
  <sheetViews>
    <sheetView tabSelected="1" workbookViewId="0">
      <selection activeCell="P1" sqref="P1"/>
    </sheetView>
  </sheetViews>
  <sheetFormatPr defaultRowHeight="15" x14ac:dyDescent="0.25"/>
  <cols>
    <col min="2" max="2" width="20.42578125" bestFit="1" customWidth="1"/>
    <col min="3" max="12" width="9.140625" customWidth="1"/>
    <col min="14" max="15" width="9.140625" customWidth="1"/>
    <col min="16" max="16" width="19.28515625" bestFit="1" customWidth="1"/>
  </cols>
  <sheetData>
    <row r="1" spans="1:16" ht="38.25" x14ac:dyDescent="0.25">
      <c r="A1" t="s">
        <v>40</v>
      </c>
      <c r="B1" s="1" t="s">
        <v>0</v>
      </c>
      <c r="C1" s="2" t="s">
        <v>1</v>
      </c>
      <c r="D1" s="3" t="s">
        <v>2</v>
      </c>
      <c r="E1" s="4" t="s">
        <v>3</v>
      </c>
      <c r="F1" s="3" t="s">
        <v>4</v>
      </c>
      <c r="G1" s="5" t="s">
        <v>5</v>
      </c>
      <c r="H1" s="5" t="s">
        <v>6</v>
      </c>
      <c r="I1" s="4" t="s">
        <v>7</v>
      </c>
      <c r="J1" s="3" t="s">
        <v>8</v>
      </c>
      <c r="K1" s="6" t="s">
        <v>9</v>
      </c>
      <c r="L1" s="7" t="s">
        <v>10</v>
      </c>
      <c r="M1" s="7" t="s">
        <v>11</v>
      </c>
      <c r="N1" s="8" t="s">
        <v>12</v>
      </c>
      <c r="O1" s="9" t="s">
        <v>13</v>
      </c>
      <c r="P1" t="s">
        <v>141</v>
      </c>
    </row>
    <row r="2" spans="1:16" x14ac:dyDescent="0.25">
      <c r="A2">
        <v>2</v>
      </c>
      <c r="B2" s="14" t="s">
        <v>16</v>
      </c>
      <c r="C2" s="15">
        <v>45188</v>
      </c>
      <c r="D2" s="16">
        <v>0.42986111111111114</v>
      </c>
      <c r="E2" s="15">
        <v>45189</v>
      </c>
      <c r="F2" s="17">
        <v>0.61527777777777781</v>
      </c>
      <c r="G2" s="18">
        <v>4.92</v>
      </c>
      <c r="H2" s="18">
        <v>20.5</v>
      </c>
      <c r="I2" s="19">
        <v>45194</v>
      </c>
      <c r="J2" s="16">
        <v>0.43125000000000002</v>
      </c>
      <c r="K2" s="18">
        <v>6.97</v>
      </c>
      <c r="L2" s="18">
        <v>19.100000000000001</v>
      </c>
      <c r="M2" s="18">
        <f t="shared" ref="M2:M5" si="0">G2-K2</f>
        <v>-2.0499999999999998</v>
      </c>
      <c r="N2" s="20" t="s">
        <v>17</v>
      </c>
      <c r="O2" s="21" t="s">
        <v>15</v>
      </c>
      <c r="P2" s="91">
        <f>M2-M3</f>
        <v>-2.1100000000000003</v>
      </c>
    </row>
    <row r="3" spans="1:16" x14ac:dyDescent="0.25">
      <c r="A3">
        <v>2</v>
      </c>
      <c r="B3" s="14" t="s">
        <v>18</v>
      </c>
      <c r="C3" s="15">
        <v>45188</v>
      </c>
      <c r="D3" s="16">
        <v>0.42986111111111114</v>
      </c>
      <c r="E3" s="15">
        <v>45189</v>
      </c>
      <c r="F3" s="17">
        <v>0.62013888888888891</v>
      </c>
      <c r="G3" s="18">
        <v>8.14</v>
      </c>
      <c r="H3" s="18">
        <v>19.3</v>
      </c>
      <c r="I3" s="19">
        <v>45194</v>
      </c>
      <c r="J3" s="16">
        <v>0.42708333333333331</v>
      </c>
      <c r="K3" s="18">
        <v>8.08</v>
      </c>
      <c r="L3" s="18">
        <v>19.3</v>
      </c>
      <c r="M3" s="18">
        <f t="shared" si="0"/>
        <v>6.0000000000000497E-2</v>
      </c>
      <c r="N3" s="20" t="s">
        <v>14</v>
      </c>
      <c r="O3" s="21" t="s">
        <v>15</v>
      </c>
    </row>
    <row r="4" spans="1:16" ht="30" x14ac:dyDescent="0.25">
      <c r="A4">
        <v>2</v>
      </c>
      <c r="B4" s="14" t="s">
        <v>19</v>
      </c>
      <c r="C4" s="15">
        <v>45188</v>
      </c>
      <c r="D4" s="16">
        <v>0.42986111111111114</v>
      </c>
      <c r="E4" s="15">
        <v>45189</v>
      </c>
      <c r="F4" s="17">
        <v>0.69305555555555554</v>
      </c>
      <c r="G4" s="18">
        <v>8.23</v>
      </c>
      <c r="H4" s="18">
        <v>21</v>
      </c>
      <c r="I4" s="19">
        <v>45194</v>
      </c>
      <c r="J4" s="16">
        <v>0.48680555555555555</v>
      </c>
      <c r="K4" s="18">
        <v>6.35</v>
      </c>
      <c r="L4" s="18">
        <v>21.5</v>
      </c>
      <c r="M4" s="18">
        <f t="shared" si="0"/>
        <v>1.8800000000000008</v>
      </c>
      <c r="N4" s="20" t="s">
        <v>14</v>
      </c>
      <c r="O4" s="13" t="s">
        <v>20</v>
      </c>
      <c r="P4" s="91">
        <f>M4-M5</f>
        <v>1.6100000000000012</v>
      </c>
    </row>
    <row r="5" spans="1:16" ht="30" x14ac:dyDescent="0.25">
      <c r="A5">
        <v>2</v>
      </c>
      <c r="B5" s="14" t="s">
        <v>21</v>
      </c>
      <c r="C5" s="15">
        <v>45188</v>
      </c>
      <c r="D5" s="16">
        <v>0.42986111111111114</v>
      </c>
      <c r="E5" s="15">
        <v>45189</v>
      </c>
      <c r="F5" s="17">
        <v>0.6958333333333333</v>
      </c>
      <c r="G5" s="18">
        <v>8.18</v>
      </c>
      <c r="H5" s="18">
        <v>21.2</v>
      </c>
      <c r="I5" s="19">
        <v>45194</v>
      </c>
      <c r="J5" s="16">
        <v>0.48472222222222222</v>
      </c>
      <c r="K5" s="18">
        <v>7.91</v>
      </c>
      <c r="L5" s="18">
        <v>21.4</v>
      </c>
      <c r="M5" s="18">
        <f t="shared" si="0"/>
        <v>0.26999999999999957</v>
      </c>
      <c r="N5" s="20" t="s">
        <v>14</v>
      </c>
      <c r="O5" s="13" t="s">
        <v>20</v>
      </c>
    </row>
    <row r="6" spans="1:16" x14ac:dyDescent="0.25">
      <c r="A6">
        <v>2</v>
      </c>
      <c r="B6" s="14" t="s">
        <v>22</v>
      </c>
      <c r="C6" s="15">
        <v>45190</v>
      </c>
      <c r="D6" s="16">
        <v>0.47569444444444442</v>
      </c>
      <c r="E6" s="15">
        <v>45191</v>
      </c>
      <c r="F6" s="16">
        <v>0.40694444444444444</v>
      </c>
      <c r="G6" s="18">
        <v>8.23</v>
      </c>
      <c r="H6" s="18">
        <v>20.6</v>
      </c>
      <c r="I6" s="19">
        <v>45196</v>
      </c>
      <c r="J6" s="17">
        <v>0.4236111111111111</v>
      </c>
      <c r="K6" s="18">
        <v>5.63</v>
      </c>
      <c r="L6" s="18">
        <v>21.9</v>
      </c>
      <c r="M6" s="18">
        <f t="shared" ref="M6:M7" si="1">G6-K6</f>
        <v>2.6000000000000005</v>
      </c>
      <c r="N6" s="20" t="s">
        <v>14</v>
      </c>
      <c r="O6" s="22" t="s">
        <v>15</v>
      </c>
      <c r="P6" s="91">
        <f>M6-M7</f>
        <v>1.9000000000000004</v>
      </c>
    </row>
    <row r="7" spans="1:16" x14ac:dyDescent="0.25">
      <c r="A7">
        <v>2</v>
      </c>
      <c r="B7" s="14" t="s">
        <v>23</v>
      </c>
      <c r="C7" s="15">
        <v>45190</v>
      </c>
      <c r="D7" s="16">
        <v>0.47569444444444442</v>
      </c>
      <c r="E7" s="15">
        <v>45191</v>
      </c>
      <c r="F7" s="16">
        <v>0.41180555555555554</v>
      </c>
      <c r="G7" s="18">
        <v>8.41</v>
      </c>
      <c r="H7" s="18">
        <v>20.8</v>
      </c>
      <c r="I7" s="19">
        <v>45196</v>
      </c>
      <c r="J7" s="17">
        <v>0.42708333333333331</v>
      </c>
      <c r="K7" s="18">
        <v>7.71</v>
      </c>
      <c r="L7" s="18">
        <v>22</v>
      </c>
      <c r="M7" s="18">
        <f t="shared" si="1"/>
        <v>0.70000000000000018</v>
      </c>
      <c r="N7" s="20" t="s">
        <v>14</v>
      </c>
      <c r="O7" s="22" t="s">
        <v>15</v>
      </c>
    </row>
    <row r="8" spans="1:16" x14ac:dyDescent="0.25">
      <c r="A8">
        <v>2</v>
      </c>
      <c r="B8" s="14" t="s">
        <v>24</v>
      </c>
      <c r="C8" s="15">
        <v>45203</v>
      </c>
      <c r="D8" s="16">
        <v>0.36736111111111114</v>
      </c>
      <c r="E8" s="15">
        <v>45203</v>
      </c>
      <c r="F8" s="16">
        <v>0.66666666666666663</v>
      </c>
      <c r="G8" s="18">
        <v>7.55</v>
      </c>
      <c r="H8" s="18">
        <v>21.6</v>
      </c>
      <c r="I8" s="19">
        <v>45208</v>
      </c>
      <c r="J8" s="17">
        <v>0.41944444444444445</v>
      </c>
      <c r="K8" s="18">
        <v>4.7699999999999996</v>
      </c>
      <c r="L8" s="18">
        <v>20.100000000000001</v>
      </c>
      <c r="M8" s="18">
        <f t="shared" ref="M8:M9" si="2">G8-K8</f>
        <v>2.7800000000000002</v>
      </c>
      <c r="N8" s="20" t="s">
        <v>14</v>
      </c>
      <c r="O8" s="21" t="s">
        <v>15</v>
      </c>
      <c r="P8" s="91">
        <f>M8-M9</f>
        <v>1.9500000000000002</v>
      </c>
    </row>
    <row r="9" spans="1:16" x14ac:dyDescent="0.25">
      <c r="A9">
        <v>2</v>
      </c>
      <c r="B9" s="14" t="s">
        <v>25</v>
      </c>
      <c r="C9" s="15">
        <v>45203</v>
      </c>
      <c r="D9" s="16">
        <v>0.36736111111111114</v>
      </c>
      <c r="E9" s="15">
        <v>45203</v>
      </c>
      <c r="F9" s="16">
        <v>0.6694444444444444</v>
      </c>
      <c r="G9" s="18">
        <v>7.92</v>
      </c>
      <c r="H9" s="18">
        <v>21.7</v>
      </c>
      <c r="I9" s="19">
        <v>45208</v>
      </c>
      <c r="J9" s="17">
        <v>0.4201388888888889</v>
      </c>
      <c r="K9" s="18">
        <v>7.09</v>
      </c>
      <c r="L9" s="18">
        <v>20.100000000000001</v>
      </c>
      <c r="M9" s="18">
        <f t="shared" si="2"/>
        <v>0.83000000000000007</v>
      </c>
      <c r="N9" s="20" t="s">
        <v>14</v>
      </c>
      <c r="O9" s="21" t="s">
        <v>15</v>
      </c>
    </row>
    <row r="10" spans="1:16" x14ac:dyDescent="0.25">
      <c r="A10">
        <v>2</v>
      </c>
      <c r="B10" s="14" t="s">
        <v>26</v>
      </c>
      <c r="C10" s="15">
        <v>45204</v>
      </c>
      <c r="D10" s="16">
        <v>0.41736111111111113</v>
      </c>
      <c r="E10" s="15">
        <v>45204</v>
      </c>
      <c r="F10" s="16">
        <v>0.72916666666666663</v>
      </c>
      <c r="G10" s="18">
        <v>7.61</v>
      </c>
      <c r="H10" s="18">
        <v>21.6</v>
      </c>
      <c r="I10" s="19">
        <v>45209</v>
      </c>
      <c r="J10" s="17">
        <v>0.49444444444444446</v>
      </c>
      <c r="K10" s="18">
        <v>7.58</v>
      </c>
      <c r="L10" s="18">
        <v>21.4</v>
      </c>
      <c r="M10" s="18">
        <f t="shared" ref="M10:M15" si="3">G10-K10</f>
        <v>3.0000000000000249E-2</v>
      </c>
      <c r="N10" s="20" t="s">
        <v>14</v>
      </c>
      <c r="O10" s="21" t="s">
        <v>15</v>
      </c>
      <c r="P10" s="91">
        <f>M11-M10</f>
        <v>1.6599999999999993</v>
      </c>
    </row>
    <row r="11" spans="1:16" x14ac:dyDescent="0.25">
      <c r="A11">
        <v>2</v>
      </c>
      <c r="B11" s="14" t="s">
        <v>27</v>
      </c>
      <c r="C11" s="15">
        <v>45204</v>
      </c>
      <c r="D11" s="16">
        <v>0.41736111111111113</v>
      </c>
      <c r="E11" s="15">
        <v>45204</v>
      </c>
      <c r="F11" s="16">
        <v>0.73055555555555551</v>
      </c>
      <c r="G11" s="18">
        <v>7.47</v>
      </c>
      <c r="H11" s="18">
        <v>21.6</v>
      </c>
      <c r="I11" s="19">
        <v>45209</v>
      </c>
      <c r="J11" s="17">
        <v>0.49652777777777779</v>
      </c>
      <c r="K11" s="18">
        <v>5.78</v>
      </c>
      <c r="L11" s="18">
        <v>21.3</v>
      </c>
      <c r="M11" s="18">
        <f t="shared" si="3"/>
        <v>1.6899999999999995</v>
      </c>
      <c r="N11" s="20" t="s">
        <v>14</v>
      </c>
      <c r="O11" s="21" t="s">
        <v>15</v>
      </c>
    </row>
    <row r="12" spans="1:16" x14ac:dyDescent="0.25">
      <c r="A12">
        <v>2</v>
      </c>
      <c r="B12" s="14" t="s">
        <v>28</v>
      </c>
      <c r="C12" s="15">
        <v>45205</v>
      </c>
      <c r="D12" s="16">
        <v>0.27847222222222223</v>
      </c>
      <c r="E12" s="15">
        <v>45205</v>
      </c>
      <c r="F12" s="16">
        <v>0.75138888888888888</v>
      </c>
      <c r="G12" s="18">
        <v>7.92</v>
      </c>
      <c r="H12" s="18">
        <v>22.8</v>
      </c>
      <c r="I12" s="19">
        <v>45210</v>
      </c>
      <c r="J12" s="17">
        <v>0.5756944444444444</v>
      </c>
      <c r="K12" s="18">
        <v>7.86</v>
      </c>
      <c r="L12" s="18">
        <v>21.7</v>
      </c>
      <c r="M12" s="18">
        <f t="shared" si="3"/>
        <v>5.9999999999999609E-2</v>
      </c>
      <c r="N12" s="20" t="s">
        <v>14</v>
      </c>
      <c r="O12" s="21" t="s">
        <v>15</v>
      </c>
    </row>
    <row r="13" spans="1:16" x14ac:dyDescent="0.25">
      <c r="A13">
        <v>2</v>
      </c>
      <c r="B13" s="14" t="s">
        <v>29</v>
      </c>
      <c r="C13" s="15">
        <v>45205</v>
      </c>
      <c r="D13" s="16">
        <v>0.27847222222222223</v>
      </c>
      <c r="E13" s="15">
        <v>45205</v>
      </c>
      <c r="F13" s="16">
        <v>0.75416666666666665</v>
      </c>
      <c r="G13" s="18">
        <v>7.79</v>
      </c>
      <c r="H13" s="18">
        <v>22.8</v>
      </c>
      <c r="I13" s="19">
        <v>45210</v>
      </c>
      <c r="J13" s="17">
        <v>0.57638888888888884</v>
      </c>
      <c r="K13" s="18">
        <v>6.18</v>
      </c>
      <c r="L13" s="18">
        <v>22</v>
      </c>
      <c r="M13" s="18">
        <f t="shared" si="3"/>
        <v>1.6100000000000003</v>
      </c>
      <c r="N13" s="20" t="s">
        <v>14</v>
      </c>
      <c r="O13" s="21" t="s">
        <v>15</v>
      </c>
      <c r="P13" s="91">
        <f>M13-M12</f>
        <v>1.5500000000000007</v>
      </c>
    </row>
    <row r="14" spans="1:16" x14ac:dyDescent="0.25">
      <c r="A14">
        <v>2</v>
      </c>
      <c r="B14" s="14" t="s">
        <v>30</v>
      </c>
      <c r="C14" s="15">
        <v>45212</v>
      </c>
      <c r="D14" s="16">
        <v>0.39166666666666666</v>
      </c>
      <c r="E14" s="15">
        <v>45214</v>
      </c>
      <c r="F14" s="16">
        <v>0.36319444444444443</v>
      </c>
      <c r="G14" s="18">
        <v>8.2899999999999991</v>
      </c>
      <c r="H14" s="18">
        <v>21.2</v>
      </c>
      <c r="I14" s="19">
        <v>45219</v>
      </c>
      <c r="J14" s="17">
        <v>0.62916666666666665</v>
      </c>
      <c r="K14" s="18">
        <v>8.2799999999999994</v>
      </c>
      <c r="L14" s="18">
        <v>20.2</v>
      </c>
      <c r="M14" s="18">
        <f t="shared" si="3"/>
        <v>9.9999999999997868E-3</v>
      </c>
      <c r="N14" s="12" t="s">
        <v>14</v>
      </c>
      <c r="O14" s="13" t="s">
        <v>15</v>
      </c>
    </row>
    <row r="15" spans="1:16" x14ac:dyDescent="0.25">
      <c r="A15">
        <v>2</v>
      </c>
      <c r="B15" s="14" t="s">
        <v>31</v>
      </c>
      <c r="C15" s="15">
        <v>45212</v>
      </c>
      <c r="D15" s="16">
        <v>0.39166666666666666</v>
      </c>
      <c r="E15" s="15">
        <v>45214</v>
      </c>
      <c r="F15" s="26">
        <v>0.36458333333333331</v>
      </c>
      <c r="G15" s="18">
        <v>8.2799999999999994</v>
      </c>
      <c r="H15" s="18">
        <v>21.3</v>
      </c>
      <c r="I15" s="19">
        <v>45219</v>
      </c>
      <c r="J15" s="16">
        <v>0.63055555555555554</v>
      </c>
      <c r="K15" s="27">
        <v>6.51</v>
      </c>
      <c r="L15" s="18">
        <v>20.2</v>
      </c>
      <c r="M15" s="18">
        <f t="shared" si="3"/>
        <v>1.7699999999999996</v>
      </c>
      <c r="N15" s="12" t="s">
        <v>14</v>
      </c>
      <c r="O15" s="13" t="s">
        <v>15</v>
      </c>
      <c r="P15" s="91">
        <f>M15-M14</f>
        <v>1.7599999999999998</v>
      </c>
    </row>
    <row r="16" spans="1:16" x14ac:dyDescent="0.25">
      <c r="A16">
        <v>2</v>
      </c>
      <c r="B16" s="14" t="s">
        <v>32</v>
      </c>
      <c r="C16" s="15">
        <v>45213</v>
      </c>
      <c r="D16" s="16">
        <v>0.42499999999999999</v>
      </c>
      <c r="E16" s="15">
        <v>45215</v>
      </c>
      <c r="F16" s="16">
        <v>0.3527777777777778</v>
      </c>
      <c r="G16" s="18">
        <v>8.34</v>
      </c>
      <c r="H16" s="18">
        <v>21.6</v>
      </c>
      <c r="I16" s="19">
        <v>45220</v>
      </c>
      <c r="J16" s="16">
        <v>0.38333333333333336</v>
      </c>
      <c r="K16" s="18">
        <v>7.9</v>
      </c>
      <c r="L16" s="18">
        <v>21</v>
      </c>
      <c r="M16" s="18">
        <f t="shared" ref="M16:M19" si="4">G16-K16</f>
        <v>0.4399999999999995</v>
      </c>
      <c r="N16" s="12" t="s">
        <v>14</v>
      </c>
      <c r="O16" s="13" t="s">
        <v>15</v>
      </c>
    </row>
    <row r="17" spans="1:16" x14ac:dyDescent="0.25">
      <c r="A17">
        <v>2</v>
      </c>
      <c r="B17" s="14" t="s">
        <v>33</v>
      </c>
      <c r="C17" s="19">
        <v>45213</v>
      </c>
      <c r="D17" s="16">
        <v>0.42499999999999999</v>
      </c>
      <c r="E17" s="15">
        <v>45215</v>
      </c>
      <c r="F17" s="26">
        <v>0.35555555555555557</v>
      </c>
      <c r="G17" s="18">
        <v>8.01</v>
      </c>
      <c r="H17" s="18">
        <v>21.6</v>
      </c>
      <c r="I17" s="19">
        <v>45220</v>
      </c>
      <c r="J17" s="16">
        <v>0.38472222222222224</v>
      </c>
      <c r="K17" s="18">
        <v>6.26</v>
      </c>
      <c r="L17" s="18">
        <v>21.6</v>
      </c>
      <c r="M17" s="18">
        <f t="shared" si="4"/>
        <v>1.75</v>
      </c>
      <c r="N17" s="12" t="s">
        <v>14</v>
      </c>
      <c r="O17" s="13" t="s">
        <v>15</v>
      </c>
      <c r="P17" s="91">
        <f>M17-M16</f>
        <v>1.3100000000000005</v>
      </c>
    </row>
    <row r="18" spans="1:16" x14ac:dyDescent="0.25">
      <c r="A18">
        <v>2</v>
      </c>
      <c r="B18" s="14" t="s">
        <v>34</v>
      </c>
      <c r="C18" s="15">
        <v>45213</v>
      </c>
      <c r="D18" s="16">
        <v>0.42499999999999999</v>
      </c>
      <c r="E18" s="15">
        <v>45215</v>
      </c>
      <c r="F18" s="16">
        <v>0.38750000000000001</v>
      </c>
      <c r="G18" s="18">
        <v>8.48</v>
      </c>
      <c r="H18" s="18">
        <v>19</v>
      </c>
      <c r="I18" s="19">
        <v>45220</v>
      </c>
      <c r="J18" s="17">
        <v>0.39791666666666664</v>
      </c>
      <c r="K18" s="18">
        <v>7.82</v>
      </c>
      <c r="L18" s="18">
        <v>21.5</v>
      </c>
      <c r="M18" s="18">
        <f t="shared" si="4"/>
        <v>0.66000000000000014</v>
      </c>
      <c r="N18" s="12" t="s">
        <v>14</v>
      </c>
      <c r="O18" s="13" t="s">
        <v>15</v>
      </c>
    </row>
    <row r="19" spans="1:16" x14ac:dyDescent="0.25">
      <c r="A19">
        <v>2</v>
      </c>
      <c r="B19" s="14" t="s">
        <v>35</v>
      </c>
      <c r="C19" s="19">
        <v>45213</v>
      </c>
      <c r="D19" s="16">
        <v>0.42499999999999999</v>
      </c>
      <c r="E19" s="15">
        <v>45215</v>
      </c>
      <c r="F19" s="26">
        <v>0.3888888888888889</v>
      </c>
      <c r="G19" s="18">
        <v>8.6999999999999993</v>
      </c>
      <c r="H19" s="18">
        <v>19.100000000000001</v>
      </c>
      <c r="I19" s="19">
        <v>45220</v>
      </c>
      <c r="J19" s="16">
        <v>0.39652777777777776</v>
      </c>
      <c r="K19" s="18">
        <v>6.06</v>
      </c>
      <c r="L19" s="18">
        <v>20.9</v>
      </c>
      <c r="M19" s="18">
        <f t="shared" si="4"/>
        <v>2.6399999999999997</v>
      </c>
      <c r="N19" s="12" t="s">
        <v>14</v>
      </c>
      <c r="O19" s="13" t="s">
        <v>15</v>
      </c>
      <c r="P19" s="91">
        <f>M19-M18</f>
        <v>1.9799999999999995</v>
      </c>
    </row>
    <row r="20" spans="1:16" x14ac:dyDescent="0.25">
      <c r="A20">
        <v>2</v>
      </c>
      <c r="B20" s="14" t="s">
        <v>36</v>
      </c>
      <c r="C20" s="15">
        <v>45223</v>
      </c>
      <c r="D20" s="29">
        <v>0.38541666666666669</v>
      </c>
      <c r="E20" s="15">
        <v>45224</v>
      </c>
      <c r="F20" s="17">
        <v>0.63124999999999998</v>
      </c>
      <c r="G20" s="18">
        <v>8.75</v>
      </c>
      <c r="H20" s="18">
        <v>20.2</v>
      </c>
      <c r="I20" s="15">
        <v>45229</v>
      </c>
      <c r="J20" s="16">
        <v>0.68958333333333333</v>
      </c>
      <c r="K20" s="18">
        <v>8.36</v>
      </c>
      <c r="L20" s="18">
        <v>20.9</v>
      </c>
      <c r="M20" s="18">
        <f t="shared" ref="M20:M23" si="5">G20-K20</f>
        <v>0.39000000000000057</v>
      </c>
      <c r="N20" s="12" t="s">
        <v>14</v>
      </c>
      <c r="O20" s="13" t="s">
        <v>15</v>
      </c>
    </row>
    <row r="21" spans="1:16" x14ac:dyDescent="0.25">
      <c r="A21">
        <v>2</v>
      </c>
      <c r="B21" s="14" t="s">
        <v>37</v>
      </c>
      <c r="C21" s="15">
        <v>45223</v>
      </c>
      <c r="D21" s="29">
        <v>0.38541666666666669</v>
      </c>
      <c r="E21" s="15">
        <v>45224</v>
      </c>
      <c r="F21" s="17">
        <v>0.63194444444444442</v>
      </c>
      <c r="G21" s="18">
        <v>8.74</v>
      </c>
      <c r="H21" s="18">
        <v>20.100000000000001</v>
      </c>
      <c r="I21" s="15">
        <v>45229</v>
      </c>
      <c r="J21" s="16">
        <v>0.68819444444444444</v>
      </c>
      <c r="K21" s="18">
        <v>6.67</v>
      </c>
      <c r="L21" s="18">
        <v>21.1</v>
      </c>
      <c r="M21" s="18">
        <f t="shared" si="5"/>
        <v>2.0700000000000003</v>
      </c>
      <c r="N21" s="12" t="s">
        <v>14</v>
      </c>
      <c r="O21" s="13" t="s">
        <v>15</v>
      </c>
      <c r="P21" s="91">
        <f>M21-M20</f>
        <v>1.6799999999999997</v>
      </c>
    </row>
    <row r="22" spans="1:16" x14ac:dyDescent="0.25">
      <c r="A22">
        <v>2</v>
      </c>
      <c r="B22" s="14" t="s">
        <v>38</v>
      </c>
      <c r="C22" s="15">
        <v>45224</v>
      </c>
      <c r="D22" s="17">
        <v>0.34722222222222221</v>
      </c>
      <c r="E22" s="15">
        <v>45224</v>
      </c>
      <c r="F22" s="17">
        <v>0.68541666666666667</v>
      </c>
      <c r="G22" s="27">
        <v>8.25</v>
      </c>
      <c r="H22" s="27">
        <v>20.6</v>
      </c>
      <c r="I22" s="15">
        <v>45229</v>
      </c>
      <c r="J22" s="17">
        <v>0.72430555555555554</v>
      </c>
      <c r="K22" s="27">
        <v>7.87</v>
      </c>
      <c r="L22" s="27">
        <v>20.5</v>
      </c>
      <c r="M22" s="18">
        <f t="shared" si="5"/>
        <v>0.37999999999999989</v>
      </c>
      <c r="N22" s="12" t="s">
        <v>14</v>
      </c>
      <c r="O22" s="13" t="s">
        <v>15</v>
      </c>
    </row>
    <row r="23" spans="1:16" x14ac:dyDescent="0.25">
      <c r="A23">
        <v>2</v>
      </c>
      <c r="B23" s="14" t="s">
        <v>39</v>
      </c>
      <c r="C23" s="15">
        <v>45224</v>
      </c>
      <c r="D23" s="17">
        <v>0.34722222222222221</v>
      </c>
      <c r="E23" s="15">
        <v>45224</v>
      </c>
      <c r="F23" s="17">
        <v>0.68611111111111112</v>
      </c>
      <c r="G23" s="27">
        <v>8.2200000000000006</v>
      </c>
      <c r="H23" s="27">
        <v>20.7</v>
      </c>
      <c r="I23" s="15">
        <v>45229</v>
      </c>
      <c r="J23" s="17">
        <v>0.72291666666666665</v>
      </c>
      <c r="K23" s="27">
        <v>6.24</v>
      </c>
      <c r="L23" s="27">
        <v>20.399999999999999</v>
      </c>
      <c r="M23" s="18">
        <f t="shared" si="5"/>
        <v>1.9800000000000004</v>
      </c>
      <c r="N23" s="12" t="s">
        <v>14</v>
      </c>
      <c r="O23" s="13" t="s">
        <v>15</v>
      </c>
      <c r="P23" s="91">
        <f>M23-M22</f>
        <v>1.6000000000000005</v>
      </c>
    </row>
    <row r="24" spans="1:16" x14ac:dyDescent="0.25">
      <c r="A24">
        <v>3</v>
      </c>
      <c r="B24" s="10" t="s">
        <v>41</v>
      </c>
      <c r="C24" s="23">
        <v>45313</v>
      </c>
      <c r="D24" s="30">
        <v>0.40625</v>
      </c>
      <c r="E24" s="23">
        <v>45315</v>
      </c>
      <c r="F24" s="31">
        <v>0.38124999999999998</v>
      </c>
      <c r="G24" s="11">
        <v>8.57</v>
      </c>
      <c r="H24" s="11">
        <v>22</v>
      </c>
      <c r="I24" s="32">
        <v>45320</v>
      </c>
      <c r="J24" s="30">
        <v>0.5756944444444444</v>
      </c>
      <c r="K24" s="33">
        <v>7.14</v>
      </c>
      <c r="L24" s="35">
        <v>18.8</v>
      </c>
      <c r="M24" s="36">
        <f t="shared" ref="M24:M27" si="6">G24-K24</f>
        <v>1.4300000000000006</v>
      </c>
      <c r="N24" s="34" t="s">
        <v>14</v>
      </c>
      <c r="O24" s="34"/>
      <c r="P24" s="91">
        <f>M24-M25</f>
        <v>1.1500000000000012</v>
      </c>
    </row>
    <row r="25" spans="1:16" x14ac:dyDescent="0.25">
      <c r="A25">
        <v>3</v>
      </c>
      <c r="B25" s="10" t="s">
        <v>42</v>
      </c>
      <c r="C25" s="23">
        <v>45313</v>
      </c>
      <c r="D25" s="30">
        <v>0.40625</v>
      </c>
      <c r="E25" s="23">
        <v>45315</v>
      </c>
      <c r="F25" s="31">
        <v>0.38194444444444442</v>
      </c>
      <c r="G25" s="11">
        <v>8.66</v>
      </c>
      <c r="H25" s="11">
        <v>22</v>
      </c>
      <c r="I25" s="32">
        <v>45320</v>
      </c>
      <c r="J25" s="30">
        <v>0.57430555555555551</v>
      </c>
      <c r="K25" s="37">
        <v>8.3800000000000008</v>
      </c>
      <c r="L25" s="35">
        <v>18.899999999999999</v>
      </c>
      <c r="M25" s="36">
        <f t="shared" si="6"/>
        <v>0.27999999999999936</v>
      </c>
      <c r="N25" s="34" t="s">
        <v>14</v>
      </c>
      <c r="O25" s="34"/>
    </row>
    <row r="26" spans="1:16" x14ac:dyDescent="0.25">
      <c r="A26">
        <v>3</v>
      </c>
      <c r="B26" s="10" t="s">
        <v>43</v>
      </c>
      <c r="C26" s="23">
        <v>45314</v>
      </c>
      <c r="D26" s="30">
        <v>0.44722222222222224</v>
      </c>
      <c r="E26" s="23">
        <v>45315</v>
      </c>
      <c r="F26" s="31">
        <v>0.4236111111111111</v>
      </c>
      <c r="G26" s="11">
        <v>8.2200000000000006</v>
      </c>
      <c r="H26" s="11">
        <v>21.7</v>
      </c>
      <c r="I26" s="32">
        <v>45320</v>
      </c>
      <c r="J26" s="30">
        <v>0.60138888888888886</v>
      </c>
      <c r="K26" s="37">
        <v>6.54</v>
      </c>
      <c r="L26" s="35">
        <v>19.600000000000001</v>
      </c>
      <c r="M26" s="36">
        <f t="shared" si="6"/>
        <v>1.6800000000000006</v>
      </c>
      <c r="N26" s="34" t="s">
        <v>14</v>
      </c>
      <c r="O26" s="34"/>
      <c r="P26" s="91">
        <f>M26-M27</f>
        <v>1.660000000000001</v>
      </c>
    </row>
    <row r="27" spans="1:16" x14ac:dyDescent="0.25">
      <c r="A27">
        <v>3</v>
      </c>
      <c r="B27" s="10" t="s">
        <v>44</v>
      </c>
      <c r="C27" s="23">
        <v>45314</v>
      </c>
      <c r="D27" s="30">
        <v>0.44722222222222224</v>
      </c>
      <c r="E27" s="23">
        <v>45315</v>
      </c>
      <c r="F27" s="31">
        <v>0.42291666666666666</v>
      </c>
      <c r="G27" s="11">
        <v>8.08</v>
      </c>
      <c r="H27" s="11">
        <v>21.7</v>
      </c>
      <c r="I27" s="32">
        <v>45320</v>
      </c>
      <c r="J27" s="30">
        <v>0.59861111111111109</v>
      </c>
      <c r="K27" s="37">
        <v>8.06</v>
      </c>
      <c r="L27" s="35">
        <v>19.100000000000001</v>
      </c>
      <c r="M27" s="36">
        <f t="shared" si="6"/>
        <v>1.9999999999999574E-2</v>
      </c>
      <c r="N27" s="34" t="s">
        <v>14</v>
      </c>
      <c r="O27" s="34"/>
    </row>
    <row r="28" spans="1:16" x14ac:dyDescent="0.25">
      <c r="A28">
        <v>3</v>
      </c>
      <c r="B28" s="10" t="s">
        <v>45</v>
      </c>
      <c r="C28" s="23">
        <v>45316</v>
      </c>
      <c r="D28" s="30">
        <v>0.38194444444444442</v>
      </c>
      <c r="E28" s="23">
        <v>45316</v>
      </c>
      <c r="F28" s="25">
        <v>0.60486111111111107</v>
      </c>
      <c r="G28" s="11">
        <v>8.06</v>
      </c>
      <c r="H28" s="11">
        <v>21.8</v>
      </c>
      <c r="I28" s="32">
        <v>45321</v>
      </c>
      <c r="J28" s="30">
        <v>0.60902777777777772</v>
      </c>
      <c r="K28" s="37">
        <v>6.06</v>
      </c>
      <c r="L28" s="35">
        <v>20.5</v>
      </c>
      <c r="M28" s="36">
        <f t="shared" ref="M28" si="7">G28-K28</f>
        <v>2.0000000000000009</v>
      </c>
      <c r="N28" s="34" t="s">
        <v>14</v>
      </c>
      <c r="O28" s="34"/>
      <c r="P28" s="91">
        <f>M28-M29</f>
        <v>1.7200000000000015</v>
      </c>
    </row>
    <row r="29" spans="1:16" x14ac:dyDescent="0.25">
      <c r="A29">
        <v>3</v>
      </c>
      <c r="B29" s="10" t="s">
        <v>46</v>
      </c>
      <c r="C29" s="23">
        <v>45316</v>
      </c>
      <c r="D29" s="30">
        <v>0.38194444444444442</v>
      </c>
      <c r="E29" s="23">
        <v>45316</v>
      </c>
      <c r="F29" s="25">
        <v>0.61527777777777781</v>
      </c>
      <c r="G29" s="11">
        <v>8.02</v>
      </c>
      <c r="H29" s="11">
        <v>22.9</v>
      </c>
      <c r="I29" s="32">
        <v>45321</v>
      </c>
      <c r="J29" s="30">
        <v>0.61041666666666672</v>
      </c>
      <c r="K29" s="37">
        <v>7.74</v>
      </c>
      <c r="L29" s="35">
        <v>20.6</v>
      </c>
      <c r="M29" s="36">
        <f t="shared" ref="M29" si="8">G29-K29</f>
        <v>0.27999999999999936</v>
      </c>
      <c r="N29" s="34" t="s">
        <v>14</v>
      </c>
      <c r="O29" s="78"/>
      <c r="P29" s="92"/>
    </row>
    <row r="30" spans="1:16" x14ac:dyDescent="0.25">
      <c r="A30">
        <v>3</v>
      </c>
      <c r="B30" s="10" t="s">
        <v>47</v>
      </c>
      <c r="C30" s="23">
        <v>45321</v>
      </c>
      <c r="D30" s="30">
        <v>0.3215277777777778</v>
      </c>
      <c r="E30" s="23">
        <v>45322</v>
      </c>
      <c r="F30" s="25">
        <v>0.34444444444444444</v>
      </c>
      <c r="G30" s="11">
        <v>8.44</v>
      </c>
      <c r="H30" s="11">
        <v>20</v>
      </c>
      <c r="I30" s="32">
        <v>45327</v>
      </c>
      <c r="J30" s="30">
        <v>6.1805555555555558E-2</v>
      </c>
      <c r="K30" s="37">
        <v>6.84</v>
      </c>
      <c r="L30" s="38">
        <v>19.2</v>
      </c>
      <c r="M30" s="40">
        <f t="shared" ref="M30:M31" si="9">G30-K30</f>
        <v>1.5999999999999996</v>
      </c>
      <c r="N30" s="34" t="s">
        <v>14</v>
      </c>
      <c r="O30" s="39"/>
      <c r="P30" s="91">
        <f>M30-M31</f>
        <v>1.5899999999999999</v>
      </c>
    </row>
    <row r="31" spans="1:16" x14ac:dyDescent="0.25">
      <c r="A31">
        <v>3</v>
      </c>
      <c r="B31" s="10" t="s">
        <v>48</v>
      </c>
      <c r="C31" s="23">
        <v>45321</v>
      </c>
      <c r="D31" s="30">
        <v>0.3215277777777778</v>
      </c>
      <c r="E31" s="23">
        <v>45322</v>
      </c>
      <c r="F31" s="25">
        <v>0.34236111111111112</v>
      </c>
      <c r="G31" s="11">
        <v>8.27</v>
      </c>
      <c r="H31" s="11">
        <v>20</v>
      </c>
      <c r="I31" s="32">
        <v>45327</v>
      </c>
      <c r="J31" s="30">
        <v>6.5972222222222224E-2</v>
      </c>
      <c r="K31" s="37">
        <v>8.26</v>
      </c>
      <c r="L31" s="38">
        <v>20.399999999999999</v>
      </c>
      <c r="M31" s="40">
        <f t="shared" si="9"/>
        <v>9.9999999999997868E-3</v>
      </c>
      <c r="N31" s="34" t="s">
        <v>14</v>
      </c>
      <c r="O31" s="39"/>
    </row>
    <row r="32" spans="1:16" x14ac:dyDescent="0.25">
      <c r="A32">
        <v>3</v>
      </c>
      <c r="B32" s="10" t="s">
        <v>49</v>
      </c>
      <c r="C32" s="23">
        <v>45322</v>
      </c>
      <c r="D32" s="30">
        <v>0.34305555555555556</v>
      </c>
      <c r="E32" s="23">
        <v>45323</v>
      </c>
      <c r="F32" s="25">
        <v>0.34305555555555556</v>
      </c>
      <c r="G32" s="11">
        <v>9.01</v>
      </c>
      <c r="H32" s="11">
        <v>19.3</v>
      </c>
      <c r="I32" s="32">
        <v>45328</v>
      </c>
      <c r="J32" s="30">
        <v>0.51180555555555551</v>
      </c>
      <c r="K32" s="37">
        <v>7.08</v>
      </c>
      <c r="L32" s="38">
        <v>20.6</v>
      </c>
      <c r="M32" s="36">
        <f t="shared" ref="M32:M35" si="10">G32-K32</f>
        <v>1.9299999999999997</v>
      </c>
      <c r="N32" s="34" t="s">
        <v>14</v>
      </c>
      <c r="O32" s="39"/>
      <c r="P32" s="91">
        <f>M32-M33</f>
        <v>1.2599999999999998</v>
      </c>
    </row>
    <row r="33" spans="1:16" x14ac:dyDescent="0.25">
      <c r="A33">
        <v>3</v>
      </c>
      <c r="B33" s="10" t="s">
        <v>50</v>
      </c>
      <c r="C33" s="23">
        <v>45322</v>
      </c>
      <c r="D33" s="30">
        <v>0.34305555555555556</v>
      </c>
      <c r="E33" s="23">
        <v>45323</v>
      </c>
      <c r="F33" s="25">
        <v>0.34305555555555556</v>
      </c>
      <c r="G33" s="11">
        <v>9.0299999999999994</v>
      </c>
      <c r="H33" s="11">
        <v>19.2</v>
      </c>
      <c r="I33" s="32">
        <v>45328</v>
      </c>
      <c r="J33" s="30">
        <v>0.51458333333333328</v>
      </c>
      <c r="K33" s="37">
        <v>8.36</v>
      </c>
      <c r="L33" s="38">
        <v>20.8</v>
      </c>
      <c r="M33" s="36">
        <f t="shared" si="10"/>
        <v>0.66999999999999993</v>
      </c>
      <c r="N33" s="34" t="s">
        <v>14</v>
      </c>
      <c r="O33" s="39"/>
    </row>
    <row r="34" spans="1:16" x14ac:dyDescent="0.25">
      <c r="A34">
        <v>3</v>
      </c>
      <c r="B34" s="41" t="s">
        <v>51</v>
      </c>
      <c r="C34" s="42">
        <v>45323</v>
      </c>
      <c r="D34" s="43">
        <v>0.3840277777777778</v>
      </c>
      <c r="E34" s="42">
        <v>45323</v>
      </c>
      <c r="F34" s="44">
        <v>0.76527777777777772</v>
      </c>
      <c r="G34" s="45">
        <v>8.52</v>
      </c>
      <c r="H34" s="45">
        <v>17.899999999999999</v>
      </c>
      <c r="I34" s="46">
        <v>45328</v>
      </c>
      <c r="J34" s="47">
        <v>0.5625</v>
      </c>
      <c r="K34" s="48">
        <v>6.71</v>
      </c>
      <c r="L34" s="49">
        <v>18.8</v>
      </c>
      <c r="M34" s="50">
        <f t="shared" si="10"/>
        <v>1.8099999999999996</v>
      </c>
      <c r="N34" s="51" t="s">
        <v>14</v>
      </c>
      <c r="O34" s="52"/>
      <c r="P34" s="91">
        <f>M34-M35</f>
        <v>1.4799999999999995</v>
      </c>
    </row>
    <row r="35" spans="1:16" x14ac:dyDescent="0.25">
      <c r="A35">
        <v>3</v>
      </c>
      <c r="B35" s="41" t="s">
        <v>52</v>
      </c>
      <c r="C35" s="42">
        <v>45323</v>
      </c>
      <c r="D35" s="43">
        <v>0.3840277777777778</v>
      </c>
      <c r="E35" s="42">
        <v>45323</v>
      </c>
      <c r="F35" s="44">
        <v>0.26458333333333334</v>
      </c>
      <c r="G35" s="45">
        <v>8.6300000000000008</v>
      </c>
      <c r="H35" s="45">
        <v>17.899999999999999</v>
      </c>
      <c r="I35" s="46">
        <v>45328</v>
      </c>
      <c r="J35" s="47">
        <v>0.56388888888888888</v>
      </c>
      <c r="K35" s="48">
        <v>8.3000000000000007</v>
      </c>
      <c r="L35" s="49">
        <v>19.899999999999999</v>
      </c>
      <c r="M35" s="50">
        <f t="shared" si="10"/>
        <v>0.33000000000000007</v>
      </c>
      <c r="N35" s="51" t="s">
        <v>14</v>
      </c>
      <c r="O35" s="52"/>
    </row>
    <row r="36" spans="1:16" x14ac:dyDescent="0.25">
      <c r="A36">
        <v>3</v>
      </c>
      <c r="B36" s="10" t="s">
        <v>53</v>
      </c>
      <c r="C36" s="23">
        <v>45336</v>
      </c>
      <c r="D36" s="30">
        <v>0.3298611111111111</v>
      </c>
      <c r="E36" s="23">
        <v>45336</v>
      </c>
      <c r="F36" s="31">
        <v>0.66111111111111109</v>
      </c>
      <c r="G36" s="11">
        <v>8.4700000000000006</v>
      </c>
      <c r="H36" s="11">
        <v>18.7</v>
      </c>
      <c r="I36" s="32">
        <v>45341</v>
      </c>
      <c r="J36" s="30">
        <v>0.44305555555555554</v>
      </c>
      <c r="K36" s="37">
        <v>6.86</v>
      </c>
      <c r="L36" s="38">
        <v>20.2</v>
      </c>
      <c r="M36" s="36">
        <f t="shared" ref="M36:M37" si="11">G36-K36</f>
        <v>1.6100000000000003</v>
      </c>
      <c r="N36" s="34" t="s">
        <v>14</v>
      </c>
      <c r="O36" s="39"/>
      <c r="P36" s="91">
        <f>M36-M37</f>
        <v>1.2400000000000002</v>
      </c>
    </row>
    <row r="37" spans="1:16" x14ac:dyDescent="0.25">
      <c r="A37">
        <v>3</v>
      </c>
      <c r="B37" s="10" t="s">
        <v>54</v>
      </c>
      <c r="C37" s="23">
        <v>45336</v>
      </c>
      <c r="D37" s="30">
        <v>0.3298611111111111</v>
      </c>
      <c r="E37" s="23">
        <v>45336</v>
      </c>
      <c r="F37" s="53">
        <v>0.66041666666666665</v>
      </c>
      <c r="G37" s="11">
        <v>8.34</v>
      </c>
      <c r="H37" s="11">
        <v>18.600000000000001</v>
      </c>
      <c r="I37" s="32">
        <v>45341</v>
      </c>
      <c r="J37" s="30">
        <v>0.43958333333333333</v>
      </c>
      <c r="K37" s="33">
        <v>7.97</v>
      </c>
      <c r="L37" s="38">
        <v>18.8</v>
      </c>
      <c r="M37" s="36">
        <f t="shared" si="11"/>
        <v>0.37000000000000011</v>
      </c>
      <c r="N37" s="34" t="s">
        <v>14</v>
      </c>
      <c r="O37" s="39"/>
    </row>
    <row r="38" spans="1:16" x14ac:dyDescent="0.25">
      <c r="A38">
        <v>3</v>
      </c>
      <c r="B38" s="10" t="s">
        <v>55</v>
      </c>
      <c r="C38" s="23">
        <v>45337</v>
      </c>
      <c r="D38" s="30">
        <v>0.3972222222222222</v>
      </c>
      <c r="E38" s="23">
        <v>45337</v>
      </c>
      <c r="F38" s="31">
        <v>0.57291666666666663</v>
      </c>
      <c r="G38" s="11">
        <v>8.74</v>
      </c>
      <c r="H38" s="24">
        <v>20.3</v>
      </c>
      <c r="I38" s="32">
        <v>45343</v>
      </c>
      <c r="J38" s="30">
        <v>0.6166666666666667</v>
      </c>
      <c r="K38" s="33">
        <v>6.42</v>
      </c>
      <c r="L38" s="38">
        <v>20.3</v>
      </c>
      <c r="M38" s="36">
        <f t="shared" ref="M38:M41" si="12">G38-K38</f>
        <v>2.3200000000000003</v>
      </c>
      <c r="N38" s="34" t="s">
        <v>14</v>
      </c>
      <c r="O38" s="39"/>
      <c r="P38" s="91">
        <f>M38-M39</f>
        <v>1.38</v>
      </c>
    </row>
    <row r="39" spans="1:16" x14ac:dyDescent="0.25">
      <c r="A39">
        <v>3</v>
      </c>
      <c r="B39" s="10" t="s">
        <v>56</v>
      </c>
      <c r="C39" s="23">
        <v>45337</v>
      </c>
      <c r="D39" s="30">
        <v>0.3972222222222222</v>
      </c>
      <c r="E39" s="23">
        <v>45337</v>
      </c>
      <c r="F39" s="53">
        <v>0.57152777777777775</v>
      </c>
      <c r="G39" s="11">
        <v>8.8800000000000008</v>
      </c>
      <c r="H39" s="11">
        <v>20.3</v>
      </c>
      <c r="I39" s="32">
        <v>45343</v>
      </c>
      <c r="J39" s="30">
        <v>0.61875000000000002</v>
      </c>
      <c r="K39" s="33">
        <v>7.94</v>
      </c>
      <c r="L39" s="38">
        <v>20.100000000000001</v>
      </c>
      <c r="M39" s="36">
        <f t="shared" si="12"/>
        <v>0.94000000000000039</v>
      </c>
      <c r="N39" s="34" t="s">
        <v>14</v>
      </c>
      <c r="O39" s="39"/>
    </row>
    <row r="40" spans="1:16" ht="15.75" x14ac:dyDescent="0.25">
      <c r="A40">
        <v>3</v>
      </c>
      <c r="B40" s="28" t="s">
        <v>57</v>
      </c>
      <c r="C40" s="23">
        <v>45338</v>
      </c>
      <c r="D40" s="56">
        <v>0.41805555555555557</v>
      </c>
      <c r="E40" s="23">
        <v>45338</v>
      </c>
      <c r="F40" s="57">
        <v>0.61597222222222225</v>
      </c>
      <c r="G40" s="58">
        <v>8</v>
      </c>
      <c r="H40" s="58">
        <v>20.7</v>
      </c>
      <c r="I40" s="23">
        <v>45343</v>
      </c>
      <c r="J40" s="56">
        <v>0.66666666666666663</v>
      </c>
      <c r="K40" s="58">
        <v>5.83</v>
      </c>
      <c r="L40" s="58">
        <v>22.2</v>
      </c>
      <c r="M40" s="36">
        <f t="shared" si="12"/>
        <v>2.17</v>
      </c>
      <c r="N40" s="59" t="s">
        <v>14</v>
      </c>
      <c r="O40" s="60"/>
      <c r="P40" s="91">
        <f>M40-M41</f>
        <v>1.5600000000000005</v>
      </c>
    </row>
    <row r="41" spans="1:16" ht="15.75" x14ac:dyDescent="0.25">
      <c r="A41">
        <v>3</v>
      </c>
      <c r="B41" s="61" t="s">
        <v>58</v>
      </c>
      <c r="C41" s="23">
        <v>45338</v>
      </c>
      <c r="D41" s="62">
        <v>0.41805555555555557</v>
      </c>
      <c r="E41" s="23">
        <v>45338</v>
      </c>
      <c r="F41" s="63">
        <v>0.61458333333333337</v>
      </c>
      <c r="G41" s="55">
        <v>8.09</v>
      </c>
      <c r="H41" s="55">
        <v>20.5</v>
      </c>
      <c r="I41" s="23">
        <v>45343</v>
      </c>
      <c r="J41" s="62">
        <v>0.67083333333333328</v>
      </c>
      <c r="K41" s="55">
        <v>7.48</v>
      </c>
      <c r="L41" s="55">
        <v>22.6</v>
      </c>
      <c r="M41" s="36">
        <f t="shared" si="12"/>
        <v>0.60999999999999943</v>
      </c>
      <c r="N41" s="64" t="s">
        <v>14</v>
      </c>
      <c r="O41" s="65"/>
    </row>
    <row r="42" spans="1:16" ht="15.75" x14ac:dyDescent="0.25">
      <c r="A42">
        <v>3</v>
      </c>
      <c r="B42" s="61" t="s">
        <v>59</v>
      </c>
      <c r="C42" s="66">
        <v>45343</v>
      </c>
      <c r="D42" s="62">
        <v>0.51180555555555551</v>
      </c>
      <c r="E42" s="66">
        <v>45344</v>
      </c>
      <c r="F42" s="54">
        <v>0.64652777777777781</v>
      </c>
      <c r="G42" s="55">
        <v>8.7799999999999994</v>
      </c>
      <c r="H42" s="55">
        <v>20.6</v>
      </c>
      <c r="I42" s="67">
        <v>45349</v>
      </c>
      <c r="J42" s="62">
        <v>0.59097222222222223</v>
      </c>
      <c r="K42" s="55">
        <v>7.51</v>
      </c>
      <c r="L42" s="55">
        <v>19.100000000000001</v>
      </c>
      <c r="M42" s="36">
        <f t="shared" ref="M42:M43" si="13">G42-K42</f>
        <v>1.2699999999999996</v>
      </c>
      <c r="N42" s="64" t="s">
        <v>14</v>
      </c>
      <c r="O42" s="65"/>
      <c r="P42" s="91">
        <f>M42-M43</f>
        <v>1.1899999999999995</v>
      </c>
    </row>
    <row r="43" spans="1:16" ht="15.75" x14ac:dyDescent="0.25">
      <c r="A43">
        <v>3</v>
      </c>
      <c r="B43" s="61" t="s">
        <v>60</v>
      </c>
      <c r="C43" s="67">
        <v>45343</v>
      </c>
      <c r="D43" s="62">
        <v>0.51180555555555551</v>
      </c>
      <c r="E43" s="66">
        <v>45344</v>
      </c>
      <c r="F43" s="63">
        <v>0.64583333333333337</v>
      </c>
      <c r="G43" s="55">
        <v>8.17</v>
      </c>
      <c r="H43" s="55">
        <v>21</v>
      </c>
      <c r="I43" s="67">
        <v>45349</v>
      </c>
      <c r="J43" s="62">
        <v>0.59722222222222221</v>
      </c>
      <c r="K43" s="55">
        <v>8.09</v>
      </c>
      <c r="L43" s="55">
        <v>19.399999999999999</v>
      </c>
      <c r="M43" s="36">
        <f t="shared" si="13"/>
        <v>8.0000000000000071E-2</v>
      </c>
      <c r="N43" s="64" t="s">
        <v>14</v>
      </c>
      <c r="O43" s="65"/>
    </row>
    <row r="44" spans="1:16" x14ac:dyDescent="0.25">
      <c r="A44">
        <v>4</v>
      </c>
      <c r="B44" s="69" t="s">
        <v>61</v>
      </c>
      <c r="C44" s="70">
        <v>45390</v>
      </c>
      <c r="D44" s="71">
        <v>0.35555555555555557</v>
      </c>
      <c r="E44" s="70">
        <v>45392</v>
      </c>
      <c r="F44" s="71">
        <v>0.35694444444444445</v>
      </c>
      <c r="G44" s="72">
        <v>8.17</v>
      </c>
      <c r="H44" s="72">
        <v>20.2</v>
      </c>
      <c r="I44" s="73">
        <v>45397</v>
      </c>
      <c r="J44" s="71">
        <v>0.45416666666666666</v>
      </c>
      <c r="K44" s="74">
        <v>6.97</v>
      </c>
      <c r="L44" s="75">
        <v>19.399999999999999</v>
      </c>
      <c r="M44" s="76">
        <f t="shared" ref="M44:M51" si="14">G44-K44</f>
        <v>1.2000000000000002</v>
      </c>
      <c r="N44" s="34" t="s">
        <v>14</v>
      </c>
      <c r="O44" s="34" t="s">
        <v>15</v>
      </c>
      <c r="P44" s="68">
        <f>M44-M45</f>
        <v>1.0499999999999998</v>
      </c>
    </row>
    <row r="45" spans="1:16" x14ac:dyDescent="0.25">
      <c r="A45">
        <v>4</v>
      </c>
      <c r="B45" s="69" t="s">
        <v>62</v>
      </c>
      <c r="C45" s="70">
        <v>45390</v>
      </c>
      <c r="D45" s="71">
        <v>0.35555555555555557</v>
      </c>
      <c r="E45" s="70">
        <v>45392</v>
      </c>
      <c r="F45" s="71">
        <v>0.35625000000000001</v>
      </c>
      <c r="G45" s="72">
        <v>8.48</v>
      </c>
      <c r="H45" s="72">
        <v>20</v>
      </c>
      <c r="I45" s="73">
        <v>45397</v>
      </c>
      <c r="J45" s="71">
        <v>0.45694444444444443</v>
      </c>
      <c r="K45" s="77">
        <v>8.33</v>
      </c>
      <c r="L45" s="75">
        <v>19.899999999999999</v>
      </c>
      <c r="M45" s="76">
        <f t="shared" si="14"/>
        <v>0.15000000000000036</v>
      </c>
      <c r="N45" s="34" t="s">
        <v>14</v>
      </c>
      <c r="O45" s="34" t="s">
        <v>15</v>
      </c>
      <c r="P45" s="78"/>
    </row>
    <row r="46" spans="1:16" x14ac:dyDescent="0.25">
      <c r="A46">
        <v>4</v>
      </c>
      <c r="B46" s="69" t="s">
        <v>63</v>
      </c>
      <c r="C46" s="70">
        <v>45391</v>
      </c>
      <c r="D46" s="71">
        <v>0.38194444444444442</v>
      </c>
      <c r="E46" s="70">
        <v>45392</v>
      </c>
      <c r="F46" s="71">
        <v>0.39097222222222222</v>
      </c>
      <c r="G46" s="72">
        <v>7.63</v>
      </c>
      <c r="H46" s="72">
        <v>20.5</v>
      </c>
      <c r="I46" s="73">
        <v>45397</v>
      </c>
      <c r="J46" s="71">
        <v>0.48958333333333331</v>
      </c>
      <c r="K46" s="77">
        <v>6.84</v>
      </c>
      <c r="L46" s="75">
        <v>19.399999999999999</v>
      </c>
      <c r="M46" s="76">
        <f t="shared" si="14"/>
        <v>0.79</v>
      </c>
      <c r="N46" s="34" t="s">
        <v>14</v>
      </c>
      <c r="O46" s="34" t="s">
        <v>15</v>
      </c>
      <c r="P46" s="80">
        <f>M46-M47</f>
        <v>0.41999999999999993</v>
      </c>
    </row>
    <row r="47" spans="1:16" x14ac:dyDescent="0.25">
      <c r="A47">
        <v>4</v>
      </c>
      <c r="B47" s="69" t="s">
        <v>64</v>
      </c>
      <c r="C47" s="70">
        <v>45391</v>
      </c>
      <c r="D47" s="71">
        <v>0.38194444444444442</v>
      </c>
      <c r="E47" s="70">
        <v>45392</v>
      </c>
      <c r="F47" s="71">
        <v>0.39027777777777778</v>
      </c>
      <c r="G47" s="72">
        <v>8.33</v>
      </c>
      <c r="H47" s="72">
        <v>20.399999999999999</v>
      </c>
      <c r="I47" s="73">
        <v>45397</v>
      </c>
      <c r="J47" s="71">
        <v>0.4909722222222222</v>
      </c>
      <c r="K47" s="77">
        <v>7.96</v>
      </c>
      <c r="L47" s="75">
        <v>19.600000000000001</v>
      </c>
      <c r="M47" s="76">
        <f t="shared" si="14"/>
        <v>0.37000000000000011</v>
      </c>
      <c r="N47" s="34" t="s">
        <v>14</v>
      </c>
      <c r="O47" s="34" t="s">
        <v>15</v>
      </c>
      <c r="P47" s="78"/>
    </row>
    <row r="48" spans="1:16" x14ac:dyDescent="0.25">
      <c r="A48">
        <v>4</v>
      </c>
      <c r="B48" s="69" t="s">
        <v>65</v>
      </c>
      <c r="C48" s="73">
        <v>45392</v>
      </c>
      <c r="D48" s="71">
        <v>0.47847222222222224</v>
      </c>
      <c r="E48" s="70">
        <v>45393</v>
      </c>
      <c r="F48" s="71">
        <v>0.65486111111111112</v>
      </c>
      <c r="G48" s="72">
        <v>7.11</v>
      </c>
      <c r="H48" s="72">
        <v>21.7</v>
      </c>
      <c r="I48" s="73">
        <v>45397</v>
      </c>
      <c r="J48" s="71">
        <v>0.54722222222222228</v>
      </c>
      <c r="K48" s="77">
        <v>6.09</v>
      </c>
      <c r="L48" s="75">
        <v>21.9</v>
      </c>
      <c r="M48" s="76">
        <f t="shared" si="14"/>
        <v>1.0200000000000005</v>
      </c>
      <c r="N48" s="34" t="s">
        <v>14</v>
      </c>
      <c r="O48" s="34" t="s">
        <v>15</v>
      </c>
      <c r="P48" s="80">
        <f>M48-M49</f>
        <v>0.87000000000000099</v>
      </c>
    </row>
    <row r="49" spans="1:16" x14ac:dyDescent="0.25">
      <c r="A49">
        <v>4</v>
      </c>
      <c r="B49" s="69" t="s">
        <v>66</v>
      </c>
      <c r="C49" s="73">
        <v>45392</v>
      </c>
      <c r="D49" s="71">
        <v>0.47847222222222224</v>
      </c>
      <c r="E49" s="70">
        <v>45394</v>
      </c>
      <c r="F49" s="71">
        <v>0.65555555555555556</v>
      </c>
      <c r="G49" s="72">
        <v>7.84</v>
      </c>
      <c r="H49" s="72">
        <v>21.8</v>
      </c>
      <c r="I49" s="73">
        <v>45397</v>
      </c>
      <c r="J49" s="71">
        <v>0.54513888888888884</v>
      </c>
      <c r="K49" s="77">
        <v>7.69</v>
      </c>
      <c r="L49" s="75">
        <v>21.4</v>
      </c>
      <c r="M49" s="76">
        <f t="shared" si="14"/>
        <v>0.14999999999999947</v>
      </c>
      <c r="N49" s="34" t="s">
        <v>14</v>
      </c>
      <c r="O49" s="34" t="s">
        <v>15</v>
      </c>
      <c r="P49" s="78"/>
    </row>
    <row r="50" spans="1:16" x14ac:dyDescent="0.25">
      <c r="A50">
        <v>4</v>
      </c>
      <c r="B50" s="69" t="s">
        <v>67</v>
      </c>
      <c r="C50" s="70">
        <v>45400</v>
      </c>
      <c r="D50" s="71">
        <v>0.47222222222222221</v>
      </c>
      <c r="E50" s="70">
        <v>45400</v>
      </c>
      <c r="F50" s="71">
        <v>0.7104166666666667</v>
      </c>
      <c r="G50" s="72">
        <v>8.5500000000000007</v>
      </c>
      <c r="H50" s="72">
        <v>21.5</v>
      </c>
      <c r="I50" s="73">
        <v>45405</v>
      </c>
      <c r="J50" s="71">
        <v>0.48055555555555557</v>
      </c>
      <c r="K50" s="77">
        <v>7.1</v>
      </c>
      <c r="L50" s="75">
        <v>19.7</v>
      </c>
      <c r="M50" s="76">
        <f t="shared" si="14"/>
        <v>1.4500000000000011</v>
      </c>
      <c r="N50" s="34" t="s">
        <v>14</v>
      </c>
      <c r="O50" s="34" t="s">
        <v>15</v>
      </c>
      <c r="P50" s="80">
        <f>M50-M51</f>
        <v>1.0400000000000009</v>
      </c>
    </row>
    <row r="51" spans="1:16" x14ac:dyDescent="0.25">
      <c r="A51">
        <v>4</v>
      </c>
      <c r="B51" s="69" t="s">
        <v>68</v>
      </c>
      <c r="C51" s="70">
        <v>45400</v>
      </c>
      <c r="D51" s="71">
        <v>0.97222222222222221</v>
      </c>
      <c r="E51" s="70">
        <v>45400</v>
      </c>
      <c r="F51" s="71">
        <v>0.70902777777777781</v>
      </c>
      <c r="G51" s="72">
        <v>8.59</v>
      </c>
      <c r="H51" s="72">
        <v>21.5</v>
      </c>
      <c r="I51" s="73">
        <v>45405</v>
      </c>
      <c r="J51" s="71">
        <v>0.47986111111111113</v>
      </c>
      <c r="K51" s="77">
        <v>8.18</v>
      </c>
      <c r="L51" s="75">
        <v>20.6</v>
      </c>
      <c r="M51" s="76">
        <f t="shared" si="14"/>
        <v>0.41000000000000014</v>
      </c>
      <c r="N51" s="34" t="s">
        <v>14</v>
      </c>
      <c r="O51" s="34" t="s">
        <v>15</v>
      </c>
      <c r="P51" s="78"/>
    </row>
    <row r="52" spans="1:16" x14ac:dyDescent="0.25">
      <c r="A52">
        <v>4</v>
      </c>
      <c r="B52" s="69" t="s">
        <v>69</v>
      </c>
      <c r="C52" s="70">
        <v>45405</v>
      </c>
      <c r="D52" s="71">
        <v>0.47361111111111109</v>
      </c>
      <c r="E52" s="70">
        <v>45040</v>
      </c>
      <c r="F52" s="71">
        <v>0.44236111111111109</v>
      </c>
      <c r="G52" s="72">
        <v>8.4600000000000009</v>
      </c>
      <c r="H52" s="72">
        <v>21.4</v>
      </c>
      <c r="I52" s="73">
        <v>45411</v>
      </c>
      <c r="J52" s="71">
        <v>0.58680555555555558</v>
      </c>
      <c r="K52" s="77">
        <v>5.86</v>
      </c>
      <c r="L52" s="75">
        <v>20.6</v>
      </c>
      <c r="M52" s="76">
        <f t="shared" ref="M52:M53" si="15">G52-K52</f>
        <v>2.6000000000000005</v>
      </c>
      <c r="N52" s="34" t="s">
        <v>14</v>
      </c>
      <c r="O52" s="34" t="s">
        <v>15</v>
      </c>
      <c r="P52" s="80">
        <f>M52-M53</f>
        <v>2.0300000000000002</v>
      </c>
    </row>
    <row r="53" spans="1:16" x14ac:dyDescent="0.25">
      <c r="A53">
        <v>4</v>
      </c>
      <c r="B53" s="69" t="s">
        <v>70</v>
      </c>
      <c r="C53" s="70">
        <v>45405</v>
      </c>
      <c r="D53" s="71">
        <v>0.47361111111111109</v>
      </c>
      <c r="E53" s="70">
        <v>45040</v>
      </c>
      <c r="F53" s="71">
        <v>0.44166666666666665</v>
      </c>
      <c r="G53" s="72">
        <v>8.49</v>
      </c>
      <c r="H53" s="72">
        <v>21.5</v>
      </c>
      <c r="I53" s="73">
        <v>45411</v>
      </c>
      <c r="J53" s="71">
        <v>0.59513888888888888</v>
      </c>
      <c r="K53" s="77">
        <v>7.92</v>
      </c>
      <c r="L53" s="75">
        <v>20.8</v>
      </c>
      <c r="M53" s="76">
        <f t="shared" si="15"/>
        <v>0.57000000000000028</v>
      </c>
      <c r="N53" s="34" t="s">
        <v>14</v>
      </c>
      <c r="O53" s="34" t="s">
        <v>15</v>
      </c>
      <c r="P53" s="78"/>
    </row>
    <row r="54" spans="1:16" x14ac:dyDescent="0.25">
      <c r="A54">
        <v>4</v>
      </c>
      <c r="B54" s="69" t="s">
        <v>71</v>
      </c>
      <c r="C54" s="70">
        <v>45407</v>
      </c>
      <c r="D54" s="81">
        <v>0.3888888888888889</v>
      </c>
      <c r="E54" s="70">
        <v>45407</v>
      </c>
      <c r="F54" s="71">
        <v>0.65208333333333335</v>
      </c>
      <c r="G54" s="72">
        <v>8.3000000000000007</v>
      </c>
      <c r="H54" s="72">
        <v>22.1</v>
      </c>
      <c r="I54" s="73">
        <v>45412</v>
      </c>
      <c r="J54" s="71">
        <v>0.64861111111111114</v>
      </c>
      <c r="K54" s="77">
        <v>6.22</v>
      </c>
      <c r="L54" s="75">
        <v>20.2</v>
      </c>
      <c r="M54" s="76">
        <f t="shared" ref="M54:M59" si="16">G54-K54</f>
        <v>2.080000000000001</v>
      </c>
      <c r="N54" s="34" t="s">
        <v>14</v>
      </c>
      <c r="O54" s="34" t="s">
        <v>15</v>
      </c>
      <c r="P54" s="80">
        <f>M54-M55</f>
        <v>1.6800000000000006</v>
      </c>
    </row>
    <row r="55" spans="1:16" x14ac:dyDescent="0.25">
      <c r="A55">
        <v>4</v>
      </c>
      <c r="B55" s="69" t="s">
        <v>72</v>
      </c>
      <c r="C55" s="70">
        <v>45407</v>
      </c>
      <c r="D55" s="71">
        <v>0.3888888888888889</v>
      </c>
      <c r="E55" s="70">
        <v>45407</v>
      </c>
      <c r="F55" s="71">
        <v>0.65138888888888891</v>
      </c>
      <c r="G55" s="72">
        <v>8.17</v>
      </c>
      <c r="H55" s="72">
        <v>21.8</v>
      </c>
      <c r="I55" s="73">
        <v>45412</v>
      </c>
      <c r="J55" s="71">
        <v>0.65</v>
      </c>
      <c r="K55" s="77">
        <v>7.77</v>
      </c>
      <c r="L55" s="75">
        <v>19.899999999999999</v>
      </c>
      <c r="M55" s="76">
        <f t="shared" si="16"/>
        <v>0.40000000000000036</v>
      </c>
      <c r="N55" s="34" t="s">
        <v>14</v>
      </c>
      <c r="O55" s="34" t="s">
        <v>15</v>
      </c>
      <c r="P55" s="78"/>
    </row>
    <row r="56" spans="1:16" x14ac:dyDescent="0.25">
      <c r="A56">
        <v>4</v>
      </c>
      <c r="B56" s="69" t="s">
        <v>73</v>
      </c>
      <c r="C56" s="70">
        <v>45407</v>
      </c>
      <c r="D56" s="81">
        <v>0.5</v>
      </c>
      <c r="E56" s="70">
        <v>45407</v>
      </c>
      <c r="F56" s="71">
        <v>0.67986111111111114</v>
      </c>
      <c r="G56" s="72">
        <v>7.95</v>
      </c>
      <c r="H56" s="72">
        <v>22.4</v>
      </c>
      <c r="I56" s="73">
        <v>45412</v>
      </c>
      <c r="J56" s="71">
        <v>0.81180555555555556</v>
      </c>
      <c r="K56" s="77">
        <v>6.04</v>
      </c>
      <c r="L56" s="75">
        <v>20.100000000000001</v>
      </c>
      <c r="M56" s="76">
        <f t="shared" si="16"/>
        <v>1.9100000000000001</v>
      </c>
      <c r="N56" s="34" t="s">
        <v>14</v>
      </c>
      <c r="O56" s="34" t="s">
        <v>15</v>
      </c>
      <c r="P56" s="80">
        <f>M56-M57</f>
        <v>1.5000000000000009</v>
      </c>
    </row>
    <row r="57" spans="1:16" x14ac:dyDescent="0.25">
      <c r="A57">
        <v>4</v>
      </c>
      <c r="B57" s="69" t="s">
        <v>74</v>
      </c>
      <c r="C57" s="70">
        <v>45407</v>
      </c>
      <c r="D57" s="81">
        <v>0.5</v>
      </c>
      <c r="E57" s="70">
        <v>45407</v>
      </c>
      <c r="F57" s="71">
        <v>0.67708333333333337</v>
      </c>
      <c r="G57" s="72">
        <v>8.0299999999999994</v>
      </c>
      <c r="H57" s="72">
        <v>22.4</v>
      </c>
      <c r="I57" s="73">
        <v>45412</v>
      </c>
      <c r="J57" s="71">
        <v>0.81319444444444444</v>
      </c>
      <c r="K57" s="77">
        <v>7.62</v>
      </c>
      <c r="L57" s="75">
        <v>20.399999999999999</v>
      </c>
      <c r="M57" s="76">
        <f t="shared" si="16"/>
        <v>0.40999999999999925</v>
      </c>
      <c r="N57" s="34" t="s">
        <v>14</v>
      </c>
      <c r="O57" s="34" t="s">
        <v>15</v>
      </c>
      <c r="P57" s="79"/>
    </row>
    <row r="58" spans="1:16" x14ac:dyDescent="0.25">
      <c r="A58">
        <v>4</v>
      </c>
      <c r="B58" s="69" t="s">
        <v>75</v>
      </c>
      <c r="C58" s="70">
        <v>45415</v>
      </c>
      <c r="D58" s="71">
        <v>0.43402777777777779</v>
      </c>
      <c r="E58" s="70">
        <v>45415</v>
      </c>
      <c r="F58" s="82">
        <v>0.7416666666666667</v>
      </c>
      <c r="G58" s="72">
        <v>8.23</v>
      </c>
      <c r="H58" s="72">
        <v>19.5</v>
      </c>
      <c r="I58" s="73">
        <v>45420</v>
      </c>
      <c r="J58" s="71">
        <v>0.58888888888888891</v>
      </c>
      <c r="K58" s="77">
        <v>5.8</v>
      </c>
      <c r="L58" s="75">
        <v>20.5</v>
      </c>
      <c r="M58" s="76">
        <f t="shared" si="16"/>
        <v>2.4300000000000006</v>
      </c>
      <c r="N58" s="34" t="s">
        <v>14</v>
      </c>
      <c r="O58" s="34" t="s">
        <v>15</v>
      </c>
      <c r="P58" s="80">
        <f>M58-M59</f>
        <v>2.0600000000000014</v>
      </c>
    </row>
    <row r="59" spans="1:16" x14ac:dyDescent="0.25">
      <c r="A59">
        <v>4</v>
      </c>
      <c r="B59" s="69" t="s">
        <v>76</v>
      </c>
      <c r="C59" s="70">
        <v>45415</v>
      </c>
      <c r="D59" s="71">
        <v>0.43402777777777779</v>
      </c>
      <c r="E59" s="70">
        <v>45415</v>
      </c>
      <c r="F59" s="82">
        <v>0.74097222222222225</v>
      </c>
      <c r="G59" s="72">
        <v>8.11</v>
      </c>
      <c r="H59" s="72">
        <v>19.3</v>
      </c>
      <c r="I59" s="73">
        <v>45420</v>
      </c>
      <c r="J59" s="71">
        <v>0.59097222222222223</v>
      </c>
      <c r="K59" s="77">
        <v>7.74</v>
      </c>
      <c r="L59" s="75">
        <v>20.100000000000001</v>
      </c>
      <c r="M59" s="76">
        <f t="shared" si="16"/>
        <v>0.36999999999999922</v>
      </c>
      <c r="N59" s="34" t="s">
        <v>14</v>
      </c>
      <c r="O59" s="34" t="s">
        <v>15</v>
      </c>
      <c r="P59" s="78"/>
    </row>
    <row r="60" spans="1:16" x14ac:dyDescent="0.25">
      <c r="A60">
        <v>4</v>
      </c>
      <c r="B60" s="69" t="s">
        <v>77</v>
      </c>
      <c r="C60" s="70">
        <v>45416</v>
      </c>
      <c r="D60" s="71">
        <v>0.53125</v>
      </c>
      <c r="E60" s="70">
        <v>45417</v>
      </c>
      <c r="F60" s="71">
        <v>0.75208333333333333</v>
      </c>
      <c r="G60" s="72">
        <v>8.11</v>
      </c>
      <c r="H60" s="72">
        <v>23</v>
      </c>
      <c r="I60" s="73">
        <v>45422</v>
      </c>
      <c r="J60" s="71">
        <v>0.54166666666666663</v>
      </c>
      <c r="K60" s="77">
        <v>6.27</v>
      </c>
      <c r="L60" s="75">
        <v>20</v>
      </c>
      <c r="M60" s="76">
        <f t="shared" ref="M60:M63" si="17">G60-K60</f>
        <v>1.8399999999999999</v>
      </c>
      <c r="N60" s="34" t="s">
        <v>14</v>
      </c>
      <c r="O60" s="34" t="s">
        <v>15</v>
      </c>
      <c r="P60" s="80">
        <f>M60-M61</f>
        <v>1.3599999999999994</v>
      </c>
    </row>
    <row r="61" spans="1:16" x14ac:dyDescent="0.25">
      <c r="A61">
        <v>4</v>
      </c>
      <c r="B61" s="69" t="s">
        <v>78</v>
      </c>
      <c r="C61" s="70">
        <v>45416</v>
      </c>
      <c r="D61" s="71">
        <v>0.53125</v>
      </c>
      <c r="E61" s="70">
        <v>45417</v>
      </c>
      <c r="F61" s="71">
        <v>0.75138888888888888</v>
      </c>
      <c r="G61" s="72">
        <v>8.15</v>
      </c>
      <c r="H61" s="72">
        <v>23</v>
      </c>
      <c r="I61" s="73">
        <v>45422</v>
      </c>
      <c r="J61" s="71">
        <v>0.54791666666666672</v>
      </c>
      <c r="K61" s="77">
        <v>7.67</v>
      </c>
      <c r="L61" s="75">
        <v>19.8</v>
      </c>
      <c r="M61" s="76">
        <f t="shared" si="17"/>
        <v>0.48000000000000043</v>
      </c>
      <c r="N61" s="34" t="s">
        <v>14</v>
      </c>
      <c r="O61" s="34" t="s">
        <v>15</v>
      </c>
      <c r="P61" s="78"/>
    </row>
    <row r="62" spans="1:16" x14ac:dyDescent="0.25">
      <c r="A62">
        <v>4</v>
      </c>
      <c r="B62" s="69" t="s">
        <v>79</v>
      </c>
      <c r="C62" s="83">
        <v>45417</v>
      </c>
      <c r="D62" s="71">
        <v>0.40555555555555556</v>
      </c>
      <c r="E62" s="83">
        <v>45417</v>
      </c>
      <c r="F62" s="71">
        <v>0.79791666666666672</v>
      </c>
      <c r="G62" s="72">
        <v>8.34</v>
      </c>
      <c r="H62" s="72">
        <v>21.9</v>
      </c>
      <c r="I62" s="73">
        <v>45422</v>
      </c>
      <c r="J62" s="71">
        <v>0.59097222222222223</v>
      </c>
      <c r="K62" s="77">
        <v>6.32</v>
      </c>
      <c r="L62" s="75">
        <v>20.5</v>
      </c>
      <c r="M62" s="76">
        <f t="shared" si="17"/>
        <v>2.0199999999999996</v>
      </c>
      <c r="N62" s="34" t="s">
        <v>14</v>
      </c>
      <c r="O62" s="34" t="s">
        <v>15</v>
      </c>
      <c r="P62" s="80">
        <f>M62-M63</f>
        <v>1.5699999999999994</v>
      </c>
    </row>
    <row r="63" spans="1:16" x14ac:dyDescent="0.25">
      <c r="A63">
        <v>4</v>
      </c>
      <c r="B63" s="69" t="s">
        <v>80</v>
      </c>
      <c r="C63" s="83">
        <v>45417</v>
      </c>
      <c r="D63" s="71">
        <v>0.40555555555555556</v>
      </c>
      <c r="E63" s="83">
        <v>45417</v>
      </c>
      <c r="F63" s="71">
        <v>0.79652777777777772</v>
      </c>
      <c r="G63" s="72">
        <v>8.31</v>
      </c>
      <c r="H63" s="72">
        <v>21.8</v>
      </c>
      <c r="I63" s="73">
        <v>45422</v>
      </c>
      <c r="J63" s="71">
        <v>0.59236111111111112</v>
      </c>
      <c r="K63" s="77">
        <v>7.86</v>
      </c>
      <c r="L63" s="75">
        <v>20.6</v>
      </c>
      <c r="M63" s="76">
        <f t="shared" si="17"/>
        <v>0.45000000000000018</v>
      </c>
      <c r="N63" s="34" t="s">
        <v>14</v>
      </c>
      <c r="O63" s="34" t="s">
        <v>15</v>
      </c>
      <c r="P63" s="78"/>
    </row>
    <row r="64" spans="1:16" x14ac:dyDescent="0.25">
      <c r="A64">
        <v>5</v>
      </c>
      <c r="B64" s="69" t="s">
        <v>43</v>
      </c>
      <c r="C64" s="70">
        <v>45461</v>
      </c>
      <c r="D64" s="71">
        <v>0.32291666666666669</v>
      </c>
      <c r="E64" s="70">
        <v>45462</v>
      </c>
      <c r="F64" s="71">
        <v>0.4597222222222222</v>
      </c>
      <c r="G64" s="72">
        <v>8.48</v>
      </c>
      <c r="H64" s="72">
        <v>21.3</v>
      </c>
      <c r="I64" s="73">
        <v>45467</v>
      </c>
      <c r="J64" s="71">
        <v>0.38472222222222224</v>
      </c>
      <c r="K64" s="77">
        <v>7.11</v>
      </c>
      <c r="L64" s="75">
        <v>17.600000000000001</v>
      </c>
      <c r="M64" s="76">
        <f t="shared" ref="M64:M67" si="18">G64-K64</f>
        <v>1.37</v>
      </c>
      <c r="N64" s="11" t="s">
        <v>14</v>
      </c>
      <c r="O64" s="39" t="s">
        <v>81</v>
      </c>
      <c r="P64" s="91">
        <f>M64-M65</f>
        <v>0.94999999999999929</v>
      </c>
    </row>
    <row r="65" spans="1:16" x14ac:dyDescent="0.25">
      <c r="A65">
        <v>5</v>
      </c>
      <c r="B65" s="69" t="s">
        <v>44</v>
      </c>
      <c r="C65" s="70">
        <v>45461</v>
      </c>
      <c r="D65" s="71">
        <v>0.32291666666666669</v>
      </c>
      <c r="E65" s="70">
        <v>45462</v>
      </c>
      <c r="F65" s="71">
        <v>0.46041666666666664</v>
      </c>
      <c r="G65" s="72">
        <v>8.39</v>
      </c>
      <c r="H65" s="72">
        <v>21.4</v>
      </c>
      <c r="I65" s="73">
        <v>45467</v>
      </c>
      <c r="J65" s="71">
        <v>0.38194444444444442</v>
      </c>
      <c r="K65" s="77">
        <v>7.97</v>
      </c>
      <c r="L65" s="75">
        <v>18.7</v>
      </c>
      <c r="M65" s="76">
        <f t="shared" si="18"/>
        <v>0.42000000000000082</v>
      </c>
      <c r="N65" s="11" t="s">
        <v>14</v>
      </c>
      <c r="O65" s="39" t="s">
        <v>81</v>
      </c>
    </row>
    <row r="66" spans="1:16" x14ac:dyDescent="0.25">
      <c r="A66">
        <v>5</v>
      </c>
      <c r="B66" s="69" t="s">
        <v>82</v>
      </c>
      <c r="C66" s="70">
        <v>45461</v>
      </c>
      <c r="D66" s="71">
        <v>0.44305555555555554</v>
      </c>
      <c r="E66" s="70">
        <v>45462</v>
      </c>
      <c r="F66" s="71">
        <v>0.52222222222222225</v>
      </c>
      <c r="G66" s="72">
        <v>8.33</v>
      </c>
      <c r="H66" s="72">
        <v>21.3</v>
      </c>
      <c r="I66" s="73">
        <v>45467</v>
      </c>
      <c r="J66" s="71">
        <v>0.40555555555555556</v>
      </c>
      <c r="K66" s="77">
        <v>6.69</v>
      </c>
      <c r="L66" s="75">
        <v>18.5</v>
      </c>
      <c r="M66" s="76">
        <f t="shared" si="18"/>
        <v>1.6399999999999997</v>
      </c>
      <c r="N66" s="11" t="s">
        <v>14</v>
      </c>
      <c r="O66" s="39" t="s">
        <v>81</v>
      </c>
      <c r="P66" s="91">
        <f>M66-M67</f>
        <v>1.410000000000001</v>
      </c>
    </row>
    <row r="67" spans="1:16" x14ac:dyDescent="0.25">
      <c r="A67">
        <v>5</v>
      </c>
      <c r="B67" s="69" t="s">
        <v>83</v>
      </c>
      <c r="C67" s="70">
        <v>45461</v>
      </c>
      <c r="D67" s="71">
        <v>0.44305555555555554</v>
      </c>
      <c r="E67" s="70">
        <v>45462</v>
      </c>
      <c r="F67" s="71">
        <v>0.52152777777777781</v>
      </c>
      <c r="G67" s="72">
        <v>8.2899999999999991</v>
      </c>
      <c r="H67" s="72">
        <v>21.1</v>
      </c>
      <c r="I67" s="73">
        <v>45467</v>
      </c>
      <c r="J67" s="71">
        <v>0.40694444444444444</v>
      </c>
      <c r="K67" s="77">
        <v>8.06</v>
      </c>
      <c r="L67" s="75">
        <v>18.3</v>
      </c>
      <c r="M67" s="76">
        <f t="shared" si="18"/>
        <v>0.22999999999999865</v>
      </c>
      <c r="N67" s="11" t="s">
        <v>14</v>
      </c>
      <c r="O67" s="39" t="s">
        <v>81</v>
      </c>
    </row>
    <row r="68" spans="1:16" x14ac:dyDescent="0.25">
      <c r="A68">
        <v>5</v>
      </c>
      <c r="B68" s="69" t="s">
        <v>85</v>
      </c>
      <c r="C68" s="73">
        <v>45464</v>
      </c>
      <c r="D68" s="71">
        <v>0.36388888888888887</v>
      </c>
      <c r="E68" s="73">
        <v>45464</v>
      </c>
      <c r="F68" s="71">
        <v>0.61319444444444449</v>
      </c>
      <c r="G68" s="72">
        <v>8.11</v>
      </c>
      <c r="H68" s="72">
        <v>20.3</v>
      </c>
      <c r="I68" s="73">
        <v>45469</v>
      </c>
      <c r="J68" s="71">
        <v>0.55069444444444449</v>
      </c>
      <c r="K68" s="77">
        <v>5.88</v>
      </c>
      <c r="L68" s="75">
        <v>20.7</v>
      </c>
      <c r="M68" s="85">
        <f t="shared" ref="M68:M69" si="19">G68-K68</f>
        <v>2.2299999999999995</v>
      </c>
      <c r="N68" s="11" t="s">
        <v>14</v>
      </c>
      <c r="O68" s="39" t="s">
        <v>84</v>
      </c>
      <c r="P68" s="91">
        <f>M68-M69</f>
        <v>1.83</v>
      </c>
    </row>
    <row r="69" spans="1:16" x14ac:dyDescent="0.25">
      <c r="A69">
        <v>5</v>
      </c>
      <c r="B69" s="69" t="s">
        <v>52</v>
      </c>
      <c r="C69" s="73">
        <v>45464</v>
      </c>
      <c r="D69" s="71">
        <v>0.36388888888888887</v>
      </c>
      <c r="E69" s="73">
        <v>45464</v>
      </c>
      <c r="F69" s="71">
        <v>0.61250000000000004</v>
      </c>
      <c r="G69" s="72">
        <v>8.11</v>
      </c>
      <c r="H69" s="72">
        <v>20.3</v>
      </c>
      <c r="I69" s="73">
        <v>45469</v>
      </c>
      <c r="J69" s="71">
        <v>0.55208333333333337</v>
      </c>
      <c r="K69" s="77">
        <v>7.71</v>
      </c>
      <c r="L69" s="75">
        <v>21</v>
      </c>
      <c r="M69" s="85">
        <f t="shared" si="19"/>
        <v>0.39999999999999947</v>
      </c>
      <c r="N69" s="11" t="s">
        <v>14</v>
      </c>
      <c r="O69" s="39" t="s">
        <v>84</v>
      </c>
    </row>
    <row r="70" spans="1:16" x14ac:dyDescent="0.25">
      <c r="A70">
        <v>5</v>
      </c>
      <c r="B70" s="69" t="s">
        <v>86</v>
      </c>
      <c r="C70" s="70">
        <v>45468</v>
      </c>
      <c r="D70" s="71">
        <v>0.32291666666666669</v>
      </c>
      <c r="E70" s="70">
        <v>45469</v>
      </c>
      <c r="F70" s="71">
        <v>0.59652777777777777</v>
      </c>
      <c r="G70" s="72">
        <v>8.66</v>
      </c>
      <c r="H70" s="72">
        <v>22.5</v>
      </c>
      <c r="I70" s="73">
        <v>45474</v>
      </c>
      <c r="J70" s="71">
        <v>0.50624999999999998</v>
      </c>
      <c r="K70" s="77">
        <v>7</v>
      </c>
      <c r="L70" s="75">
        <v>20.100000000000001</v>
      </c>
      <c r="M70" s="85">
        <f t="shared" ref="M70:M73" si="20">G70-K70</f>
        <v>1.6600000000000001</v>
      </c>
      <c r="N70" s="11" t="s">
        <v>14</v>
      </c>
      <c r="O70" s="86" t="s">
        <v>84</v>
      </c>
      <c r="P70" s="91">
        <f>M70-M71</f>
        <v>1.2400000000000002</v>
      </c>
    </row>
    <row r="71" spans="1:16" x14ac:dyDescent="0.25">
      <c r="A71">
        <v>5</v>
      </c>
      <c r="B71" s="69" t="s">
        <v>87</v>
      </c>
      <c r="C71" s="70">
        <v>45468</v>
      </c>
      <c r="D71" s="71">
        <v>0.32291666666666669</v>
      </c>
      <c r="E71" s="70">
        <v>45469</v>
      </c>
      <c r="F71" s="71">
        <v>0.59583333333333333</v>
      </c>
      <c r="G71" s="72">
        <v>8.67</v>
      </c>
      <c r="H71" s="72">
        <v>22.5</v>
      </c>
      <c r="I71" s="73">
        <v>45474</v>
      </c>
      <c r="J71" s="71">
        <v>0.5083333333333333</v>
      </c>
      <c r="K71" s="77">
        <v>8.25</v>
      </c>
      <c r="L71" s="75">
        <v>20.100000000000001</v>
      </c>
      <c r="M71" s="85">
        <f t="shared" si="20"/>
        <v>0.41999999999999993</v>
      </c>
      <c r="N71" s="11" t="s">
        <v>14</v>
      </c>
      <c r="O71" s="86" t="s">
        <v>84</v>
      </c>
    </row>
    <row r="72" spans="1:16" x14ac:dyDescent="0.25">
      <c r="A72">
        <v>5</v>
      </c>
      <c r="B72" s="69" t="s">
        <v>88</v>
      </c>
      <c r="C72" s="70">
        <v>45468</v>
      </c>
      <c r="D72" s="71">
        <v>0.4236111111111111</v>
      </c>
      <c r="E72" s="70">
        <v>45469</v>
      </c>
      <c r="F72" s="71">
        <v>0.64027777777777772</v>
      </c>
      <c r="G72" s="72">
        <v>8.4499999999999993</v>
      </c>
      <c r="H72" s="72">
        <v>22.8</v>
      </c>
      <c r="I72" s="73">
        <v>45474</v>
      </c>
      <c r="J72" s="71">
        <v>0.53333333333333333</v>
      </c>
      <c r="K72" s="77">
        <v>6.29</v>
      </c>
      <c r="L72" s="75">
        <v>21.4</v>
      </c>
      <c r="M72" s="85">
        <f t="shared" si="20"/>
        <v>2.1599999999999993</v>
      </c>
      <c r="N72" s="11" t="s">
        <v>14</v>
      </c>
      <c r="O72" s="86" t="s">
        <v>84</v>
      </c>
      <c r="P72" s="91">
        <f>M72-M73</f>
        <v>1.669999999999999</v>
      </c>
    </row>
    <row r="73" spans="1:16" x14ac:dyDescent="0.25">
      <c r="A73">
        <v>5</v>
      </c>
      <c r="B73" s="69" t="s">
        <v>89</v>
      </c>
      <c r="C73" s="70">
        <v>45468</v>
      </c>
      <c r="D73" s="71">
        <v>0.4236111111111111</v>
      </c>
      <c r="E73" s="70">
        <v>45469</v>
      </c>
      <c r="F73" s="71">
        <v>0.63958333333333328</v>
      </c>
      <c r="G73" s="72">
        <v>8.5</v>
      </c>
      <c r="H73" s="72">
        <v>22.8</v>
      </c>
      <c r="I73" s="73">
        <v>45474</v>
      </c>
      <c r="J73" s="71">
        <v>0.53263888888888888</v>
      </c>
      <c r="K73" s="77">
        <v>8.01</v>
      </c>
      <c r="L73" s="75">
        <v>21.5</v>
      </c>
      <c r="M73" s="85">
        <f t="shared" si="20"/>
        <v>0.49000000000000021</v>
      </c>
      <c r="N73" s="11" t="s">
        <v>14</v>
      </c>
      <c r="O73" s="86" t="s">
        <v>84</v>
      </c>
    </row>
    <row r="74" spans="1:16" x14ac:dyDescent="0.25">
      <c r="A74">
        <v>5</v>
      </c>
      <c r="B74" s="69" t="s">
        <v>90</v>
      </c>
      <c r="C74" s="70">
        <v>45471</v>
      </c>
      <c r="D74" s="81">
        <v>0.38819444444444445</v>
      </c>
      <c r="E74" s="70">
        <v>45471</v>
      </c>
      <c r="F74" s="71">
        <v>0.61388888888888893</v>
      </c>
      <c r="G74" s="72">
        <v>7.99</v>
      </c>
      <c r="H74" s="72">
        <v>20.9</v>
      </c>
      <c r="I74" s="73">
        <v>45476</v>
      </c>
      <c r="J74" s="71">
        <v>0.44513888888888886</v>
      </c>
      <c r="K74" s="77">
        <v>5.56</v>
      </c>
      <c r="L74" s="75">
        <v>21.9</v>
      </c>
      <c r="M74" s="85">
        <f t="shared" ref="M74:M75" si="21">G74-K74</f>
        <v>2.4300000000000006</v>
      </c>
      <c r="N74" s="11" t="s">
        <v>14</v>
      </c>
      <c r="O74" s="39" t="s">
        <v>15</v>
      </c>
      <c r="P74" s="91">
        <f>M74-M75</f>
        <v>2.0000000000000009</v>
      </c>
    </row>
    <row r="75" spans="1:16" x14ac:dyDescent="0.25">
      <c r="A75">
        <v>5</v>
      </c>
      <c r="B75" s="69" t="s">
        <v>91</v>
      </c>
      <c r="C75" s="70">
        <v>45471</v>
      </c>
      <c r="D75" s="81">
        <v>0.38819444444444445</v>
      </c>
      <c r="E75" s="70">
        <v>45471</v>
      </c>
      <c r="F75" s="71">
        <v>0.61319444444444449</v>
      </c>
      <c r="G75" s="72">
        <v>7.88</v>
      </c>
      <c r="H75" s="72">
        <v>21.1</v>
      </c>
      <c r="I75" s="73">
        <v>45476</v>
      </c>
      <c r="J75" s="71">
        <v>0.4465277777777778</v>
      </c>
      <c r="K75" s="77">
        <v>7.45</v>
      </c>
      <c r="L75" s="75">
        <v>22</v>
      </c>
      <c r="M75" s="85">
        <f t="shared" si="21"/>
        <v>0.42999999999999972</v>
      </c>
      <c r="N75" s="11" t="s">
        <v>14</v>
      </c>
      <c r="O75" s="39" t="s">
        <v>15</v>
      </c>
    </row>
    <row r="76" spans="1:16" x14ac:dyDescent="0.25">
      <c r="A76">
        <v>5</v>
      </c>
      <c r="B76" s="69" t="s">
        <v>92</v>
      </c>
      <c r="C76" s="70">
        <v>45484</v>
      </c>
      <c r="D76" s="81">
        <v>0.2951388888888889</v>
      </c>
      <c r="E76" s="73">
        <v>45485</v>
      </c>
      <c r="F76" s="71">
        <v>0.47083333333333333</v>
      </c>
      <c r="G76" s="72">
        <v>9.09</v>
      </c>
      <c r="H76" s="72">
        <v>22.5</v>
      </c>
      <c r="I76" s="73">
        <v>45490</v>
      </c>
      <c r="J76" s="71">
        <v>0.7583333333333333</v>
      </c>
      <c r="K76" s="77">
        <v>7.18</v>
      </c>
      <c r="L76" s="75">
        <v>19.899999999999999</v>
      </c>
      <c r="M76" s="85">
        <f t="shared" ref="M76:M79" si="22">G76-K76</f>
        <v>1.9100000000000001</v>
      </c>
      <c r="N76" s="11" t="s">
        <v>14</v>
      </c>
      <c r="O76" s="39" t="s">
        <v>84</v>
      </c>
      <c r="P76" s="91">
        <f>M76-M77</f>
        <v>7.0000000000000284E-2</v>
      </c>
    </row>
    <row r="77" spans="1:16" x14ac:dyDescent="0.25">
      <c r="A77">
        <v>5</v>
      </c>
      <c r="B77" s="69" t="s">
        <v>93</v>
      </c>
      <c r="C77" s="70">
        <v>45484</v>
      </c>
      <c r="D77" s="81">
        <v>0.2951388888888889</v>
      </c>
      <c r="E77" s="73">
        <v>45485</v>
      </c>
      <c r="F77" s="71">
        <v>0.47013888888888888</v>
      </c>
      <c r="G77" s="72">
        <v>8.91</v>
      </c>
      <c r="H77" s="72">
        <v>22.4</v>
      </c>
      <c r="I77" s="73">
        <v>45490</v>
      </c>
      <c r="J77" s="71">
        <v>0.73819444444444449</v>
      </c>
      <c r="K77" s="72">
        <v>7.07</v>
      </c>
      <c r="L77" s="75">
        <v>23</v>
      </c>
      <c r="M77" s="85">
        <f t="shared" si="22"/>
        <v>1.8399999999999999</v>
      </c>
      <c r="N77" s="11" t="s">
        <v>14</v>
      </c>
      <c r="O77" s="39" t="s">
        <v>84</v>
      </c>
    </row>
    <row r="78" spans="1:16" x14ac:dyDescent="0.25">
      <c r="A78">
        <v>5</v>
      </c>
      <c r="B78" s="69" t="s">
        <v>94</v>
      </c>
      <c r="C78" s="70">
        <v>45484</v>
      </c>
      <c r="D78" s="81">
        <v>0.44930555555555557</v>
      </c>
      <c r="E78" s="73">
        <v>45485</v>
      </c>
      <c r="F78" s="71">
        <v>0.49375000000000002</v>
      </c>
      <c r="G78" s="72">
        <v>8.9499999999999993</v>
      </c>
      <c r="H78" s="72">
        <v>22.7</v>
      </c>
      <c r="I78" s="73">
        <v>45490</v>
      </c>
      <c r="J78" s="71">
        <v>0.77361111111111114</v>
      </c>
      <c r="K78" s="72">
        <v>6.04</v>
      </c>
      <c r="L78" s="75">
        <v>22.43</v>
      </c>
      <c r="M78" s="85">
        <f t="shared" si="22"/>
        <v>2.9099999999999993</v>
      </c>
      <c r="N78" s="11" t="s">
        <v>14</v>
      </c>
      <c r="O78" s="39" t="s">
        <v>84</v>
      </c>
      <c r="P78" s="91">
        <f>M78-M79</f>
        <v>0.82999999999999829</v>
      </c>
    </row>
    <row r="79" spans="1:16" x14ac:dyDescent="0.25">
      <c r="A79">
        <v>5</v>
      </c>
      <c r="B79" s="69" t="s">
        <v>95</v>
      </c>
      <c r="C79" s="70">
        <v>45484</v>
      </c>
      <c r="D79" s="81">
        <v>0.44930555555555557</v>
      </c>
      <c r="E79" s="73">
        <v>45485</v>
      </c>
      <c r="F79" s="71">
        <v>0.49305555555555558</v>
      </c>
      <c r="G79" s="72">
        <v>8.9600000000000009</v>
      </c>
      <c r="H79" s="72">
        <v>22.5</v>
      </c>
      <c r="I79" s="73">
        <v>45490</v>
      </c>
      <c r="J79" s="71">
        <v>0.77500000000000002</v>
      </c>
      <c r="K79" s="72">
        <v>6.88</v>
      </c>
      <c r="L79" s="75">
        <v>21.95</v>
      </c>
      <c r="M79" s="85">
        <f t="shared" si="22"/>
        <v>2.080000000000001</v>
      </c>
      <c r="N79" s="11" t="s">
        <v>14</v>
      </c>
      <c r="O79" s="39" t="s">
        <v>84</v>
      </c>
    </row>
    <row r="80" spans="1:16" x14ac:dyDescent="0.25">
      <c r="A80">
        <v>5</v>
      </c>
      <c r="B80" s="69" t="s">
        <v>77</v>
      </c>
      <c r="C80" s="88">
        <v>45489</v>
      </c>
      <c r="D80" s="81">
        <v>0.47083333333333333</v>
      </c>
      <c r="E80" s="73">
        <v>45491</v>
      </c>
      <c r="F80" s="71">
        <v>0.44166666666666665</v>
      </c>
      <c r="G80" s="72">
        <v>7.22</v>
      </c>
      <c r="H80" s="72">
        <v>22.91</v>
      </c>
      <c r="I80" s="88">
        <v>45496</v>
      </c>
      <c r="J80" s="71">
        <v>0.58611111111111114</v>
      </c>
      <c r="K80" s="72">
        <v>5.66</v>
      </c>
      <c r="L80" s="75">
        <v>19.22</v>
      </c>
      <c r="M80" s="85">
        <f t="shared" ref="M80:M85" si="23">G80-K80</f>
        <v>1.5599999999999996</v>
      </c>
      <c r="N80" s="11" t="s">
        <v>14</v>
      </c>
      <c r="O80" s="87" t="s">
        <v>96</v>
      </c>
      <c r="P80" s="91">
        <f>M80-M81</f>
        <v>0.91999999999999904</v>
      </c>
    </row>
    <row r="81" spans="1:16" x14ac:dyDescent="0.25">
      <c r="A81">
        <v>5</v>
      </c>
      <c r="B81" s="69" t="s">
        <v>78</v>
      </c>
      <c r="C81" s="88">
        <v>45489</v>
      </c>
      <c r="D81" s="81">
        <v>0.47083333333333333</v>
      </c>
      <c r="E81" s="73">
        <v>45491</v>
      </c>
      <c r="F81" s="71">
        <v>0.44027777777777777</v>
      </c>
      <c r="G81" s="72">
        <v>7.19</v>
      </c>
      <c r="H81" s="72">
        <v>23.34</v>
      </c>
      <c r="I81" s="88">
        <v>45496</v>
      </c>
      <c r="J81" s="71">
        <v>0.58750000000000002</v>
      </c>
      <c r="K81" s="72">
        <v>6.55</v>
      </c>
      <c r="L81" s="75">
        <v>19.5</v>
      </c>
      <c r="M81" s="85">
        <f t="shared" si="23"/>
        <v>0.64000000000000057</v>
      </c>
      <c r="N81" s="11" t="s">
        <v>14</v>
      </c>
      <c r="O81" s="87" t="s">
        <v>96</v>
      </c>
    </row>
    <row r="82" spans="1:16" ht="38.25" x14ac:dyDescent="0.25">
      <c r="A82">
        <v>5</v>
      </c>
      <c r="B82" s="69" t="s">
        <v>98</v>
      </c>
      <c r="C82" s="83">
        <v>45503</v>
      </c>
      <c r="D82" s="71">
        <v>0.2673611111111111</v>
      </c>
      <c r="E82" s="83">
        <v>45504</v>
      </c>
      <c r="F82" s="71">
        <v>0.4375</v>
      </c>
      <c r="G82" s="72">
        <v>8.69</v>
      </c>
      <c r="H82" s="72">
        <v>21.83</v>
      </c>
      <c r="I82" s="73">
        <v>45509</v>
      </c>
      <c r="J82" s="71">
        <v>0.5083333333333333</v>
      </c>
      <c r="K82" s="72">
        <v>5.68</v>
      </c>
      <c r="L82" s="75">
        <v>21.12</v>
      </c>
      <c r="M82" s="84">
        <f t="shared" si="23"/>
        <v>3.01</v>
      </c>
      <c r="N82" s="11" t="s">
        <v>14</v>
      </c>
      <c r="O82" s="39" t="s">
        <v>97</v>
      </c>
      <c r="P82" s="91">
        <f>M82-M83</f>
        <v>1.2300000000000004</v>
      </c>
    </row>
    <row r="83" spans="1:16" ht="38.25" x14ac:dyDescent="0.25">
      <c r="A83">
        <v>5</v>
      </c>
      <c r="B83" s="69" t="s">
        <v>99</v>
      </c>
      <c r="C83" s="83">
        <v>45503</v>
      </c>
      <c r="D83" s="71">
        <v>0.2673611111111111</v>
      </c>
      <c r="E83" s="83">
        <v>45504</v>
      </c>
      <c r="F83" s="71">
        <v>0.4375</v>
      </c>
      <c r="G83" s="72">
        <v>8.69</v>
      </c>
      <c r="H83" s="72">
        <v>21.83</v>
      </c>
      <c r="I83" s="73">
        <v>45509</v>
      </c>
      <c r="J83" s="71">
        <v>0.51111111111111107</v>
      </c>
      <c r="K83" s="72">
        <v>6.91</v>
      </c>
      <c r="L83" s="75">
        <v>20.48</v>
      </c>
      <c r="M83" s="84">
        <f t="shared" si="23"/>
        <v>1.7799999999999994</v>
      </c>
      <c r="N83" s="11" t="s">
        <v>14</v>
      </c>
      <c r="O83" s="39" t="s">
        <v>97</v>
      </c>
    </row>
    <row r="84" spans="1:16" ht="38.25" x14ac:dyDescent="0.25">
      <c r="A84">
        <v>5</v>
      </c>
      <c r="B84" s="69" t="s">
        <v>100</v>
      </c>
      <c r="C84" s="83">
        <v>45503</v>
      </c>
      <c r="D84" s="71">
        <v>0.28680555555555554</v>
      </c>
      <c r="E84" s="83">
        <v>45504</v>
      </c>
      <c r="F84" s="71">
        <v>0.45555555555555555</v>
      </c>
      <c r="G84" s="72">
        <v>8.6</v>
      </c>
      <c r="H84" s="72">
        <v>22.9</v>
      </c>
      <c r="I84" s="73">
        <v>45509</v>
      </c>
      <c r="J84" s="71">
        <v>0.51944444444444449</v>
      </c>
      <c r="K84" s="72">
        <v>5.82</v>
      </c>
      <c r="L84" s="75">
        <v>21.34</v>
      </c>
      <c r="M84" s="84">
        <f t="shared" si="23"/>
        <v>2.7799999999999994</v>
      </c>
      <c r="N84" s="11" t="s">
        <v>14</v>
      </c>
      <c r="O84" s="39" t="s">
        <v>97</v>
      </c>
      <c r="P84" s="91">
        <f>M84-M85</f>
        <v>1.0299999999999994</v>
      </c>
    </row>
    <row r="85" spans="1:16" ht="38.25" x14ac:dyDescent="0.25">
      <c r="A85">
        <v>5</v>
      </c>
      <c r="B85" s="69" t="s">
        <v>101</v>
      </c>
      <c r="C85" s="83">
        <v>45503</v>
      </c>
      <c r="D85" s="71">
        <v>0.28680555555555554</v>
      </c>
      <c r="E85" s="83">
        <v>45504</v>
      </c>
      <c r="F85" s="71">
        <v>0.45555555555555555</v>
      </c>
      <c r="G85" s="72">
        <v>8.6</v>
      </c>
      <c r="H85" s="72">
        <v>22.9</v>
      </c>
      <c r="I85" s="73">
        <v>45509</v>
      </c>
      <c r="J85" s="71">
        <v>0.51736111111111116</v>
      </c>
      <c r="K85" s="72">
        <v>6.85</v>
      </c>
      <c r="L85" s="75">
        <v>21.04</v>
      </c>
      <c r="M85" s="84">
        <f t="shared" si="23"/>
        <v>1.75</v>
      </c>
      <c r="N85" s="11" t="s">
        <v>14</v>
      </c>
      <c r="O85" s="39" t="s">
        <v>97</v>
      </c>
    </row>
    <row r="86" spans="1:16" x14ac:dyDescent="0.25">
      <c r="A86">
        <v>6</v>
      </c>
      <c r="B86" s="69" t="s">
        <v>43</v>
      </c>
      <c r="C86" s="70">
        <v>45531</v>
      </c>
      <c r="D86" s="71">
        <v>0.32291666666666669</v>
      </c>
      <c r="E86" s="70">
        <v>45532</v>
      </c>
      <c r="F86" s="71">
        <v>0.55000000000000004</v>
      </c>
      <c r="G86" s="72">
        <v>8.77</v>
      </c>
      <c r="H86" s="72">
        <v>22.1</v>
      </c>
      <c r="I86" s="70">
        <v>45537</v>
      </c>
      <c r="J86" s="71">
        <v>0.69930555555555551</v>
      </c>
      <c r="K86" s="77">
        <v>6.96</v>
      </c>
      <c r="L86" s="75">
        <v>19.7</v>
      </c>
      <c r="M86" s="76">
        <f t="shared" ref="M86:M93" si="24">G86-K86</f>
        <v>1.8099999999999996</v>
      </c>
      <c r="N86" s="11" t="s">
        <v>14</v>
      </c>
      <c r="O86" s="39" t="s">
        <v>15</v>
      </c>
      <c r="P86" s="91">
        <f>M86-M87</f>
        <v>1.5499999999999998</v>
      </c>
    </row>
    <row r="87" spans="1:16" x14ac:dyDescent="0.25">
      <c r="A87">
        <v>6</v>
      </c>
      <c r="B87" s="69" t="s">
        <v>44</v>
      </c>
      <c r="C87" s="70">
        <v>45531</v>
      </c>
      <c r="D87" s="71">
        <v>0.32291666666666669</v>
      </c>
      <c r="E87" s="70">
        <v>45532</v>
      </c>
      <c r="F87" s="71">
        <v>0.55000000000000004</v>
      </c>
      <c r="G87" s="72">
        <v>8.77</v>
      </c>
      <c r="H87" s="72">
        <v>22.1</v>
      </c>
      <c r="I87" s="70">
        <v>45537</v>
      </c>
      <c r="J87" s="71">
        <v>0.19722222222222222</v>
      </c>
      <c r="K87" s="77">
        <v>8.51</v>
      </c>
      <c r="L87" s="75">
        <v>19</v>
      </c>
      <c r="M87" s="76">
        <f t="shared" si="24"/>
        <v>0.25999999999999979</v>
      </c>
      <c r="N87" s="11" t="s">
        <v>14</v>
      </c>
      <c r="O87" s="39" t="s">
        <v>15</v>
      </c>
    </row>
    <row r="88" spans="1:16" x14ac:dyDescent="0.25">
      <c r="A88">
        <v>6</v>
      </c>
      <c r="B88" s="69" t="s">
        <v>82</v>
      </c>
      <c r="C88" s="70">
        <v>45531</v>
      </c>
      <c r="D88" s="71">
        <v>0.39513888888888887</v>
      </c>
      <c r="E88" s="70">
        <v>45532</v>
      </c>
      <c r="F88" s="71">
        <v>0.66180555555555554</v>
      </c>
      <c r="G88" s="89">
        <v>8.34</v>
      </c>
      <c r="H88" s="72">
        <v>21.6</v>
      </c>
      <c r="I88" s="70">
        <v>45537</v>
      </c>
      <c r="J88" s="71">
        <v>0.71944444444444444</v>
      </c>
      <c r="K88" s="77">
        <v>6.61</v>
      </c>
      <c r="L88" s="75">
        <v>19.899999999999999</v>
      </c>
      <c r="M88" s="76">
        <f t="shared" si="24"/>
        <v>1.7299999999999995</v>
      </c>
      <c r="N88" s="11" t="s">
        <v>14</v>
      </c>
      <c r="O88" s="39" t="s">
        <v>15</v>
      </c>
      <c r="P88" s="91">
        <f>M88-M89</f>
        <v>1.4699999999999998</v>
      </c>
    </row>
    <row r="89" spans="1:16" x14ac:dyDescent="0.25">
      <c r="A89">
        <v>6</v>
      </c>
      <c r="B89" s="69" t="s">
        <v>83</v>
      </c>
      <c r="C89" s="70">
        <v>45531</v>
      </c>
      <c r="D89" s="71">
        <v>0.39513888888888887</v>
      </c>
      <c r="E89" s="70">
        <v>45532</v>
      </c>
      <c r="F89" s="71">
        <v>0.66180555555555554</v>
      </c>
      <c r="G89" s="89">
        <v>8.34</v>
      </c>
      <c r="H89" s="72">
        <v>21.6</v>
      </c>
      <c r="I89" s="70">
        <v>45537</v>
      </c>
      <c r="J89" s="71">
        <v>0.72291666666666665</v>
      </c>
      <c r="K89" s="77">
        <v>8.08</v>
      </c>
      <c r="L89" s="75">
        <v>19.5</v>
      </c>
      <c r="M89" s="76">
        <f t="shared" si="24"/>
        <v>0.25999999999999979</v>
      </c>
      <c r="N89" s="11" t="s">
        <v>14</v>
      </c>
      <c r="O89" s="39" t="s">
        <v>15</v>
      </c>
    </row>
    <row r="90" spans="1:16" x14ac:dyDescent="0.25">
      <c r="A90">
        <v>6</v>
      </c>
      <c r="B90" s="69" t="s">
        <v>102</v>
      </c>
      <c r="C90" s="70">
        <v>45532</v>
      </c>
      <c r="D90" s="71">
        <v>0.32291666666666669</v>
      </c>
      <c r="E90" s="70">
        <v>45533</v>
      </c>
      <c r="F90" s="71">
        <v>0.47916666666666669</v>
      </c>
      <c r="G90" s="89">
        <v>8.66</v>
      </c>
      <c r="H90" s="72">
        <v>21.1</v>
      </c>
      <c r="I90" s="73">
        <v>45538</v>
      </c>
      <c r="J90" s="71">
        <v>0.48680555555555555</v>
      </c>
      <c r="K90" s="77">
        <v>6.58</v>
      </c>
      <c r="L90" s="75">
        <v>20.9</v>
      </c>
      <c r="M90" s="76">
        <f t="shared" si="24"/>
        <v>2.08</v>
      </c>
      <c r="N90" s="11" t="s">
        <v>14</v>
      </c>
      <c r="O90" s="39" t="s">
        <v>15</v>
      </c>
      <c r="P90" s="91">
        <f>M90-M91</f>
        <v>1.25</v>
      </c>
    </row>
    <row r="91" spans="1:16" x14ac:dyDescent="0.25">
      <c r="A91">
        <v>6</v>
      </c>
      <c r="B91" s="69" t="s">
        <v>103</v>
      </c>
      <c r="C91" s="70">
        <v>45532</v>
      </c>
      <c r="D91" s="71">
        <v>0.32291666666666669</v>
      </c>
      <c r="E91" s="70">
        <v>45533</v>
      </c>
      <c r="F91" s="71">
        <v>0.4777777777777778</v>
      </c>
      <c r="G91" s="89">
        <v>9.1199999999999992</v>
      </c>
      <c r="H91" s="72">
        <v>21.8</v>
      </c>
      <c r="I91" s="73">
        <v>45538</v>
      </c>
      <c r="J91" s="71">
        <v>0.48958333333333331</v>
      </c>
      <c r="K91" s="77">
        <v>8.2899999999999991</v>
      </c>
      <c r="L91" s="75">
        <v>20.6</v>
      </c>
      <c r="M91" s="76">
        <f t="shared" si="24"/>
        <v>0.83000000000000007</v>
      </c>
      <c r="N91" s="11" t="s">
        <v>14</v>
      </c>
      <c r="O91" s="39" t="s">
        <v>15</v>
      </c>
    </row>
    <row r="92" spans="1:16" x14ac:dyDescent="0.25">
      <c r="A92">
        <v>6</v>
      </c>
      <c r="B92" s="69" t="s">
        <v>104</v>
      </c>
      <c r="C92" s="70">
        <v>45532</v>
      </c>
      <c r="D92" s="71">
        <v>0.3888888888888889</v>
      </c>
      <c r="E92" s="70">
        <v>45533</v>
      </c>
      <c r="F92" s="71">
        <v>0.55347222222222225</v>
      </c>
      <c r="G92" s="72">
        <v>7.97</v>
      </c>
      <c r="H92" s="72">
        <v>18.600000000000001</v>
      </c>
      <c r="I92" s="73">
        <v>45538</v>
      </c>
      <c r="J92" s="71">
        <v>0.52083333333333337</v>
      </c>
      <c r="K92" s="77">
        <v>6.39</v>
      </c>
      <c r="L92" s="75">
        <v>20.9</v>
      </c>
      <c r="M92" s="76">
        <f t="shared" si="24"/>
        <v>1.58</v>
      </c>
      <c r="N92" s="11" t="s">
        <v>14</v>
      </c>
      <c r="O92" s="39" t="s">
        <v>15</v>
      </c>
      <c r="P92" s="91">
        <f>M92-M93</f>
        <v>1.2400000000000002</v>
      </c>
    </row>
    <row r="93" spans="1:16" x14ac:dyDescent="0.25">
      <c r="A93">
        <v>6</v>
      </c>
      <c r="B93" s="69" t="s">
        <v>105</v>
      </c>
      <c r="C93" s="70">
        <v>45532</v>
      </c>
      <c r="D93" s="71">
        <v>0.3888888888888889</v>
      </c>
      <c r="E93" s="70">
        <v>45533</v>
      </c>
      <c r="F93" s="71">
        <v>0.55138888888888893</v>
      </c>
      <c r="G93" s="72">
        <v>8.09</v>
      </c>
      <c r="H93" s="72">
        <v>20</v>
      </c>
      <c r="I93" s="73">
        <v>45538</v>
      </c>
      <c r="J93" s="71">
        <v>0.51875000000000004</v>
      </c>
      <c r="K93" s="77">
        <v>7.75</v>
      </c>
      <c r="L93" s="75">
        <v>21.2</v>
      </c>
      <c r="M93" s="76">
        <f t="shared" si="24"/>
        <v>0.33999999999999986</v>
      </c>
      <c r="N93" s="11" t="s">
        <v>14</v>
      </c>
      <c r="O93" s="39" t="s">
        <v>15</v>
      </c>
    </row>
    <row r="94" spans="1:16" x14ac:dyDescent="0.25">
      <c r="A94">
        <v>6</v>
      </c>
      <c r="B94" s="69" t="s">
        <v>90</v>
      </c>
      <c r="C94" s="70">
        <v>45543</v>
      </c>
      <c r="D94" s="71">
        <v>0.35416666666666669</v>
      </c>
      <c r="E94" s="70">
        <v>45543</v>
      </c>
      <c r="F94" s="71">
        <v>0.84027777777777779</v>
      </c>
      <c r="G94" s="72">
        <v>8.4499999999999993</v>
      </c>
      <c r="H94" s="72">
        <v>21.8</v>
      </c>
      <c r="I94" s="70">
        <v>45548</v>
      </c>
      <c r="J94" s="71">
        <v>0.48819444444444443</v>
      </c>
      <c r="K94" s="77">
        <v>7.27</v>
      </c>
      <c r="L94" s="75">
        <v>18</v>
      </c>
      <c r="M94" s="76">
        <f t="shared" ref="M94:M95" si="25">G94-K94</f>
        <v>1.1799999999999997</v>
      </c>
      <c r="N94" s="11" t="s">
        <v>14</v>
      </c>
      <c r="O94" s="39" t="s">
        <v>15</v>
      </c>
      <c r="P94" s="91">
        <f>M94-M95</f>
        <v>0.95999999999999908</v>
      </c>
    </row>
    <row r="95" spans="1:16" x14ac:dyDescent="0.25">
      <c r="A95">
        <v>6</v>
      </c>
      <c r="B95" s="69" t="s">
        <v>91</v>
      </c>
      <c r="C95" s="70">
        <v>45543</v>
      </c>
      <c r="D95" s="71">
        <v>0.35416666666666669</v>
      </c>
      <c r="E95" s="70">
        <v>45543</v>
      </c>
      <c r="F95" s="71">
        <v>0.83888888888888891</v>
      </c>
      <c r="G95" s="72">
        <v>8.15</v>
      </c>
      <c r="H95" s="72">
        <v>21.9</v>
      </c>
      <c r="I95" s="70">
        <v>45548</v>
      </c>
      <c r="J95" s="71">
        <v>0.47708333333333336</v>
      </c>
      <c r="K95" s="77">
        <v>7.93</v>
      </c>
      <c r="L95" s="75">
        <v>18.2</v>
      </c>
      <c r="M95" s="76">
        <f t="shared" si="25"/>
        <v>0.22000000000000064</v>
      </c>
      <c r="N95" s="11" t="s">
        <v>14</v>
      </c>
      <c r="O95" s="39" t="s">
        <v>15</v>
      </c>
    </row>
    <row r="96" spans="1:16" x14ac:dyDescent="0.25">
      <c r="A96">
        <v>6</v>
      </c>
      <c r="B96" s="69" t="s">
        <v>106</v>
      </c>
      <c r="C96" s="70">
        <v>45545</v>
      </c>
      <c r="D96" s="71">
        <v>0.29444444444444445</v>
      </c>
      <c r="E96" s="70">
        <v>45546</v>
      </c>
      <c r="F96" s="71">
        <v>0.44583333333333336</v>
      </c>
      <c r="G96" s="72">
        <v>8.7100000000000009</v>
      </c>
      <c r="H96" s="72">
        <v>22.8</v>
      </c>
      <c r="I96" s="70">
        <v>45551</v>
      </c>
      <c r="J96" s="71">
        <v>0.63958333333333328</v>
      </c>
      <c r="K96" s="77">
        <v>6.03</v>
      </c>
      <c r="L96" s="75">
        <v>19.399999999999999</v>
      </c>
      <c r="M96" s="76">
        <f t="shared" ref="M96:M99" si="26">G96-K96</f>
        <v>2.6800000000000006</v>
      </c>
      <c r="N96" s="11" t="s">
        <v>14</v>
      </c>
      <c r="O96" s="39" t="s">
        <v>15</v>
      </c>
      <c r="P96" s="91">
        <f>M96-M97</f>
        <v>2.5699999999999994</v>
      </c>
    </row>
    <row r="97" spans="1:16" x14ac:dyDescent="0.25">
      <c r="A97">
        <v>6</v>
      </c>
      <c r="B97" s="69" t="s">
        <v>107</v>
      </c>
      <c r="C97" s="70">
        <v>45545</v>
      </c>
      <c r="D97" s="71">
        <v>0.29444444444444445</v>
      </c>
      <c r="E97" s="70">
        <v>45546</v>
      </c>
      <c r="F97" s="71">
        <v>0.44374999999999998</v>
      </c>
      <c r="G97" s="72">
        <v>8.7200000000000006</v>
      </c>
      <c r="H97" s="72">
        <v>22.8</v>
      </c>
      <c r="I97" s="70">
        <v>45551</v>
      </c>
      <c r="J97" s="71">
        <v>0.64444444444444449</v>
      </c>
      <c r="K97" s="77">
        <v>8.61</v>
      </c>
      <c r="L97" s="75">
        <v>17.3</v>
      </c>
      <c r="M97" s="76">
        <f t="shared" si="26"/>
        <v>0.11000000000000121</v>
      </c>
      <c r="N97" s="11" t="s">
        <v>14</v>
      </c>
      <c r="O97" s="39" t="s">
        <v>15</v>
      </c>
    </row>
    <row r="98" spans="1:16" x14ac:dyDescent="0.25">
      <c r="A98">
        <v>6</v>
      </c>
      <c r="B98" s="69" t="s">
        <v>108</v>
      </c>
      <c r="C98" s="70">
        <v>45545</v>
      </c>
      <c r="D98" s="81">
        <v>0.40138888888888891</v>
      </c>
      <c r="E98" s="70">
        <v>45546</v>
      </c>
      <c r="F98" s="71">
        <v>0.52083333333333337</v>
      </c>
      <c r="G98" s="72">
        <v>8.56</v>
      </c>
      <c r="H98" s="72">
        <v>22.5</v>
      </c>
      <c r="I98" s="70">
        <v>45551</v>
      </c>
      <c r="J98" s="71">
        <v>0.66805555555555551</v>
      </c>
      <c r="K98" s="77">
        <v>6.6689999999999996</v>
      </c>
      <c r="L98" s="75">
        <v>19.5</v>
      </c>
      <c r="M98" s="76">
        <f t="shared" si="26"/>
        <v>1.8910000000000009</v>
      </c>
      <c r="N98" s="11" t="s">
        <v>14</v>
      </c>
      <c r="O98" s="39" t="s">
        <v>15</v>
      </c>
      <c r="P98" s="91">
        <f>M98-M99</f>
        <v>1.2210000000000001</v>
      </c>
    </row>
    <row r="99" spans="1:16" x14ac:dyDescent="0.25">
      <c r="A99">
        <v>6</v>
      </c>
      <c r="B99" s="69" t="s">
        <v>109</v>
      </c>
      <c r="C99" s="70">
        <v>45545</v>
      </c>
      <c r="D99" s="81">
        <v>0.40138888888888891</v>
      </c>
      <c r="E99" s="70">
        <v>45546</v>
      </c>
      <c r="F99" s="71">
        <v>0.52222222222222225</v>
      </c>
      <c r="G99" s="72">
        <v>8.56</v>
      </c>
      <c r="H99" s="72">
        <v>22.9</v>
      </c>
      <c r="I99" s="70">
        <v>45551</v>
      </c>
      <c r="J99" s="71">
        <v>0.66874999999999996</v>
      </c>
      <c r="K99" s="77">
        <v>7.89</v>
      </c>
      <c r="L99" s="75">
        <v>19.8</v>
      </c>
      <c r="M99" s="76">
        <f t="shared" si="26"/>
        <v>0.67000000000000082</v>
      </c>
      <c r="N99" s="11" t="s">
        <v>14</v>
      </c>
      <c r="O99" s="39" t="s">
        <v>15</v>
      </c>
    </row>
    <row r="100" spans="1:16" x14ac:dyDescent="0.25">
      <c r="A100">
        <v>6</v>
      </c>
      <c r="B100" s="69" t="s">
        <v>92</v>
      </c>
      <c r="C100" s="70">
        <v>45547</v>
      </c>
      <c r="D100" s="81">
        <v>0.40416666666666667</v>
      </c>
      <c r="E100" s="73">
        <v>45548</v>
      </c>
      <c r="F100" s="71">
        <v>0.58611111111111114</v>
      </c>
      <c r="G100" s="72">
        <v>7.86</v>
      </c>
      <c r="H100" s="72">
        <v>22.7</v>
      </c>
      <c r="I100" s="73">
        <v>45553</v>
      </c>
      <c r="J100" s="71">
        <v>0.61944444444444446</v>
      </c>
      <c r="K100" s="77">
        <v>6.42</v>
      </c>
      <c r="L100" s="75">
        <v>18.8</v>
      </c>
      <c r="M100" s="76">
        <f t="shared" ref="M100:M103" si="27">G100-K100</f>
        <v>1.4400000000000004</v>
      </c>
      <c r="N100" s="11" t="s">
        <v>14</v>
      </c>
      <c r="O100" s="39" t="s">
        <v>15</v>
      </c>
      <c r="P100" s="91">
        <f>M100-M101</f>
        <v>1.17</v>
      </c>
    </row>
    <row r="101" spans="1:16" x14ac:dyDescent="0.25">
      <c r="A101">
        <v>6</v>
      </c>
      <c r="B101" s="69" t="s">
        <v>93</v>
      </c>
      <c r="C101" s="70">
        <v>45547</v>
      </c>
      <c r="D101" s="81">
        <v>0.40416666666666667</v>
      </c>
      <c r="E101" s="73">
        <v>45548</v>
      </c>
      <c r="F101" s="71">
        <v>0.58402777777777781</v>
      </c>
      <c r="G101" s="72">
        <v>7.86</v>
      </c>
      <c r="H101" s="72">
        <v>22.7</v>
      </c>
      <c r="I101" s="73">
        <v>45553</v>
      </c>
      <c r="J101" s="71">
        <v>0.61805555555555558</v>
      </c>
      <c r="K101" s="77">
        <v>7.59</v>
      </c>
      <c r="L101" s="75">
        <v>19</v>
      </c>
      <c r="M101" s="76">
        <f t="shared" si="27"/>
        <v>0.27000000000000046</v>
      </c>
      <c r="N101" s="11" t="s">
        <v>14</v>
      </c>
      <c r="O101" s="39" t="s">
        <v>15</v>
      </c>
    </row>
    <row r="102" spans="1:16" x14ac:dyDescent="0.25">
      <c r="A102">
        <v>6</v>
      </c>
      <c r="B102" s="69" t="s">
        <v>100</v>
      </c>
      <c r="C102" s="70">
        <v>45547</v>
      </c>
      <c r="D102" s="81">
        <v>0.48958333333333331</v>
      </c>
      <c r="E102" s="73">
        <v>45548</v>
      </c>
      <c r="F102" s="71">
        <v>0.64583333333333337</v>
      </c>
      <c r="G102" s="72">
        <v>7.77</v>
      </c>
      <c r="H102" s="72">
        <v>22.6</v>
      </c>
      <c r="I102" s="73">
        <v>45553</v>
      </c>
      <c r="J102" s="71">
        <v>0.64444444444444449</v>
      </c>
      <c r="K102" s="72">
        <v>5.66</v>
      </c>
      <c r="L102" s="75">
        <v>19.899999999999999</v>
      </c>
      <c r="M102" s="76">
        <f t="shared" si="27"/>
        <v>2.1099999999999994</v>
      </c>
      <c r="N102" s="11" t="s">
        <v>14</v>
      </c>
      <c r="O102" s="39" t="s">
        <v>15</v>
      </c>
      <c r="P102" s="91">
        <f>M102-M103</f>
        <v>1.5899999999999999</v>
      </c>
    </row>
    <row r="103" spans="1:16" x14ac:dyDescent="0.25">
      <c r="A103">
        <v>6</v>
      </c>
      <c r="B103" s="69" t="s">
        <v>101</v>
      </c>
      <c r="C103" s="70">
        <v>45547</v>
      </c>
      <c r="D103" s="81">
        <v>0.48958333333333331</v>
      </c>
      <c r="E103" s="73">
        <v>45548</v>
      </c>
      <c r="F103" s="71">
        <v>0.64722222222222225</v>
      </c>
      <c r="G103" s="72">
        <v>7.59</v>
      </c>
      <c r="H103" s="72">
        <v>23.1</v>
      </c>
      <c r="I103" s="73">
        <v>45553</v>
      </c>
      <c r="J103" s="71">
        <v>0.64583333333333337</v>
      </c>
      <c r="K103" s="72">
        <v>7.07</v>
      </c>
      <c r="L103" s="75">
        <v>19.8</v>
      </c>
      <c r="M103" s="76">
        <f t="shared" si="27"/>
        <v>0.51999999999999957</v>
      </c>
      <c r="N103" s="11" t="s">
        <v>14</v>
      </c>
      <c r="O103" s="39" t="s">
        <v>15</v>
      </c>
    </row>
    <row r="104" spans="1:16" x14ac:dyDescent="0.25">
      <c r="A104">
        <v>7</v>
      </c>
      <c r="B104" s="69" t="s">
        <v>110</v>
      </c>
      <c r="C104" s="70">
        <v>45610</v>
      </c>
      <c r="D104" s="71">
        <v>0.30763888888888891</v>
      </c>
      <c r="E104" s="70">
        <v>45611</v>
      </c>
      <c r="F104" s="71">
        <v>0.48402777777777778</v>
      </c>
      <c r="G104" s="72">
        <v>8.0399999999999991</v>
      </c>
      <c r="H104" s="72">
        <v>19.7</v>
      </c>
      <c r="I104" s="70">
        <v>45616</v>
      </c>
      <c r="J104" s="71">
        <v>0.44374999999999998</v>
      </c>
      <c r="K104" s="77">
        <v>6.66</v>
      </c>
      <c r="L104" s="75">
        <v>17.100000000000001</v>
      </c>
      <c r="M104" s="75">
        <f t="shared" ref="M104:M107" si="28">G104-K104</f>
        <v>1.379999999999999</v>
      </c>
      <c r="N104" s="11" t="s">
        <v>14</v>
      </c>
      <c r="P104" s="91">
        <f>M104-M105</f>
        <v>1.1099999999999994</v>
      </c>
    </row>
    <row r="105" spans="1:16" x14ac:dyDescent="0.25">
      <c r="A105">
        <v>7</v>
      </c>
      <c r="B105" s="69" t="s">
        <v>111</v>
      </c>
      <c r="C105" s="70">
        <v>45610</v>
      </c>
      <c r="D105" s="71">
        <v>0.30763888888888891</v>
      </c>
      <c r="E105" s="70">
        <v>45611</v>
      </c>
      <c r="F105" s="71">
        <v>0.48055555555555557</v>
      </c>
      <c r="G105" s="72">
        <v>8.11</v>
      </c>
      <c r="H105" s="72">
        <v>19.5</v>
      </c>
      <c r="I105" s="70">
        <v>45616</v>
      </c>
      <c r="J105" s="71">
        <v>0.44513888888888886</v>
      </c>
      <c r="K105" s="77">
        <v>7.84</v>
      </c>
      <c r="L105" s="75">
        <v>18.3</v>
      </c>
      <c r="M105" s="75">
        <f t="shared" si="28"/>
        <v>0.26999999999999957</v>
      </c>
      <c r="N105" s="11" t="s">
        <v>14</v>
      </c>
    </row>
    <row r="106" spans="1:16" x14ac:dyDescent="0.25">
      <c r="A106">
        <v>7</v>
      </c>
      <c r="B106" s="69" t="s">
        <v>61</v>
      </c>
      <c r="C106" s="70">
        <v>45610</v>
      </c>
      <c r="D106" s="71">
        <v>0.42499999999999999</v>
      </c>
      <c r="E106" s="70">
        <v>45611</v>
      </c>
      <c r="F106" s="71">
        <v>0.5395833333333333</v>
      </c>
      <c r="G106" s="72">
        <v>8.0399999999999991</v>
      </c>
      <c r="H106" s="72">
        <v>19.5</v>
      </c>
      <c r="I106" s="70">
        <v>45616</v>
      </c>
      <c r="J106" s="71">
        <v>0.46944444444444444</v>
      </c>
      <c r="K106" s="77">
        <v>6.22</v>
      </c>
      <c r="L106" s="75">
        <v>17.5</v>
      </c>
      <c r="M106" s="75">
        <f t="shared" si="28"/>
        <v>1.8199999999999994</v>
      </c>
      <c r="N106" s="11" t="s">
        <v>14</v>
      </c>
      <c r="P106" s="91">
        <f>M106-M107</f>
        <v>1.1499999999999995</v>
      </c>
    </row>
    <row r="107" spans="1:16" x14ac:dyDescent="0.25">
      <c r="A107">
        <v>7</v>
      </c>
      <c r="B107" s="69" t="s">
        <v>62</v>
      </c>
      <c r="C107" s="70">
        <v>45610</v>
      </c>
      <c r="D107" s="71">
        <v>0.42499999999999999</v>
      </c>
      <c r="E107" s="70">
        <v>45611</v>
      </c>
      <c r="F107" s="71">
        <v>0.54236111111111107</v>
      </c>
      <c r="G107" s="72">
        <v>8</v>
      </c>
      <c r="H107" s="72">
        <v>19.399999999999999</v>
      </c>
      <c r="I107" s="70">
        <v>45616</v>
      </c>
      <c r="J107" s="71">
        <v>0.47083333333333333</v>
      </c>
      <c r="K107" s="77">
        <v>7.33</v>
      </c>
      <c r="L107" s="75">
        <v>17.899999999999999</v>
      </c>
      <c r="M107" s="75">
        <f t="shared" si="28"/>
        <v>0.66999999999999993</v>
      </c>
      <c r="N107" s="11" t="s">
        <v>14</v>
      </c>
    </row>
    <row r="108" spans="1:16" x14ac:dyDescent="0.25">
      <c r="A108">
        <v>7</v>
      </c>
      <c r="B108" s="69" t="s">
        <v>71</v>
      </c>
      <c r="C108" s="70">
        <v>45615</v>
      </c>
      <c r="D108" s="71">
        <v>0.45694444444444443</v>
      </c>
      <c r="E108" s="70">
        <v>45617</v>
      </c>
      <c r="F108" s="71">
        <v>0.4</v>
      </c>
      <c r="G108" s="72">
        <v>8.31</v>
      </c>
      <c r="H108" s="72">
        <v>20.5</v>
      </c>
      <c r="I108" s="70">
        <v>45622</v>
      </c>
      <c r="J108" s="71">
        <v>0.38819444444444445</v>
      </c>
      <c r="K108" s="77">
        <v>6.55</v>
      </c>
      <c r="L108" s="75">
        <v>19.899999999999999</v>
      </c>
      <c r="M108" s="75">
        <f t="shared" ref="M108:M111" si="29">G108-K108</f>
        <v>1.7600000000000007</v>
      </c>
      <c r="N108" s="11" t="s">
        <v>14</v>
      </c>
      <c r="P108" s="91">
        <f>M108-M109</f>
        <v>1.1500000000000012</v>
      </c>
    </row>
    <row r="109" spans="1:16" x14ac:dyDescent="0.25">
      <c r="A109">
        <v>7</v>
      </c>
      <c r="B109" s="69" t="s">
        <v>72</v>
      </c>
      <c r="C109" s="70">
        <v>45615</v>
      </c>
      <c r="D109" s="71">
        <v>0.45694444444444443</v>
      </c>
      <c r="E109" s="70">
        <v>45617</v>
      </c>
      <c r="F109" s="71">
        <v>0.40138888888888891</v>
      </c>
      <c r="G109" s="72">
        <v>8.34</v>
      </c>
      <c r="H109" s="72">
        <v>20.3</v>
      </c>
      <c r="I109" s="70">
        <v>45622</v>
      </c>
      <c r="J109" s="71">
        <v>0.39027777777777778</v>
      </c>
      <c r="K109" s="89">
        <v>7.73</v>
      </c>
      <c r="L109" s="72">
        <v>20.5</v>
      </c>
      <c r="M109" s="75">
        <f t="shared" si="29"/>
        <v>0.60999999999999943</v>
      </c>
      <c r="N109" s="11" t="s">
        <v>14</v>
      </c>
    </row>
    <row r="110" spans="1:16" x14ac:dyDescent="0.25">
      <c r="A110">
        <v>7</v>
      </c>
      <c r="B110" s="69" t="s">
        <v>112</v>
      </c>
      <c r="C110" s="70">
        <v>45616</v>
      </c>
      <c r="D110" s="71">
        <v>0.36319444444444443</v>
      </c>
      <c r="E110" s="70">
        <v>45617</v>
      </c>
      <c r="F110" s="71">
        <v>0.46458333333333335</v>
      </c>
      <c r="G110" s="72">
        <v>7.96</v>
      </c>
      <c r="H110" s="72">
        <v>20.9</v>
      </c>
      <c r="I110" s="70">
        <v>45622</v>
      </c>
      <c r="J110" s="71">
        <v>0.40694444444444444</v>
      </c>
      <c r="K110" s="77">
        <v>6.49</v>
      </c>
      <c r="L110" s="75">
        <v>19.399999999999999</v>
      </c>
      <c r="M110" s="75">
        <f t="shared" si="29"/>
        <v>1.4699999999999998</v>
      </c>
      <c r="N110" s="11" t="s">
        <v>14</v>
      </c>
      <c r="P110" s="91">
        <f>M110-M111</f>
        <v>1.2200000000000006</v>
      </c>
    </row>
    <row r="111" spans="1:16" x14ac:dyDescent="0.25">
      <c r="A111">
        <v>7</v>
      </c>
      <c r="B111" s="69" t="s">
        <v>113</v>
      </c>
      <c r="C111" s="70">
        <v>45616</v>
      </c>
      <c r="D111" s="71">
        <v>0.36319444444444443</v>
      </c>
      <c r="E111" s="70">
        <v>45617</v>
      </c>
      <c r="F111" s="71">
        <v>0.46597222222222223</v>
      </c>
      <c r="G111" s="72">
        <v>8.0299999999999994</v>
      </c>
      <c r="H111" s="72">
        <v>20.8</v>
      </c>
      <c r="I111" s="70">
        <v>45622</v>
      </c>
      <c r="J111" s="71">
        <v>0.40555555555555556</v>
      </c>
      <c r="K111" s="77">
        <v>7.78</v>
      </c>
      <c r="L111" s="75">
        <v>18.8</v>
      </c>
      <c r="M111" s="75">
        <f t="shared" si="29"/>
        <v>0.24999999999999911</v>
      </c>
      <c r="N111" s="11" t="s">
        <v>14</v>
      </c>
    </row>
    <row r="112" spans="1:16" x14ac:dyDescent="0.25">
      <c r="A112">
        <v>7</v>
      </c>
      <c r="B112" s="69" t="s">
        <v>114</v>
      </c>
      <c r="C112" s="70">
        <v>45629</v>
      </c>
      <c r="D112" s="71">
        <v>0.40486111111111112</v>
      </c>
      <c r="E112" s="70">
        <v>45630</v>
      </c>
      <c r="F112" s="71">
        <v>0.62291666666666667</v>
      </c>
      <c r="G112" s="72">
        <v>7.66</v>
      </c>
      <c r="H112" s="72">
        <v>21</v>
      </c>
      <c r="I112" s="73">
        <v>45635</v>
      </c>
      <c r="J112" s="71">
        <v>0.48125000000000001</v>
      </c>
      <c r="K112" s="77">
        <v>5.77</v>
      </c>
      <c r="L112" s="75">
        <v>18.7</v>
      </c>
      <c r="M112" s="75">
        <f t="shared" ref="M112:M121" si="30">G112-K112</f>
        <v>1.8900000000000006</v>
      </c>
      <c r="N112" s="11" t="s">
        <v>14</v>
      </c>
      <c r="P112" s="91">
        <f>M112-M113</f>
        <v>1.0200000000000005</v>
      </c>
    </row>
    <row r="113" spans="1:16" x14ac:dyDescent="0.25">
      <c r="A113">
        <v>7</v>
      </c>
      <c r="B113" s="69" t="s">
        <v>115</v>
      </c>
      <c r="C113" s="70">
        <v>45629</v>
      </c>
      <c r="D113" s="71">
        <v>0.40486111111111112</v>
      </c>
      <c r="E113" s="70">
        <v>45630</v>
      </c>
      <c r="F113" s="71">
        <v>0.62222222222222223</v>
      </c>
      <c r="G113" s="72">
        <v>7.59</v>
      </c>
      <c r="H113" s="72">
        <v>21</v>
      </c>
      <c r="I113" s="73">
        <v>45635</v>
      </c>
      <c r="J113" s="71">
        <v>0.48472222222222222</v>
      </c>
      <c r="K113" s="77">
        <v>6.72</v>
      </c>
      <c r="L113" s="75">
        <v>20.6</v>
      </c>
      <c r="M113" s="75">
        <f t="shared" si="30"/>
        <v>0.87000000000000011</v>
      </c>
      <c r="N113" s="11" t="s">
        <v>14</v>
      </c>
    </row>
    <row r="114" spans="1:16" x14ac:dyDescent="0.25">
      <c r="A114">
        <v>7</v>
      </c>
      <c r="B114" s="69" t="s">
        <v>108</v>
      </c>
      <c r="C114" s="70">
        <v>45629</v>
      </c>
      <c r="D114" s="71">
        <v>6.1111111111111109E-2</v>
      </c>
      <c r="E114" s="70">
        <v>45631</v>
      </c>
      <c r="F114" s="71">
        <v>0.46458333333333335</v>
      </c>
      <c r="G114" s="72">
        <v>7.68</v>
      </c>
      <c r="H114" s="72">
        <v>22.8</v>
      </c>
      <c r="I114" s="70">
        <v>45636</v>
      </c>
      <c r="J114" s="71">
        <v>0.6694444444444444</v>
      </c>
      <c r="K114" s="77">
        <v>5.55</v>
      </c>
      <c r="L114" s="75">
        <v>20.6</v>
      </c>
      <c r="M114" s="75">
        <f t="shared" si="30"/>
        <v>2.13</v>
      </c>
      <c r="N114" s="11" t="s">
        <v>14</v>
      </c>
      <c r="P114" s="91">
        <f>M114-M115</f>
        <v>1.7599999999999998</v>
      </c>
    </row>
    <row r="115" spans="1:16" x14ac:dyDescent="0.25">
      <c r="A115">
        <v>7</v>
      </c>
      <c r="B115" s="69" t="s">
        <v>109</v>
      </c>
      <c r="C115" s="70">
        <v>45629</v>
      </c>
      <c r="D115" s="71">
        <v>6.1111111111111109E-2</v>
      </c>
      <c r="E115" s="70">
        <v>45631</v>
      </c>
      <c r="F115" s="71">
        <v>0.46388888888888891</v>
      </c>
      <c r="G115" s="72">
        <v>8.07</v>
      </c>
      <c r="H115" s="72">
        <v>22.9</v>
      </c>
      <c r="I115" s="70">
        <v>45636</v>
      </c>
      <c r="J115" s="71">
        <v>0.67083333333333328</v>
      </c>
      <c r="K115" s="77">
        <v>7.7</v>
      </c>
      <c r="L115" s="75">
        <v>18.3</v>
      </c>
      <c r="M115" s="75">
        <f t="shared" si="30"/>
        <v>0.37000000000000011</v>
      </c>
      <c r="N115" s="11" t="s">
        <v>14</v>
      </c>
    </row>
    <row r="116" spans="1:16" x14ac:dyDescent="0.25">
      <c r="A116">
        <v>7</v>
      </c>
      <c r="B116" s="69" t="s">
        <v>116</v>
      </c>
      <c r="C116" s="70">
        <v>45629</v>
      </c>
      <c r="D116" s="71">
        <v>0.60902777777777772</v>
      </c>
      <c r="E116" s="70">
        <v>45631</v>
      </c>
      <c r="F116" s="71">
        <v>0.48125000000000001</v>
      </c>
      <c r="G116" s="72">
        <v>7.88</v>
      </c>
      <c r="H116" s="72">
        <v>22.1</v>
      </c>
      <c r="I116" s="70">
        <v>45636</v>
      </c>
      <c r="J116" s="71">
        <v>0.6743055555555556</v>
      </c>
      <c r="K116" s="77">
        <v>5.49</v>
      </c>
      <c r="L116" s="75">
        <v>19.600000000000001</v>
      </c>
      <c r="M116" s="75">
        <f t="shared" si="30"/>
        <v>2.3899999999999997</v>
      </c>
      <c r="N116" s="11" t="s">
        <v>14</v>
      </c>
      <c r="P116" s="91">
        <f>M116-M117</f>
        <v>2.2699999999999996</v>
      </c>
    </row>
    <row r="117" spans="1:16" x14ac:dyDescent="0.25">
      <c r="A117">
        <v>7</v>
      </c>
      <c r="B117" s="69" t="s">
        <v>117</v>
      </c>
      <c r="C117" s="70">
        <v>45629</v>
      </c>
      <c r="D117" s="71">
        <v>0.60902777777777772</v>
      </c>
      <c r="E117" s="70">
        <v>45631</v>
      </c>
      <c r="F117" s="71">
        <v>0.47916666666666669</v>
      </c>
      <c r="G117" s="72">
        <v>7.99</v>
      </c>
      <c r="H117" s="72">
        <v>22.6</v>
      </c>
      <c r="I117" s="70">
        <v>45636</v>
      </c>
      <c r="J117" s="71">
        <v>0.67569444444444449</v>
      </c>
      <c r="K117" s="77">
        <v>7.87</v>
      </c>
      <c r="L117" s="75">
        <v>19.7</v>
      </c>
      <c r="M117" s="75">
        <f t="shared" si="30"/>
        <v>0.12000000000000011</v>
      </c>
      <c r="N117" s="11" t="s">
        <v>14</v>
      </c>
    </row>
    <row r="118" spans="1:16" x14ac:dyDescent="0.25">
      <c r="A118">
        <v>7</v>
      </c>
      <c r="B118" s="69" t="s">
        <v>73</v>
      </c>
      <c r="C118" s="70">
        <v>45666</v>
      </c>
      <c r="D118" s="71">
        <v>0.34513888888888888</v>
      </c>
      <c r="E118" s="70">
        <v>45667</v>
      </c>
      <c r="F118" s="71">
        <v>0.47083333333333333</v>
      </c>
      <c r="G118" s="72">
        <v>8.31</v>
      </c>
      <c r="H118" s="72">
        <v>22.2</v>
      </c>
      <c r="I118" s="70">
        <v>45672</v>
      </c>
      <c r="J118" s="71">
        <v>0.44722222222222224</v>
      </c>
      <c r="K118" s="77">
        <v>5.94</v>
      </c>
      <c r="L118" s="75">
        <v>20.399999999999999</v>
      </c>
      <c r="M118" s="75">
        <f t="shared" si="30"/>
        <v>2.37</v>
      </c>
      <c r="N118" s="11" t="s">
        <v>14</v>
      </c>
      <c r="P118" s="91">
        <f>M118-M119</f>
        <v>2.2199999999999998</v>
      </c>
    </row>
    <row r="119" spans="1:16" x14ac:dyDescent="0.25">
      <c r="A119">
        <v>7</v>
      </c>
      <c r="B119" s="69" t="s">
        <v>74</v>
      </c>
      <c r="C119" s="70">
        <v>45666</v>
      </c>
      <c r="D119" s="71">
        <v>0.34513888888888888</v>
      </c>
      <c r="E119" s="70">
        <v>45667</v>
      </c>
      <c r="F119" s="71">
        <v>0.46736111111111112</v>
      </c>
      <c r="G119" s="72">
        <v>8.18</v>
      </c>
      <c r="H119" s="72">
        <v>22.3</v>
      </c>
      <c r="I119" s="70">
        <v>45672</v>
      </c>
      <c r="J119" s="71">
        <v>0.44097222222222221</v>
      </c>
      <c r="K119" s="77">
        <v>8.0299999999999994</v>
      </c>
      <c r="L119" s="75">
        <v>18.2</v>
      </c>
      <c r="M119" s="75">
        <f t="shared" si="30"/>
        <v>0.15000000000000036</v>
      </c>
      <c r="N119" s="11" t="s">
        <v>14</v>
      </c>
    </row>
    <row r="120" spans="1:16" x14ac:dyDescent="0.25">
      <c r="A120">
        <v>7</v>
      </c>
      <c r="B120" s="69" t="s">
        <v>118</v>
      </c>
      <c r="C120" s="70">
        <v>45673</v>
      </c>
      <c r="D120" s="71">
        <v>0.38194444444444442</v>
      </c>
      <c r="E120" s="70">
        <v>45674</v>
      </c>
      <c r="F120" s="71">
        <v>0.54791666666666672</v>
      </c>
      <c r="G120" s="72">
        <v>8.4</v>
      </c>
      <c r="H120" s="72">
        <v>21.6</v>
      </c>
      <c r="I120" s="70">
        <v>45679</v>
      </c>
      <c r="J120" s="71">
        <v>0.49375000000000002</v>
      </c>
      <c r="K120" s="77">
        <v>6.26</v>
      </c>
      <c r="L120" s="75">
        <v>20.3</v>
      </c>
      <c r="M120" s="75">
        <f t="shared" si="30"/>
        <v>2.1400000000000006</v>
      </c>
      <c r="N120" s="11" t="s">
        <v>14</v>
      </c>
      <c r="P120" s="91">
        <f>M120-M121</f>
        <v>1.4800000000000013</v>
      </c>
    </row>
    <row r="121" spans="1:16" x14ac:dyDescent="0.25">
      <c r="A121">
        <v>7</v>
      </c>
      <c r="B121" s="69" t="s">
        <v>119</v>
      </c>
      <c r="C121" s="70">
        <v>45673</v>
      </c>
      <c r="D121" s="71">
        <v>0.38194444444444442</v>
      </c>
      <c r="E121" s="70">
        <v>45674</v>
      </c>
      <c r="F121" s="71">
        <v>0.54652777777777772</v>
      </c>
      <c r="G121" s="72">
        <v>8.36</v>
      </c>
      <c r="H121" s="72">
        <v>21.5</v>
      </c>
      <c r="I121" s="70">
        <v>45679</v>
      </c>
      <c r="J121" s="71">
        <v>0.49513888888888891</v>
      </c>
      <c r="K121" s="77">
        <v>7.7</v>
      </c>
      <c r="L121" s="75">
        <v>19.8</v>
      </c>
      <c r="M121" s="75">
        <f t="shared" si="30"/>
        <v>0.65999999999999925</v>
      </c>
      <c r="N121" s="11" t="s">
        <v>14</v>
      </c>
    </row>
    <row r="122" spans="1:16" x14ac:dyDescent="0.25">
      <c r="A122">
        <v>8</v>
      </c>
      <c r="B122" s="69" t="s">
        <v>43</v>
      </c>
      <c r="C122" s="70">
        <v>45708</v>
      </c>
      <c r="D122" s="71">
        <v>0.33819444444444446</v>
      </c>
      <c r="E122" s="70">
        <v>45709</v>
      </c>
      <c r="F122" s="71">
        <v>0.48055555555555557</v>
      </c>
      <c r="G122" s="72">
        <v>8.81</v>
      </c>
      <c r="H122" s="72">
        <v>22.6</v>
      </c>
      <c r="I122" s="70">
        <v>45714</v>
      </c>
      <c r="J122" s="71">
        <v>0.42708333333333331</v>
      </c>
      <c r="K122" s="77">
        <v>6.75</v>
      </c>
      <c r="L122" s="75">
        <v>22.2</v>
      </c>
      <c r="M122" s="75">
        <f t="shared" ref="M122:M127" si="31">G122-K122</f>
        <v>2.0600000000000005</v>
      </c>
      <c r="N122" s="11" t="s">
        <v>14</v>
      </c>
      <c r="O122" s="39" t="s">
        <v>120</v>
      </c>
      <c r="P122" s="91">
        <f>M122-M123</f>
        <v>1.6999999999999993</v>
      </c>
    </row>
    <row r="123" spans="1:16" x14ac:dyDescent="0.25">
      <c r="A123">
        <v>8</v>
      </c>
      <c r="B123" s="69" t="s">
        <v>44</v>
      </c>
      <c r="C123" s="70">
        <v>45708</v>
      </c>
      <c r="D123" s="71">
        <v>0.33819444444444446</v>
      </c>
      <c r="E123" s="70">
        <v>45709</v>
      </c>
      <c r="F123" s="71">
        <v>0.47361111111111109</v>
      </c>
      <c r="G123" s="72">
        <v>8.8000000000000007</v>
      </c>
      <c r="H123" s="72">
        <v>22</v>
      </c>
      <c r="I123" s="70">
        <v>45714</v>
      </c>
      <c r="J123" s="71">
        <v>0.42430555555555555</v>
      </c>
      <c r="K123" s="77">
        <v>8.44</v>
      </c>
      <c r="L123" s="75">
        <v>20</v>
      </c>
      <c r="M123" s="75">
        <f t="shared" si="31"/>
        <v>0.36000000000000121</v>
      </c>
      <c r="N123" s="11" t="s">
        <v>14</v>
      </c>
      <c r="O123" s="39" t="s">
        <v>120</v>
      </c>
    </row>
    <row r="124" spans="1:16" x14ac:dyDescent="0.25">
      <c r="A124">
        <v>8</v>
      </c>
      <c r="B124" s="69" t="s">
        <v>121</v>
      </c>
      <c r="C124" s="70">
        <v>45709</v>
      </c>
      <c r="D124" s="71">
        <v>0.34027777777777779</v>
      </c>
      <c r="E124" s="70">
        <v>45709</v>
      </c>
      <c r="F124" s="71">
        <v>0.66736111111111107</v>
      </c>
      <c r="G124" s="72">
        <v>8.82</v>
      </c>
      <c r="H124" s="72">
        <v>20.3</v>
      </c>
      <c r="I124" s="70">
        <v>45714</v>
      </c>
      <c r="J124" s="71">
        <v>0.62152777777777779</v>
      </c>
      <c r="K124" s="77">
        <v>6.65</v>
      </c>
      <c r="L124" s="75">
        <v>20</v>
      </c>
      <c r="M124" s="75">
        <f t="shared" si="31"/>
        <v>2.17</v>
      </c>
      <c r="N124" s="11" t="s">
        <v>14</v>
      </c>
      <c r="O124" s="39" t="s">
        <v>15</v>
      </c>
      <c r="P124" s="91">
        <f>M124-M125</f>
        <v>2.0399999999999991</v>
      </c>
    </row>
    <row r="125" spans="1:16" x14ac:dyDescent="0.25">
      <c r="A125">
        <v>8</v>
      </c>
      <c r="B125" s="69" t="s">
        <v>122</v>
      </c>
      <c r="C125" s="70">
        <v>45709</v>
      </c>
      <c r="D125" s="71">
        <v>0.34027777777777779</v>
      </c>
      <c r="E125" s="70">
        <v>45709</v>
      </c>
      <c r="F125" s="71">
        <v>0.66666666666666663</v>
      </c>
      <c r="G125" s="72">
        <v>8.8000000000000007</v>
      </c>
      <c r="H125" s="72">
        <v>20.2</v>
      </c>
      <c r="I125" s="70">
        <v>45714</v>
      </c>
      <c r="J125" s="71">
        <v>0.61944444444444446</v>
      </c>
      <c r="K125" s="77">
        <v>8.67</v>
      </c>
      <c r="L125" s="75">
        <v>20</v>
      </c>
      <c r="M125" s="75">
        <f t="shared" si="31"/>
        <v>0.13000000000000078</v>
      </c>
      <c r="N125" s="11" t="s">
        <v>14</v>
      </c>
      <c r="O125" s="39" t="s">
        <v>15</v>
      </c>
    </row>
    <row r="126" spans="1:16" x14ac:dyDescent="0.25">
      <c r="A126">
        <v>8</v>
      </c>
      <c r="B126" s="69" t="s">
        <v>123</v>
      </c>
      <c r="C126" s="70">
        <v>45709</v>
      </c>
      <c r="D126" s="71">
        <v>0.46736111111111112</v>
      </c>
      <c r="E126" s="70">
        <v>45709</v>
      </c>
      <c r="F126" s="71">
        <v>0.68611111111111112</v>
      </c>
      <c r="G126" s="72">
        <v>8.68</v>
      </c>
      <c r="H126" s="72">
        <v>22.2</v>
      </c>
      <c r="I126" s="70">
        <v>45714</v>
      </c>
      <c r="J126" s="71">
        <v>0.61250000000000004</v>
      </c>
      <c r="K126" s="77">
        <v>6.68</v>
      </c>
      <c r="L126" s="75">
        <v>20.5</v>
      </c>
      <c r="M126" s="75">
        <f t="shared" si="31"/>
        <v>2</v>
      </c>
      <c r="N126" s="11" t="s">
        <v>14</v>
      </c>
      <c r="O126" s="39" t="s">
        <v>15</v>
      </c>
      <c r="P126" s="91">
        <f>M126-M127</f>
        <v>1.25</v>
      </c>
    </row>
    <row r="127" spans="1:16" x14ac:dyDescent="0.25">
      <c r="A127">
        <v>8</v>
      </c>
      <c r="B127" s="69" t="s">
        <v>124</v>
      </c>
      <c r="C127" s="70">
        <v>45709</v>
      </c>
      <c r="D127" s="71">
        <v>0.46736111111111112</v>
      </c>
      <c r="E127" s="70">
        <v>45709</v>
      </c>
      <c r="F127" s="71">
        <v>0.68541666666666667</v>
      </c>
      <c r="G127" s="72">
        <v>8.35</v>
      </c>
      <c r="H127" s="72">
        <v>21.8</v>
      </c>
      <c r="I127" s="70">
        <v>45714</v>
      </c>
      <c r="J127" s="71">
        <v>0.61597222222222225</v>
      </c>
      <c r="K127" s="72">
        <v>7.6</v>
      </c>
      <c r="L127" s="72">
        <v>20.3</v>
      </c>
      <c r="M127" s="75">
        <f t="shared" si="31"/>
        <v>0.75</v>
      </c>
      <c r="N127" s="11" t="s">
        <v>14</v>
      </c>
      <c r="O127" s="39" t="s">
        <v>15</v>
      </c>
    </row>
    <row r="128" spans="1:16" x14ac:dyDescent="0.25">
      <c r="A128">
        <v>8</v>
      </c>
      <c r="B128" s="69" t="s">
        <v>125</v>
      </c>
      <c r="C128" s="70">
        <v>45719</v>
      </c>
      <c r="D128" s="71">
        <v>0.51944444444444449</v>
      </c>
      <c r="E128" s="70">
        <v>45721</v>
      </c>
      <c r="F128" s="71">
        <v>0.36527777777777776</v>
      </c>
      <c r="G128" s="89">
        <v>8.8699999999999992</v>
      </c>
      <c r="H128" s="72">
        <v>21.5</v>
      </c>
      <c r="I128" s="70">
        <v>45726</v>
      </c>
      <c r="J128" s="71">
        <v>0.46458333333333335</v>
      </c>
      <c r="K128" s="72">
        <v>6.86</v>
      </c>
      <c r="L128" s="75">
        <v>21.4</v>
      </c>
      <c r="M128" s="75">
        <f t="shared" ref="M128:M131" si="32">G128-K128</f>
        <v>2.0099999999999989</v>
      </c>
      <c r="N128" s="11" t="s">
        <v>14</v>
      </c>
      <c r="O128" s="39" t="s">
        <v>15</v>
      </c>
      <c r="P128" s="91">
        <f>M128-M129</f>
        <v>1.589999999999999</v>
      </c>
    </row>
    <row r="129" spans="1:16" x14ac:dyDescent="0.25">
      <c r="A129">
        <v>8</v>
      </c>
      <c r="B129" s="69" t="s">
        <v>126</v>
      </c>
      <c r="C129" s="70">
        <v>45719</v>
      </c>
      <c r="D129" s="71">
        <v>0.51944444444444449</v>
      </c>
      <c r="E129" s="70">
        <v>45721</v>
      </c>
      <c r="F129" s="71">
        <v>0.36458333333333331</v>
      </c>
      <c r="G129" s="89">
        <v>8.73</v>
      </c>
      <c r="H129" s="72">
        <v>21.5</v>
      </c>
      <c r="I129" s="70">
        <v>45726</v>
      </c>
      <c r="J129" s="71">
        <v>0.46319444444444446</v>
      </c>
      <c r="K129" s="72">
        <v>8.31</v>
      </c>
      <c r="L129" s="75">
        <v>21.4</v>
      </c>
      <c r="M129" s="75">
        <f t="shared" si="32"/>
        <v>0.41999999999999993</v>
      </c>
      <c r="N129" s="11" t="s">
        <v>14</v>
      </c>
      <c r="O129" s="39" t="s">
        <v>15</v>
      </c>
    </row>
    <row r="130" spans="1:16" x14ac:dyDescent="0.25">
      <c r="A130">
        <v>8</v>
      </c>
      <c r="B130" s="69" t="s">
        <v>127</v>
      </c>
      <c r="C130" s="70">
        <v>45720</v>
      </c>
      <c r="D130" s="71">
        <v>0.47430555555555554</v>
      </c>
      <c r="E130" s="70">
        <v>45721</v>
      </c>
      <c r="F130" s="71">
        <v>0.59097222222222223</v>
      </c>
      <c r="G130" s="90">
        <v>8.57</v>
      </c>
      <c r="H130" s="72">
        <v>20.5</v>
      </c>
      <c r="I130" s="70">
        <v>45726</v>
      </c>
      <c r="J130" s="71">
        <v>0.49791666666666667</v>
      </c>
      <c r="K130" s="72">
        <v>6.57</v>
      </c>
      <c r="L130" s="75">
        <v>20</v>
      </c>
      <c r="M130" s="75">
        <f t="shared" si="32"/>
        <v>2</v>
      </c>
      <c r="N130" s="11" t="s">
        <v>14</v>
      </c>
      <c r="O130" s="39" t="s">
        <v>15</v>
      </c>
      <c r="P130" s="91">
        <f>M130-M131</f>
        <v>1.3900000000000006</v>
      </c>
    </row>
    <row r="131" spans="1:16" x14ac:dyDescent="0.25">
      <c r="A131">
        <v>8</v>
      </c>
      <c r="B131" s="69" t="s">
        <v>128</v>
      </c>
      <c r="C131" s="70">
        <v>45720</v>
      </c>
      <c r="D131" s="71">
        <v>0.47430555555555554</v>
      </c>
      <c r="E131" s="70">
        <v>45721</v>
      </c>
      <c r="F131" s="71">
        <v>0.59027777777777779</v>
      </c>
      <c r="G131" s="90">
        <v>8.91</v>
      </c>
      <c r="H131" s="72">
        <v>20.6</v>
      </c>
      <c r="I131" s="70">
        <v>45726</v>
      </c>
      <c r="J131" s="71">
        <v>0.49444444444444446</v>
      </c>
      <c r="K131" s="72">
        <v>8.3000000000000007</v>
      </c>
      <c r="L131" s="75">
        <v>20</v>
      </c>
      <c r="M131" s="75">
        <f t="shared" si="32"/>
        <v>0.60999999999999943</v>
      </c>
      <c r="N131" s="11" t="s">
        <v>14</v>
      </c>
      <c r="O131" s="39" t="s">
        <v>15</v>
      </c>
    </row>
    <row r="132" spans="1:16" ht="25.5" x14ac:dyDescent="0.25">
      <c r="A132">
        <v>8</v>
      </c>
      <c r="B132" s="69" t="s">
        <v>129</v>
      </c>
      <c r="C132" s="70">
        <v>45722</v>
      </c>
      <c r="D132" s="71">
        <v>0.4201388888888889</v>
      </c>
      <c r="E132" s="70">
        <v>45722</v>
      </c>
      <c r="F132" s="71" t="s">
        <v>130</v>
      </c>
      <c r="G132" s="72">
        <v>8.58</v>
      </c>
      <c r="H132" s="72">
        <v>20.5</v>
      </c>
      <c r="I132" s="70">
        <v>45727</v>
      </c>
      <c r="J132" s="71">
        <v>0.61319444444444449</v>
      </c>
      <c r="K132" s="72">
        <v>6.57</v>
      </c>
      <c r="L132" s="75">
        <v>20.9</v>
      </c>
      <c r="M132" s="75">
        <f t="shared" ref="M132:M133" si="33">G132-K132</f>
        <v>2.0099999999999998</v>
      </c>
      <c r="N132" s="11" t="s">
        <v>14</v>
      </c>
      <c r="O132" s="39" t="s">
        <v>15</v>
      </c>
      <c r="P132" s="91">
        <f>M132-M133</f>
        <v>1.8100000000000005</v>
      </c>
    </row>
    <row r="133" spans="1:16" x14ac:dyDescent="0.25">
      <c r="A133">
        <v>8</v>
      </c>
      <c r="B133" s="69" t="s">
        <v>131</v>
      </c>
      <c r="C133" s="70">
        <v>45722</v>
      </c>
      <c r="D133" s="71">
        <v>0.4201388888888889</v>
      </c>
      <c r="E133" s="70">
        <v>45722</v>
      </c>
      <c r="F133" s="71">
        <v>0.72013888888888888</v>
      </c>
      <c r="G133" s="72">
        <v>8.58</v>
      </c>
      <c r="H133" s="72">
        <v>20.6</v>
      </c>
      <c r="I133" s="70">
        <v>45727</v>
      </c>
      <c r="J133" s="71">
        <v>0.61111111111111116</v>
      </c>
      <c r="K133" s="72">
        <v>8.3800000000000008</v>
      </c>
      <c r="L133" s="75">
        <v>20.5</v>
      </c>
      <c r="M133" s="75">
        <f t="shared" si="33"/>
        <v>0.19999999999999929</v>
      </c>
      <c r="N133" s="11" t="s">
        <v>14</v>
      </c>
      <c r="O133" s="39" t="s">
        <v>15</v>
      </c>
    </row>
    <row r="134" spans="1:16" x14ac:dyDescent="0.25">
      <c r="A134">
        <v>8</v>
      </c>
      <c r="B134" s="69" t="s">
        <v>132</v>
      </c>
      <c r="C134" s="70">
        <v>45726</v>
      </c>
      <c r="D134" s="71">
        <v>0.34513888888888888</v>
      </c>
      <c r="E134" s="70">
        <v>45728</v>
      </c>
      <c r="F134" s="71">
        <v>0.31388888888888888</v>
      </c>
      <c r="G134" s="72">
        <v>8.32</v>
      </c>
      <c r="H134" s="72">
        <v>22.6</v>
      </c>
      <c r="I134" s="70">
        <v>45733</v>
      </c>
      <c r="J134" s="71">
        <v>0.37361111111111112</v>
      </c>
      <c r="K134" s="77">
        <v>6.3</v>
      </c>
      <c r="L134" s="75">
        <v>22.1</v>
      </c>
      <c r="M134" s="75">
        <f t="shared" ref="M134:M137" si="34">G134-K134</f>
        <v>2.0200000000000005</v>
      </c>
      <c r="N134" s="11" t="s">
        <v>14</v>
      </c>
      <c r="O134" s="39" t="s">
        <v>15</v>
      </c>
      <c r="P134" s="91">
        <f>M134-M135</f>
        <v>1.9400000000000004</v>
      </c>
    </row>
    <row r="135" spans="1:16" x14ac:dyDescent="0.25">
      <c r="A135">
        <v>8</v>
      </c>
      <c r="B135" s="69" t="s">
        <v>133</v>
      </c>
      <c r="C135" s="70">
        <v>45726</v>
      </c>
      <c r="D135" s="71">
        <v>0.34513888888888888</v>
      </c>
      <c r="E135" s="70">
        <v>45728</v>
      </c>
      <c r="F135" s="71">
        <v>0.3215277777777778</v>
      </c>
      <c r="G135" s="72">
        <v>8.43</v>
      </c>
      <c r="H135" s="72">
        <v>22.4</v>
      </c>
      <c r="I135" s="70">
        <v>45733</v>
      </c>
      <c r="J135" s="71">
        <v>0.37083333333333335</v>
      </c>
      <c r="K135" s="77">
        <v>8.35</v>
      </c>
      <c r="L135" s="75">
        <v>20.7</v>
      </c>
      <c r="M135" s="75">
        <f t="shared" si="34"/>
        <v>8.0000000000000071E-2</v>
      </c>
      <c r="N135" s="11" t="s">
        <v>14</v>
      </c>
      <c r="O135" s="39" t="s">
        <v>15</v>
      </c>
    </row>
    <row r="136" spans="1:16" x14ac:dyDescent="0.25">
      <c r="A136">
        <v>8</v>
      </c>
      <c r="B136" s="69" t="s">
        <v>94</v>
      </c>
      <c r="C136" s="70">
        <v>45726</v>
      </c>
      <c r="D136" s="71">
        <v>0.45</v>
      </c>
      <c r="E136" s="70">
        <v>45728</v>
      </c>
      <c r="F136" s="71">
        <v>0.4236111111111111</v>
      </c>
      <c r="G136" s="72">
        <v>8.26</v>
      </c>
      <c r="H136" s="72">
        <v>20.8</v>
      </c>
      <c r="I136" s="70">
        <v>45733</v>
      </c>
      <c r="J136" s="71">
        <v>0.40833333333333333</v>
      </c>
      <c r="K136" s="77">
        <v>6.26</v>
      </c>
      <c r="L136" s="75">
        <v>21.7</v>
      </c>
      <c r="M136" s="75">
        <f t="shared" si="34"/>
        <v>2</v>
      </c>
      <c r="N136" s="11" t="s">
        <v>14</v>
      </c>
      <c r="O136" s="39" t="s">
        <v>15</v>
      </c>
      <c r="P136" s="91">
        <f>M136-M137</f>
        <v>1.5399999999999991</v>
      </c>
    </row>
    <row r="137" spans="1:16" x14ac:dyDescent="0.25">
      <c r="A137">
        <v>8</v>
      </c>
      <c r="B137" s="69" t="s">
        <v>95</v>
      </c>
      <c r="C137" s="70">
        <v>45726</v>
      </c>
      <c r="D137" s="71">
        <v>0.45</v>
      </c>
      <c r="E137" s="70">
        <v>45728</v>
      </c>
      <c r="F137" s="71">
        <v>0.42638888888888887</v>
      </c>
      <c r="G137" s="72">
        <v>8.74</v>
      </c>
      <c r="H137" s="72">
        <v>20.8</v>
      </c>
      <c r="I137" s="70">
        <v>45733</v>
      </c>
      <c r="J137" s="71">
        <v>0.41041666666666665</v>
      </c>
      <c r="K137" s="77">
        <v>8.2799999999999994</v>
      </c>
      <c r="L137" s="75">
        <v>21.4</v>
      </c>
      <c r="M137" s="75">
        <f t="shared" si="34"/>
        <v>0.46000000000000085</v>
      </c>
      <c r="N137" s="11" t="s">
        <v>14</v>
      </c>
      <c r="O137" s="39" t="s">
        <v>15</v>
      </c>
    </row>
    <row r="138" spans="1:16" x14ac:dyDescent="0.25">
      <c r="A138">
        <v>8</v>
      </c>
      <c r="B138" s="69" t="s">
        <v>134</v>
      </c>
      <c r="C138" s="70">
        <v>45728</v>
      </c>
      <c r="D138" s="71">
        <v>0.34236111111111112</v>
      </c>
      <c r="E138" s="70">
        <v>45729</v>
      </c>
      <c r="F138" s="71">
        <v>0.50138888888888888</v>
      </c>
      <c r="G138" s="72">
        <v>8.76</v>
      </c>
      <c r="H138" s="72">
        <v>17.899999999999999</v>
      </c>
      <c r="I138" s="70">
        <v>45734</v>
      </c>
      <c r="J138" s="71">
        <v>0.46875</v>
      </c>
      <c r="K138" s="77">
        <v>6.75</v>
      </c>
      <c r="L138" s="75">
        <v>22.9</v>
      </c>
      <c r="M138" s="75">
        <f t="shared" ref="M138:M141" si="35">G138-K138</f>
        <v>2.0099999999999998</v>
      </c>
      <c r="N138" s="11" t="s">
        <v>14</v>
      </c>
      <c r="O138" s="39" t="s">
        <v>120</v>
      </c>
      <c r="P138" s="91">
        <f>M138-M139</f>
        <v>1.8699999999999992</v>
      </c>
    </row>
    <row r="139" spans="1:16" x14ac:dyDescent="0.25">
      <c r="A139">
        <v>8</v>
      </c>
      <c r="B139" s="69" t="s">
        <v>135</v>
      </c>
      <c r="C139" s="70">
        <v>45728</v>
      </c>
      <c r="D139" s="71">
        <v>0.34236111111111112</v>
      </c>
      <c r="E139" s="70">
        <v>45729</v>
      </c>
      <c r="F139" s="71">
        <v>0.54097222222222219</v>
      </c>
      <c r="G139" s="72">
        <v>8.76</v>
      </c>
      <c r="H139" s="72">
        <v>17</v>
      </c>
      <c r="I139" s="70">
        <v>45734</v>
      </c>
      <c r="J139" s="71">
        <v>0.47083333333333333</v>
      </c>
      <c r="K139" s="77">
        <v>8.6199999999999992</v>
      </c>
      <c r="L139" s="75">
        <v>22.9</v>
      </c>
      <c r="M139" s="75">
        <f t="shared" si="35"/>
        <v>0.14000000000000057</v>
      </c>
      <c r="N139" s="11" t="s">
        <v>14</v>
      </c>
      <c r="O139" s="39" t="s">
        <v>120</v>
      </c>
    </row>
    <row r="140" spans="1:16" x14ac:dyDescent="0.25">
      <c r="A140">
        <v>8</v>
      </c>
      <c r="B140" s="69" t="s">
        <v>136</v>
      </c>
      <c r="C140" s="70">
        <v>45728</v>
      </c>
      <c r="D140" s="71">
        <v>0.43402777777777779</v>
      </c>
      <c r="E140" s="70">
        <v>45729</v>
      </c>
      <c r="F140" s="71">
        <v>0.61388888888888893</v>
      </c>
      <c r="G140" s="72">
        <v>8.76</v>
      </c>
      <c r="H140" s="72">
        <v>19.5</v>
      </c>
      <c r="I140" s="70">
        <v>45734</v>
      </c>
      <c r="J140" s="71">
        <v>0.47847222222222224</v>
      </c>
      <c r="K140" s="77">
        <v>6.59</v>
      </c>
      <c r="L140" s="75">
        <v>21.2</v>
      </c>
      <c r="M140" s="75">
        <f t="shared" si="35"/>
        <v>2.17</v>
      </c>
      <c r="N140" s="11" t="s">
        <v>14</v>
      </c>
      <c r="O140" s="39" t="s">
        <v>120</v>
      </c>
      <c r="P140" s="91">
        <f>M140-M141</f>
        <v>1.4700000000000006</v>
      </c>
    </row>
    <row r="141" spans="1:16" x14ac:dyDescent="0.25">
      <c r="A141">
        <v>8</v>
      </c>
      <c r="B141" s="69" t="s">
        <v>137</v>
      </c>
      <c r="C141" s="70">
        <v>45728</v>
      </c>
      <c r="D141" s="71">
        <v>0.43402777777777779</v>
      </c>
      <c r="E141" s="70">
        <v>45729</v>
      </c>
      <c r="F141" s="71">
        <v>0.61458333333333337</v>
      </c>
      <c r="G141" s="72">
        <v>8.7899999999999991</v>
      </c>
      <c r="H141" s="72">
        <v>19.8</v>
      </c>
      <c r="I141" s="70">
        <v>45734</v>
      </c>
      <c r="J141" s="71">
        <v>0.47708333333333336</v>
      </c>
      <c r="K141" s="77">
        <v>8.09</v>
      </c>
      <c r="L141" s="75">
        <v>21</v>
      </c>
      <c r="M141" s="75">
        <f t="shared" si="35"/>
        <v>0.69999999999999929</v>
      </c>
      <c r="N141" s="11" t="s">
        <v>14</v>
      </c>
      <c r="O141" s="39" t="s">
        <v>120</v>
      </c>
    </row>
    <row r="142" spans="1:16" x14ac:dyDescent="0.25">
      <c r="A142">
        <v>8</v>
      </c>
      <c r="B142" s="69" t="s">
        <v>139</v>
      </c>
      <c r="C142" s="70">
        <v>45755</v>
      </c>
      <c r="D142" s="71">
        <v>0.51249999999999996</v>
      </c>
      <c r="E142" s="70">
        <v>45756</v>
      </c>
      <c r="F142" s="71">
        <v>0.37569444444444444</v>
      </c>
      <c r="G142" s="72">
        <v>8.33</v>
      </c>
      <c r="H142" s="72">
        <v>22.7</v>
      </c>
      <c r="I142" s="70">
        <v>45761</v>
      </c>
      <c r="J142" s="71">
        <v>0.38819444444444445</v>
      </c>
      <c r="K142" s="77">
        <v>6.32</v>
      </c>
      <c r="L142" s="75">
        <v>20.7</v>
      </c>
      <c r="M142" s="75">
        <f t="shared" ref="M142:M143" si="36">G142-K142</f>
        <v>2.0099999999999998</v>
      </c>
      <c r="N142" s="11" t="s">
        <v>14</v>
      </c>
      <c r="O142" s="39" t="s">
        <v>138</v>
      </c>
      <c r="P142" s="91">
        <f>M142-M143</f>
        <v>1.8899999999999988</v>
      </c>
    </row>
    <row r="143" spans="1:16" x14ac:dyDescent="0.25">
      <c r="A143">
        <v>8</v>
      </c>
      <c r="B143" s="69" t="s">
        <v>140</v>
      </c>
      <c r="C143" s="70">
        <v>45755</v>
      </c>
      <c r="D143" s="71">
        <v>0.51249999999999996</v>
      </c>
      <c r="E143" s="70">
        <v>45756</v>
      </c>
      <c r="F143" s="71">
        <v>0.37291666666666667</v>
      </c>
      <c r="G143" s="72">
        <v>8.49</v>
      </c>
      <c r="H143" s="72">
        <v>22.3</v>
      </c>
      <c r="I143" s="70">
        <v>45761</v>
      </c>
      <c r="J143" s="71">
        <v>0.39027777777777778</v>
      </c>
      <c r="K143" s="77">
        <v>8.3699999999999992</v>
      </c>
      <c r="L143" s="75">
        <v>20.5</v>
      </c>
      <c r="M143" s="75">
        <f t="shared" si="36"/>
        <v>0.12000000000000099</v>
      </c>
      <c r="N143" s="11" t="s">
        <v>14</v>
      </c>
      <c r="O143" s="3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2025-05-27T13:31:07Z</dcterms:created>
  <dcterms:modified xsi:type="dcterms:W3CDTF">2025-05-27T13:49:54Z</dcterms:modified>
</cp:coreProperties>
</file>